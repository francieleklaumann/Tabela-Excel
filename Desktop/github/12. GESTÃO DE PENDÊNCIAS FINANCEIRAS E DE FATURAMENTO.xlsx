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slicers/slicer2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pivotTables/pivotTable17.xml" ContentType="application/vnd.openxmlformats-officedocument.spreadsheetml.pivotTable+xml"/>
  <Override PartName="/xl/drawings/drawing18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pivotTables/pivotTable18.xml" ContentType="application/vnd.openxmlformats-officedocument.spreadsheetml.pivotTable+xml"/>
  <Override PartName="/xl/drawings/drawing19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pivotTables/pivotTable19.xml" ContentType="application/vnd.openxmlformats-officedocument.spreadsheetml.pivotTable+xml"/>
  <Override PartName="/xl/drawings/drawing20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ranciele Klaumann\Desktop\"/>
    </mc:Choice>
  </mc:AlternateContent>
  <xr:revisionPtr revIDLastSave="0" documentId="13_ncr:1_{A2861957-274C-4DAB-8B95-7F657D3F8420}" xr6:coauthVersionLast="47" xr6:coauthVersionMax="47" xr10:uidLastSave="{00000000-0000-0000-0000-000000000000}"/>
  <bookViews>
    <workbookView xWindow="-108" yWindow="-108" windowWidth="23256" windowHeight="12456" tabRatio="1000" firstSheet="3" activeTab="3" xr2:uid="{9E26FE5C-01AF-4661-8A19-D4A30D9A6F81}"/>
  </bookViews>
  <sheets>
    <sheet name="ÁREA_PROCESSO" sheetId="13" state="hidden" r:id="rId1"/>
    <sheet name="ÁREA " sheetId="7" state="hidden" r:id="rId2"/>
    <sheet name="UNIDADE" sheetId="10" state="hidden" r:id="rId3"/>
    <sheet name="PENDÊNCIAS_FINANCEIRO" sheetId="5" r:id="rId4"/>
    <sheet name="FILTRO DE UNIDADE" sheetId="21" state="hidden" r:id="rId5"/>
    <sheet name="PENDÊNCIAS_FATURAMENTO" sheetId="22" r:id="rId6"/>
    <sheet name="DASHBOARD_FINANCEIRO" sheetId="11" r:id="rId7"/>
    <sheet name="DASHBOARD_FATURAMENTO" sheetId="26" r:id="rId8"/>
    <sheet name="PENDÊNCIA (FATURAMENTO) " sheetId="27" state="hidden" r:id="rId9"/>
    <sheet name="SEMANA (FATURAMENTO) " sheetId="29" state="hidden" r:id="rId10"/>
    <sheet name="MÊS (FATURAMENTO)" sheetId="28" state="hidden" r:id="rId11"/>
    <sheet name="FATURAMENTO" sheetId="30" state="hidden" r:id="rId12"/>
    <sheet name="UNIDADE (FATURAMENTO) " sheetId="31" state="hidden" r:id="rId13"/>
    <sheet name="PROFISIONAL (FATURAMENTO)" sheetId="25" state="hidden" r:id="rId14"/>
    <sheet name="COMENTÁRIOS (FATURAMENTO)" sheetId="32" state="hidden" r:id="rId15"/>
    <sheet name="MÊS (2)" sheetId="14" state="hidden" r:id="rId16"/>
    <sheet name="MÊS" sheetId="8" state="hidden" r:id="rId17"/>
    <sheet name="PROFISSIONAL (2)" sheetId="16" state="hidden" r:id="rId18"/>
    <sheet name="PROFISSIONAL" sheetId="9" state="hidden" r:id="rId19"/>
    <sheet name="COMENTÁRIOS" sheetId="17" state="hidden" r:id="rId20"/>
    <sheet name="UNIDADE 2" sheetId="15" state="hidden" r:id="rId21"/>
    <sheet name="SEMANA (2)" sheetId="20" state="hidden" r:id="rId22"/>
    <sheet name="SEMANA" sheetId="19" state="hidden" r:id="rId23"/>
  </sheets>
  <definedNames>
    <definedName name="_xlnm.Print_Area" localSheetId="7">DASHBOARD_FATURAMENTO!$A$1:$AM$89</definedName>
    <definedName name="_xlnm.Print_Area" localSheetId="6">DASHBOARD_FINANCEIRO!$A$1:$AG$81</definedName>
    <definedName name="SegmentaçãodeDados_Área__Processo">#N/A</definedName>
    <definedName name="SegmentaçãodeDados_Mês">#N/A</definedName>
    <definedName name="SegmentaçãodeDados_Profissional">#N/A</definedName>
    <definedName name="SegmentaçãodeDados_Profissional1">#N/A</definedName>
    <definedName name="SegmentaçãodeDados_SEMANA">#N/A</definedName>
    <definedName name="SegmentaçãodeDados_Unidade__Empresa">#N/A</definedName>
  </definedNames>
  <calcPr calcId="191029"/>
  <pivotCaches>
    <pivotCache cacheId="0" r:id="rId24"/>
    <pivotCache cacheId="1" r:id="rId25"/>
    <pivotCache cacheId="2" r:id="rId26"/>
  </pivotCaches>
  <extLst>
    <ext xmlns:x14="http://schemas.microsoft.com/office/spreadsheetml/2009/9/main" uri="{BBE1A952-AA13-448e-AADC-164F8A28A991}">
      <x14:slicerCaches>
        <x14:slicerCache r:id="rId27"/>
        <x14:slicerCache r:id="rId28"/>
        <x14:slicerCache r:id="rId29"/>
        <x14:slicerCache r:id="rId30"/>
        <x14:slicerCache r:id="rId31"/>
        <x14:slicerCache r:id="rId3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22" l="1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C124" i="22"/>
  <c r="C125" i="22"/>
  <c r="C126" i="22"/>
  <c r="C127" i="22"/>
  <c r="C128" i="22"/>
  <c r="C129" i="22"/>
  <c r="C130" i="22"/>
  <c r="C131" i="22"/>
  <c r="C132" i="22"/>
  <c r="C133" i="22"/>
  <c r="C134" i="22"/>
  <c r="C135" i="22"/>
  <c r="C136" i="22"/>
  <c r="C137" i="22"/>
  <c r="C138" i="22"/>
  <c r="C139" i="22"/>
  <c r="C140" i="22"/>
  <c r="C141" i="22"/>
  <c r="C142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6" i="22"/>
  <c r="B7" i="22"/>
  <c r="B8" i="22"/>
  <c r="B9" i="22"/>
  <c r="B10" i="22"/>
  <c r="D28" i="5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D5" i="22"/>
  <c r="D6" i="22"/>
  <c r="D7" i="22"/>
  <c r="D8" i="22"/>
  <c r="D9" i="22"/>
  <c r="D10" i="22"/>
  <c r="C5" i="22"/>
  <c r="C6" i="22"/>
  <c r="C7" i="22"/>
  <c r="C8" i="22"/>
  <c r="C9" i="22"/>
  <c r="C10" i="22"/>
  <c r="B5" i="22"/>
  <c r="D143" i="22"/>
  <c r="C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D113" i="22"/>
  <c r="D112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4" i="22"/>
  <c r="C4" i="22"/>
  <c r="B4" i="22"/>
  <c r="V3" i="11"/>
  <c r="H3" i="1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4" i="5"/>
  <c r="Z3" i="11" l="1"/>
</calcChain>
</file>

<file path=xl/sharedStrings.xml><?xml version="1.0" encoding="utf-8"?>
<sst xmlns="http://schemas.openxmlformats.org/spreadsheetml/2006/main" count="474" uniqueCount="94">
  <si>
    <t>Roberta</t>
  </si>
  <si>
    <t>Data</t>
  </si>
  <si>
    <t>Mês</t>
  </si>
  <si>
    <t>Dia</t>
  </si>
  <si>
    <t>Profissional</t>
  </si>
  <si>
    <t>Rótulos de Linha</t>
  </si>
  <si>
    <t>(vazio)</t>
  </si>
  <si>
    <t>Total Geral</t>
  </si>
  <si>
    <t>Contagem de Data</t>
  </si>
  <si>
    <t>DASHBOARD</t>
  </si>
  <si>
    <t>SEMANA</t>
  </si>
  <si>
    <t>Contagem de SEMANA</t>
  </si>
  <si>
    <t>Contagem de SEMANA2</t>
  </si>
  <si>
    <t>Contagem de Mês</t>
  </si>
  <si>
    <t>NÃO</t>
  </si>
  <si>
    <t>SIM</t>
  </si>
  <si>
    <t>TOTAL</t>
  </si>
  <si>
    <t>%</t>
  </si>
  <si>
    <t>SEMANA 21</t>
  </si>
  <si>
    <t>SEMANA 20</t>
  </si>
  <si>
    <t>SEMANA 19</t>
  </si>
  <si>
    <t>mai-25</t>
  </si>
  <si>
    <t>Contagem de Profissional</t>
  </si>
  <si>
    <t>SEMANA 18</t>
  </si>
  <si>
    <t>Franciele</t>
  </si>
  <si>
    <t>Contas a Pagar</t>
  </si>
  <si>
    <t>Pagamento em duplicidade</t>
  </si>
  <si>
    <t>Matriz</t>
  </si>
  <si>
    <t>Fornecedor XYZ foi pago duas vezes por erro no lançamento da nota fiscal.</t>
  </si>
  <si>
    <t>Conciliação Bancária</t>
  </si>
  <si>
    <t>Diferença em extrato</t>
  </si>
  <si>
    <t>Filial Joinville</t>
  </si>
  <si>
    <t>Valor de R$ 1.500,00 não consta no extrato bancário do dia 06/05.</t>
  </si>
  <si>
    <t>Ana</t>
  </si>
  <si>
    <t>Faturamento</t>
  </si>
  <si>
    <t>Nota emitida incorretamente</t>
  </si>
  <si>
    <t>NF com valor divergente do pedido aprovado pelo cliente.</t>
  </si>
  <si>
    <t>Pagamento fora do prazo</t>
  </si>
  <si>
    <t>Pagamento do fornecedor XYZ realizado com 5 dias de atraso.</t>
  </si>
  <si>
    <t>SEMANA 22</t>
  </si>
  <si>
    <t>Falta de documentação</t>
  </si>
  <si>
    <t>Nota fiscal faltando para pagamento do fornecedor ABC.</t>
  </si>
  <si>
    <t>Valor pago divergente</t>
  </si>
  <si>
    <t>Pagamento efetuado com valor diferente do acordado na nota fiscal.</t>
  </si>
  <si>
    <t>Cancelamento indevido</t>
  </si>
  <si>
    <t>Pagamento cancelado sem autorização, gerando atraso no processo financeiro.</t>
  </si>
  <si>
    <t>Contas a Receber</t>
  </si>
  <si>
    <t>Cliente inadimplente</t>
  </si>
  <si>
    <t>Cliente ABC atrasou pagamento de fatura vencida em 05/05/2025.</t>
  </si>
  <si>
    <t>Pagamentos</t>
  </si>
  <si>
    <t>Falta de documento fiscal</t>
  </si>
  <si>
    <t>Pagamento realizado sem nota fiscal correspondente.</t>
  </si>
  <si>
    <t>Débito não identificado</t>
  </si>
  <si>
    <t>Débito de R$ 750,00 não identificado na conta bancária do dia 13/05.</t>
  </si>
  <si>
    <t>NF cancelada indevidamente</t>
  </si>
  <si>
    <t>Nota fiscal cancelada após o cliente confirmar pagamento.</t>
  </si>
  <si>
    <t>Erro no lançamento da receita</t>
  </si>
  <si>
    <t>Receita de venda lançada em conta errada no sistema financeiro.</t>
  </si>
  <si>
    <t>Falha na aprovação de pagamento</t>
  </si>
  <si>
    <t>Pagamento liberado sem aprovação da gerência financeira.</t>
  </si>
  <si>
    <t>Área/ Processo</t>
  </si>
  <si>
    <t>Unidade/ Empresa</t>
  </si>
  <si>
    <t>Atraso na emissão da NF</t>
  </si>
  <si>
    <t>Emissão da nota fiscal atrasada, comprometendo o prazo de entrega.</t>
  </si>
  <si>
    <t>Divergência no valor faturado</t>
  </si>
  <si>
    <t>Valor faturado diferente do contrato assinado com o cliente.</t>
  </si>
  <si>
    <t>Erro na descrição do produto</t>
  </si>
  <si>
    <t>Produto descrito incorretamente na nota fiscal, gerando confusão no cliente.</t>
  </si>
  <si>
    <t>São Paulo</t>
  </si>
  <si>
    <t>Carlos</t>
  </si>
  <si>
    <t>Tesouraria</t>
  </si>
  <si>
    <t>Saldo insuficiente</t>
  </si>
  <si>
    <t>Saldo em conta insuficiente para pagamento programado no dia 05/05.</t>
  </si>
  <si>
    <t>Falha na previsão de fluxo</t>
  </si>
  <si>
    <t>Previsão de caixa incorreta, causando dificuldades no pagamento de fornecedores.</t>
  </si>
  <si>
    <t>Erro na conciliação</t>
  </si>
  <si>
    <t>Divergência entre o saldo contábil e bancário detectada na conciliação.</t>
  </si>
  <si>
    <t>Transferência pendente</t>
  </si>
  <si>
    <t>Transferência interbancária não confirmada no sistema até o horário limite.</t>
  </si>
  <si>
    <t>Falha no registro de despesas</t>
  </si>
  <si>
    <t>Despesas do mês de maio não lançadas corretamente no sistema financeiro.</t>
  </si>
  <si>
    <t>Contagem de Unidade/ Empresa</t>
  </si>
  <si>
    <t>Contagem de Descrição da Ocorrência</t>
  </si>
  <si>
    <t>Contagem de Área/ Processo</t>
  </si>
  <si>
    <t>abr-25</t>
  </si>
  <si>
    <t>SEMANA 14</t>
  </si>
  <si>
    <t>SEMANA 15</t>
  </si>
  <si>
    <t>Contagem de Faturamento</t>
  </si>
  <si>
    <t>SELECIONE A UNIDADE</t>
  </si>
  <si>
    <t>Pendências</t>
  </si>
  <si>
    <t>Descrição (Comentários)</t>
  </si>
  <si>
    <t>DASHBOARD (FATURAMENTO)</t>
  </si>
  <si>
    <t>Contagem de Pendências</t>
  </si>
  <si>
    <t>Contagem de Descrição (Comentários)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</si>
</sst>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7" tint="0.79998168889431442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pivotButton="1"/>
    <xf numFmtId="14" fontId="0" fillId="0" borderId="4" xfId="0" applyNumberFormat="1" applyBorder="1" applyAlignment="1">
      <alignment horizontal="center"/>
    </xf>
    <xf numFmtId="0" fontId="0" fillId="0" borderId="3" xfId="0" applyBorder="1"/>
    <xf numFmtId="0" fontId="1" fillId="4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0" fontId="0" fillId="0" borderId="0" xfId="0" applyNumberFormat="1"/>
    <xf numFmtId="4" fontId="1" fillId="3" borderId="2" xfId="0" applyNumberFormat="1" applyFont="1" applyFill="1" applyBorder="1" applyAlignment="1">
      <alignment horizontal="center" vertical="center"/>
    </xf>
    <xf numFmtId="4" fontId="1" fillId="4" borderId="6" xfId="0" applyNumberFormat="1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6" xfId="0" applyFont="1" applyFill="1" applyBorder="1" applyAlignment="1">
      <alignment horizontal="left" vertic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left"/>
    </xf>
    <xf numFmtId="14" fontId="6" fillId="0" borderId="4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14" fontId="1" fillId="3" borderId="3" xfId="0" applyNumberFormat="1" applyFont="1" applyFill="1" applyBorder="1" applyAlignment="1">
      <alignment horizontal="center" vertical="center"/>
    </xf>
    <xf numFmtId="14" fontId="1" fillId="3" borderId="5" xfId="0" applyNumberFormat="1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0" xfId="0" applyFont="1"/>
    <xf numFmtId="0" fontId="1" fillId="3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9" fontId="4" fillId="6" borderId="1" xfId="1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2">
    <dxf>
      <font>
        <color rgb="FFFF0000"/>
      </font>
    </dxf>
    <dxf>
      <alignment vertical="center"/>
    </dxf>
    <dxf>
      <alignment horizontal="center"/>
    </dxf>
    <dxf>
      <alignment vertical="center"/>
    </dxf>
    <dxf>
      <alignment horizontal="center"/>
    </dxf>
    <dxf>
      <border diagonalUp="0" diagonalDown="0" outline="0">
        <left/>
        <right/>
        <top style="hair">
          <color indexed="64"/>
        </top>
        <bottom style="hair">
          <color indexed="64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alignment horizontal="left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rgb="FF000000"/>
        </top>
      </border>
    </dxf>
    <dxf>
      <border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outline="0"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07/relationships/slicerCache" Target="slicerCaches/slicerCache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microsoft.com/office/2007/relationships/slicerCache" Target="slicerCaches/slicerCache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07/relationships/slicerCache" Target="slicerCaches/slicerCache2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07/relationships/slicerCache" Target="slicerCaches/slicerCache1.xml"/><Relationship Id="rId30" Type="http://schemas.microsoft.com/office/2007/relationships/slicerCache" Target="slicerCaches/slicerCache4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FATURAMENTO.xlsx]ÁREA_PROCESSO!Tabela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ÁREA/PROCESSO</a:t>
            </a:r>
          </a:p>
        </c:rich>
      </c:tx>
      <c:layout>
        <c:manualLayout>
          <c:xMode val="edge"/>
          <c:yMode val="edge"/>
          <c:x val="0.66905345025851704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705289672544088"/>
              <c:y val="6.018518518518509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dLbl>
          <c:idx val="0"/>
          <c:layout>
            <c:manualLayout>
              <c:x val="9.2359361880772456E-2"/>
              <c:y val="-0.1666666666666666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033444816053515"/>
              <c:y val="-9.722222222222222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6399108138238576E-2"/>
              <c:y val="-0.12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5607580824972128"/>
              <c:y val="2.314814814814797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263099219620958"/>
              <c:y val="-0.1574074074074074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1148272017837286E-2"/>
              <c:y val="-0.1759259259259259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033444816053513"/>
              <c:y val="-5.5555555555555601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7547380156075822E-2"/>
              <c:y val="3.240740740740740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4492753623188409"/>
              <c:y val="3.240740740740740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3935340022296544"/>
              <c:y val="4.166666666666666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ÁREA_PROCESSO!$B$1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E63E-49F0-B32E-5FF72C1F7AD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3E-49F0-B32E-5FF72C1F7AD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63E-49F0-B32E-5FF72C1F7AD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63E-49F0-B32E-5FF72C1F7AD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63E-49F0-B32E-5FF72C1F7AD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63E-49F0-B32E-5FF72C1F7AD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0D3-4BFC-BD06-0F6B100B253B}"/>
              </c:ext>
            </c:extLst>
          </c:dPt>
          <c:dLbls>
            <c:dLbl>
              <c:idx val="0"/>
              <c:layout>
                <c:manualLayout>
                  <c:x val="-1.1148272017837286E-2"/>
                  <c:y val="-0.1759259259259259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63E-49F0-B32E-5FF72C1F7AD9}"/>
                </c:ext>
              </c:extLst>
            </c:dLbl>
            <c:dLbl>
              <c:idx val="1"/>
              <c:layout>
                <c:manualLayout>
                  <c:x val="0.12263099219620958"/>
                  <c:y val="-0.157407407407407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63E-49F0-B32E-5FF72C1F7AD9}"/>
                </c:ext>
              </c:extLst>
            </c:dLbl>
            <c:dLbl>
              <c:idx val="2"/>
              <c:layout>
                <c:manualLayout>
                  <c:x val="0.13935340022296544"/>
                  <c:y val="4.16666666666666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63E-49F0-B32E-5FF72C1F7AD9}"/>
                </c:ext>
              </c:extLst>
            </c:dLbl>
            <c:dLbl>
              <c:idx val="3"/>
              <c:layout>
                <c:manualLayout>
                  <c:x val="-0.14492753623188409"/>
                  <c:y val="3.24074074074074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63E-49F0-B32E-5FF72C1F7AD9}"/>
                </c:ext>
              </c:extLst>
            </c:dLbl>
            <c:dLbl>
              <c:idx val="4"/>
              <c:layout>
                <c:manualLayout>
                  <c:x val="-9.7547380156075822E-2"/>
                  <c:y val="3.24074074074074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63E-49F0-B32E-5FF72C1F7AD9}"/>
                </c:ext>
              </c:extLst>
            </c:dLbl>
            <c:dLbl>
              <c:idx val="5"/>
              <c:layout>
                <c:manualLayout>
                  <c:x val="-0.10033444816053513"/>
                  <c:y val="-5.55555555555556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63E-49F0-B32E-5FF72C1F7AD9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ÁREA_PROCESSO!$A$2:$A$8</c:f>
              <c:strCache>
                <c:ptCount val="6"/>
                <c:pt idx="0">
                  <c:v>Conciliação Bancária</c:v>
                </c:pt>
                <c:pt idx="1">
                  <c:v>Contas a Pagar</c:v>
                </c:pt>
                <c:pt idx="2">
                  <c:v>Contas a Receber</c:v>
                </c:pt>
                <c:pt idx="3">
                  <c:v>Faturamento</c:v>
                </c:pt>
                <c:pt idx="4">
                  <c:v>Pagamentos</c:v>
                </c:pt>
                <c:pt idx="5">
                  <c:v>Tesouraria</c:v>
                </c:pt>
              </c:strCache>
            </c:strRef>
          </c:cat>
          <c:val>
            <c:numRef>
              <c:f>ÁREA_PROCESSO!$B$2:$B$8</c:f>
              <c:numCache>
                <c:formatCode>General</c:formatCode>
                <c:ptCount val="6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3E-49F0-B32E-5FF72C1F7A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[GESTÃO DE PENDÊNCIAS FINANCEIRAS E DE FATURAMENTO.xlsx]ÁREA 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ÁREA/PROCESSO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'ÁREA 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'ÁREA '!$A$2:$A$8</c:f>
              <c:strCache>
                <c:ptCount val="6"/>
                <c:pt idx="0">
                  <c:v>Conciliação Bancária</c:v>
                </c:pt>
                <c:pt idx="1">
                  <c:v>Contas a Pagar</c:v>
                </c:pt>
                <c:pt idx="2">
                  <c:v>Contas a Receber</c:v>
                </c:pt>
                <c:pt idx="3">
                  <c:v>Faturamento</c:v>
                </c:pt>
                <c:pt idx="4">
                  <c:v>Pagamentos</c:v>
                </c:pt>
                <c:pt idx="5">
                  <c:v>Tesouraria</c:v>
                </c:pt>
              </c:strCache>
            </c:strRef>
          </c:cat>
          <c:val>
            <c:numRef>
              <c:f>'ÁREA '!$B$2:$B$8</c:f>
              <c:numCache>
                <c:formatCode>General</c:formatCode>
                <c:ptCount val="6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0-43FD-B636-B7D35F3CA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203855"/>
        <c:axId val="1674204687"/>
      </c:barChart>
      <c:catAx>
        <c:axId val="16742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4687"/>
        <c:crosses val="autoZero"/>
        <c:auto val="1"/>
        <c:lblAlgn val="ctr"/>
        <c:lblOffset val="100"/>
        <c:noMultiLvlLbl val="0"/>
      </c:catAx>
      <c:valAx>
        <c:axId val="1674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3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FATURAMENTO.xlsx]UNIDADE!Tabela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UNIDADE!$B$1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UNIDADE!$A$2:$A$5</c:f>
              <c:strCache>
                <c:ptCount val="3"/>
                <c:pt idx="0">
                  <c:v>Filial Joinville</c:v>
                </c:pt>
                <c:pt idx="1">
                  <c:v>Matriz</c:v>
                </c:pt>
                <c:pt idx="2">
                  <c:v>São Paulo</c:v>
                </c:pt>
              </c:strCache>
            </c:strRef>
          </c:cat>
          <c:val>
            <c:numRef>
              <c:f>UNIDADE!$B$2:$B$5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6-440E-BC5C-7D97744D3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203855"/>
        <c:axId val="1674204687"/>
      </c:barChart>
      <c:catAx>
        <c:axId val="16742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4687"/>
        <c:crosses val="autoZero"/>
        <c:auto val="1"/>
        <c:lblAlgn val="ctr"/>
        <c:lblOffset val="100"/>
        <c:noMultiLvlLbl val="0"/>
      </c:catAx>
      <c:valAx>
        <c:axId val="1674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3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[GESTÃO DE PENDÊNCIAS FINANCEIRAS E DE FATURAMENTO.xlsx]ÁREA 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600">
                <a:solidFill>
                  <a:srgbClr val="FFC000"/>
                </a:solidFill>
              </a:rPr>
              <a:t>ÁREA/ PROCESSO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'ÁREA 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'ÁREA '!$A$2:$A$8</c:f>
              <c:strCache>
                <c:ptCount val="6"/>
                <c:pt idx="0">
                  <c:v>Conciliação Bancária</c:v>
                </c:pt>
                <c:pt idx="1">
                  <c:v>Contas a Pagar</c:v>
                </c:pt>
                <c:pt idx="2">
                  <c:v>Contas a Receber</c:v>
                </c:pt>
                <c:pt idx="3">
                  <c:v>Faturamento</c:v>
                </c:pt>
                <c:pt idx="4">
                  <c:v>Pagamentos</c:v>
                </c:pt>
                <c:pt idx="5">
                  <c:v>Tesouraria</c:v>
                </c:pt>
              </c:strCache>
            </c:strRef>
          </c:cat>
          <c:val>
            <c:numRef>
              <c:f>'ÁREA '!$B$2:$B$8</c:f>
              <c:numCache>
                <c:formatCode>General</c:formatCode>
                <c:ptCount val="6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8-4C8A-A95E-87455CD6A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203855"/>
        <c:axId val="1674204687"/>
      </c:barChart>
      <c:catAx>
        <c:axId val="16742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4687"/>
        <c:crosses val="autoZero"/>
        <c:auto val="1"/>
        <c:lblAlgn val="ctr"/>
        <c:lblOffset val="100"/>
        <c:noMultiLvlLbl val="0"/>
      </c:catAx>
      <c:valAx>
        <c:axId val="1674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3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FATURAMENTO.xlsx]MÊS!Tabela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FFC000"/>
                </a:solidFill>
              </a:rPr>
              <a:t>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MÊS!$B$1</c:f>
              <c:strCache>
                <c:ptCount val="1"/>
                <c:pt idx="0">
                  <c:v>Contagem de Data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MÊS!$A$2:$A$4</c:f>
              <c:strCache>
                <c:ptCount val="2"/>
                <c:pt idx="0">
                  <c:v>abr-25</c:v>
                </c:pt>
                <c:pt idx="1">
                  <c:v>mai-25</c:v>
                </c:pt>
              </c:strCache>
            </c:strRef>
          </c:cat>
          <c:val>
            <c:numRef>
              <c:f>MÊS!$B$2:$B$4</c:f>
              <c:numCache>
                <c:formatCode>General</c:formatCode>
                <c:ptCount val="2"/>
                <c:pt idx="0">
                  <c:v>2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C-4CD8-8328-48E09A0C0257}"/>
            </c:ext>
          </c:extLst>
        </c:ser>
        <c:ser>
          <c:idx val="1"/>
          <c:order val="1"/>
          <c:tx>
            <c:strRef>
              <c:f>MÊS!$C$1</c:f>
              <c:strCache>
                <c:ptCount val="1"/>
                <c:pt idx="0">
                  <c:v>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MÊS!$A$2:$A$4</c:f>
              <c:strCache>
                <c:ptCount val="2"/>
                <c:pt idx="0">
                  <c:v>abr-25</c:v>
                </c:pt>
                <c:pt idx="1">
                  <c:v>mai-25</c:v>
                </c:pt>
              </c:strCache>
            </c:strRef>
          </c:cat>
          <c:val>
            <c:numRef>
              <c:f>MÊS!$C$2:$C$4</c:f>
              <c:numCache>
                <c:formatCode>0.00%</c:formatCode>
                <c:ptCount val="2"/>
                <c:pt idx="0">
                  <c:v>0.08</c:v>
                </c:pt>
                <c:pt idx="1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2-4B24-B5E8-06C9D3E71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203855"/>
        <c:axId val="1674204687"/>
      </c:barChart>
      <c:catAx>
        <c:axId val="16742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4687"/>
        <c:crosses val="autoZero"/>
        <c:auto val="1"/>
        <c:lblAlgn val="ctr"/>
        <c:lblOffset val="100"/>
        <c:noMultiLvlLbl val="0"/>
      </c:catAx>
      <c:valAx>
        <c:axId val="1674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3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[GESTÃO DE PENDÊNCIAS FINANCEIRAS E DE FATURAMENTO.xlsx]PROFISSIONAL!Tabela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FFC000"/>
                </a:solidFill>
              </a:rPr>
              <a:t>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PROFISSIONAL!$A$1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PROFISSIONAL!$A$2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PROFISSIONAL!$A$2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7-4935-8D35-02319D9EF0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74203855"/>
        <c:axId val="1674204687"/>
      </c:barChart>
      <c:catAx>
        <c:axId val="16742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4687"/>
        <c:crosses val="autoZero"/>
        <c:auto val="1"/>
        <c:lblAlgn val="ctr"/>
        <c:lblOffset val="100"/>
        <c:noMultiLvlLbl val="0"/>
      </c:catAx>
      <c:valAx>
        <c:axId val="1674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FATURAMENTO.xlsx]UNIDADE!Tabela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rgbClr val="FFC000"/>
                </a:solidFill>
              </a:rPr>
              <a:t>UNIDADE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UNIDADE!$B$1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UNIDADE!$A$2:$A$5</c:f>
              <c:strCache>
                <c:ptCount val="3"/>
                <c:pt idx="0">
                  <c:v>Filial Joinville</c:v>
                </c:pt>
                <c:pt idx="1">
                  <c:v>Matriz</c:v>
                </c:pt>
                <c:pt idx="2">
                  <c:v>São Paulo</c:v>
                </c:pt>
              </c:strCache>
            </c:strRef>
          </c:cat>
          <c:val>
            <c:numRef>
              <c:f>UNIDADE!$B$2:$B$5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3-4DFE-80C8-1B32FA7CB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203855"/>
        <c:axId val="1674204687"/>
      </c:barChart>
      <c:catAx>
        <c:axId val="16742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4687"/>
        <c:crosses val="autoZero"/>
        <c:auto val="1"/>
        <c:lblAlgn val="ctr"/>
        <c:lblOffset val="100"/>
        <c:noMultiLvlLbl val="0"/>
      </c:catAx>
      <c:valAx>
        <c:axId val="1674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3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FATURAMENTO.xlsx]ÁREA_PROCESSO!Tabela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ÁREA/ PROCESSO</a:t>
            </a:r>
          </a:p>
        </c:rich>
      </c:tx>
      <c:layout>
        <c:manualLayout>
          <c:xMode val="edge"/>
          <c:yMode val="edge"/>
          <c:x val="0.66905345025851704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705289672544088"/>
              <c:y val="6.018518518518509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75482787573468"/>
              <c:y val="6.944444444444444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643996641477749"/>
              <c:y val="-8.796296296296304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2972292191435769E-2"/>
              <c:y val="-0.2037037037037036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9.2359361880772456E-2"/>
              <c:y val="-0.1666666666666666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4693534844668345E-2"/>
              <c:y val="-0.1851851851851852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705289672544088"/>
              <c:y val="6.018518518518509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75482787573468"/>
              <c:y val="6.944444444444444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643996641477749"/>
              <c:y val="-8.796296296296304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2972292191435769E-2"/>
              <c:y val="-0.2037037037037036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4693534844668345E-2"/>
              <c:y val="-0.1851851851851852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9.2359361880772456E-2"/>
              <c:y val="-0.1666666666666666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705289672544088"/>
              <c:y val="6.018518518518509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75482787573468"/>
              <c:y val="6.944444444444444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643996641477749"/>
              <c:y val="-8.796296296296304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2972292191435769E-2"/>
              <c:y val="-0.2037037037037036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4693534844668345E-2"/>
              <c:y val="-0.1851851851851852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9.2359361880772456E-2"/>
              <c:y val="-0.1666666666666666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42914212634346"/>
              <c:y val="-0.1378725551754288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526946560695403"/>
              <c:y val="-0.1900405490255910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252495452107417"/>
              <c:y val="6.707313495020847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9211577601159005E-2"/>
              <c:y val="-0.14532512572545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429142126343449"/>
              <c:y val="-0.1378725551754288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684631040463602E-2"/>
              <c:y val="0.149051411000463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4271457646575261"/>
              <c:y val="5.5894279125173842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7824354748155448E-2"/>
              <c:y val="7.4525705500231793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429142126343462"/>
              <c:y val="-8.1978276050255011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ÁREA_PROCESSO!$B$1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A28-47BF-95BD-D7597901FEA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46-4CFC-B455-11706DD1F1F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46-4CFC-B455-11706DD1F1F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646-4CFC-B455-11706DD1F1F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46-4CFC-B455-11706DD1F1F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646-4CFC-B455-11706DD1F1F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646-4CFC-B455-11706DD1F1F6}"/>
              </c:ext>
            </c:extLst>
          </c:dPt>
          <c:dLbls>
            <c:dLbl>
              <c:idx val="0"/>
              <c:layout>
                <c:manualLayout>
                  <c:x val="-1.9211577601159005E-2"/>
                  <c:y val="-0.14532512572545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28-47BF-95BD-D7597901FEAD}"/>
                </c:ext>
              </c:extLst>
            </c:dLbl>
            <c:dLbl>
              <c:idx val="1"/>
              <c:layout>
                <c:manualLayout>
                  <c:x val="0.10429142126343449"/>
                  <c:y val="-0.1378725551754288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46-4CFC-B455-11706DD1F1F6}"/>
                </c:ext>
              </c:extLst>
            </c:dLbl>
            <c:dLbl>
              <c:idx val="2"/>
              <c:layout>
                <c:manualLayout>
                  <c:x val="7.684631040463602E-2"/>
                  <c:y val="0.14905141100046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46-4CFC-B455-11706DD1F1F6}"/>
                </c:ext>
              </c:extLst>
            </c:dLbl>
            <c:dLbl>
              <c:idx val="3"/>
              <c:layout>
                <c:manualLayout>
                  <c:x val="-0.14271457646575261"/>
                  <c:y val="5.58942791251738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646-4CFC-B455-11706DD1F1F6}"/>
                </c:ext>
              </c:extLst>
            </c:dLbl>
            <c:dLbl>
              <c:idx val="4"/>
              <c:layout>
                <c:manualLayout>
                  <c:x val="-8.7824354748155448E-2"/>
                  <c:y val="7.4525705500231793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646-4CFC-B455-11706DD1F1F6}"/>
                </c:ext>
              </c:extLst>
            </c:dLbl>
            <c:dLbl>
              <c:idx val="5"/>
              <c:layout>
                <c:manualLayout>
                  <c:x val="-0.10429142126343462"/>
                  <c:y val="-8.19782760502550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646-4CFC-B455-11706DD1F1F6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ÁREA_PROCESSO!$A$2:$A$8</c:f>
              <c:strCache>
                <c:ptCount val="6"/>
                <c:pt idx="0">
                  <c:v>Conciliação Bancária</c:v>
                </c:pt>
                <c:pt idx="1">
                  <c:v>Contas a Pagar</c:v>
                </c:pt>
                <c:pt idx="2">
                  <c:v>Contas a Receber</c:v>
                </c:pt>
                <c:pt idx="3">
                  <c:v>Faturamento</c:v>
                </c:pt>
                <c:pt idx="4">
                  <c:v>Pagamentos</c:v>
                </c:pt>
                <c:pt idx="5">
                  <c:v>Tesouraria</c:v>
                </c:pt>
              </c:strCache>
            </c:strRef>
          </c:cat>
          <c:val>
            <c:numRef>
              <c:f>ÁREA_PROCESSO!$B$2:$B$8</c:f>
              <c:numCache>
                <c:formatCode>General</c:formatCode>
                <c:ptCount val="6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28-47BF-95BD-D7597901F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FATURAMENTO.xlsx]MÊS (2)!Tabela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MÊS</a:t>
            </a:r>
          </a:p>
        </c:rich>
      </c:tx>
      <c:layout>
        <c:manualLayout>
          <c:xMode val="edge"/>
          <c:yMode val="edge"/>
          <c:x val="0.74256233595800536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4722222222222223"/>
              <c:y val="1.851851851851851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611111111111115"/>
              <c:y val="-0.111111111111111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2777777777777778E-2"/>
              <c:y val="-0.1481481481481481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2777777777777778E-2"/>
              <c:y val="-0.1481481481481481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4722222222222223"/>
              <c:y val="1.851851851851851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611111111111115"/>
              <c:y val="-0.111111111111111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084068549538388"/>
              <c:y val="-0.1258807897322995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3997126913394987E-2"/>
              <c:y val="-0.1484855223635044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536377419762125"/>
              <c:y val="-0.1445119052176299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22173057584584555"/>
              <c:y val="5.566804429247668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'MÊS (2)'!$B$1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7A-41DC-823B-8463D2C1807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7A-41DC-823B-8463D2C1807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7A-41DC-823B-8463D2C1807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58A-424F-9CDD-1BDABE368101}"/>
              </c:ext>
            </c:extLst>
          </c:dPt>
          <c:dLbls>
            <c:dLbl>
              <c:idx val="0"/>
              <c:layout>
                <c:manualLayout>
                  <c:x val="3.3997126913394987E-2"/>
                  <c:y val="-0.1484855223635044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7A-41DC-823B-8463D2C1807D}"/>
                </c:ext>
              </c:extLst>
            </c:dLbl>
            <c:dLbl>
              <c:idx val="1"/>
              <c:layout>
                <c:manualLayout>
                  <c:x val="-0.22173057584584555"/>
                  <c:y val="5.56680442924766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7A-41DC-823B-8463D2C1807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(2)'!$A$2:$A$4</c:f>
              <c:strCache>
                <c:ptCount val="2"/>
                <c:pt idx="0">
                  <c:v>abr-25</c:v>
                </c:pt>
                <c:pt idx="1">
                  <c:v>mai-25</c:v>
                </c:pt>
              </c:strCache>
            </c:strRef>
          </c:cat>
          <c:val>
            <c:numRef>
              <c:f>'MÊS (2)'!$B$2:$B$4</c:f>
              <c:numCache>
                <c:formatCode>0.00%</c:formatCode>
                <c:ptCount val="2"/>
                <c:pt idx="0">
                  <c:v>0.08</c:v>
                </c:pt>
                <c:pt idx="1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7A-41DC-823B-8463D2C18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FATURAMENTO.xlsx]UNIDADE 2!Tabela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UNIDADE</a:t>
            </a:r>
          </a:p>
        </c:rich>
      </c:tx>
      <c:layout>
        <c:manualLayout>
          <c:xMode val="edge"/>
          <c:yMode val="edge"/>
          <c:x val="0.7564512248468942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77777777777778"/>
              <c:y val="-6.481481481481489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388888888888891"/>
              <c:y val="5.555555555555538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388888888888889"/>
              <c:y val="4.629629629629629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777777777777777"/>
              <c:y val="0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722222222222223"/>
              <c:y val="-6.944444444444448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111111111111115"/>
              <c:y val="-0.1018518518518518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444444444444443"/>
              <c:y val="-7.870370370370374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05"/>
              <c:y val="-0.1574074074074074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722222222222223"/>
              <c:y val="-6.944444444444448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777777777777777"/>
              <c:y val="0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388888888888889"/>
              <c:y val="4.629629629629629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388888888888891"/>
              <c:y val="5.555555555555538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77777777777778"/>
              <c:y val="-6.481481481481489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111111111111115"/>
              <c:y val="-0.1018518518518518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05"/>
              <c:y val="-0.1574074074074074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444444444444443"/>
              <c:y val="-7.870370370370374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722222222222223"/>
              <c:y val="-6.944444444444448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777777777777777"/>
              <c:y val="0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388888888888889"/>
              <c:y val="4.629629629629629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388888888888891"/>
              <c:y val="5.555555555555538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038131348877775"/>
              <c:y val="3.167641368258362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111111111111115"/>
              <c:y val="-0.1018518518518518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840803158960915"/>
              <c:y val="-6.833869411903252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444444444444443"/>
              <c:y val="-7.870370370370374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6517410201899347E-2"/>
              <c:y val="-0.1261808266509803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9353229167945849E-2"/>
              <c:y val="-0.1113360235155708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407959411135698"/>
              <c:y val="8.16464172447519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039800933924809"/>
              <c:y val="-4.824561019008072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'UNIDADE 2'!$B$1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BF-4841-AF5B-A97700365F3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BF-4841-AF5B-A97700365F3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6BF-4841-AF5B-A97700365F35}"/>
              </c:ext>
            </c:extLst>
          </c:dPt>
          <c:dLbls>
            <c:dLbl>
              <c:idx val="0"/>
              <c:layout>
                <c:manualLayout>
                  <c:x val="7.9353229167945849E-2"/>
                  <c:y val="-0.1113360235155708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6BF-4841-AF5B-A97700365F35}"/>
                </c:ext>
              </c:extLst>
            </c:dLbl>
            <c:dLbl>
              <c:idx val="1"/>
              <c:layout>
                <c:manualLayout>
                  <c:x val="-0.13407959411135698"/>
                  <c:y val="8.16464172447519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BF-4841-AF5B-A97700365F35}"/>
                </c:ext>
              </c:extLst>
            </c:dLbl>
            <c:dLbl>
              <c:idx val="2"/>
              <c:layout>
                <c:manualLayout>
                  <c:x val="-0.1039800933924809"/>
                  <c:y val="-4.82456101900807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BF-4841-AF5B-A97700365F35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'UNIDADE 2'!$A$2:$A$5</c:f>
              <c:strCache>
                <c:ptCount val="3"/>
                <c:pt idx="0">
                  <c:v>Filial Joinville</c:v>
                </c:pt>
                <c:pt idx="1">
                  <c:v>Matriz</c:v>
                </c:pt>
                <c:pt idx="2">
                  <c:v>São Paulo</c:v>
                </c:pt>
              </c:strCache>
            </c:strRef>
          </c:cat>
          <c:val>
            <c:numRef>
              <c:f>'UNIDADE 2'!$B$2:$B$5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7C4-4EB4-91C1-AE14DCD4C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FATURAMENTO.xlsx]PROFISSIONAL (2)!Tabela dinâmica1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PROFISSIONAL</a:t>
            </a:r>
          </a:p>
        </c:rich>
      </c:tx>
      <c:layout>
        <c:manualLayout>
          <c:xMode val="edge"/>
          <c:yMode val="edge"/>
          <c:x val="0.82589566929133873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666666666666667"/>
              <c:y val="0.138888888888888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4444444444444443"/>
              <c:y val="-5.5555555555555552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500000000000003"/>
              <c:y val="-0.1527777777777778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8888888888888938E-2"/>
              <c:y val="-0.19907407407407407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5"/>
              <c:y val="-6.944444444444448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4166666666666656"/>
              <c:y val="2.314814814814814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8333333333333286E-2"/>
              <c:y val="-0.2175925925925926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7222222222222222"/>
              <c:y val="-0.1666666666666666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7222222222222222"/>
              <c:y val="-0.1666666666666666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5"/>
              <c:y val="-6.944444444444448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4166666666666656"/>
              <c:y val="2.314814814814814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666666666666667"/>
              <c:y val="0.138888888888888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4444444444444443"/>
              <c:y val="-5.5555555555555552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500000000000003"/>
              <c:y val="-0.1527777777777778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8888888888888938E-2"/>
              <c:y val="-0.19907407407407407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8333333333333286E-2"/>
              <c:y val="-0.2175925925925926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7222222222222222"/>
              <c:y val="-0.1666666666666666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5"/>
              <c:y val="-6.944444444444448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4166666666666656"/>
              <c:y val="2.314814814814814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666666666666667"/>
              <c:y val="0.138888888888888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4444444444444443"/>
              <c:y val="-5.5555555555555552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500000000000003"/>
              <c:y val="-0.1527777777777778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8888888888888938E-2"/>
              <c:y val="-0.19907407407407407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8333333333333286E-2"/>
              <c:y val="-0.2175925925925926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5335328609292077E-2"/>
              <c:y val="8.9068766757011322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185184382399368"/>
              <c:y val="-0.1707151362842719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5055050715671298E-3"/>
              <c:y val="-0.1447367459801436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488487425339715"/>
              <c:y val="-0.10391356121651338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460459635977738"/>
              <c:y val="-0.1558703418247700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735734889556101"/>
              <c:y val="0.1076247598313887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2582576073508468E-2"/>
              <c:y val="0.1076247598313888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4324318466157613E-2"/>
              <c:y val="-0.1929823279735248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'PROFISSIONAL (2)'!$B$1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D0F-4F56-9557-029FC073DB8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D0F-4F56-9557-029FC073DB8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D0F-4F56-9557-029FC073DB8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894-4CD3-AE9F-99DACBC18A1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9D0F-4F56-9557-029FC073DB8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D0F-4F56-9557-029FC073DB8D}"/>
              </c:ext>
            </c:extLst>
          </c:dPt>
          <c:dLbls>
            <c:dLbl>
              <c:idx val="0"/>
              <c:layout>
                <c:manualLayout>
                  <c:x val="0.10460459635977738"/>
                  <c:y val="-0.155870341824770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D0F-4F56-9557-029FC073DB8D}"/>
                </c:ext>
              </c:extLst>
            </c:dLbl>
            <c:dLbl>
              <c:idx val="1"/>
              <c:layout>
                <c:manualLayout>
                  <c:x val="0.10735734889556101"/>
                  <c:y val="0.107624759831388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D0F-4F56-9557-029FC073DB8D}"/>
                </c:ext>
              </c:extLst>
            </c:dLbl>
            <c:dLbl>
              <c:idx val="2"/>
              <c:layout>
                <c:manualLayout>
                  <c:x val="-8.2582576073508468E-2"/>
                  <c:y val="0.107624759831388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D0F-4F56-9557-029FC073DB8D}"/>
                </c:ext>
              </c:extLst>
            </c:dLbl>
            <c:dLbl>
              <c:idx val="3"/>
              <c:layout>
                <c:manualLayout>
                  <c:x val="-7.4324318466157613E-2"/>
                  <c:y val="-0.1929823279735248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94-4CD3-AE9F-99DACBC18A1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'PROFISSIONAL (2)'!$A$2:$A$6</c:f>
              <c:strCache>
                <c:ptCount val="4"/>
                <c:pt idx="0">
                  <c:v>Roberta</c:v>
                </c:pt>
                <c:pt idx="1">
                  <c:v>Franciele</c:v>
                </c:pt>
                <c:pt idx="2">
                  <c:v>Ana</c:v>
                </c:pt>
                <c:pt idx="3">
                  <c:v>Carlos</c:v>
                </c:pt>
              </c:strCache>
            </c:strRef>
          </c:cat>
          <c:val>
            <c:numRef>
              <c:f>'PROFISSIONAL (2)'!$B$2:$B$6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D0F-4F56-9557-029FC073D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FATURAMENTO.xlsx]SEMANA!Tabela dinâmica1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FFC000"/>
                </a:solidFill>
              </a:rPr>
              <a:t>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SEMANA!$B$1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SEMANA!$A$2:$A$9</c:f>
              <c:strCache>
                <c:ptCount val="7"/>
                <c:pt idx="0">
                  <c:v>SEMANA 14</c:v>
                </c:pt>
                <c:pt idx="1">
                  <c:v>SEMANA 15</c:v>
                </c:pt>
                <c:pt idx="2">
                  <c:v>SEMANA 18</c:v>
                </c:pt>
                <c:pt idx="3">
                  <c:v>SEMANA 19</c:v>
                </c:pt>
                <c:pt idx="4">
                  <c:v>SEMANA 20</c:v>
                </c:pt>
                <c:pt idx="5">
                  <c:v>SEMANA 21</c:v>
                </c:pt>
                <c:pt idx="6">
                  <c:v>SEMANA 22</c:v>
                </c:pt>
              </c:strCache>
            </c:strRef>
          </c:cat>
          <c:val>
            <c:numRef>
              <c:f>SEMANA!$B$2:$B$9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A-4927-8A9A-35FC5FB4C2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4203855"/>
        <c:axId val="1674204687"/>
      </c:lineChart>
      <c:catAx>
        <c:axId val="16742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4687"/>
        <c:crosses val="autoZero"/>
        <c:auto val="1"/>
        <c:lblAlgn val="ctr"/>
        <c:lblOffset val="100"/>
        <c:noMultiLvlLbl val="0"/>
      </c:catAx>
      <c:valAx>
        <c:axId val="1674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3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FATURAMENTO.xlsx]COMENTÁRIOS!Tabela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COMENTÁRIOS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COMENTÁRIOS!$B$3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COMENTÁRIOS!$A$4:$A$26</c:f>
              <c:strCache>
                <c:ptCount val="22"/>
                <c:pt idx="0">
                  <c:v>Cliente ABC atrasou pagamento de fatura vencida em 05/05/2025.</c:v>
                </c:pt>
                <c:pt idx="1">
                  <c:v>Débito de R$ 750,00 não identificado na conta bancária do dia 13/05.</c:v>
                </c:pt>
                <c:pt idx="2">
                  <c:v>Despesas do mês de maio não lançadas corretamente no sistema financeiro.</c:v>
                </c:pt>
                <c:pt idx="3">
                  <c:v>Divergência entre o saldo contábil e bancário detectada na conciliação.</c:v>
                </c:pt>
                <c:pt idx="4">
                  <c:v>Emissão da nota fiscal atrasada, comprometendo o prazo de entrega.</c:v>
                </c:pt>
                <c:pt idx="5">
                  <c:v>Fornecedor XYZ foi pago duas vezes por erro no lançamento da nota fiscal.</c:v>
                </c:pt>
                <c:pt idx="6">
                  <c:v>NF com valor divergente do pedido aprovado pelo cliente.</c:v>
                </c:pt>
                <c:pt idx="7">
                  <c:v>Nota fiscal cancelada após o cliente confirmar pagamento.</c:v>
                </c:pt>
                <c:pt idx="8">
                  <c:v>Nota fiscal faltando para pagamento do fornecedor ABC.</c:v>
                </c:pt>
                <c:pt idx="9">
                  <c:v>Pagamento cancelado sem autorização, gerando atraso no processo financeiro.</c:v>
                </c:pt>
                <c:pt idx="10">
                  <c:v>Pagamento do fornecedor XYZ realizado com 5 dias de atraso.</c:v>
                </c:pt>
                <c:pt idx="11">
                  <c:v>Pagamento efetuado com valor diferente do acordado na nota fiscal.</c:v>
                </c:pt>
                <c:pt idx="12">
                  <c:v>Pagamento liberado sem aprovação da gerência financeira.</c:v>
                </c:pt>
                <c:pt idx="13">
                  <c:v>Pagamento realizado sem nota fiscal correspondente.</c:v>
                </c:pt>
                <c:pt idx="14">
                  <c:v>Previsão de caixa incorreta, causando dificuldades no pagamento de fornecedores.</c:v>
                </c:pt>
                <c:pt idx="15">
                  <c:v>Produto descrito incorretamente na nota fiscal, gerando confusão no cliente.</c:v>
                </c:pt>
                <c:pt idx="16">
                  <c:v>Receita de venda lançada em conta errada no sistema financeiro.</c:v>
                </c:pt>
                <c:pt idx="17">
                  <c:v>Saldo em conta insuficiente para pagamento programado no dia 05/05.</c:v>
                </c:pt>
                <c:pt idx="18">
                  <c:v>Transferência interbancária não confirmada no sistema até o horário limite.</c:v>
                </c:pt>
                <c:pt idx="19">
                  <c:v>Valor de R$ 1.500,00 não consta no extrato bancário do dia 06/05.</c:v>
                </c:pt>
                <c:pt idx="20">
                  <c:v>Valor faturado diferente do contrato assinado com o cliente.</c:v>
                </c:pt>
                <c:pt idx="21">
                  <c:v>(vazio)</c:v>
                </c:pt>
              </c:strCache>
            </c:strRef>
          </c:cat>
          <c:val>
            <c:numRef>
              <c:f>COMENTÁRIOS!$B$4:$B$26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7C8F-4C33-8BCB-6B0FBD248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038192"/>
        <c:axId val="476041936"/>
      </c:barChart>
      <c:catAx>
        <c:axId val="47603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6041936"/>
        <c:crosses val="autoZero"/>
        <c:auto val="1"/>
        <c:lblAlgn val="ctr"/>
        <c:lblOffset val="100"/>
        <c:noMultiLvlLbl val="0"/>
      </c:catAx>
      <c:valAx>
        <c:axId val="4760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6038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FATURAMENTO.xlsx]PENDÊNCIA (FATURAMENTO) 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PENDÊNCIAS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'PENDÊNCIA (FATURAMENTO) 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'PENDÊNCIA (FATURAMENTO) '!$A$2:$A$23</c:f>
              <c:strCache>
                <c:ptCount val="21"/>
                <c:pt idx="0">
                  <c:v>Atraso na emissão da NF</c:v>
                </c:pt>
                <c:pt idx="1">
                  <c:v>Cancelamento indevido</c:v>
                </c:pt>
                <c:pt idx="2">
                  <c:v>Cliente inadimplente</c:v>
                </c:pt>
                <c:pt idx="3">
                  <c:v>Débito não identificado</c:v>
                </c:pt>
                <c:pt idx="4">
                  <c:v>Diferença em extrato</c:v>
                </c:pt>
                <c:pt idx="5">
                  <c:v>Divergência no valor faturado</c:v>
                </c:pt>
                <c:pt idx="6">
                  <c:v>Erro na conciliação</c:v>
                </c:pt>
                <c:pt idx="7">
                  <c:v>Erro na descrição do produto</c:v>
                </c:pt>
                <c:pt idx="8">
                  <c:v>Erro no lançamento da receita</c:v>
                </c:pt>
                <c:pt idx="9">
                  <c:v>Falha na aprovação de pagamento</c:v>
                </c:pt>
                <c:pt idx="10">
                  <c:v>Falha na previsão de fluxo</c:v>
                </c:pt>
                <c:pt idx="11">
                  <c:v>Falha no registro de despesas</c:v>
                </c:pt>
                <c:pt idx="12">
                  <c:v>Falta de documentação</c:v>
                </c:pt>
                <c:pt idx="13">
                  <c:v>Falta de documento fiscal</c:v>
                </c:pt>
                <c:pt idx="14">
                  <c:v>NF cancelada indevidamente</c:v>
                </c:pt>
                <c:pt idx="15">
                  <c:v>Nota emitida incorretamente</c:v>
                </c:pt>
                <c:pt idx="16">
                  <c:v>Pagamento em duplicidade</c:v>
                </c:pt>
                <c:pt idx="17">
                  <c:v>Pagamento fora do prazo</c:v>
                </c:pt>
                <c:pt idx="18">
                  <c:v>Saldo insuficiente</c:v>
                </c:pt>
                <c:pt idx="19">
                  <c:v>Transferência pendente</c:v>
                </c:pt>
                <c:pt idx="20">
                  <c:v>Valor pago divergente</c:v>
                </c:pt>
              </c:strCache>
            </c:strRef>
          </c:cat>
          <c:val>
            <c:numRef>
              <c:f>'PENDÊNCIA (FATURAMENTO) '!$B$2:$B$23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6-4532-8CB3-ED1B00459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6624240"/>
        <c:axId val="1006623408"/>
      </c:bar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FATURAMENTO.xlsx]SEMANA (FATURAMENTO) 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'SEMANA (FATURAMENTO) 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'SEMANA (FATURAMENTO) '!$A$2:$A$5</c:f>
              <c:strCache>
                <c:ptCount val="3"/>
                <c:pt idx="0">
                  <c:v>SEMANA 21</c:v>
                </c:pt>
                <c:pt idx="1">
                  <c:v>SEMANA 20</c:v>
                </c:pt>
                <c:pt idx="2">
                  <c:v>SEMANA 19</c:v>
                </c:pt>
              </c:strCache>
            </c:strRef>
          </c:cat>
          <c:val>
            <c:numRef>
              <c:f>'SEMANA (FATURAMENTO) '!$B$2:$B$5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9-4AC3-9F63-6137BBDD754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6624240"/>
        <c:axId val="1006623408"/>
      </c:line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FATURAMENTO.xlsx]MÊS (FATURAMENTO)!Tabela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(FATURAMENTO)'!$B$1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'MÊS (FATURAMENTO)'!$A$2:$A$3</c:f>
              <c:strCache>
                <c:ptCount val="1"/>
                <c:pt idx="0">
                  <c:v>mai-25</c:v>
                </c:pt>
              </c:strCache>
            </c:strRef>
          </c:cat>
          <c:val>
            <c:numRef>
              <c:f>'MÊS (FATURAMENTO)'!$B$2:$B$3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F-49A2-89A1-2DFF07BFF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6624240"/>
        <c:axId val="1006623408"/>
      </c:bar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FATURAMENTO.xlsx]FATURAMENTO!Tabela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PENDÊNCIAS</a:t>
            </a:r>
            <a:r>
              <a:rPr lang="en-US" baseline="0">
                <a:solidFill>
                  <a:srgbClr val="FFC000"/>
                </a:solidFill>
              </a:rPr>
              <a:t> DO FATURAMENTO</a:t>
            </a:r>
            <a:endParaRPr lang="en-US">
              <a:solidFill>
                <a:srgbClr val="FFC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FATURAMENTO!$B$1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FATURAMENTO!$A$2:$A$4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FATURAMENTO!$B$2:$B$4</c:f>
              <c:numCache>
                <c:formatCode>General</c:formatCode>
                <c:ptCount val="2"/>
                <c:pt idx="0">
                  <c:v>18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F4-4248-8E54-A271A2BDB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6624240"/>
        <c:axId val="1006623408"/>
      </c:bar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FATURAMENTO.xlsx]UNIDADE (FATURAMENTO) 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UNIDADE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'UNIDADE (FATURAMENTO) 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'UNIDADE (FATURAMENTO) '!$A$2:$A$5</c:f>
              <c:strCache>
                <c:ptCount val="3"/>
                <c:pt idx="0">
                  <c:v>Filial Joinville</c:v>
                </c:pt>
                <c:pt idx="1">
                  <c:v>Matriz</c:v>
                </c:pt>
                <c:pt idx="2">
                  <c:v>São Paulo</c:v>
                </c:pt>
              </c:strCache>
            </c:strRef>
          </c:cat>
          <c:val>
            <c:numRef>
              <c:f>'UNIDADE (FATURAMENTO) '!$B$2:$B$5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8-4ADB-BA76-25698C565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6624240"/>
        <c:axId val="1006623408"/>
      </c:bar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FATURAMENTO.xlsx]PROFISIONAL (FATURAMENTO)!Tabela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'PROFISIONAL (FATURAMENTO)'!$B$1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'PROFISIONAL (FATURAMENTO)'!$A$2:$A$6</c:f>
              <c:strCache>
                <c:ptCount val="4"/>
                <c:pt idx="0">
                  <c:v>Roberta</c:v>
                </c:pt>
                <c:pt idx="1">
                  <c:v>Franciele</c:v>
                </c:pt>
                <c:pt idx="2">
                  <c:v>Ana</c:v>
                </c:pt>
                <c:pt idx="3">
                  <c:v>Carlos</c:v>
                </c:pt>
              </c:strCache>
            </c:strRef>
          </c:cat>
          <c:val>
            <c:numRef>
              <c:f>'PROFISIONAL (FATURAMENTO)'!$B$2:$B$6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C-4341-AC78-F7540EF39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6624240"/>
        <c:axId val="1006623408"/>
      </c:bar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FATURAMENTO.xlsx]PROFISIONAL (FATURAMENTO)!Tabela dinâmica3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PROFISSIONAL</a:t>
            </a:r>
          </a:p>
        </c:rich>
      </c:tx>
      <c:layout>
        <c:manualLayout>
          <c:xMode val="edge"/>
          <c:yMode val="edge"/>
          <c:x val="0.71336111111111111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666666666666667"/>
              <c:y val="2.777777777777777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7222222222222252E-2"/>
              <c:y val="-0.1064814814814815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777777777777777"/>
              <c:y val="-0.1388888888888889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111111111111115"/>
              <c:y val="1.851851851851834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944444444444445"/>
              <c:y val="6.018518518518501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777777777777777"/>
              <c:y val="-0.1388888888888889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944444444444445"/>
              <c:y val="6.018518518518501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111111111111115"/>
              <c:y val="1.851851851851834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666666666666667"/>
              <c:y val="2.777777777777777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7222222222222252E-2"/>
              <c:y val="-0.1064814814814815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777777777777777"/>
              <c:y val="-0.1388888888888889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944444444444445"/>
              <c:y val="6.018518518518501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111111111111115"/>
              <c:y val="1.851851851851834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666666666666667"/>
              <c:y val="2.777777777777777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7222222222222252E-2"/>
              <c:y val="-0.1064814814814815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5458560190747156E-2"/>
              <c:y val="-9.439932720569496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0096128247971304"/>
              <c:y val="-6.7428090861210693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483501855983602"/>
              <c:y val="7.417089994733175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729280095373578E-2"/>
              <c:y val="-0.12474196809323977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729280095373578E-2"/>
              <c:y val="7.417089994733175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1709532436806412E-2"/>
              <c:y val="6.068528177508961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404260650452398E-2"/>
              <c:y val="-7.417089994733179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5280664916885387"/>
          <c:y val="0.24439887722368037"/>
          <c:w val="0.39369225721784779"/>
          <c:h val="0.65615376202974629"/>
        </c:manualLayout>
      </c:layout>
      <c:doughnutChart>
        <c:varyColors val="1"/>
        <c:ser>
          <c:idx val="0"/>
          <c:order val="0"/>
          <c:tx>
            <c:strRef>
              <c:f>'PROFISIONAL (FATURAMENTO)'!$B$1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CCD-495E-B17E-A05BD368EB9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CCD-495E-B17E-A05BD368EB9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CCD-495E-B17E-A05BD368EB9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8C-48A5-89B2-A5C720E316D2}"/>
              </c:ext>
            </c:extLst>
          </c:dPt>
          <c:dLbls>
            <c:dLbl>
              <c:idx val="0"/>
              <c:layout>
                <c:manualLayout>
                  <c:x val="7.729280095373578E-2"/>
                  <c:y val="-0.1247419680932397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CCD-495E-B17E-A05BD368EB99}"/>
                </c:ext>
              </c:extLst>
            </c:dLbl>
            <c:dLbl>
              <c:idx val="1"/>
              <c:layout>
                <c:manualLayout>
                  <c:x val="7.729280095373578E-2"/>
                  <c:y val="7.41708999473317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CCD-495E-B17E-A05BD368EB99}"/>
                </c:ext>
              </c:extLst>
            </c:dLbl>
            <c:dLbl>
              <c:idx val="2"/>
              <c:layout>
                <c:manualLayout>
                  <c:x val="-8.1709532436806412E-2"/>
                  <c:y val="6.06852817750896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CCD-495E-B17E-A05BD368EB99}"/>
                </c:ext>
              </c:extLst>
            </c:dLbl>
            <c:dLbl>
              <c:idx val="3"/>
              <c:layout>
                <c:manualLayout>
                  <c:x val="-6.404260650452398E-2"/>
                  <c:y val="-7.41708999473317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8C-48A5-89B2-A5C720E316D2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'PROFISIONAL (FATURAMENTO)'!$A$2:$A$6</c:f>
              <c:strCache>
                <c:ptCount val="4"/>
                <c:pt idx="0">
                  <c:v>Roberta</c:v>
                </c:pt>
                <c:pt idx="1">
                  <c:v>Franciele</c:v>
                </c:pt>
                <c:pt idx="2">
                  <c:v>Ana</c:v>
                </c:pt>
                <c:pt idx="3">
                  <c:v>Carlos</c:v>
                </c:pt>
              </c:strCache>
            </c:strRef>
          </c:cat>
          <c:val>
            <c:numRef>
              <c:f>'PROFISIONAL (FATURAMENTO)'!$B$2:$B$6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CCD-495E-B17E-A05BD368E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FATURAMENTO.xlsx]FATURAMENTO!Tabela dinâmica3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PENDÊNCIAS DO FATURAMENTO</a:t>
            </a:r>
          </a:p>
        </c:rich>
      </c:tx>
      <c:layout>
        <c:manualLayout>
          <c:xMode val="edge"/>
          <c:yMode val="edge"/>
          <c:x val="0.70429155730533688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9444444444444445"/>
              <c:y val="4.6296296296296294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0555555555555555"/>
              <c:y val="-5.0925925925925972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5"/>
              <c:y val="-8.333333333333332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9444444444444445"/>
              <c:y val="4.6296296296296294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5"/>
              <c:y val="-8.333333333333332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0555555555555555"/>
              <c:y val="-5.0925925925925972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9444444444444445"/>
              <c:y val="4.6296296296296294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812934902420666"/>
              <c:y val="6.500837807302196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5413959897121458"/>
              <c:y val="-0.1183540856113763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600155559369462"/>
              <c:y val="6.4056686318150161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5.7417509279918053E-2"/>
              <c:y val="-0.1550846089807846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1322331583552057"/>
          <c:y val="0.2166210994459026"/>
          <c:w val="0.41035892388451439"/>
          <c:h val="0.68393153980752397"/>
        </c:manualLayout>
      </c:layout>
      <c:doughnutChart>
        <c:varyColors val="1"/>
        <c:ser>
          <c:idx val="0"/>
          <c:order val="0"/>
          <c:tx>
            <c:strRef>
              <c:f>FATURAMENTO!$B$1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E37-4A9A-8CA7-F6266FCF8BE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37-4A9A-8CA7-F6266FCF8BEF}"/>
              </c:ext>
            </c:extLst>
          </c:dPt>
          <c:dLbls>
            <c:dLbl>
              <c:idx val="0"/>
              <c:layout>
                <c:manualLayout>
                  <c:x val="0.10600155559369462"/>
                  <c:y val="6.40566863181501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37-4A9A-8CA7-F6266FCF8BEF}"/>
                </c:ext>
              </c:extLst>
            </c:dLbl>
            <c:dLbl>
              <c:idx val="1"/>
              <c:layout>
                <c:manualLayout>
                  <c:x val="-5.7417509279918053E-2"/>
                  <c:y val="-0.155084608980784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37-4A9A-8CA7-F6266FCF8BEF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FATURAMENTO!$A$2:$A$4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FATURAMENTO!$B$2:$B$4</c:f>
              <c:numCache>
                <c:formatCode>General</c:formatCode>
                <c:ptCount val="2"/>
                <c:pt idx="0">
                  <c:v>18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37-4A9A-8CA7-F6266FCF8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[GESTÃO DE PENDÊNCIAS FINANCEIRAS E DE FATURAMENTO.xlsx]COMENTÁRIOS (FATURAMENTO)!Tabela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cap="none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COMENTÁRIOS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cap="none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'COMENTÁRIOS (FATURAMENTO)'!$B$1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'COMENTÁRIOS (FATURAMENTO)'!$A$2:$A$23</c:f>
              <c:strCache>
                <c:ptCount val="21"/>
                <c:pt idx="0">
                  <c:v>Cliente ABC atrasou pagamento de fatura vencida em 05/05/2025.</c:v>
                </c:pt>
                <c:pt idx="1">
                  <c:v>Débito de R$ 750,00 não identificado na conta bancária do dia 13/05.</c:v>
                </c:pt>
                <c:pt idx="2">
                  <c:v>Despesas do mês de maio não lançadas corretamente no sistema financeiro.</c:v>
                </c:pt>
                <c:pt idx="3">
                  <c:v>Divergência entre o saldo contábil e bancário detectada na conciliação.</c:v>
                </c:pt>
                <c:pt idx="4">
                  <c:v>Emissão da nota fiscal atrasada, comprometendo o prazo de entrega.</c:v>
                </c:pt>
                <c:pt idx="5">
                  <c:v>Fornecedor XYZ foi pago duas vezes por erro no lançamento da nota fiscal.</c:v>
                </c:pt>
                <c:pt idx="6">
                  <c:v>NF com valor divergente do pedido aprovado pelo cliente.</c:v>
                </c:pt>
                <c:pt idx="7">
                  <c:v>Nota fiscal cancelada após o cliente confirmar pagamento.</c:v>
                </c:pt>
                <c:pt idx="8">
                  <c:v>Nota fiscal faltando para pagamento do fornecedor ABC.</c:v>
                </c:pt>
                <c:pt idx="9">
                  <c:v>Pagamento cancelado sem autorização, gerando atraso no processo financeiro.</c:v>
                </c:pt>
                <c:pt idx="10">
                  <c:v>Pagamento do fornecedor XYZ realizado com 5 dias de atraso.</c:v>
                </c:pt>
                <c:pt idx="11">
                  <c:v>Pagamento efetuado com valor diferente do acordado na nota fiscal.</c:v>
                </c:pt>
                <c:pt idx="12">
                  <c:v>Pagamento liberado sem aprovação da gerência financeira.</c:v>
                </c:pt>
                <c:pt idx="13">
                  <c:v>Pagamento realizado sem nota fiscal correspondente.</c:v>
                </c:pt>
                <c:pt idx="14">
                  <c:v>Previsão de caixa incorreta, causando dificuldades no pagamento de fornecedores.</c:v>
                </c:pt>
                <c:pt idx="15">
                  <c:v>Produto descrito incorretamente na nota fiscal, gerando confusão no cliente.</c:v>
                </c:pt>
                <c:pt idx="16">
                  <c:v>Receita de venda lançada em conta errada no sistema financeiro.</c:v>
                </c:pt>
                <c:pt idx="17">
                  <c:v>Saldo em conta insuficiente para pagamento programado no dia 05/05.</c:v>
                </c:pt>
                <c:pt idx="18">
                  <c:v>Transferência interbancária não confirmada no sistema até o horário limite.</c:v>
                </c:pt>
                <c:pt idx="19">
                  <c:v>Valor de R$ 1.500,00 não consta no extrato bancário do dia 06/05.</c:v>
                </c:pt>
                <c:pt idx="20">
                  <c:v>Valor faturado diferente do contrato assinado com o cliente.</c:v>
                </c:pt>
              </c:strCache>
            </c:strRef>
          </c:cat>
          <c:val>
            <c:numRef>
              <c:f>'COMENTÁRIOS (FATURAMENTO)'!$B$2:$B$23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EF-43D8-B5FC-E45463238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63569232"/>
        <c:axId val="963570064"/>
      </c:barChart>
      <c:catAx>
        <c:axId val="963569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570064"/>
        <c:crosses val="autoZero"/>
        <c:auto val="1"/>
        <c:lblAlgn val="ctr"/>
        <c:lblOffset val="100"/>
        <c:noMultiLvlLbl val="0"/>
      </c:catAx>
      <c:valAx>
        <c:axId val="96357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5692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FATURAMENTO.xlsx]PENDÊNCIA (FATURAMENTO) 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PENDÊNCIA</a:t>
            </a:r>
          </a:p>
        </c:rich>
      </c:tx>
      <c:layout>
        <c:manualLayout>
          <c:xMode val="edge"/>
          <c:yMode val="edge"/>
          <c:x val="0.21745822397200351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'PENDÊNCIA (FATURAMENTO) 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'PENDÊNCIA (FATURAMENTO) '!$A$2:$A$23</c:f>
              <c:strCache>
                <c:ptCount val="21"/>
                <c:pt idx="0">
                  <c:v>Atraso na emissão da NF</c:v>
                </c:pt>
                <c:pt idx="1">
                  <c:v>Cancelamento indevido</c:v>
                </c:pt>
                <c:pt idx="2">
                  <c:v>Cliente inadimplente</c:v>
                </c:pt>
                <c:pt idx="3">
                  <c:v>Débito não identificado</c:v>
                </c:pt>
                <c:pt idx="4">
                  <c:v>Diferença em extrato</c:v>
                </c:pt>
                <c:pt idx="5">
                  <c:v>Divergência no valor faturado</c:v>
                </c:pt>
                <c:pt idx="6">
                  <c:v>Erro na conciliação</c:v>
                </c:pt>
                <c:pt idx="7">
                  <c:v>Erro na descrição do produto</c:v>
                </c:pt>
                <c:pt idx="8">
                  <c:v>Erro no lançamento da receita</c:v>
                </c:pt>
                <c:pt idx="9">
                  <c:v>Falha na aprovação de pagamento</c:v>
                </c:pt>
                <c:pt idx="10">
                  <c:v>Falha na previsão de fluxo</c:v>
                </c:pt>
                <c:pt idx="11">
                  <c:v>Falha no registro de despesas</c:v>
                </c:pt>
                <c:pt idx="12">
                  <c:v>Falta de documentação</c:v>
                </c:pt>
                <c:pt idx="13">
                  <c:v>Falta de documento fiscal</c:v>
                </c:pt>
                <c:pt idx="14">
                  <c:v>NF cancelada indevidamente</c:v>
                </c:pt>
                <c:pt idx="15">
                  <c:v>Nota emitida incorretamente</c:v>
                </c:pt>
                <c:pt idx="16">
                  <c:v>Pagamento em duplicidade</c:v>
                </c:pt>
                <c:pt idx="17">
                  <c:v>Pagamento fora do prazo</c:v>
                </c:pt>
                <c:pt idx="18">
                  <c:v>Saldo insuficiente</c:v>
                </c:pt>
                <c:pt idx="19">
                  <c:v>Transferência pendente</c:v>
                </c:pt>
                <c:pt idx="20">
                  <c:v>Valor pago divergente</c:v>
                </c:pt>
              </c:strCache>
            </c:strRef>
          </c:cat>
          <c:val>
            <c:numRef>
              <c:f>'PENDÊNCIA (FATURAMENTO) '!$B$2:$B$23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4-4999-9F6B-DFE2D3BC0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6624240"/>
        <c:axId val="1006623408"/>
      </c:bar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FATURAMENTO.xlsx]PENDÊNCIA (FATURAMENTO) 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PENDÊNCIA</a:t>
            </a:r>
          </a:p>
        </c:rich>
      </c:tx>
      <c:layout>
        <c:manualLayout>
          <c:xMode val="edge"/>
          <c:yMode val="edge"/>
          <c:x val="0.6152012248468941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5"/>
              <c:y val="-0.1018518518518518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8611111111111112"/>
              <c:y val="-0.1018518518518518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9722222222222213"/>
              <c:y val="2.777777777777761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2222222222222215E-2"/>
              <c:y val="-0.111111111111111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66666666666667"/>
              <c:y val="-7.4074074074074112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6111111111111138E-2"/>
              <c:y val="8.796296296296296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7777777777777682E-2"/>
              <c:y val="8.796296296296296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676509186351707"/>
          <c:y val="0.26754702537182851"/>
          <c:w val="0.37980336832895889"/>
          <c:h val="0.63300561388159815"/>
        </c:manualLayout>
      </c:layout>
      <c:doughnutChart>
        <c:varyColors val="1"/>
        <c:ser>
          <c:idx val="0"/>
          <c:order val="0"/>
          <c:tx>
            <c:strRef>
              <c:f>'PENDÊNCIA (FATURAMENTO) 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54-4462-B286-51276C8CB56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54-4462-B286-51276C8CB56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54-4462-B286-51276C8CB56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54-4462-B286-51276C8CB56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054-4462-B286-51276C8CB56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054-4462-B286-51276C8CB56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054-4462-B286-51276C8CB56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054-4462-B286-51276C8CB56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054-4462-B286-51276C8CB56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054-4462-B286-51276C8CB56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054-4462-B286-51276C8CB56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054-4462-B286-51276C8CB56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054-4462-B286-51276C8CB56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054-4462-B286-51276C8CB56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054-4462-B286-51276C8CB56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054-4462-B286-51276C8CB56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9054-4462-B286-51276C8CB56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9054-4462-B286-51276C8CB56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9054-4462-B286-51276C8CB56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9054-4462-B286-51276C8CB56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9054-4462-B286-51276C8CB560}"/>
              </c:ext>
            </c:extLst>
          </c:dPt>
          <c:cat>
            <c:strRef>
              <c:f>'PENDÊNCIA (FATURAMENTO) '!$A$2:$A$23</c:f>
              <c:strCache>
                <c:ptCount val="21"/>
                <c:pt idx="0">
                  <c:v>Atraso na emissão da NF</c:v>
                </c:pt>
                <c:pt idx="1">
                  <c:v>Cancelamento indevido</c:v>
                </c:pt>
                <c:pt idx="2">
                  <c:v>Cliente inadimplente</c:v>
                </c:pt>
                <c:pt idx="3">
                  <c:v>Débito não identificado</c:v>
                </c:pt>
                <c:pt idx="4">
                  <c:v>Diferença em extrato</c:v>
                </c:pt>
                <c:pt idx="5">
                  <c:v>Divergência no valor faturado</c:v>
                </c:pt>
                <c:pt idx="6">
                  <c:v>Erro na conciliação</c:v>
                </c:pt>
                <c:pt idx="7">
                  <c:v>Erro na descrição do produto</c:v>
                </c:pt>
                <c:pt idx="8">
                  <c:v>Erro no lançamento da receita</c:v>
                </c:pt>
                <c:pt idx="9">
                  <c:v>Falha na aprovação de pagamento</c:v>
                </c:pt>
                <c:pt idx="10">
                  <c:v>Falha na previsão de fluxo</c:v>
                </c:pt>
                <c:pt idx="11">
                  <c:v>Falha no registro de despesas</c:v>
                </c:pt>
                <c:pt idx="12">
                  <c:v>Falta de documentação</c:v>
                </c:pt>
                <c:pt idx="13">
                  <c:v>Falta de documento fiscal</c:v>
                </c:pt>
                <c:pt idx="14">
                  <c:v>NF cancelada indevidamente</c:v>
                </c:pt>
                <c:pt idx="15">
                  <c:v>Nota emitida incorretamente</c:v>
                </c:pt>
                <c:pt idx="16">
                  <c:v>Pagamento em duplicidade</c:v>
                </c:pt>
                <c:pt idx="17">
                  <c:v>Pagamento fora do prazo</c:v>
                </c:pt>
                <c:pt idx="18">
                  <c:v>Saldo insuficiente</c:v>
                </c:pt>
                <c:pt idx="19">
                  <c:v>Transferência pendente</c:v>
                </c:pt>
                <c:pt idx="20">
                  <c:v>Valor pago divergente</c:v>
                </c:pt>
              </c:strCache>
            </c:strRef>
          </c:cat>
          <c:val>
            <c:numRef>
              <c:f>'PENDÊNCIA (FATURAMENTO) '!$B$2:$B$23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C37D-4415-B223-27DE5FFD3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FATURAMENTO.xlsx]SEMANA (FATURAMENTO) 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'SEMANA (FATURAMENTO) 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'SEMANA (FATURAMENTO) '!$A$2:$A$5</c:f>
              <c:strCache>
                <c:ptCount val="3"/>
                <c:pt idx="0">
                  <c:v>SEMANA 21</c:v>
                </c:pt>
                <c:pt idx="1">
                  <c:v>SEMANA 20</c:v>
                </c:pt>
                <c:pt idx="2">
                  <c:v>SEMANA 19</c:v>
                </c:pt>
              </c:strCache>
            </c:strRef>
          </c:cat>
          <c:val>
            <c:numRef>
              <c:f>'SEMANA (FATURAMENTO) '!$B$2:$B$5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79-40EE-94B1-6A7A739BAC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6624240"/>
        <c:axId val="1006623408"/>
      </c:line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FATURAMENTO.xlsx]SEMANA (FATURAMENTO) !Tabela dinâmica3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SEMANA</a:t>
            </a:r>
          </a:p>
        </c:rich>
      </c:tx>
      <c:layout>
        <c:manualLayout>
          <c:xMode val="edge"/>
          <c:yMode val="edge"/>
          <c:x val="0.66756233595800529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dLbl>
          <c:idx val="0"/>
          <c:layout>
            <c:manualLayout>
              <c:x val="-0.21111111111111111"/>
              <c:y val="7.407407407407402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6111111111111113"/>
              <c:y val="-2.7777777777777821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7222222222222224E-2"/>
              <c:y val="-0.1435185185185185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722222222222223"/>
              <c:y val="-9.722222222222222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611111111111111E-2"/>
              <c:y val="0.1018518518518518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944444444444446"/>
              <c:y val="-8.796296296296300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2815857392825897"/>
          <c:y val="0.29995443277923595"/>
          <c:w val="0.34647003499562556"/>
          <c:h val="0.57745005832604257"/>
        </c:manualLayout>
      </c:layout>
      <c:doughnutChart>
        <c:varyColors val="1"/>
        <c:ser>
          <c:idx val="0"/>
          <c:order val="0"/>
          <c:tx>
            <c:strRef>
              <c:f>'SEMANA (FATURAMENTO) 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416-4528-A21E-C646E30D2C6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16-4528-A21E-C646E30D2C6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416-4528-A21E-C646E30D2C6A}"/>
              </c:ext>
            </c:extLst>
          </c:dPt>
          <c:dLbls>
            <c:dLbl>
              <c:idx val="0"/>
              <c:layout>
                <c:manualLayout>
                  <c:x val="0.14722222222222223"/>
                  <c:y val="-9.72222222222222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16-4528-A21E-C646E30D2C6A}"/>
                </c:ext>
              </c:extLst>
            </c:dLbl>
            <c:dLbl>
              <c:idx val="1"/>
              <c:layout>
                <c:manualLayout>
                  <c:x val="-8.611111111111111E-2"/>
                  <c:y val="0.1018518518518518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16-4528-A21E-C646E30D2C6A}"/>
                </c:ext>
              </c:extLst>
            </c:dLbl>
            <c:dLbl>
              <c:idx val="2"/>
              <c:layout>
                <c:manualLayout>
                  <c:x val="-0.11944444444444446"/>
                  <c:y val="-8.796296296296300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416-4528-A21E-C646E30D2C6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'SEMANA (FATURAMENTO) '!$A$2:$A$5</c:f>
              <c:strCache>
                <c:ptCount val="3"/>
                <c:pt idx="0">
                  <c:v>SEMANA 21</c:v>
                </c:pt>
                <c:pt idx="1">
                  <c:v>SEMANA 20</c:v>
                </c:pt>
                <c:pt idx="2">
                  <c:v>SEMANA 19</c:v>
                </c:pt>
              </c:strCache>
            </c:strRef>
          </c:cat>
          <c:val>
            <c:numRef>
              <c:f>'SEMANA (FATURAMENTO) '!$B$2:$B$5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6-4528-A21E-C646E30D2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FATURAMENTO.xlsx]MÊS (FATURAMENTO)!Tabela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(FATURAMENTO)'!$B$1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'MÊS (FATURAMENTO)'!$A$2:$A$3</c:f>
              <c:strCache>
                <c:ptCount val="1"/>
                <c:pt idx="0">
                  <c:v>mai-25</c:v>
                </c:pt>
              </c:strCache>
            </c:strRef>
          </c:cat>
          <c:val>
            <c:numRef>
              <c:f>'MÊS (FATURAMENTO)'!$B$2:$B$3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68-4FD1-878B-B75398CC4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6624240"/>
        <c:axId val="1006623408"/>
      </c:bar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FATURAMENTO.xlsx]MÊS (FATURAMENTO)!Tabela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MÊS</a:t>
            </a:r>
          </a:p>
        </c:rich>
      </c:tx>
      <c:layout>
        <c:manualLayout>
          <c:xMode val="edge"/>
          <c:yMode val="edge"/>
          <c:x val="0.74972222222222218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</c:pivotFmt>
      <c:pivotFmt>
        <c:idx val="2"/>
        <c:dLbl>
          <c:idx val="0"/>
          <c:layout>
            <c:manualLayout>
              <c:x val="0.2638888888888889"/>
              <c:y val="-1.851851851851851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1666666666666676"/>
              <c:y val="1.851851851851851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6087401574803148"/>
          <c:y val="0.21199146981627295"/>
          <c:w val="0.41313670166229216"/>
          <c:h val="0.68856116943715362"/>
        </c:manualLayout>
      </c:layout>
      <c:doughnutChart>
        <c:varyColors val="1"/>
        <c:ser>
          <c:idx val="0"/>
          <c:order val="0"/>
          <c:tx>
            <c:strRef>
              <c:f>'MÊS (FATURAMENTO)'!$B$1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A1-4133-810F-C2D43D9DF36A}"/>
              </c:ext>
            </c:extLst>
          </c:dPt>
          <c:dLbls>
            <c:dLbl>
              <c:idx val="0"/>
              <c:layout>
                <c:manualLayout>
                  <c:x val="0.21666666666666676"/>
                  <c:y val="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A1-4133-810F-C2D43D9DF36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(FATURAMENTO)'!$A$2:$A$3</c:f>
              <c:strCache>
                <c:ptCount val="1"/>
                <c:pt idx="0">
                  <c:v>mai-25</c:v>
                </c:pt>
              </c:strCache>
            </c:strRef>
          </c:cat>
          <c:val>
            <c:numRef>
              <c:f>'MÊS (FATURAMENTO)'!$B$2:$B$3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1-4133-810F-C2D43D9DF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FATURAMENTO.xlsx]FATURAMENTO!Tabela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FATURAMENTO!$B$1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FATURAMENTO!$A$2:$A$4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FATURAMENTO!$B$2:$B$4</c:f>
              <c:numCache>
                <c:formatCode>General</c:formatCode>
                <c:ptCount val="2"/>
                <c:pt idx="0">
                  <c:v>18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5C-455C-94DB-585529395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6624240"/>
        <c:axId val="1006623408"/>
      </c:bar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FATURAMENTO.xlsx]FATURAMENTO!Tabela dinâmica3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FATURAMENTO</a:t>
            </a:r>
          </a:p>
        </c:rich>
      </c:tx>
      <c:layout>
        <c:manualLayout>
          <c:xMode val="edge"/>
          <c:yMode val="edge"/>
          <c:x val="0.70429155730533688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361111111111111"/>
              <c:y val="6.944444444444444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5000000000000025E-2"/>
              <c:y val="-0.1388888888888889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49999999999999E-2"/>
              <c:y val="4.629629629629629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1322331583552057"/>
          <c:y val="0.2166210994459026"/>
          <c:w val="0.41035892388451439"/>
          <c:h val="0.68393153980752397"/>
        </c:manualLayout>
      </c:layout>
      <c:doughnutChart>
        <c:varyColors val="1"/>
        <c:ser>
          <c:idx val="0"/>
          <c:order val="0"/>
          <c:tx>
            <c:strRef>
              <c:f>FATURAMENTO!$B$1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33-413C-B98F-4946E512C2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33-413C-B98F-4946E512C224}"/>
              </c:ext>
            </c:extLst>
          </c:dPt>
          <c:cat>
            <c:strRef>
              <c:f>FATURAMENTO!$A$2:$A$4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FATURAMENTO!$B$2:$B$4</c:f>
              <c:numCache>
                <c:formatCode>General</c:formatCode>
                <c:ptCount val="2"/>
                <c:pt idx="0">
                  <c:v>18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AF-4D02-BE62-D23A4F7E3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FATURAMENTO.xlsx]UNIDADE (FATURAMENTO) 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UNIDADE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'UNIDADE (FATURAMENTO) 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'UNIDADE (FATURAMENTO) '!$A$2:$A$5</c:f>
              <c:strCache>
                <c:ptCount val="3"/>
                <c:pt idx="0">
                  <c:v>Filial Joinville</c:v>
                </c:pt>
                <c:pt idx="1">
                  <c:v>Matriz</c:v>
                </c:pt>
                <c:pt idx="2">
                  <c:v>São Paulo</c:v>
                </c:pt>
              </c:strCache>
            </c:strRef>
          </c:cat>
          <c:val>
            <c:numRef>
              <c:f>'UNIDADE (FATURAMENTO) '!$B$2:$B$5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D-4358-9987-5C578985E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6624240"/>
        <c:axId val="1006623408"/>
      </c:bar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FATURAMENTO.xlsx]UNIDADE (FATURAMENTO) !Tabela dinâmica3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UNIDADE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23333333333333334"/>
              <c:y val="-2.777777777777794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888888888888892E-2"/>
              <c:y val="-0.1250000000000000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'UNIDADE (FATURAMENTO) 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54-4764-A1ED-3FC8F21767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54-4764-A1ED-3FC8F21767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54-4764-A1ED-3FC8F21767A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C54-4764-A1ED-3FC8F21767AB}"/>
              </c:ext>
            </c:extLst>
          </c:dPt>
          <c:cat>
            <c:strRef>
              <c:f>'UNIDADE (FATURAMENTO) '!$A$2:$A$5</c:f>
              <c:strCache>
                <c:ptCount val="3"/>
                <c:pt idx="0">
                  <c:v>Filial Joinville</c:v>
                </c:pt>
                <c:pt idx="1">
                  <c:v>Matriz</c:v>
                </c:pt>
                <c:pt idx="2">
                  <c:v>São Paulo</c:v>
                </c:pt>
              </c:strCache>
            </c:strRef>
          </c:cat>
          <c:val>
            <c:numRef>
              <c:f>'UNIDADE (FATURAMENTO) '!$B$2:$B$5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AB-445B-B5B0-B03CA46C9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FATURAMENTO.xlsx]PROFISIONAL (FATURAMENTO)!Tabela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PROFISSIONAL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'PROFISIONAL (FATURAMENTO)'!$B$1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'PROFISIONAL (FATURAMENTO)'!$A$2:$A$6</c:f>
              <c:strCache>
                <c:ptCount val="4"/>
                <c:pt idx="0">
                  <c:v>Roberta</c:v>
                </c:pt>
                <c:pt idx="1">
                  <c:v>Franciele</c:v>
                </c:pt>
                <c:pt idx="2">
                  <c:v>Ana</c:v>
                </c:pt>
                <c:pt idx="3">
                  <c:v>Carlos</c:v>
                </c:pt>
              </c:strCache>
            </c:strRef>
          </c:cat>
          <c:val>
            <c:numRef>
              <c:f>'PROFISIONAL (FATURAMENTO)'!$B$2:$B$6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9-44AD-BC50-104BAF0AE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6624240"/>
        <c:axId val="1006623408"/>
      </c:barChart>
      <c:catAx>
        <c:axId val="100662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3408"/>
        <c:crosses val="autoZero"/>
        <c:auto val="1"/>
        <c:lblAlgn val="ctr"/>
        <c:lblOffset val="100"/>
        <c:noMultiLvlLbl val="0"/>
      </c:catAx>
      <c:valAx>
        <c:axId val="100662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24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FATURAMENTO.xlsx]PROFISIONAL (FATURAMENTO)!Tabela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PROFISSIONAL</a:t>
            </a:r>
          </a:p>
        </c:rich>
      </c:tx>
      <c:layout>
        <c:manualLayout>
          <c:xMode val="edge"/>
          <c:yMode val="edge"/>
          <c:x val="0.71336111111111111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666666666666667"/>
              <c:y val="2.7777777777777776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7222222222222252E-2"/>
              <c:y val="-0.1064814814814815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777777777777777"/>
              <c:y val="-0.1388888888888889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111111111111115"/>
              <c:y val="1.851851851851834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944444444444445"/>
              <c:y val="6.0185185185185015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8888888888888892E-2"/>
              <c:y val="-9.722222222222222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611111111111111E-2"/>
              <c:y val="-9.259259259259258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9.4444444444444442E-2"/>
              <c:y val="9.259259259259258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5280664916885387"/>
          <c:y val="0.24439887722368037"/>
          <c:w val="0.39369225721784779"/>
          <c:h val="0.65615376202974629"/>
        </c:manualLayout>
      </c:layout>
      <c:doughnutChart>
        <c:varyColors val="1"/>
        <c:ser>
          <c:idx val="0"/>
          <c:order val="0"/>
          <c:tx>
            <c:strRef>
              <c:f>'PROFISIONAL (FATURAMENTO)'!$B$1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39-4F73-96BB-84C6E5D9DE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39-4F73-96BB-84C6E5D9DE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E39-4F73-96BB-84C6E5D9DE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E39-4F73-96BB-84C6E5D9DEB0}"/>
              </c:ext>
            </c:extLst>
          </c:dPt>
          <c:cat>
            <c:strRef>
              <c:f>'PROFISIONAL (FATURAMENTO)'!$A$2:$A$6</c:f>
              <c:strCache>
                <c:ptCount val="4"/>
                <c:pt idx="0">
                  <c:v>Roberta</c:v>
                </c:pt>
                <c:pt idx="1">
                  <c:v>Franciele</c:v>
                </c:pt>
                <c:pt idx="2">
                  <c:v>Ana</c:v>
                </c:pt>
                <c:pt idx="3">
                  <c:v>Carlos</c:v>
                </c:pt>
              </c:strCache>
            </c:strRef>
          </c:cat>
          <c:val>
            <c:numRef>
              <c:f>'PROFISIONAL (FATURAMENTO)'!$B$2:$B$6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FE-425D-8D06-9EEC83F48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[GESTÃO DE PENDÊNCIAS FINANCEIRAS E DE FATURAMENTO.xlsx]COMENTÁRIOS (FATURAMENTO)!Tabela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COMENTÁRIOS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4"/>
            </a:solidFill>
            <a:miter lim="800000"/>
          </a:ln>
          <a:effectLst>
            <a:glow rad="63500">
              <a:schemeClr val="accent4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'COMENTÁRIOS (FATURAMENTO)'!$B$1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'COMENTÁRIOS (FATURAMENTO)'!$A$2:$A$23</c:f>
              <c:strCache>
                <c:ptCount val="21"/>
                <c:pt idx="0">
                  <c:v>Cliente ABC atrasou pagamento de fatura vencida em 05/05/2025.</c:v>
                </c:pt>
                <c:pt idx="1">
                  <c:v>Débito de R$ 750,00 não identificado na conta bancária do dia 13/05.</c:v>
                </c:pt>
                <c:pt idx="2">
                  <c:v>Despesas do mês de maio não lançadas corretamente no sistema financeiro.</c:v>
                </c:pt>
                <c:pt idx="3">
                  <c:v>Divergência entre o saldo contábil e bancário detectada na conciliação.</c:v>
                </c:pt>
                <c:pt idx="4">
                  <c:v>Emissão da nota fiscal atrasada, comprometendo o prazo de entrega.</c:v>
                </c:pt>
                <c:pt idx="5">
                  <c:v>Fornecedor XYZ foi pago duas vezes por erro no lançamento da nota fiscal.</c:v>
                </c:pt>
                <c:pt idx="6">
                  <c:v>NF com valor divergente do pedido aprovado pelo cliente.</c:v>
                </c:pt>
                <c:pt idx="7">
                  <c:v>Nota fiscal cancelada após o cliente confirmar pagamento.</c:v>
                </c:pt>
                <c:pt idx="8">
                  <c:v>Nota fiscal faltando para pagamento do fornecedor ABC.</c:v>
                </c:pt>
                <c:pt idx="9">
                  <c:v>Pagamento cancelado sem autorização, gerando atraso no processo financeiro.</c:v>
                </c:pt>
                <c:pt idx="10">
                  <c:v>Pagamento do fornecedor XYZ realizado com 5 dias de atraso.</c:v>
                </c:pt>
                <c:pt idx="11">
                  <c:v>Pagamento efetuado com valor diferente do acordado na nota fiscal.</c:v>
                </c:pt>
                <c:pt idx="12">
                  <c:v>Pagamento liberado sem aprovação da gerência financeira.</c:v>
                </c:pt>
                <c:pt idx="13">
                  <c:v>Pagamento realizado sem nota fiscal correspondente.</c:v>
                </c:pt>
                <c:pt idx="14">
                  <c:v>Previsão de caixa incorreta, causando dificuldades no pagamento de fornecedores.</c:v>
                </c:pt>
                <c:pt idx="15">
                  <c:v>Produto descrito incorretamente na nota fiscal, gerando confusão no cliente.</c:v>
                </c:pt>
                <c:pt idx="16">
                  <c:v>Receita de venda lançada em conta errada no sistema financeiro.</c:v>
                </c:pt>
                <c:pt idx="17">
                  <c:v>Saldo em conta insuficiente para pagamento programado no dia 05/05.</c:v>
                </c:pt>
                <c:pt idx="18">
                  <c:v>Transferência interbancária não confirmada no sistema até o horário limite.</c:v>
                </c:pt>
                <c:pt idx="19">
                  <c:v>Valor de R$ 1.500,00 não consta no extrato bancário do dia 06/05.</c:v>
                </c:pt>
                <c:pt idx="20">
                  <c:v>Valor faturado diferente do contrato assinado com o cliente.</c:v>
                </c:pt>
              </c:strCache>
            </c:strRef>
          </c:cat>
          <c:val>
            <c:numRef>
              <c:f>'COMENTÁRIOS (FATURAMENTO)'!$B$2:$B$23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A-403A-B274-BB58D7A20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63569232"/>
        <c:axId val="963570064"/>
      </c:barChart>
      <c:catAx>
        <c:axId val="963569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570064"/>
        <c:crosses val="autoZero"/>
        <c:auto val="1"/>
        <c:lblAlgn val="ctr"/>
        <c:lblOffset val="100"/>
        <c:noMultiLvlLbl val="0"/>
      </c:catAx>
      <c:valAx>
        <c:axId val="963570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35692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FATURAMENTO.xlsx]MÊS (2)!Tabela dinâmica1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'MÊS (2)'!$B$1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'MÊS (2)'!$A$2:$A$4</c:f>
              <c:strCache>
                <c:ptCount val="2"/>
                <c:pt idx="0">
                  <c:v>abr-25</c:v>
                </c:pt>
                <c:pt idx="1">
                  <c:v>mai-25</c:v>
                </c:pt>
              </c:strCache>
            </c:strRef>
          </c:cat>
          <c:val>
            <c:numRef>
              <c:f>'MÊS (2)'!$B$2:$B$4</c:f>
              <c:numCache>
                <c:formatCode>0.00%</c:formatCode>
                <c:ptCount val="2"/>
                <c:pt idx="0">
                  <c:v>0.08</c:v>
                </c:pt>
                <c:pt idx="1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E-4170-A998-2CD7A9439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203855"/>
        <c:axId val="1674204687"/>
      </c:barChart>
      <c:catAx>
        <c:axId val="16742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4687"/>
        <c:crosses val="autoZero"/>
        <c:auto val="1"/>
        <c:lblAlgn val="ctr"/>
        <c:lblOffset val="100"/>
        <c:noMultiLvlLbl val="0"/>
      </c:catAx>
      <c:valAx>
        <c:axId val="1674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3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FATURAMENTO.xlsx]MÊS (2)!Tabela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MÊS</a:t>
            </a:r>
          </a:p>
        </c:rich>
      </c:tx>
      <c:layout>
        <c:manualLayout>
          <c:xMode val="edge"/>
          <c:yMode val="edge"/>
          <c:x val="0.74256233595800536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611111111111115"/>
              <c:y val="-0.111111111111111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388888888888892"/>
              <c:y val="9.2592592592590887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3055555555555556"/>
              <c:y val="-0.1018518518518518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'MÊS (2)'!$B$1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E5-45C6-89DC-39EAB203B9D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85B-4808-B023-46FF558581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5B-4808-B023-46FF558581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011-4E9C-9E62-335BFB0B98F7}"/>
              </c:ext>
            </c:extLst>
          </c:dPt>
          <c:dLbls>
            <c:dLbl>
              <c:idx val="0"/>
              <c:layout>
                <c:manualLayout>
                  <c:x val="-0.13611111111111115"/>
                  <c:y val="-0.11111111111111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E5-45C6-89DC-39EAB203B9DB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'MÊS (2)'!$A$2:$A$4</c:f>
              <c:strCache>
                <c:ptCount val="2"/>
                <c:pt idx="0">
                  <c:v>abr-25</c:v>
                </c:pt>
                <c:pt idx="1">
                  <c:v>mai-25</c:v>
                </c:pt>
              </c:strCache>
            </c:strRef>
          </c:cat>
          <c:val>
            <c:numRef>
              <c:f>'MÊS (2)'!$B$2:$B$4</c:f>
              <c:numCache>
                <c:formatCode>0.00%</c:formatCode>
                <c:ptCount val="2"/>
                <c:pt idx="0">
                  <c:v>0.08</c:v>
                </c:pt>
                <c:pt idx="1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5-45C6-89DC-39EAB203B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FATURAMENTO.xlsx]MÊS!Tabela dinâmica1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MÊS!$B$1</c:f>
              <c:strCache>
                <c:ptCount val="1"/>
                <c:pt idx="0">
                  <c:v>Contagem de 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MÊS!$A$2:$A$4</c:f>
              <c:strCache>
                <c:ptCount val="2"/>
                <c:pt idx="0">
                  <c:v>abr-25</c:v>
                </c:pt>
                <c:pt idx="1">
                  <c:v>mai-25</c:v>
                </c:pt>
              </c:strCache>
            </c:strRef>
          </c:cat>
          <c:val>
            <c:numRef>
              <c:f>MÊS!$B$2:$B$4</c:f>
              <c:numCache>
                <c:formatCode>General</c:formatCode>
                <c:ptCount val="2"/>
                <c:pt idx="0">
                  <c:v>2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B-4725-9DA7-60471C4324DD}"/>
            </c:ext>
          </c:extLst>
        </c:ser>
        <c:ser>
          <c:idx val="1"/>
          <c:order val="1"/>
          <c:tx>
            <c:strRef>
              <c:f>MÊS!$C$1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MÊS!$A$2:$A$4</c:f>
              <c:strCache>
                <c:ptCount val="2"/>
                <c:pt idx="0">
                  <c:v>abr-25</c:v>
                </c:pt>
                <c:pt idx="1">
                  <c:v>mai-25</c:v>
                </c:pt>
              </c:strCache>
            </c:strRef>
          </c:cat>
          <c:val>
            <c:numRef>
              <c:f>MÊS!$C$2:$C$4</c:f>
              <c:numCache>
                <c:formatCode>0.00%</c:formatCode>
                <c:ptCount val="2"/>
                <c:pt idx="0">
                  <c:v>0.08</c:v>
                </c:pt>
                <c:pt idx="1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C-4C97-95E5-4C753856E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203855"/>
        <c:axId val="1674204687"/>
      </c:barChart>
      <c:catAx>
        <c:axId val="16742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4687"/>
        <c:crosses val="autoZero"/>
        <c:auto val="1"/>
        <c:lblAlgn val="ctr"/>
        <c:lblOffset val="100"/>
        <c:noMultiLvlLbl val="0"/>
      </c:catAx>
      <c:valAx>
        <c:axId val="1674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3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FATURAMENTO.xlsx]PROFISSIONAL (2)!Tabela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PROFISSIONAL</a:t>
            </a:r>
          </a:p>
        </c:rich>
      </c:tx>
      <c:layout>
        <c:manualLayout>
          <c:xMode val="edge"/>
          <c:yMode val="edge"/>
          <c:x val="0.82589566929133873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dLbl>
          <c:idx val="0"/>
          <c:layout>
            <c:manualLayout>
              <c:x val="5.8333333333333286E-2"/>
              <c:y val="-0.2175925925925926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7222222222222222"/>
              <c:y val="-0.1666666666666666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5"/>
              <c:y val="4.6296296296296294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7777777777777779E-2"/>
              <c:y val="-0.14814814814814814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777777777777676E-3"/>
              <c:y val="-0.1250000000000000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9.7222222222222252E-2"/>
              <c:y val="-0.1064814814814815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0277777777777777"/>
              <c:y val="-0.1620370370370370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6666666666666693E-2"/>
              <c:y val="-8.33333333333333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8888888888888892E-2"/>
              <c:y val="4.629629629629612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111111111111113"/>
              <c:y val="8.333333333333332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'PROFISSIONAL (2)'!$B$1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540-4AF4-9FDE-92C7A18FD8B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540-4AF4-9FDE-92C7A18FD8B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CD-425D-8C21-A68C5C67A15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540-4AF4-9FDE-92C7A18FD8B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7540-4AF4-9FDE-92C7A18FD8B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540-4AF4-9FDE-92C7A18FD8BD}"/>
              </c:ext>
            </c:extLst>
          </c:dPt>
          <c:dLbls>
            <c:dLbl>
              <c:idx val="0"/>
              <c:layout>
                <c:manualLayout>
                  <c:x val="0.10277777777777777"/>
                  <c:y val="-0.1620370370370370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540-4AF4-9FDE-92C7A18FD8BD}"/>
                </c:ext>
              </c:extLst>
            </c:dLbl>
            <c:dLbl>
              <c:idx val="1"/>
              <c:layout>
                <c:manualLayout>
                  <c:x val="8.8888888888888892E-2"/>
                  <c:y val="4.62962962962961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540-4AF4-9FDE-92C7A18FD8BD}"/>
                </c:ext>
              </c:extLst>
            </c:dLbl>
            <c:dLbl>
              <c:idx val="2"/>
              <c:layout>
                <c:manualLayout>
                  <c:x val="-0.11111111111111113"/>
                  <c:y val="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CD-425D-8C21-A68C5C67A15A}"/>
                </c:ext>
              </c:extLst>
            </c:dLbl>
            <c:dLbl>
              <c:idx val="3"/>
              <c:layout>
                <c:manualLayout>
                  <c:x val="-6.6666666666666693E-2"/>
                  <c:y val="-8.33333333333333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540-4AF4-9FDE-92C7A18FD8B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'PROFISSIONAL (2)'!$A$2:$A$6</c:f>
              <c:strCache>
                <c:ptCount val="4"/>
                <c:pt idx="0">
                  <c:v>Roberta</c:v>
                </c:pt>
                <c:pt idx="1">
                  <c:v>Franciele</c:v>
                </c:pt>
                <c:pt idx="2">
                  <c:v>Ana</c:v>
                </c:pt>
                <c:pt idx="3">
                  <c:v>Carlos</c:v>
                </c:pt>
              </c:strCache>
            </c:strRef>
          </c:cat>
          <c:val>
            <c:numRef>
              <c:f>'PROFISSIONAL (2)'!$B$2:$B$6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40-4AF4-9FDE-92C7A18FD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FATURAMENTO.xlsx]PROFISSIONAL!Tabela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PROFISSIONAL!$A$1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PROFISSIONAL!$A$2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PROFISSIONAL!$A$2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A-43FE-A239-41EF247A3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203855"/>
        <c:axId val="1674204687"/>
      </c:barChart>
      <c:catAx>
        <c:axId val="16742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4687"/>
        <c:crosses val="autoZero"/>
        <c:auto val="1"/>
        <c:lblAlgn val="ctr"/>
        <c:lblOffset val="100"/>
        <c:noMultiLvlLbl val="0"/>
      </c:catAx>
      <c:valAx>
        <c:axId val="1674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3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FATURAMENTO.xlsx]COMENTÁRIOS!Tabela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COMENTÁRIOS!$B$3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COMENTÁRIOS!$A$4:$A$26</c:f>
              <c:strCache>
                <c:ptCount val="22"/>
                <c:pt idx="0">
                  <c:v>Cliente ABC atrasou pagamento de fatura vencida em 05/05/2025.</c:v>
                </c:pt>
                <c:pt idx="1">
                  <c:v>Débito de R$ 750,00 não identificado na conta bancária do dia 13/05.</c:v>
                </c:pt>
                <c:pt idx="2">
                  <c:v>Despesas do mês de maio não lançadas corretamente no sistema financeiro.</c:v>
                </c:pt>
                <c:pt idx="3">
                  <c:v>Divergência entre o saldo contábil e bancário detectada na conciliação.</c:v>
                </c:pt>
                <c:pt idx="4">
                  <c:v>Emissão da nota fiscal atrasada, comprometendo o prazo de entrega.</c:v>
                </c:pt>
                <c:pt idx="5">
                  <c:v>Fornecedor XYZ foi pago duas vezes por erro no lançamento da nota fiscal.</c:v>
                </c:pt>
                <c:pt idx="6">
                  <c:v>NF com valor divergente do pedido aprovado pelo cliente.</c:v>
                </c:pt>
                <c:pt idx="7">
                  <c:v>Nota fiscal cancelada após o cliente confirmar pagamento.</c:v>
                </c:pt>
                <c:pt idx="8">
                  <c:v>Nota fiscal faltando para pagamento do fornecedor ABC.</c:v>
                </c:pt>
                <c:pt idx="9">
                  <c:v>Pagamento cancelado sem autorização, gerando atraso no processo financeiro.</c:v>
                </c:pt>
                <c:pt idx="10">
                  <c:v>Pagamento do fornecedor XYZ realizado com 5 dias de atraso.</c:v>
                </c:pt>
                <c:pt idx="11">
                  <c:v>Pagamento efetuado com valor diferente do acordado na nota fiscal.</c:v>
                </c:pt>
                <c:pt idx="12">
                  <c:v>Pagamento liberado sem aprovação da gerência financeira.</c:v>
                </c:pt>
                <c:pt idx="13">
                  <c:v>Pagamento realizado sem nota fiscal correspondente.</c:v>
                </c:pt>
                <c:pt idx="14">
                  <c:v>Previsão de caixa incorreta, causando dificuldades no pagamento de fornecedores.</c:v>
                </c:pt>
                <c:pt idx="15">
                  <c:v>Produto descrito incorretamente na nota fiscal, gerando confusão no cliente.</c:v>
                </c:pt>
                <c:pt idx="16">
                  <c:v>Receita de venda lançada em conta errada no sistema financeiro.</c:v>
                </c:pt>
                <c:pt idx="17">
                  <c:v>Saldo em conta insuficiente para pagamento programado no dia 05/05.</c:v>
                </c:pt>
                <c:pt idx="18">
                  <c:v>Transferência interbancária não confirmada no sistema até o horário limite.</c:v>
                </c:pt>
                <c:pt idx="19">
                  <c:v>Valor de R$ 1.500,00 não consta no extrato bancário do dia 06/05.</c:v>
                </c:pt>
                <c:pt idx="20">
                  <c:v>Valor faturado diferente do contrato assinado com o cliente.</c:v>
                </c:pt>
                <c:pt idx="21">
                  <c:v>(vazio)</c:v>
                </c:pt>
              </c:strCache>
            </c:strRef>
          </c:cat>
          <c:val>
            <c:numRef>
              <c:f>COMENTÁRIOS!$B$4:$B$26</c:f>
              <c:numCache>
                <c:formatCode>General</c:formatCode>
                <c:ptCount val="2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430D-4B7D-9186-A2EAC620D8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6038192"/>
        <c:axId val="476041936"/>
      </c:barChart>
      <c:catAx>
        <c:axId val="4760381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6041936"/>
        <c:crosses val="autoZero"/>
        <c:auto val="1"/>
        <c:lblAlgn val="ctr"/>
        <c:lblOffset val="100"/>
        <c:noMultiLvlLbl val="0"/>
      </c:catAx>
      <c:valAx>
        <c:axId val="47604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603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FATURAMENTO.xlsx]UNIDADE 2!Tabela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C000"/>
                </a:solidFill>
              </a:rPr>
              <a:t>UNIDADE</a:t>
            </a:r>
          </a:p>
        </c:rich>
      </c:tx>
      <c:layout>
        <c:manualLayout>
          <c:xMode val="edge"/>
          <c:yMode val="edge"/>
          <c:x val="0.7564512248468942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388888888888889"/>
              <c:y val="0.10185185185185185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777777777777777"/>
              <c:y val="0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dLbl>
          <c:idx val="0"/>
          <c:layout>
            <c:manualLayout>
              <c:x val="-9.444444444444447E-2"/>
              <c:y val="-1.851851851851860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611111111111111E-2"/>
              <c:y val="4.629629629629629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3333333333333332E-3"/>
              <c:y val="-0.18055555555555558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6.9444444444444475E-2"/>
              <c:y val="-0.12962962962962968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3333333333333329E-2"/>
              <c:y val="-0.1527777777777778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166666666666667"/>
              <c:y val="4.1666666666666664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'UNIDADE 2'!$B$1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915-479C-B260-5A1580FCC3A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915-479C-B260-5A1580FCC3A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915-479C-B260-5A1580FCC3AA}"/>
              </c:ext>
            </c:extLst>
          </c:dPt>
          <c:dLbls>
            <c:dLbl>
              <c:idx val="0"/>
              <c:layout>
                <c:manualLayout>
                  <c:x val="8.3333333333333329E-2"/>
                  <c:y val="-0.1527777777777778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915-479C-B260-5A1580FCC3AA}"/>
                </c:ext>
              </c:extLst>
            </c:dLbl>
            <c:dLbl>
              <c:idx val="1"/>
              <c:layout>
                <c:manualLayout>
                  <c:x val="-0.1166666666666667"/>
                  <c:y val="4.166666666666666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915-479C-B260-5A1580FCC3AA}"/>
                </c:ext>
              </c:extLst>
            </c:dLbl>
            <c:dLbl>
              <c:idx val="2"/>
              <c:layout>
                <c:manualLayout>
                  <c:x val="-6.9444444444444475E-2"/>
                  <c:y val="-0.1296296296296296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915-479C-B260-5A1580FCC3A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'UNIDADE 2'!$A$2:$A$5</c:f>
              <c:strCache>
                <c:ptCount val="3"/>
                <c:pt idx="0">
                  <c:v>Filial Joinville</c:v>
                </c:pt>
                <c:pt idx="1">
                  <c:v>Matriz</c:v>
                </c:pt>
                <c:pt idx="2">
                  <c:v>São Paulo</c:v>
                </c:pt>
              </c:strCache>
            </c:strRef>
          </c:cat>
          <c:val>
            <c:numRef>
              <c:f>'UNIDADE 2'!$B$2:$B$5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915-479C-B260-5A1580FCC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FATURAMENTO.xlsx]SEMANA (2)!Tabela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C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FFC000"/>
                </a:solidFill>
              </a:rPr>
              <a:t>SEMANA</a:t>
            </a:r>
          </a:p>
        </c:rich>
      </c:tx>
      <c:layout>
        <c:manualLayout>
          <c:xMode val="edge"/>
          <c:yMode val="edge"/>
          <c:x val="0.75099300087489063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C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000000000000001E-2"/>
              <c:y val="-0.1712962962962963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7499999999999999"/>
              <c:y val="-0.2638888888888889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dLbl>
          <c:idx val="0"/>
          <c:layout>
            <c:manualLayout>
              <c:x val="8.611111111111111E-2"/>
              <c:y val="-0.2222222222222222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3055555555555556"/>
              <c:y val="4.6296296296296294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7499999999999991"/>
              <c:y val="-9.2592592592592629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388888888888889"/>
              <c:y val="6.9444444444444448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7777777777777778"/>
              <c:y val="1.1200058326042577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88888888888889"/>
              <c:y val="-0.11574074074074078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'SEMANA (2)'!$B$1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50-43C8-AF0B-E81B1C329DA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F50-43C8-AF0B-E81B1C329DA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50-43C8-AF0B-E81B1C329DA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CF50-43C8-AF0B-E81B1C329DA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50-43C8-AF0B-E81B1C329DA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FC9-402E-AB7C-545573C0E60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FC9-402E-AB7C-545573C0E605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FC9-402E-AB7C-545573C0E605}"/>
              </c:ext>
            </c:extLst>
          </c:dPt>
          <c:dLbls>
            <c:dLbl>
              <c:idx val="0"/>
              <c:layout>
                <c:manualLayout>
                  <c:x val="0.17499999999999999"/>
                  <c:y val="-0.26388888888888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50-43C8-AF0B-E81B1C329DA5}"/>
                </c:ext>
              </c:extLst>
            </c:dLbl>
            <c:dLbl>
              <c:idx val="1"/>
              <c:layout>
                <c:manualLayout>
                  <c:x val="0.17499999999999991"/>
                  <c:y val="-9.25925925925926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F50-43C8-AF0B-E81B1C329DA5}"/>
                </c:ext>
              </c:extLst>
            </c:dLbl>
            <c:dLbl>
              <c:idx val="2"/>
              <c:layout>
                <c:manualLayout>
                  <c:x val="0.13055555555555556"/>
                  <c:y val="4.629629629629629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50-43C8-AF0B-E81B1C329DA5}"/>
                </c:ext>
              </c:extLst>
            </c:dLbl>
            <c:dLbl>
              <c:idx val="3"/>
              <c:layout>
                <c:manualLayout>
                  <c:x val="0.11388888888888889"/>
                  <c:y val="6.94444444444444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F50-43C8-AF0B-E81B1C329DA5}"/>
                </c:ext>
              </c:extLst>
            </c:dLbl>
            <c:dLbl>
              <c:idx val="4"/>
              <c:layout>
                <c:manualLayout>
                  <c:x val="-0.17777777777777778"/>
                  <c:y val="1.120005832604257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F50-43C8-AF0B-E81B1C329DA5}"/>
                </c:ext>
              </c:extLst>
            </c:dLbl>
            <c:dLbl>
              <c:idx val="5"/>
              <c:layout>
                <c:manualLayout>
                  <c:x val="-0.1388888888888889"/>
                  <c:y val="-0.11574074074074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FC9-402E-AB7C-545573C0E605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'SEMANA (2)'!$A$2:$A$9</c:f>
              <c:strCache>
                <c:ptCount val="7"/>
                <c:pt idx="0">
                  <c:v>SEMANA 14</c:v>
                </c:pt>
                <c:pt idx="1">
                  <c:v>SEMANA 15</c:v>
                </c:pt>
                <c:pt idx="2">
                  <c:v>SEMANA 18</c:v>
                </c:pt>
                <c:pt idx="3">
                  <c:v>SEMANA 19</c:v>
                </c:pt>
                <c:pt idx="4">
                  <c:v>SEMANA 20</c:v>
                </c:pt>
                <c:pt idx="5">
                  <c:v>SEMANA 21</c:v>
                </c:pt>
                <c:pt idx="6">
                  <c:v>SEMANA 22</c:v>
                </c:pt>
              </c:strCache>
            </c:strRef>
          </c:cat>
          <c:val>
            <c:numRef>
              <c:f>'SEMANA (2)'!$B$2:$B$9</c:f>
              <c:numCache>
                <c:formatCode>0.00%</c:formatCode>
                <c:ptCount val="7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0.12</c:v>
                </c:pt>
                <c:pt idx="4">
                  <c:v>0.2</c:v>
                </c:pt>
                <c:pt idx="5">
                  <c:v>0.28000000000000003</c:v>
                </c:pt>
                <c:pt idx="6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0-43C8-AF0B-E81B1C329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[GESTÃO DE PENDÊNCIAS FINANCEIRAS E DE FATURAMENTO.xlsx]SEMANA!Tabela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SEMANA!$B$1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SEMANA!$A$2:$A$9</c:f>
              <c:strCache>
                <c:ptCount val="7"/>
                <c:pt idx="0">
                  <c:v>SEMANA 14</c:v>
                </c:pt>
                <c:pt idx="1">
                  <c:v>SEMANA 15</c:v>
                </c:pt>
                <c:pt idx="2">
                  <c:v>SEMANA 18</c:v>
                </c:pt>
                <c:pt idx="3">
                  <c:v>SEMANA 19</c:v>
                </c:pt>
                <c:pt idx="4">
                  <c:v>SEMANA 20</c:v>
                </c:pt>
                <c:pt idx="5">
                  <c:v>SEMANA 21</c:v>
                </c:pt>
                <c:pt idx="6">
                  <c:v>SEMANA 22</c:v>
                </c:pt>
              </c:strCache>
            </c:strRef>
          </c:cat>
          <c:val>
            <c:numRef>
              <c:f>SEMANA!$B$2:$B$9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D5-4173-B71D-8A7A01B9D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4203855"/>
        <c:axId val="1674204687"/>
      </c:barChart>
      <c:catAx>
        <c:axId val="167420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4687"/>
        <c:crosses val="autoZero"/>
        <c:auto val="1"/>
        <c:lblAlgn val="ctr"/>
        <c:lblOffset val="100"/>
        <c:noMultiLvlLbl val="0"/>
      </c:catAx>
      <c:valAx>
        <c:axId val="167420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203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967740</xdr:colOff>
      <xdr:row>5</xdr:row>
      <xdr:rowOff>7620</xdr:rowOff>
    </xdr:from>
    <xdr:to>
      <xdr:col>9</xdr:col>
      <xdr:colOff>251460</xdr:colOff>
      <xdr:row>20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41BBE5-2CE7-4906-910F-28DADAFD3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3</xdr:row>
      <xdr:rowOff>30480</xdr:rowOff>
    </xdr:from>
    <xdr:to>
      <xdr:col>13</xdr:col>
      <xdr:colOff>198120</xdr:colOff>
      <xdr:row>18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E2FF30-AAEC-4B31-6EC3-7A4334DD3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78FBBD-06AF-4214-B3B1-588885E17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83127</xdr:colOff>
      <xdr:row>42</xdr:row>
      <xdr:rowOff>110834</xdr:rowOff>
    </xdr:from>
    <xdr:to>
      <xdr:col>8</xdr:col>
      <xdr:colOff>331817</xdr:colOff>
      <xdr:row>61</xdr:row>
      <xdr:rowOff>110835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4ED81B-94CA-4B99-A2D8-2FD3F0BA1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51954</xdr:colOff>
      <xdr:row>4</xdr:row>
      <xdr:rowOff>41564</xdr:rowOff>
    </xdr:from>
    <xdr:to>
      <xdr:col>8</xdr:col>
      <xdr:colOff>356754</xdr:colOff>
      <xdr:row>23</xdr:row>
      <xdr:rowOff>41564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915FC22-35F7-49D7-BA85-3370388F3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151706</xdr:colOff>
      <xdr:row>42</xdr:row>
      <xdr:rowOff>110834</xdr:rowOff>
    </xdr:from>
    <xdr:to>
      <xdr:col>25</xdr:col>
      <xdr:colOff>152399</xdr:colOff>
      <xdr:row>61</xdr:row>
      <xdr:rowOff>110834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A9D3250-0384-4453-8AEB-2FF437FDA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75161</xdr:colOff>
      <xdr:row>23</xdr:row>
      <xdr:rowOff>62691</xdr:rowOff>
    </xdr:from>
    <xdr:to>
      <xdr:col>25</xdr:col>
      <xdr:colOff>138544</xdr:colOff>
      <xdr:row>42</xdr:row>
      <xdr:rowOff>62690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01D9C4-AD21-4D9F-ABFD-80CE10252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33</xdr:col>
      <xdr:colOff>309994</xdr:colOff>
      <xdr:row>20</xdr:row>
      <xdr:rowOff>50222</xdr:rowOff>
    </xdr:from>
    <xdr:to>
      <xdr:col>36</xdr:col>
      <xdr:colOff>401781</xdr:colOff>
      <xdr:row>39</xdr:row>
      <xdr:rowOff>56699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fissional">
              <a:extLst>
                <a:ext uri="{FF2B5EF4-FFF2-40B4-BE49-F238E27FC236}">
                  <a16:creationId xmlns:a16="http://schemas.microsoft.com/office/drawing/2014/main" id="{EF2ED389-5FA0-BF9A-17F7-CD7517118C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issio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26794" y="3735531"/>
              <a:ext cx="1920587" cy="3428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8</xdr:col>
      <xdr:colOff>359526</xdr:colOff>
      <xdr:row>42</xdr:row>
      <xdr:rowOff>110834</xdr:rowOff>
    </xdr:from>
    <xdr:to>
      <xdr:col>16</xdr:col>
      <xdr:colOff>110144</xdr:colOff>
      <xdr:row>61</xdr:row>
      <xdr:rowOff>96981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7C9912C-1AAE-484D-97C8-80EEABF0C8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387926</xdr:colOff>
      <xdr:row>4</xdr:row>
      <xdr:rowOff>41564</xdr:rowOff>
    </xdr:from>
    <xdr:to>
      <xdr:col>16</xdr:col>
      <xdr:colOff>207817</xdr:colOff>
      <xdr:row>23</xdr:row>
      <xdr:rowOff>41563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D5CB829-11C4-43F3-9BB0-4DC2D9BCAF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176644</xdr:colOff>
      <xdr:row>23</xdr:row>
      <xdr:rowOff>62691</xdr:rowOff>
    </xdr:from>
    <xdr:to>
      <xdr:col>32</xdr:col>
      <xdr:colOff>550717</xdr:colOff>
      <xdr:row>42</xdr:row>
      <xdr:rowOff>62691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314775D-2C93-4055-BAFA-C32F8E598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190498</xdr:colOff>
      <xdr:row>42</xdr:row>
      <xdr:rowOff>110834</xdr:rowOff>
    </xdr:from>
    <xdr:to>
      <xdr:col>32</xdr:col>
      <xdr:colOff>536862</xdr:colOff>
      <xdr:row>61</xdr:row>
      <xdr:rowOff>110836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A3BA8CF-8FB3-4FB1-8684-FF850155C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249381</xdr:colOff>
      <xdr:row>4</xdr:row>
      <xdr:rowOff>41564</xdr:rowOff>
    </xdr:from>
    <xdr:to>
      <xdr:col>32</xdr:col>
      <xdr:colOff>540327</xdr:colOff>
      <xdr:row>23</xdr:row>
      <xdr:rowOff>13855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0D38107-3062-4927-8A7C-AF569E68C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83126</xdr:colOff>
      <xdr:row>61</xdr:row>
      <xdr:rowOff>147205</xdr:rowOff>
    </xdr:from>
    <xdr:to>
      <xdr:col>32</xdr:col>
      <xdr:colOff>571499</xdr:colOff>
      <xdr:row>80</xdr:row>
      <xdr:rowOff>152401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EA42AAE1-D4AA-41CA-BEAB-0022F8AB6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36</xdr:col>
      <xdr:colOff>455468</xdr:colOff>
      <xdr:row>0</xdr:row>
      <xdr:rowOff>172836</xdr:rowOff>
    </xdr:from>
    <xdr:to>
      <xdr:col>39</xdr:col>
      <xdr:colOff>591668</xdr:colOff>
      <xdr:row>19</xdr:row>
      <xdr:rowOff>70209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SEMANA">
              <a:extLst>
                <a:ext uri="{FF2B5EF4-FFF2-40B4-BE49-F238E27FC236}">
                  <a16:creationId xmlns:a16="http://schemas.microsoft.com/office/drawing/2014/main" id="{1A8087D5-C842-844B-2759-92D8AD3CA0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01068" y="172836"/>
              <a:ext cx="1965000" cy="34025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33</xdr:col>
      <xdr:colOff>289560</xdr:colOff>
      <xdr:row>0</xdr:row>
      <xdr:rowOff>178723</xdr:rowOff>
    </xdr:from>
    <xdr:to>
      <xdr:col>36</xdr:col>
      <xdr:colOff>426360</xdr:colOff>
      <xdr:row>19</xdr:row>
      <xdr:rowOff>75523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>
              <a:extLst>
                <a:ext uri="{FF2B5EF4-FFF2-40B4-BE49-F238E27FC236}">
                  <a16:creationId xmlns:a16="http://schemas.microsoft.com/office/drawing/2014/main" id="{8573750F-6826-0837-6F14-BB5C64FCC2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06360" y="178723"/>
              <a:ext cx="1965600" cy="340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36</xdr:col>
      <xdr:colOff>484908</xdr:colOff>
      <xdr:row>20</xdr:row>
      <xdr:rowOff>69273</xdr:rowOff>
    </xdr:from>
    <xdr:to>
      <xdr:col>39</xdr:col>
      <xdr:colOff>568035</xdr:colOff>
      <xdr:row>39</xdr:row>
      <xdr:rowOff>41564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Área/ Processo">
              <a:extLst>
                <a:ext uri="{FF2B5EF4-FFF2-40B4-BE49-F238E27FC236}">
                  <a16:creationId xmlns:a16="http://schemas.microsoft.com/office/drawing/2014/main" id="{8B42D2E9-E9DB-4A21-897D-3B8462613A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/ Process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30508" y="3754582"/>
              <a:ext cx="1911927" cy="33943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67261</xdr:colOff>
      <xdr:row>24</xdr:row>
      <xdr:rowOff>10884</xdr:rowOff>
    </xdr:from>
    <xdr:to>
      <xdr:col>19</xdr:col>
      <xdr:colOff>179294</xdr:colOff>
      <xdr:row>45</xdr:row>
      <xdr:rowOff>22412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9F397D-24DD-40E6-97AA-88963E8D1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481514</xdr:colOff>
      <xdr:row>2</xdr:row>
      <xdr:rowOff>52450</xdr:rowOff>
    </xdr:from>
    <xdr:to>
      <xdr:col>19</xdr:col>
      <xdr:colOff>176714</xdr:colOff>
      <xdr:row>23</xdr:row>
      <xdr:rowOff>52450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BEC9612-AD41-4381-AC6A-26A3B043E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65314</xdr:colOff>
      <xdr:row>2</xdr:row>
      <xdr:rowOff>41564</xdr:rowOff>
    </xdr:from>
    <xdr:to>
      <xdr:col>9</xdr:col>
      <xdr:colOff>370114</xdr:colOff>
      <xdr:row>23</xdr:row>
      <xdr:rowOff>41564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2C322D1-BC20-4119-99AF-1DC3143F7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489613</xdr:colOff>
      <xdr:row>45</xdr:row>
      <xdr:rowOff>138298</xdr:rowOff>
    </xdr:from>
    <xdr:to>
      <xdr:col>19</xdr:col>
      <xdr:colOff>184813</xdr:colOff>
      <xdr:row>66</xdr:row>
      <xdr:rowOff>140098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9330044-B91D-48AB-8EF0-EBCB9B1B1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294807</xdr:colOff>
      <xdr:row>2</xdr:row>
      <xdr:rowOff>65313</xdr:rowOff>
    </xdr:from>
    <xdr:to>
      <xdr:col>28</xdr:col>
      <xdr:colOff>599607</xdr:colOff>
      <xdr:row>23</xdr:row>
      <xdr:rowOff>67113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4838F9D-6C8D-4D0B-8477-517868A6B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288228</xdr:colOff>
      <xdr:row>24</xdr:row>
      <xdr:rowOff>7666</xdr:rowOff>
    </xdr:from>
    <xdr:to>
      <xdr:col>28</xdr:col>
      <xdr:colOff>593028</xdr:colOff>
      <xdr:row>45</xdr:row>
      <xdr:rowOff>9466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76CF9A9-D5AB-45F3-A24F-5949108FB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73233</xdr:colOff>
      <xdr:row>45</xdr:row>
      <xdr:rowOff>160068</xdr:rowOff>
    </xdr:from>
    <xdr:to>
      <xdr:col>9</xdr:col>
      <xdr:colOff>378033</xdr:colOff>
      <xdr:row>66</xdr:row>
      <xdr:rowOff>161868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8A4E7F7-1C0A-4218-8270-07EA054F4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296389</xdr:colOff>
      <xdr:row>45</xdr:row>
      <xdr:rowOff>149184</xdr:rowOff>
    </xdr:from>
    <xdr:to>
      <xdr:col>28</xdr:col>
      <xdr:colOff>601189</xdr:colOff>
      <xdr:row>66</xdr:row>
      <xdr:rowOff>150984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E7A743B-C7E3-4D03-AC73-44BB48CC0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48987</xdr:colOff>
      <xdr:row>67</xdr:row>
      <xdr:rowOff>97971</xdr:rowOff>
    </xdr:from>
    <xdr:to>
      <xdr:col>29</xdr:col>
      <xdr:colOff>33617</xdr:colOff>
      <xdr:row>88</xdr:row>
      <xdr:rowOff>145677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89387381-2710-4E8E-B46E-913E28E49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29</xdr:col>
      <xdr:colOff>145675</xdr:colOff>
      <xdr:row>17</xdr:row>
      <xdr:rowOff>56029</xdr:rowOff>
    </xdr:from>
    <xdr:to>
      <xdr:col>32</xdr:col>
      <xdr:colOff>159122</xdr:colOff>
      <xdr:row>31</xdr:row>
      <xdr:rowOff>12887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fissional 1">
              <a:extLst>
                <a:ext uri="{FF2B5EF4-FFF2-40B4-BE49-F238E27FC236}">
                  <a16:creationId xmlns:a16="http://schemas.microsoft.com/office/drawing/2014/main" id="{CB0BD46D-DEF0-40C8-9FFF-C2EAAC5987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fission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94087" y="32272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145675</xdr:colOff>
      <xdr:row>2</xdr:row>
      <xdr:rowOff>112058</xdr:rowOff>
    </xdr:from>
    <xdr:to>
      <xdr:col>32</xdr:col>
      <xdr:colOff>159122</xdr:colOff>
      <xdr:row>16</xdr:row>
      <xdr:rowOff>68915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Unidade/ Empresa">
              <a:extLst>
                <a:ext uri="{FF2B5EF4-FFF2-40B4-BE49-F238E27FC236}">
                  <a16:creationId xmlns:a16="http://schemas.microsoft.com/office/drawing/2014/main" id="{85BE3261-4CD9-4E5B-AF08-8E6FD66CF8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/ 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94087" y="593911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DDD4DF-B5D7-4DD5-983F-37969C147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0</xdr:row>
      <xdr:rowOff>160020</xdr:rowOff>
    </xdr:from>
    <xdr:to>
      <xdr:col>19</xdr:col>
      <xdr:colOff>152400</xdr:colOff>
      <xdr:row>26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771BC1-EAAA-41DA-001F-A6112FD36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6B857E-A894-4206-8DCB-914A7D238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601980</xdr:colOff>
      <xdr:row>1</xdr:row>
      <xdr:rowOff>7620</xdr:rowOff>
    </xdr:from>
    <xdr:to>
      <xdr:col>19</xdr:col>
      <xdr:colOff>297180</xdr:colOff>
      <xdr:row>16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B7333C-7854-8652-B1EC-8A9B0F979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488B0A-75DB-48D1-9C0D-6095FC849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19</xdr:col>
      <xdr:colOff>304800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67D8828-AD8D-C4A9-B8DE-3E1A5B2DE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E683D1-55F9-4A29-B8EF-F8AD70267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464820</xdr:colOff>
      <xdr:row>1</xdr:row>
      <xdr:rowOff>7620</xdr:rowOff>
    </xdr:from>
    <xdr:to>
      <xdr:col>19</xdr:col>
      <xdr:colOff>160020</xdr:colOff>
      <xdr:row>16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75DE7D-E6C2-1ADA-EA52-3C1CBBAC4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22860</xdr:rowOff>
    </xdr:from>
    <xdr:to>
      <xdr:col>11</xdr:col>
      <xdr:colOff>312420</xdr:colOff>
      <xdr:row>16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27A2D6-5426-4749-8AAA-C48D4B618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419100</xdr:colOff>
      <xdr:row>1</xdr:row>
      <xdr:rowOff>15240</xdr:rowOff>
    </xdr:from>
    <xdr:to>
      <xdr:col>19</xdr:col>
      <xdr:colOff>114300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E4D116-2999-950F-1BBE-9B12130EA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FCC343-8114-60BE-1CF6-B72AF16EA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</xdr:colOff>
      <xdr:row>1</xdr:row>
      <xdr:rowOff>22860</xdr:rowOff>
    </xdr:from>
    <xdr:to>
      <xdr:col>19</xdr:col>
      <xdr:colOff>327660</xdr:colOff>
      <xdr:row>16</xdr:row>
      <xdr:rowOff>22860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7868B5-C7D5-0491-4FA7-FB804436C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53340</xdr:rowOff>
    </xdr:from>
    <xdr:to>
      <xdr:col>22</xdr:col>
      <xdr:colOff>297180</xdr:colOff>
      <xdr:row>20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F28430-A393-8D1D-1C16-55E90B8D5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9CBE45-F8D9-4F80-B414-F13654120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541020</xdr:colOff>
      <xdr:row>1</xdr:row>
      <xdr:rowOff>60960</xdr:rowOff>
    </xdr:from>
    <xdr:to>
      <xdr:col>19</xdr:col>
      <xdr:colOff>236220</xdr:colOff>
      <xdr:row>16</xdr:row>
      <xdr:rowOff>60960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B7BFDD-DFAA-DC66-790C-E1FA2CBB1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151E1F-362A-41EF-8AC6-7ACF1353F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A5AF2E-A9F2-4C4E-B7B2-52C3CC319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2429B9-8ACF-4144-997E-80EEA291B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1393372</xdr:colOff>
      <xdr:row>3</xdr:row>
      <xdr:rowOff>130629</xdr:rowOff>
    </xdr:from>
    <xdr:to>
      <xdr:col>9</xdr:col>
      <xdr:colOff>903514</xdr:colOff>
      <xdr:row>18</xdr:row>
      <xdr:rowOff>130628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D0F55B-8CA4-0732-9127-8AC5D829C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0</xdr:row>
      <xdr:rowOff>129540</xdr:rowOff>
    </xdr:from>
    <xdr:to>
      <xdr:col>12</xdr:col>
      <xdr:colOff>76200</xdr:colOff>
      <xdr:row>15</xdr:row>
      <xdr:rowOff>129540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16212AB-D889-416A-AF50-DB8A36748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60960</xdr:rowOff>
    </xdr:from>
    <xdr:to>
      <xdr:col>11</xdr:col>
      <xdr:colOff>114300</xdr:colOff>
      <xdr:row>16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D28862-2F6E-4F5C-8D81-5CD0DF3CF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D7623D-89C7-49D0-B06B-304CCA18A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ele Klaumann" refreshedDate="45816.570410185188" createdVersion="8" refreshedVersion="8" minRefreshableVersion="3" recordCount="142" xr:uid="{481B6042-1DA0-41F7-AC9D-FA2707522A59}">
  <cacheSource type="worksheet">
    <worksheetSource ref="A3:I297" sheet="PENDÊNCIAS_FINANCEIRO"/>
  </cacheSource>
  <cacheFields count="9">
    <cacheField name="Data" numFmtId="14">
      <sharedItems containsNonDate="0" containsDate="1" containsString="0" containsBlank="1" minDate="2025-04-01T00:00:00" maxDate="2025-05-31T00:00:00"/>
    </cacheField>
    <cacheField name="Dia" numFmtId="0">
      <sharedItems containsBlank="1"/>
    </cacheField>
    <cacheField name="SEMANA" numFmtId="4">
      <sharedItems containsBlank="1" count="11">
        <s v="SEMANA 14"/>
        <s v="SEMANA 15"/>
        <s v="SEMANA 20"/>
        <s v="SEMANA 19"/>
        <s v="SEMANA 21"/>
        <s v="SEMANA 22"/>
        <s v="SEMANA 18"/>
        <s v=""/>
        <m/>
        <s v="SEMANA 16" u="1"/>
        <s v="SEMANA 17" u="1"/>
      </sharedItems>
    </cacheField>
    <cacheField name="Mês" numFmtId="0">
      <sharedItems containsBlank="1" count="4">
        <s v="abr-25"/>
        <s v="mai-25"/>
        <s v=""/>
        <m/>
      </sharedItems>
    </cacheField>
    <cacheField name="Profissional" numFmtId="0">
      <sharedItems containsBlank="1" count="25">
        <s v="Franciele"/>
        <s v="Roberta"/>
        <s v="Ana"/>
        <s v="Carlos"/>
        <m/>
        <s v="Michelle" u="1"/>
        <s v="Camila" u="1"/>
        <s v="Camila " u="1"/>
        <s v="Ivana" u="1"/>
        <s v="Timothy" u="1"/>
        <s v="Diva Marla Fagurdes" u="1"/>
        <s v="Tago Miguel De Freitas" u="1"/>
        <s v="Rodrigo leunampereira" u="1"/>
        <s v="Jesse de Avila" u="1"/>
        <s v="Leonardo FemardezGimenes" u="1"/>
        <s v="Cetso Rodrigues Oa Silva" u="1"/>
        <s v="Tamara Seldein Oa Luz" u="1"/>
        <s v="Joice Curno" u="1"/>
        <s v="VaterRebelo" u="1"/>
        <s v="Aline FatimaGalväo" u="1"/>
        <s v="Patricia Galvao Kovalski" u="1"/>
        <s v="Lucius Lans Oe Souza" u="1"/>
        <s v="GeonirTelmann" u="1"/>
        <s v="Danielle Oe Soun Oe Lima Sobreiro" u="1"/>
        <s v="Rafael Welter" u="1"/>
      </sharedItems>
    </cacheField>
    <cacheField name="Área/ Processo" numFmtId="0">
      <sharedItems containsBlank="1" count="7">
        <s v="Contas a Pagar"/>
        <s v="Conciliação Bancária"/>
        <s v="Faturamento"/>
        <s v="Contas a Receber"/>
        <s v="Pagamentos"/>
        <s v="Tesouraria"/>
        <m/>
      </sharedItems>
    </cacheField>
    <cacheField name="Tipo de Ocorrência" numFmtId="0">
      <sharedItems containsBlank="1"/>
    </cacheField>
    <cacheField name="Unidade/ Empresa" numFmtId="0">
      <sharedItems containsBlank="1" count="4">
        <s v="Matriz"/>
        <s v="Filial Joinville"/>
        <s v="São Paulo"/>
        <m/>
      </sharedItems>
    </cacheField>
    <cacheField name="Descrição da Ocorrência" numFmtId="0">
      <sharedItems containsBlank="1"/>
    </cacheField>
  </cacheFields>
  <extLst>
    <ext xmlns:x14="http://schemas.microsoft.com/office/spreadsheetml/2009/9/main" uri="{725AE2AE-9491-48be-B2B4-4EB974FC3084}">
      <x14:pivotCacheDefinition pivotCacheId="69496419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ele Klaumann" refreshedDate="45816.599914351849" createdVersion="8" refreshedVersion="8" minRefreshableVersion="3" recordCount="140" xr:uid="{1B99C764-843B-46EA-8054-87EAC24EF7F2}">
  <cacheSource type="worksheet">
    <worksheetSource name="Tabela13"/>
  </cacheSource>
  <cacheFields count="10">
    <cacheField name="Data" numFmtId="14">
      <sharedItems containsNonDate="0" containsDate="1" containsString="0" containsBlank="1" minDate="2025-05-02T00:00:00" maxDate="2025-05-31T00:00:00"/>
    </cacheField>
    <cacheField name="Dia" numFmtId="14">
      <sharedItems/>
    </cacheField>
    <cacheField name="SEMANA" numFmtId="4">
      <sharedItems containsBlank="1" count="10">
        <s v="SEMANA 18"/>
        <s v="SEMANA 19"/>
        <s v="SEMANA 20"/>
        <s v="SEMANA 21"/>
        <s v="SEMANA 22"/>
        <s v=""/>
        <m u="1"/>
        <s v="SEMANA 14" u="1"/>
        <s v="SEMANA 16" u="1"/>
        <s v="SEMANA 17" u="1"/>
      </sharedItems>
    </cacheField>
    <cacheField name="Mês" numFmtId="14">
      <sharedItems containsBlank="1" count="4">
        <s v="mai-25"/>
        <s v=""/>
        <m u="1"/>
        <s v="abr-25" u="1"/>
      </sharedItems>
    </cacheField>
    <cacheField name="Profissional" numFmtId="0">
      <sharedItems containsBlank="1" count="7">
        <s v="Franciele"/>
        <s v="Roberta"/>
        <s v="Ana"/>
        <s v="Carlos"/>
        <m/>
        <s v="Bruna" u="1"/>
        <s v="Camila" u="1"/>
      </sharedItems>
    </cacheField>
    <cacheField name="Área/ Processo" numFmtId="0">
      <sharedItems containsBlank="1"/>
    </cacheField>
    <cacheField name="Pendências" numFmtId="0">
      <sharedItems containsBlank="1" count="22">
        <s v="Pagamento em duplicidade"/>
        <s v="Diferença em extrato"/>
        <s v="Nota emitida incorretamente"/>
        <s v="Cliente inadimplente"/>
        <s v="Falta de documento fiscal"/>
        <s v="Débito não identificado"/>
        <s v="Pagamento fora do prazo"/>
        <s v="NF cancelada indevidamente"/>
        <s v="Erro no lançamento da receita"/>
        <s v="Falha na aprovação de pagamento"/>
        <s v="Falta de documentação"/>
        <s v="Valor pago divergente"/>
        <s v="Cancelamento indevido"/>
        <s v="Atraso na emissão da NF"/>
        <s v="Divergência no valor faturado"/>
        <s v="Erro na descrição do produto"/>
        <s v="Saldo insuficiente"/>
        <s v="Falha na previsão de fluxo"/>
        <s v="Erro na conciliação"/>
        <s v="Transferência pendente"/>
        <s v="Falha no registro de despesas"/>
        <m/>
      </sharedItems>
    </cacheField>
    <cacheField name="Unidade/ Empresa" numFmtId="0">
      <sharedItems containsBlank="1" count="4">
        <s v="Matriz"/>
        <s v="Filial Joinville"/>
        <s v="São Paulo"/>
        <m/>
      </sharedItems>
    </cacheField>
    <cacheField name="Faturamento" numFmtId="0">
      <sharedItems count="3">
        <s v="NÃO"/>
        <s v="SIM"/>
        <s v=""/>
      </sharedItems>
    </cacheField>
    <cacheField name="Descrição (Comentários)" numFmtId="0">
      <sharedItems containsBlank="1" count="22">
        <s v="Fornecedor XYZ foi pago duas vezes por erro no lançamento da nota fiscal."/>
        <s v="Valor de R$ 1.500,00 não consta no extrato bancário do dia 06/05."/>
        <s v="NF com valor divergente do pedido aprovado pelo cliente."/>
        <s v="Cliente ABC atrasou pagamento de fatura vencida em 05/05/2025."/>
        <s v="Pagamento realizado sem nota fiscal correspondente."/>
        <s v="Débito de R$ 750,00 não identificado na conta bancária do dia 13/05."/>
        <s v="Pagamento do fornecedor XYZ realizado com 5 dias de atraso."/>
        <s v="Nota fiscal cancelada após o cliente confirmar pagamento."/>
        <s v="Receita de venda lançada em conta errada no sistema financeiro."/>
        <s v="Pagamento liberado sem aprovação da gerência financeira."/>
        <s v="Nota fiscal faltando para pagamento do fornecedor ABC."/>
        <s v="Pagamento efetuado com valor diferente do acordado na nota fiscal."/>
        <s v="Pagamento cancelado sem autorização, gerando atraso no processo financeiro."/>
        <s v="Emissão da nota fiscal atrasada, comprometendo o prazo de entrega."/>
        <s v="Valor faturado diferente do contrato assinado com o cliente."/>
        <s v="Produto descrito incorretamente na nota fiscal, gerando confusão no cliente."/>
        <s v="Saldo em conta insuficiente para pagamento programado no dia 05/05."/>
        <s v="Previsão de caixa incorreta, causando dificuldades no pagamento de fornecedores."/>
        <s v="Divergência entre o saldo contábil e bancário detectada na conciliação."/>
        <s v="Transferência interbancária não confirmada no sistema até o horário limite."/>
        <s v="Despesas do mês de maio não lançadas corretamente no sistema financeiro."/>
        <m/>
      </sharedItems>
    </cacheField>
  </cacheFields>
  <extLst>
    <ext xmlns:x14="http://schemas.microsoft.com/office/spreadsheetml/2009/9/main" uri="{725AE2AE-9491-48be-B2B4-4EB974FC3084}">
      <x14:pivotCacheDefinition pivotCacheId="109799210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ele Klaumann" refreshedDate="45816.600685763886" createdVersion="8" refreshedVersion="8" minRefreshableVersion="3" recordCount="141" xr:uid="{A1FC24B7-7B3E-4DFA-92C2-D6FCF074F06C}">
  <cacheSource type="worksheet">
    <worksheetSource name="Tabela1"/>
  </cacheSource>
  <cacheFields count="9">
    <cacheField name="Data" numFmtId="14">
      <sharedItems containsNonDate="0" containsDate="1" containsString="0" containsBlank="1" minDate="2025-04-01T00:00:00" maxDate="2025-05-31T00:00:00"/>
    </cacheField>
    <cacheField name="Dia" numFmtId="14">
      <sharedItems/>
    </cacheField>
    <cacheField name="SEMANA" numFmtId="4">
      <sharedItems/>
    </cacheField>
    <cacheField name="Mês" numFmtId="14">
      <sharedItems/>
    </cacheField>
    <cacheField name="Profissional" numFmtId="0">
      <sharedItems containsBlank="1"/>
    </cacheField>
    <cacheField name="Área/ Processo" numFmtId="0">
      <sharedItems containsBlank="1"/>
    </cacheField>
    <cacheField name="Pendências" numFmtId="0">
      <sharedItems containsBlank="1"/>
    </cacheField>
    <cacheField name="Unidade/ Empresa" numFmtId="0">
      <sharedItems containsBlank="1" count="4">
        <s v="Matriz"/>
        <s v="Filial Joinville"/>
        <s v="São Paulo"/>
        <m/>
      </sharedItems>
    </cacheField>
    <cacheField name="Descrição da Ocorrência" numFmtId="0">
      <sharedItems containsBlank="1" count="22">
        <s v="Fornecedor XYZ foi pago duas vezes por erro no lançamento da nota fiscal."/>
        <s v="Valor de R$ 1.500,00 não consta no extrato bancário do dia 06/05."/>
        <s v="NF com valor divergente do pedido aprovado pelo cliente."/>
        <s v="Cliente ABC atrasou pagamento de fatura vencida em 05/05/2025."/>
        <s v="Pagamento realizado sem nota fiscal correspondente."/>
        <s v="Débito de R$ 750,00 não identificado na conta bancária do dia 13/05."/>
        <s v="Pagamento do fornecedor XYZ realizado com 5 dias de atraso."/>
        <s v="Nota fiscal cancelada após o cliente confirmar pagamento."/>
        <s v="Receita de venda lançada em conta errada no sistema financeiro."/>
        <s v="Pagamento liberado sem aprovação da gerência financeira."/>
        <s v="Nota fiscal faltando para pagamento do fornecedor ABC."/>
        <s v="Pagamento efetuado com valor diferente do acordado na nota fiscal."/>
        <s v="Pagamento cancelado sem autorização, gerando atraso no processo financeiro."/>
        <s v="Emissão da nota fiscal atrasada, comprometendo o prazo de entrega."/>
        <s v="Valor faturado diferente do contrato assinado com o cliente."/>
        <s v="Produto descrito incorretamente na nota fiscal, gerando confusão no cliente."/>
        <s v="Saldo em conta insuficiente para pagamento programado no dia 05/05."/>
        <s v="Previsão de caixa incorreta, causando dificuldades no pagamento de fornecedores."/>
        <s v="Divergência entre o saldo contábil e bancário detectada na conciliação."/>
        <s v="Transferência interbancária não confirmada no sistema até o horário limite."/>
        <s v="Despesas do mês de maio não lançadas corretamente no sistema financeiro."/>
        <m/>
      </sharedItems>
    </cacheField>
  </cacheFields>
  <extLst>
    <ext xmlns:x14="http://schemas.microsoft.com/office/spreadsheetml/2009/9/main" uri="{725AE2AE-9491-48be-B2B4-4EB974FC3084}">
      <x14:pivotCacheDefinition pivotCacheId="1270043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d v="2025-04-01T00:00:00"/>
    <s v="ter"/>
    <x v="0"/>
    <x v="0"/>
    <x v="0"/>
    <x v="0"/>
    <s v="Pagamento em duplicidade"/>
    <x v="0"/>
    <s v="Fornecedor XYZ foi pago duas vezes por erro no lançamento da nota fiscal."/>
  </r>
  <r>
    <d v="2025-04-07T00:00:00"/>
    <s v="seg"/>
    <x v="1"/>
    <x v="0"/>
    <x v="1"/>
    <x v="1"/>
    <s v="Diferença em extrato"/>
    <x v="1"/>
    <s v="Valor de R$ 1.500,00 não consta no extrato bancário do dia 06/05."/>
  </r>
  <r>
    <d v="2025-05-15T00:00:00"/>
    <s v="qui"/>
    <x v="2"/>
    <x v="1"/>
    <x v="2"/>
    <x v="2"/>
    <s v="Nota emitida incorretamente"/>
    <x v="2"/>
    <s v="NF com valor divergente do pedido aprovado pelo cliente."/>
  </r>
  <r>
    <d v="2025-05-09T00:00:00"/>
    <s v="sex"/>
    <x v="3"/>
    <x v="1"/>
    <x v="0"/>
    <x v="3"/>
    <s v="Cliente inadimplente"/>
    <x v="0"/>
    <s v="Cliente ABC atrasou pagamento de fatura vencida em 05/05/2025."/>
  </r>
  <r>
    <d v="2025-05-12T00:00:00"/>
    <s v="seg"/>
    <x v="2"/>
    <x v="1"/>
    <x v="0"/>
    <x v="4"/>
    <s v="Falta de documento fiscal"/>
    <x v="1"/>
    <s v="Pagamento realizado sem nota fiscal correspondente."/>
  </r>
  <r>
    <d v="2025-05-14T00:00:00"/>
    <s v="qua"/>
    <x v="2"/>
    <x v="1"/>
    <x v="0"/>
    <x v="1"/>
    <s v="Débito não identificado"/>
    <x v="0"/>
    <s v="Débito de R$ 750,00 não identificado na conta bancária do dia 13/05."/>
  </r>
  <r>
    <d v="2025-05-19T00:00:00"/>
    <s v="seg"/>
    <x v="4"/>
    <x v="1"/>
    <x v="0"/>
    <x v="0"/>
    <s v="Pagamento fora do prazo"/>
    <x v="1"/>
    <s v="Pagamento do fornecedor XYZ realizado com 5 dias de atraso."/>
  </r>
  <r>
    <d v="2025-05-20T00:00:00"/>
    <s v="ter"/>
    <x v="4"/>
    <x v="1"/>
    <x v="0"/>
    <x v="2"/>
    <s v="NF cancelada indevidamente"/>
    <x v="0"/>
    <s v="Nota fiscal cancelada após o cliente confirmar pagamento."/>
  </r>
  <r>
    <d v="2025-05-22T00:00:00"/>
    <s v="qui"/>
    <x v="4"/>
    <x v="1"/>
    <x v="0"/>
    <x v="3"/>
    <s v="Erro no lançamento da receita"/>
    <x v="2"/>
    <s v="Receita de venda lançada em conta errada no sistema financeiro."/>
  </r>
  <r>
    <d v="2025-05-26T00:00:00"/>
    <s v="seg"/>
    <x v="5"/>
    <x v="1"/>
    <x v="1"/>
    <x v="4"/>
    <s v="Falha na aprovação de pagamento"/>
    <x v="0"/>
    <s v="Pagamento liberado sem aprovação da gerência financeira."/>
  </r>
  <r>
    <d v="2025-05-02T00:00:00"/>
    <s v="sex"/>
    <x v="6"/>
    <x v="1"/>
    <x v="2"/>
    <x v="0"/>
    <s v="Pagamento em duplicidade"/>
    <x v="0"/>
    <s v="Fornecedor XYZ foi pago duas vezes por erro no lançamento da nota fiscal."/>
  </r>
  <r>
    <d v="2025-05-19T00:00:00"/>
    <s v="seg"/>
    <x v="4"/>
    <x v="1"/>
    <x v="0"/>
    <x v="0"/>
    <s v="Pagamento fora do prazo"/>
    <x v="1"/>
    <s v="Pagamento do fornecedor XYZ realizado com 5 dias de atraso."/>
  </r>
  <r>
    <d v="2025-05-27T00:00:00"/>
    <s v="ter"/>
    <x v="5"/>
    <x v="1"/>
    <x v="0"/>
    <x v="0"/>
    <s v="Falta de documentação"/>
    <x v="0"/>
    <s v="Nota fiscal faltando para pagamento do fornecedor ABC."/>
  </r>
  <r>
    <d v="2025-05-29T00:00:00"/>
    <s v="qui"/>
    <x v="5"/>
    <x v="1"/>
    <x v="0"/>
    <x v="0"/>
    <s v="Valor pago divergente"/>
    <x v="1"/>
    <s v="Pagamento efetuado com valor diferente do acordado na nota fiscal."/>
  </r>
  <r>
    <d v="2025-05-30T00:00:00"/>
    <s v="sex"/>
    <x v="5"/>
    <x v="1"/>
    <x v="1"/>
    <x v="0"/>
    <s v="Cancelamento indevido"/>
    <x v="0"/>
    <s v="Pagamento cancelado sem autorização, gerando atraso no processo financeiro."/>
  </r>
  <r>
    <d v="2025-05-15T00:00:00"/>
    <s v="qui"/>
    <x v="2"/>
    <x v="1"/>
    <x v="2"/>
    <x v="2"/>
    <s v="Nota emitida incorretamente"/>
    <x v="2"/>
    <s v="NF com valor divergente do pedido aprovado pelo cliente."/>
  </r>
  <r>
    <d v="2025-05-20T00:00:00"/>
    <s v="ter"/>
    <x v="4"/>
    <x v="1"/>
    <x v="1"/>
    <x v="2"/>
    <s v="NF cancelada indevidamente"/>
    <x v="0"/>
    <s v="Nota fiscal cancelada após o cliente confirmar pagamento."/>
  </r>
  <r>
    <d v="2025-05-22T00:00:00"/>
    <s v="qui"/>
    <x v="4"/>
    <x v="1"/>
    <x v="2"/>
    <x v="2"/>
    <s v="Atraso na emissão da NF"/>
    <x v="1"/>
    <s v="Emissão da nota fiscal atrasada, comprometendo o prazo de entrega."/>
  </r>
  <r>
    <d v="2025-05-26T00:00:00"/>
    <s v="seg"/>
    <x v="5"/>
    <x v="1"/>
    <x v="1"/>
    <x v="2"/>
    <s v="Divergência no valor faturado"/>
    <x v="0"/>
    <s v="Valor faturado diferente do contrato assinado com o cliente."/>
  </r>
  <r>
    <d v="2025-05-28T00:00:00"/>
    <s v="qua"/>
    <x v="5"/>
    <x v="1"/>
    <x v="2"/>
    <x v="2"/>
    <s v="Erro na descrição do produto"/>
    <x v="2"/>
    <s v="Produto descrito incorretamente na nota fiscal, gerando confusão no cliente."/>
  </r>
  <r>
    <d v="2025-05-05T00:00:00"/>
    <s v="seg"/>
    <x v="3"/>
    <x v="1"/>
    <x v="3"/>
    <x v="5"/>
    <s v="Saldo insuficiente"/>
    <x v="0"/>
    <s v="Saldo em conta insuficiente para pagamento programado no dia 05/05."/>
  </r>
  <r>
    <d v="2025-05-11T00:00:00"/>
    <s v="dom"/>
    <x v="3"/>
    <x v="1"/>
    <x v="3"/>
    <x v="5"/>
    <s v="Falha na previsão de fluxo"/>
    <x v="1"/>
    <s v="Previsão de caixa incorreta, causando dificuldades no pagamento de fornecedores."/>
  </r>
  <r>
    <d v="2025-05-16T00:00:00"/>
    <s v="sex"/>
    <x v="2"/>
    <x v="1"/>
    <x v="3"/>
    <x v="5"/>
    <s v="Erro na conciliação"/>
    <x v="0"/>
    <s v="Divergência entre o saldo contábil e bancário detectada na conciliação."/>
  </r>
  <r>
    <d v="2025-05-21T00:00:00"/>
    <s v="qua"/>
    <x v="4"/>
    <x v="1"/>
    <x v="3"/>
    <x v="5"/>
    <s v="Transferência pendente"/>
    <x v="1"/>
    <s v="Transferência interbancária não confirmada no sistema até o horário limite."/>
  </r>
  <r>
    <d v="2025-05-30T00:00:00"/>
    <s v="sex"/>
    <x v="5"/>
    <x v="1"/>
    <x v="3"/>
    <x v="5"/>
    <s v="Falha no registro de despesas"/>
    <x v="0"/>
    <s v="Despesas do mês de maio não lançadas corretamente no sistema financeiro."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s v=""/>
    <x v="7"/>
    <x v="2"/>
    <x v="4"/>
    <x v="6"/>
    <m/>
    <x v="3"/>
    <m/>
  </r>
  <r>
    <m/>
    <m/>
    <x v="8"/>
    <x v="3"/>
    <x v="4"/>
    <x v="6"/>
    <m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d v="2025-05-02T00:00:00"/>
    <s v="sex"/>
    <x v="0"/>
    <x v="0"/>
    <x v="0"/>
    <s v="Contas a Pagar"/>
    <x v="0"/>
    <x v="0"/>
    <x v="0"/>
    <x v="0"/>
  </r>
  <r>
    <d v="2025-05-07T00:00:00"/>
    <s v="qua"/>
    <x v="1"/>
    <x v="0"/>
    <x v="1"/>
    <s v="Conciliação Bancária"/>
    <x v="1"/>
    <x v="1"/>
    <x v="0"/>
    <x v="1"/>
  </r>
  <r>
    <d v="2025-05-15T00:00:00"/>
    <s v="qui"/>
    <x v="2"/>
    <x v="0"/>
    <x v="2"/>
    <s v="Faturamento"/>
    <x v="2"/>
    <x v="2"/>
    <x v="1"/>
    <x v="2"/>
  </r>
  <r>
    <d v="2025-05-09T00:00:00"/>
    <s v="sex"/>
    <x v="1"/>
    <x v="0"/>
    <x v="0"/>
    <s v="Contas a Receber"/>
    <x v="3"/>
    <x v="0"/>
    <x v="0"/>
    <x v="3"/>
  </r>
  <r>
    <d v="2025-05-12T00:00:00"/>
    <s v="seg"/>
    <x v="2"/>
    <x v="0"/>
    <x v="0"/>
    <s v="Pagamentos"/>
    <x v="4"/>
    <x v="1"/>
    <x v="0"/>
    <x v="4"/>
  </r>
  <r>
    <d v="2025-05-14T00:00:00"/>
    <s v="qua"/>
    <x v="2"/>
    <x v="0"/>
    <x v="0"/>
    <s v="Conciliação Bancária"/>
    <x v="5"/>
    <x v="0"/>
    <x v="0"/>
    <x v="5"/>
  </r>
  <r>
    <d v="2025-05-19T00:00:00"/>
    <s v="seg"/>
    <x v="3"/>
    <x v="0"/>
    <x v="0"/>
    <s v="Contas a Pagar"/>
    <x v="6"/>
    <x v="1"/>
    <x v="0"/>
    <x v="6"/>
  </r>
  <r>
    <d v="2025-05-20T00:00:00"/>
    <s v="ter"/>
    <x v="3"/>
    <x v="0"/>
    <x v="0"/>
    <s v="Faturamento"/>
    <x v="7"/>
    <x v="0"/>
    <x v="1"/>
    <x v="7"/>
  </r>
  <r>
    <d v="2025-05-22T00:00:00"/>
    <s v="qui"/>
    <x v="3"/>
    <x v="0"/>
    <x v="0"/>
    <s v="Contas a Receber"/>
    <x v="8"/>
    <x v="2"/>
    <x v="0"/>
    <x v="8"/>
  </r>
  <r>
    <d v="2025-05-26T00:00:00"/>
    <s v="seg"/>
    <x v="4"/>
    <x v="0"/>
    <x v="1"/>
    <s v="Pagamentos"/>
    <x v="9"/>
    <x v="0"/>
    <x v="0"/>
    <x v="9"/>
  </r>
  <r>
    <d v="2025-05-02T00:00:00"/>
    <s v="sex"/>
    <x v="0"/>
    <x v="0"/>
    <x v="2"/>
    <s v="Contas a Pagar"/>
    <x v="0"/>
    <x v="0"/>
    <x v="0"/>
    <x v="0"/>
  </r>
  <r>
    <d v="2025-05-19T00:00:00"/>
    <s v="seg"/>
    <x v="3"/>
    <x v="0"/>
    <x v="0"/>
    <s v="Contas a Pagar"/>
    <x v="6"/>
    <x v="1"/>
    <x v="0"/>
    <x v="6"/>
  </r>
  <r>
    <d v="2025-05-27T00:00:00"/>
    <s v="ter"/>
    <x v="4"/>
    <x v="0"/>
    <x v="0"/>
    <s v="Contas a Pagar"/>
    <x v="10"/>
    <x v="0"/>
    <x v="0"/>
    <x v="10"/>
  </r>
  <r>
    <d v="2025-05-29T00:00:00"/>
    <s v="qui"/>
    <x v="4"/>
    <x v="0"/>
    <x v="0"/>
    <s v="Contas a Pagar"/>
    <x v="11"/>
    <x v="1"/>
    <x v="0"/>
    <x v="11"/>
  </r>
  <r>
    <d v="2025-05-30T00:00:00"/>
    <s v="sex"/>
    <x v="4"/>
    <x v="0"/>
    <x v="1"/>
    <s v="Contas a Pagar"/>
    <x v="12"/>
    <x v="0"/>
    <x v="0"/>
    <x v="12"/>
  </r>
  <r>
    <d v="2025-05-15T00:00:00"/>
    <s v="qui"/>
    <x v="2"/>
    <x v="0"/>
    <x v="2"/>
    <s v="Faturamento"/>
    <x v="2"/>
    <x v="2"/>
    <x v="1"/>
    <x v="2"/>
  </r>
  <r>
    <d v="2025-05-20T00:00:00"/>
    <s v="ter"/>
    <x v="3"/>
    <x v="0"/>
    <x v="1"/>
    <s v="Faturamento"/>
    <x v="7"/>
    <x v="0"/>
    <x v="1"/>
    <x v="7"/>
  </r>
  <r>
    <d v="2025-05-22T00:00:00"/>
    <s v="qui"/>
    <x v="3"/>
    <x v="0"/>
    <x v="2"/>
    <s v="Faturamento"/>
    <x v="13"/>
    <x v="1"/>
    <x v="1"/>
    <x v="13"/>
  </r>
  <r>
    <d v="2025-05-26T00:00:00"/>
    <s v="seg"/>
    <x v="4"/>
    <x v="0"/>
    <x v="1"/>
    <s v="Faturamento"/>
    <x v="14"/>
    <x v="0"/>
    <x v="1"/>
    <x v="14"/>
  </r>
  <r>
    <d v="2025-05-28T00:00:00"/>
    <s v="qua"/>
    <x v="4"/>
    <x v="0"/>
    <x v="2"/>
    <s v="Faturamento"/>
    <x v="15"/>
    <x v="2"/>
    <x v="1"/>
    <x v="15"/>
  </r>
  <r>
    <d v="2025-05-05T00:00:00"/>
    <s v="seg"/>
    <x v="1"/>
    <x v="0"/>
    <x v="3"/>
    <s v="Tesouraria"/>
    <x v="16"/>
    <x v="0"/>
    <x v="0"/>
    <x v="16"/>
  </r>
  <r>
    <d v="2025-05-11T00:00:00"/>
    <s v="dom"/>
    <x v="1"/>
    <x v="0"/>
    <x v="3"/>
    <s v="Tesouraria"/>
    <x v="17"/>
    <x v="1"/>
    <x v="0"/>
    <x v="17"/>
  </r>
  <r>
    <d v="2025-05-16T00:00:00"/>
    <s v="sex"/>
    <x v="2"/>
    <x v="0"/>
    <x v="3"/>
    <s v="Tesouraria"/>
    <x v="18"/>
    <x v="0"/>
    <x v="0"/>
    <x v="18"/>
  </r>
  <r>
    <d v="2025-05-21T00:00:00"/>
    <s v="qua"/>
    <x v="3"/>
    <x v="0"/>
    <x v="3"/>
    <s v="Tesouraria"/>
    <x v="19"/>
    <x v="1"/>
    <x v="0"/>
    <x v="19"/>
  </r>
  <r>
    <d v="2025-05-30T00:00:00"/>
    <s v="sex"/>
    <x v="4"/>
    <x v="0"/>
    <x v="3"/>
    <s v="Tesouraria"/>
    <x v="20"/>
    <x v="0"/>
    <x v="0"/>
    <x v="20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  <r>
    <m/>
    <s v=""/>
    <x v="5"/>
    <x v="1"/>
    <x v="4"/>
    <m/>
    <x v="21"/>
    <x v="3"/>
    <x v="2"/>
    <x v="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d v="2025-04-01T00:00:00"/>
    <s v="ter"/>
    <s v="SEMANA 14"/>
    <s v="abr-25"/>
    <s v="Franciele"/>
    <s v="Contas a Pagar"/>
    <s v="Pagamento em duplicidade"/>
    <x v="0"/>
    <x v="0"/>
  </r>
  <r>
    <d v="2025-04-07T00:00:00"/>
    <s v="seg"/>
    <s v="SEMANA 15"/>
    <s v="abr-25"/>
    <s v="Roberta"/>
    <s v="Conciliação Bancária"/>
    <s v="Diferença em extrato"/>
    <x v="1"/>
    <x v="1"/>
  </r>
  <r>
    <d v="2025-05-15T00:00:00"/>
    <s v="qui"/>
    <s v="SEMANA 20"/>
    <s v="mai-25"/>
    <s v="Ana"/>
    <s v="Faturamento"/>
    <s v="Nota emitida incorretamente"/>
    <x v="2"/>
    <x v="2"/>
  </r>
  <r>
    <d v="2025-05-09T00:00:00"/>
    <s v="sex"/>
    <s v="SEMANA 19"/>
    <s v="mai-25"/>
    <s v="Franciele"/>
    <s v="Contas a Receber"/>
    <s v="Cliente inadimplente"/>
    <x v="0"/>
    <x v="3"/>
  </r>
  <r>
    <d v="2025-05-12T00:00:00"/>
    <s v="seg"/>
    <s v="SEMANA 20"/>
    <s v="mai-25"/>
    <s v="Franciele"/>
    <s v="Pagamentos"/>
    <s v="Falta de documento fiscal"/>
    <x v="1"/>
    <x v="4"/>
  </r>
  <r>
    <d v="2025-05-14T00:00:00"/>
    <s v="qua"/>
    <s v="SEMANA 20"/>
    <s v="mai-25"/>
    <s v="Franciele"/>
    <s v="Conciliação Bancária"/>
    <s v="Débito não identificado"/>
    <x v="0"/>
    <x v="5"/>
  </r>
  <r>
    <d v="2025-05-19T00:00:00"/>
    <s v="seg"/>
    <s v="SEMANA 21"/>
    <s v="mai-25"/>
    <s v="Franciele"/>
    <s v="Contas a Pagar"/>
    <s v="Pagamento fora do prazo"/>
    <x v="1"/>
    <x v="6"/>
  </r>
  <r>
    <d v="2025-05-20T00:00:00"/>
    <s v="ter"/>
    <s v="SEMANA 21"/>
    <s v="mai-25"/>
    <s v="Franciele"/>
    <s v="Faturamento"/>
    <s v="NF cancelada indevidamente"/>
    <x v="0"/>
    <x v="7"/>
  </r>
  <r>
    <d v="2025-05-22T00:00:00"/>
    <s v="qui"/>
    <s v="SEMANA 21"/>
    <s v="mai-25"/>
    <s v="Franciele"/>
    <s v="Contas a Receber"/>
    <s v="Erro no lançamento da receita"/>
    <x v="2"/>
    <x v="8"/>
  </r>
  <r>
    <d v="2025-05-26T00:00:00"/>
    <s v="seg"/>
    <s v="SEMANA 22"/>
    <s v="mai-25"/>
    <s v="Roberta"/>
    <s v="Pagamentos"/>
    <s v="Falha na aprovação de pagamento"/>
    <x v="0"/>
    <x v="9"/>
  </r>
  <r>
    <d v="2025-05-02T00:00:00"/>
    <s v="sex"/>
    <s v="SEMANA 18"/>
    <s v="mai-25"/>
    <s v="Ana"/>
    <s v="Contas a Pagar"/>
    <s v="Pagamento em duplicidade"/>
    <x v="0"/>
    <x v="0"/>
  </r>
  <r>
    <d v="2025-05-19T00:00:00"/>
    <s v="seg"/>
    <s v="SEMANA 21"/>
    <s v="mai-25"/>
    <s v="Franciele"/>
    <s v="Contas a Pagar"/>
    <s v="Pagamento fora do prazo"/>
    <x v="1"/>
    <x v="6"/>
  </r>
  <r>
    <d v="2025-05-27T00:00:00"/>
    <s v="ter"/>
    <s v="SEMANA 22"/>
    <s v="mai-25"/>
    <s v="Franciele"/>
    <s v="Contas a Pagar"/>
    <s v="Falta de documentação"/>
    <x v="0"/>
    <x v="10"/>
  </r>
  <r>
    <d v="2025-05-29T00:00:00"/>
    <s v="qui"/>
    <s v="SEMANA 22"/>
    <s v="mai-25"/>
    <s v="Franciele"/>
    <s v="Contas a Pagar"/>
    <s v="Valor pago divergente"/>
    <x v="1"/>
    <x v="11"/>
  </r>
  <r>
    <d v="2025-05-30T00:00:00"/>
    <s v="sex"/>
    <s v="SEMANA 22"/>
    <s v="mai-25"/>
    <s v="Roberta"/>
    <s v="Contas a Pagar"/>
    <s v="Cancelamento indevido"/>
    <x v="0"/>
    <x v="12"/>
  </r>
  <r>
    <d v="2025-05-15T00:00:00"/>
    <s v="qui"/>
    <s v="SEMANA 20"/>
    <s v="mai-25"/>
    <s v="Ana"/>
    <s v="Faturamento"/>
    <s v="Nota emitida incorretamente"/>
    <x v="2"/>
    <x v="2"/>
  </r>
  <r>
    <d v="2025-05-20T00:00:00"/>
    <s v="ter"/>
    <s v="SEMANA 21"/>
    <s v="mai-25"/>
    <s v="Roberta"/>
    <s v="Faturamento"/>
    <s v="NF cancelada indevidamente"/>
    <x v="0"/>
    <x v="7"/>
  </r>
  <r>
    <d v="2025-05-22T00:00:00"/>
    <s v="qui"/>
    <s v="SEMANA 21"/>
    <s v="mai-25"/>
    <s v="Ana"/>
    <s v="Faturamento"/>
    <s v="Atraso na emissão da NF"/>
    <x v="1"/>
    <x v="13"/>
  </r>
  <r>
    <d v="2025-05-26T00:00:00"/>
    <s v="seg"/>
    <s v="SEMANA 22"/>
    <s v="mai-25"/>
    <s v="Roberta"/>
    <s v="Faturamento"/>
    <s v="Divergência no valor faturado"/>
    <x v="0"/>
    <x v="14"/>
  </r>
  <r>
    <d v="2025-05-28T00:00:00"/>
    <s v="qua"/>
    <s v="SEMANA 22"/>
    <s v="mai-25"/>
    <s v="Ana"/>
    <s v="Faturamento"/>
    <s v="Erro na descrição do produto"/>
    <x v="2"/>
    <x v="15"/>
  </r>
  <r>
    <d v="2025-05-05T00:00:00"/>
    <s v="seg"/>
    <s v="SEMANA 19"/>
    <s v="mai-25"/>
    <s v="Carlos"/>
    <s v="Tesouraria"/>
    <s v="Saldo insuficiente"/>
    <x v="0"/>
    <x v="16"/>
  </r>
  <r>
    <d v="2025-05-11T00:00:00"/>
    <s v="dom"/>
    <s v="SEMANA 19"/>
    <s v="mai-25"/>
    <s v="Carlos"/>
    <s v="Tesouraria"/>
    <s v="Falha na previsão de fluxo"/>
    <x v="1"/>
    <x v="17"/>
  </r>
  <r>
    <d v="2025-05-16T00:00:00"/>
    <s v="sex"/>
    <s v="SEMANA 20"/>
    <s v="mai-25"/>
    <s v="Carlos"/>
    <s v="Tesouraria"/>
    <s v="Erro na conciliação"/>
    <x v="0"/>
    <x v="18"/>
  </r>
  <r>
    <d v="2025-05-21T00:00:00"/>
    <s v="qua"/>
    <s v="SEMANA 21"/>
    <s v="mai-25"/>
    <s v="Carlos"/>
    <s v="Tesouraria"/>
    <s v="Transferência pendente"/>
    <x v="1"/>
    <x v="19"/>
  </r>
  <r>
    <d v="2025-05-30T00:00:00"/>
    <s v="sex"/>
    <s v="SEMANA 22"/>
    <s v="mai-25"/>
    <s v="Carlos"/>
    <s v="Tesouraria"/>
    <s v="Falha no registro de despesas"/>
    <x v="0"/>
    <x v="20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  <r>
    <m/>
    <s v=""/>
    <s v=""/>
    <s v=""/>
    <m/>
    <m/>
    <m/>
    <x v="3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72F65-4C27-42CD-BEEC-7239E075F3C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B8" firstHeaderRow="1" firstDataRow="1" firstDataCol="1"/>
  <pivotFields count="9">
    <pivotField showAll="0"/>
    <pivotField showAll="0"/>
    <pivotField showAll="0">
      <items count="12">
        <item x="7"/>
        <item x="0"/>
        <item x="1"/>
        <item m="1" x="9"/>
        <item m="1" x="10"/>
        <item x="6"/>
        <item x="3"/>
        <item x="2"/>
        <item x="4"/>
        <item x="5"/>
        <item x="8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26">
        <item m="1" x="19"/>
        <item x="2"/>
        <item m="1" x="6"/>
        <item m="1" x="7"/>
        <item x="3"/>
        <item m="1" x="15"/>
        <item m="1" x="23"/>
        <item m="1" x="10"/>
        <item x="0"/>
        <item m="1" x="22"/>
        <item m="1" x="8"/>
        <item m="1" x="13"/>
        <item m="1" x="17"/>
        <item m="1" x="14"/>
        <item m="1" x="21"/>
        <item m="1" x="5"/>
        <item m="1" x="20"/>
        <item m="1" x="24"/>
        <item x="1"/>
        <item m="1" x="12"/>
        <item m="1" x="11"/>
        <item m="1" x="16"/>
        <item m="1" x="9"/>
        <item m="1" x="18"/>
        <item h="1" x="4"/>
        <item t="default"/>
      </items>
    </pivotField>
    <pivotField axis="axisRow" dataField="1" showAll="0">
      <items count="8">
        <item x="1"/>
        <item x="0"/>
        <item x="3"/>
        <item x="2"/>
        <item x="4"/>
        <item x="5"/>
        <item x="6"/>
        <item t="default"/>
      </items>
    </pivotField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Área/ Processo" fld="5" subtotal="count" baseField="0" baseItem="0"/>
  </dataFields>
  <chartFormats count="16">
    <chartFormat chart="5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3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3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5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B0761-EC17-4C67-B169-E3D326C4DB2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B8" firstHeaderRow="1" firstDataRow="1" firstDataCol="1"/>
  <pivotFields count="9">
    <pivotField showAll="0"/>
    <pivotField showAll="0"/>
    <pivotField showAll="0">
      <items count="12">
        <item x="7"/>
        <item x="0"/>
        <item x="1"/>
        <item m="1" x="9"/>
        <item m="1" x="10"/>
        <item x="6"/>
        <item x="3"/>
        <item x="2"/>
        <item x="4"/>
        <item x="5"/>
        <item x="8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26">
        <item m="1" x="19"/>
        <item x="2"/>
        <item m="1" x="6"/>
        <item m="1" x="7"/>
        <item x="3"/>
        <item m="1" x="15"/>
        <item m="1" x="23"/>
        <item m="1" x="10"/>
        <item x="0"/>
        <item m="1" x="22"/>
        <item m="1" x="8"/>
        <item m="1" x="13"/>
        <item m="1" x="17"/>
        <item m="1" x="14"/>
        <item m="1" x="21"/>
        <item m="1" x="5"/>
        <item m="1" x="20"/>
        <item m="1" x="24"/>
        <item x="1"/>
        <item m="1" x="12"/>
        <item m="1" x="11"/>
        <item m="1" x="16"/>
        <item m="1" x="9"/>
        <item m="1" x="18"/>
        <item h="1" x="4"/>
        <item t="default"/>
      </items>
    </pivotField>
    <pivotField axis="axisRow" dataField="1" showAll="0">
      <items count="8">
        <item x="1"/>
        <item x="0"/>
        <item x="3"/>
        <item x="2"/>
        <item x="4"/>
        <item x="5"/>
        <item x="6"/>
        <item t="default"/>
      </items>
    </pivotField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Área/ Processo" fld="5" subtotal="count" baseField="0" baseItem="0"/>
  </dataFields>
  <chartFormats count="2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71A94-8ACC-4C94-8F03-CE9ACB98140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9">
    <pivotField showAll="0"/>
    <pivotField showAll="0"/>
    <pivotField showAll="0">
      <items count="12">
        <item x="7"/>
        <item x="0"/>
        <item x="1"/>
        <item m="1" x="9"/>
        <item m="1" x="10"/>
        <item x="6"/>
        <item x="3"/>
        <item x="2"/>
        <item x="4"/>
        <item x="5"/>
        <item x="8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26">
        <item m="1" x="19"/>
        <item x="2"/>
        <item m="1" x="6"/>
        <item m="1" x="7"/>
        <item x="3"/>
        <item m="1" x="15"/>
        <item m="1" x="23"/>
        <item m="1" x="10"/>
        <item x="0"/>
        <item m="1" x="22"/>
        <item m="1" x="8"/>
        <item m="1" x="13"/>
        <item m="1" x="17"/>
        <item m="1" x="14"/>
        <item m="1" x="21"/>
        <item m="1" x="5"/>
        <item m="1" x="20"/>
        <item m="1" x="24"/>
        <item x="1"/>
        <item m="1" x="12"/>
        <item m="1" x="11"/>
        <item m="1" x="16"/>
        <item m="1" x="9"/>
        <item m="1" x="18"/>
        <item h="1" x="4"/>
        <item t="default"/>
      </items>
    </pivotField>
    <pivotField showAll="0">
      <items count="8">
        <item x="1"/>
        <item x="0"/>
        <item x="3"/>
        <item x="2"/>
        <item x="4"/>
        <item x="5"/>
        <item x="6"/>
        <item t="default"/>
      </items>
    </pivotField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Unidade/ Empresa" fld="7" subtotal="count" baseField="0" baseItem="0"/>
  </dataFields>
  <chartFormats count="2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aptionNotEqual" evalOrder="-1" id="2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469BD-8C6B-4204-BA30-D89D6DC37114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A5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filters count="1">
    <filter fld="7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717CE-1B89-4B71-AD1F-3DC31B4854C1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:B23" firstHeaderRow="1" firstDataRow="1" firstDataCol="1"/>
  <pivotFields count="10">
    <pivotField showAll="0"/>
    <pivotField showAll="0"/>
    <pivotField showAll="0"/>
    <pivotField showAll="0"/>
    <pivotField showAll="0">
      <items count="8">
        <item x="2"/>
        <item m="1" x="5"/>
        <item m="1" x="6"/>
        <item x="3"/>
        <item x="0"/>
        <item x="1"/>
        <item h="1" x="4"/>
        <item t="default"/>
      </items>
    </pivotField>
    <pivotField showAll="0"/>
    <pivotField axis="axisRow" dataField="1" showAll="0">
      <items count="23">
        <item x="13"/>
        <item x="12"/>
        <item x="3"/>
        <item x="5"/>
        <item x="1"/>
        <item x="14"/>
        <item x="18"/>
        <item x="15"/>
        <item x="8"/>
        <item x="9"/>
        <item x="17"/>
        <item x="20"/>
        <item x="10"/>
        <item x="4"/>
        <item x="7"/>
        <item x="2"/>
        <item x="0"/>
        <item x="6"/>
        <item x="16"/>
        <item x="19"/>
        <item x="11"/>
        <item x="21"/>
        <item t="default"/>
      </items>
    </pivotField>
    <pivotField showAll="0">
      <items count="5">
        <item x="1"/>
        <item x="0"/>
        <item x="2"/>
        <item h="1" x="3"/>
        <item t="default"/>
      </items>
    </pivotField>
    <pivotField showAll="0"/>
    <pivotField showAll="0"/>
  </pivotFields>
  <rowFields count="1">
    <field x="6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ntagem de Pendências" fld="6" subtotal="count" baseField="0" baseItem="0"/>
  </dataFields>
  <chartFormats count="25">
    <chartFormat chart="6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5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5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5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58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59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6" format="60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6" format="6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6" format="62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6" format="63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6" format="64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6" format="65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6" format="66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6" format="67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6" format="68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6" format="69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6" format="70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6" format="71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6" format="72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6" format="73">
      <pivotArea type="data" outline="0" fieldPosition="0">
        <references count="2">
          <reference field="4294967294" count="1" selected="0">
            <x v="0"/>
          </reference>
          <reference field="6" count="1" selected="0">
            <x v="19"/>
          </reference>
        </references>
      </pivotArea>
    </chartFormat>
    <chartFormat chart="6" format="74">
      <pivotArea type="data" outline="0" fieldPosition="0">
        <references count="2">
          <reference field="4294967294" count="1" selected="0">
            <x v="0"/>
          </reference>
          <reference field="6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D76AE-BC89-437B-AA2B-EA9AF27DC942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5" firstHeaderRow="1" firstDataRow="1" firstDataCol="1"/>
  <pivotFields count="10">
    <pivotField showAll="0"/>
    <pivotField showAll="0"/>
    <pivotField axis="axisRow" dataField="1" showAll="0">
      <items count="11">
        <item h="1" x="5"/>
        <item m="1" x="7"/>
        <item m="1" x="8"/>
        <item m="1" x="9"/>
        <item x="3"/>
        <item x="2"/>
        <item x="1"/>
        <item h="1" m="1" x="6"/>
        <item h="1" x="0"/>
        <item h="1" x="4"/>
        <item t="default"/>
      </items>
    </pivotField>
    <pivotField showAll="0"/>
    <pivotField showAll="0">
      <items count="8">
        <item x="2"/>
        <item m="1" x="5"/>
        <item m="1" x="6"/>
        <item x="3"/>
        <item x="0"/>
        <item x="1"/>
        <item h="1" x="4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/>
  </pivotFields>
  <rowFields count="1">
    <field x="2"/>
  </rowFields>
  <rowItems count="4">
    <i>
      <x v="4"/>
    </i>
    <i>
      <x v="5"/>
    </i>
    <i>
      <x v="6"/>
    </i>
    <i t="grand">
      <x/>
    </i>
  </rowItems>
  <colItems count="1">
    <i/>
  </colItems>
  <dataFields count="1">
    <dataField name="Contagem de SEMANA" fld="2" subtotal="count" baseField="0" baseItem="0"/>
  </dataFields>
  <chartFormats count="10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EC474-25EC-4F1F-81C4-DC39EDD33FE1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B3" firstHeaderRow="1" firstDataRow="1" firstDataCol="1"/>
  <pivotFields count="10">
    <pivotField showAll="0"/>
    <pivotField showAll="0"/>
    <pivotField showAll="0"/>
    <pivotField axis="axisRow" dataField="1" showAll="0">
      <items count="5">
        <item h="1" x="1"/>
        <item m="1" x="3"/>
        <item x="0"/>
        <item h="1" m="1" x="2"/>
        <item t="default"/>
      </items>
    </pivotField>
    <pivotField showAll="0">
      <items count="8">
        <item x="2"/>
        <item m="1" x="5"/>
        <item m="1" x="6"/>
        <item x="3"/>
        <item x="0"/>
        <item x="1"/>
        <item h="1" x="4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/>
  </pivotFields>
  <rowFields count="1">
    <field x="3"/>
  </rowFields>
  <rowItems count="2">
    <i>
      <x v="2"/>
    </i>
    <i t="grand">
      <x/>
    </i>
  </rowItems>
  <colItems count="1">
    <i/>
  </colItems>
  <dataFields count="1">
    <dataField name="Contagem de Mês" fld="3" subtotal="count" baseField="0" baseItem="0"/>
  </dataFields>
  <chartFormats count="6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94D0EB-DA92-46C8-8A1E-8AA9135E4F29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A1:B4" firstHeaderRow="1" firstDataRow="1" firstDataCol="1"/>
  <pivotFields count="10">
    <pivotField showAll="0"/>
    <pivotField showAll="0"/>
    <pivotField showAll="0"/>
    <pivotField showAll="0"/>
    <pivotField showAll="0">
      <items count="8">
        <item x="2"/>
        <item m="1" x="5"/>
        <item m="1" x="6"/>
        <item x="3"/>
        <item x="0"/>
        <item x="1"/>
        <item h="1" x="4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axis="axisRow" dataField="1" showAll="0">
      <items count="4">
        <item h="1" x="2"/>
        <item x="0"/>
        <item x="1"/>
        <item t="default"/>
      </items>
    </pivotField>
    <pivotField showAll="0"/>
  </pivotFields>
  <rowFields count="1">
    <field x="8"/>
  </rowFields>
  <rowItems count="3">
    <i>
      <x v="1"/>
    </i>
    <i>
      <x v="2"/>
    </i>
    <i t="grand">
      <x/>
    </i>
  </rowItems>
  <colItems count="1">
    <i/>
  </colItems>
  <dataFields count="1">
    <dataField name="Contagem de Faturamento" fld="8" subtotal="count" baseField="0" baseItem="0"/>
  </dataFields>
  <chartFormats count="8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0C125-7037-41A2-B9C1-5BC409B7E4FE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B5" firstHeaderRow="1" firstDataRow="1" firstDataCol="1"/>
  <pivotFields count="10">
    <pivotField showAll="0"/>
    <pivotField showAll="0"/>
    <pivotField showAll="0"/>
    <pivotField showAll="0"/>
    <pivotField showAll="0">
      <items count="8">
        <item x="2"/>
        <item m="1" x="5"/>
        <item m="1" x="6"/>
        <item x="3"/>
        <item x="0"/>
        <item x="1"/>
        <item h="1" x="4"/>
        <item t="default"/>
      </items>
    </pivotField>
    <pivotField showAll="0"/>
    <pivotField showAll="0"/>
    <pivotField axis="axisRow" dataField="1" showAll="0">
      <items count="5">
        <item x="1"/>
        <item x="0"/>
        <item x="2"/>
        <item h="1" x="3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Unidade/ Empresa" fld="7" subtotal="count" baseField="0" baseItem="0"/>
  </dataFields>
  <chartFormats count="7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6D0F1-E303-4EE0-AE91-E1B25B494DF3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6" firstHeaderRow="1" firstDataRow="1" firstDataCol="1"/>
  <pivotFields count="10">
    <pivotField showAll="0"/>
    <pivotField showAll="0"/>
    <pivotField showAll="0"/>
    <pivotField showAll="0"/>
    <pivotField axis="axisRow" dataField="1" showAll="0">
      <items count="8">
        <item m="1" x="5"/>
        <item m="1" x="6"/>
        <item x="1"/>
        <item h="1" x="4"/>
        <item x="0"/>
        <item x="2"/>
        <item x="3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showAll="0"/>
  </pivotFields>
  <rowFields count="1">
    <field x="4"/>
  </rowFields>
  <rowItems count="5"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Contagem de Profissional" fld="4" subtotal="count" baseField="0" baseItem="0"/>
  </dataFields>
  <chartFormats count="12"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747E6-6CA7-413C-9AAA-B44508714289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:B23" firstHeaderRow="1" firstDataRow="1" firstDataCol="1"/>
  <pivotFields count="10">
    <pivotField showAll="0"/>
    <pivotField showAll="0"/>
    <pivotField showAll="0"/>
    <pivotField showAll="0"/>
    <pivotField showAll="0">
      <items count="8">
        <item x="2"/>
        <item m="1" x="5"/>
        <item m="1" x="6"/>
        <item x="3"/>
        <item x="0"/>
        <item x="1"/>
        <item h="1" x="4"/>
        <item t="default"/>
      </items>
    </pivotField>
    <pivotField showAll="0"/>
    <pivotField showAll="0"/>
    <pivotField showAll="0">
      <items count="5">
        <item x="1"/>
        <item x="0"/>
        <item x="2"/>
        <item h="1" x="3"/>
        <item t="default"/>
      </items>
    </pivotField>
    <pivotField showAll="0"/>
    <pivotField axis="axisRow" dataField="1" showAll="0">
      <items count="23">
        <item x="3"/>
        <item x="5"/>
        <item x="20"/>
        <item x="18"/>
        <item x="13"/>
        <item x="0"/>
        <item x="2"/>
        <item x="7"/>
        <item x="10"/>
        <item x="12"/>
        <item x="6"/>
        <item x="11"/>
        <item x="9"/>
        <item x="4"/>
        <item x="17"/>
        <item x="15"/>
        <item x="8"/>
        <item x="16"/>
        <item x="19"/>
        <item x="1"/>
        <item x="14"/>
        <item x="21"/>
        <item t="default"/>
      </items>
    </pivotField>
  </pivotFields>
  <rowFields count="1">
    <field x="9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ntagem de Descrição (Comentários)" fld="9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C33FC6-7486-4025-8F52-09F719503DA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4" firstHeaderRow="1" firstDataRow="1" firstDataCol="1"/>
  <pivotFields count="9">
    <pivotField dataField="1" showAll="0"/>
    <pivotField showAll="0"/>
    <pivotField showAll="0">
      <items count="12">
        <item x="7"/>
        <item x="0"/>
        <item x="1"/>
        <item m="1" x="9"/>
        <item m="1" x="10"/>
        <item x="6"/>
        <item x="3"/>
        <item x="2"/>
        <item x="4"/>
        <item x="5"/>
        <item x="8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26">
        <item m="1" x="19"/>
        <item x="2"/>
        <item m="1" x="6"/>
        <item m="1" x="7"/>
        <item x="3"/>
        <item m="1" x="15"/>
        <item m="1" x="23"/>
        <item m="1" x="10"/>
        <item x="0"/>
        <item m="1" x="22"/>
        <item m="1" x="8"/>
        <item m="1" x="13"/>
        <item m="1" x="17"/>
        <item m="1" x="14"/>
        <item m="1" x="21"/>
        <item m="1" x="5"/>
        <item m="1" x="20"/>
        <item m="1" x="24"/>
        <item x="1"/>
        <item m="1" x="12"/>
        <item m="1" x="11"/>
        <item m="1" x="16"/>
        <item m="1" x="9"/>
        <item m="1" x="18"/>
        <item h="1" x="4"/>
        <item t="default"/>
      </items>
    </pivotField>
    <pivotField showAll="0">
      <items count="8">
        <item x="1"/>
        <item x="0"/>
        <item x="3"/>
        <item x="2"/>
        <item x="4"/>
        <item x="5"/>
        <item x="6"/>
        <item t="default"/>
      </items>
    </pivotField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dataFields count="1">
    <dataField name="%" fld="0" subtotal="count" showDataAs="percentOfTotal" baseField="0" baseItem="0" numFmtId="10"/>
  </dataFields>
  <formats count="2">
    <format dxfId="4">
      <pivotArea dataOnly="0" outline="0" axis="axisValues" fieldPosition="0"/>
    </format>
    <format dxfId="3">
      <pivotArea dataOnly="0" outline="0" axis="axisValues" fieldPosition="0"/>
    </format>
  </formats>
  <chartFormats count="1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C654D-F401-47A7-B9EE-3763A7404B9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C4" firstHeaderRow="0" firstDataRow="1" firstDataCol="1"/>
  <pivotFields count="9">
    <pivotField dataField="1" showAll="0"/>
    <pivotField showAll="0"/>
    <pivotField showAll="0">
      <items count="12">
        <item x="7"/>
        <item x="0"/>
        <item x="1"/>
        <item m="1" x="9"/>
        <item m="1" x="10"/>
        <item x="6"/>
        <item x="3"/>
        <item x="2"/>
        <item x="4"/>
        <item x="5"/>
        <item x="8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26">
        <item m="1" x="19"/>
        <item x="2"/>
        <item m="1" x="6"/>
        <item m="1" x="7"/>
        <item x="3"/>
        <item m="1" x="15"/>
        <item m="1" x="23"/>
        <item m="1" x="10"/>
        <item x="0"/>
        <item m="1" x="22"/>
        <item m="1" x="8"/>
        <item m="1" x="13"/>
        <item m="1" x="17"/>
        <item m="1" x="14"/>
        <item m="1" x="21"/>
        <item m="1" x="5"/>
        <item m="1" x="20"/>
        <item m="1" x="24"/>
        <item x="1"/>
        <item m="1" x="12"/>
        <item m="1" x="11"/>
        <item m="1" x="16"/>
        <item m="1" x="9"/>
        <item m="1" x="18"/>
        <item h="1" x="4"/>
        <item t="default"/>
      </items>
    </pivotField>
    <pivotField showAll="0">
      <items count="8">
        <item x="1"/>
        <item x="0"/>
        <item x="3"/>
        <item x="2"/>
        <item x="4"/>
        <item x="5"/>
        <item x="6"/>
        <item t="default"/>
      </items>
    </pivotField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Data" fld="0" subtotal="count" baseField="0" baseItem="0"/>
    <dataField name="%" fld="0" subtotal="count" showDataAs="percentOfTotal" baseField="0" baseItem="0" numFmtId="10"/>
  </dataFields>
  <formats count="2"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8400DF-A93B-4DEF-9CD7-F8E74BA7C85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6" firstHeaderRow="1" firstDataRow="1" firstDataCol="1"/>
  <pivotFields count="9">
    <pivotField showAll="0"/>
    <pivotField showAll="0"/>
    <pivotField showAll="0">
      <items count="12">
        <item x="7"/>
        <item x="0"/>
        <item x="1"/>
        <item m="1" x="9"/>
        <item m="1" x="10"/>
        <item x="6"/>
        <item x="3"/>
        <item x="2"/>
        <item x="4"/>
        <item x="5"/>
        <item x="8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dataField="1" showAll="0">
      <items count="26">
        <item m="1" x="19"/>
        <item m="1" x="6"/>
        <item m="1" x="7"/>
        <item m="1" x="15"/>
        <item m="1" x="23"/>
        <item m="1" x="10"/>
        <item m="1" x="22"/>
        <item m="1" x="8"/>
        <item m="1" x="13"/>
        <item m="1" x="17"/>
        <item m="1" x="14"/>
        <item m="1" x="21"/>
        <item m="1" x="5"/>
        <item m="1" x="20"/>
        <item m="1" x="24"/>
        <item x="1"/>
        <item m="1" x="12"/>
        <item m="1" x="11"/>
        <item m="1" x="16"/>
        <item m="1" x="9"/>
        <item m="1" x="18"/>
        <item h="1" x="4"/>
        <item x="0"/>
        <item x="2"/>
        <item x="3"/>
        <item t="default"/>
      </items>
    </pivotField>
    <pivotField showAll="0">
      <items count="8">
        <item x="1"/>
        <item x="0"/>
        <item x="3"/>
        <item x="2"/>
        <item x="4"/>
        <item x="5"/>
        <item x="6"/>
        <item t="default"/>
      </items>
    </pivotField>
    <pivotField showAll="0"/>
    <pivotField showAll="0"/>
    <pivotField showAll="0"/>
  </pivotFields>
  <rowFields count="1">
    <field x="4"/>
  </rowFields>
  <rowItems count="5">
    <i>
      <x v="15"/>
    </i>
    <i>
      <x v="22"/>
    </i>
    <i>
      <x v="23"/>
    </i>
    <i>
      <x v="24"/>
    </i>
    <i t="grand">
      <x/>
    </i>
  </rowItems>
  <colItems count="1">
    <i/>
  </colItems>
  <dataFields count="1">
    <dataField name="Contagem de Profissional" fld="4" subtotal="count" baseField="0" baseItem="0"/>
  </dataFields>
  <chartFormats count="22"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5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5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5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5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4" count="1" selected="0">
            <x v="22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0"/>
          </reference>
          <reference field="4" count="1" selected="0">
            <x v="23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0"/>
          </reference>
          <reference field="4" count="1" selected="0">
            <x v="24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25CE3-5B09-4889-968C-324DB90486A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A2" firstHeaderRow="1" firstDataRow="1" firstDataCol="0"/>
  <pivotFields count="9">
    <pivotField dataField="1" showAll="0"/>
    <pivotField showAll="0"/>
    <pivotField showAll="0">
      <items count="12">
        <item x="7"/>
        <item x="0"/>
        <item x="1"/>
        <item m="1" x="9"/>
        <item m="1" x="10"/>
        <item x="6"/>
        <item x="3"/>
        <item x="2"/>
        <item x="4"/>
        <item x="5"/>
        <item x="8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26">
        <item m="1" x="19"/>
        <item x="2"/>
        <item m="1" x="6"/>
        <item m="1" x="7"/>
        <item x="3"/>
        <item m="1" x="15"/>
        <item m="1" x="23"/>
        <item m="1" x="10"/>
        <item x="0"/>
        <item m="1" x="22"/>
        <item m="1" x="8"/>
        <item m="1" x="13"/>
        <item m="1" x="17"/>
        <item m="1" x="14"/>
        <item m="1" x="21"/>
        <item m="1" x="5"/>
        <item m="1" x="20"/>
        <item m="1" x="24"/>
        <item x="1"/>
        <item m="1" x="12"/>
        <item m="1" x="11"/>
        <item m="1" x="16"/>
        <item m="1" x="9"/>
        <item m="1" x="18"/>
        <item h="1" x="4"/>
        <item t="default"/>
      </items>
    </pivotField>
    <pivotField showAll="0">
      <items count="8">
        <item x="1"/>
        <item x="0"/>
        <item x="3"/>
        <item x="2"/>
        <item x="4"/>
        <item x="5"/>
        <item x="6"/>
        <item t="default"/>
      </items>
    </pivotField>
    <pivotField showAll="0"/>
    <pivotField showAll="0"/>
    <pivotField showAll="0"/>
  </pivotFields>
  <rowItems count="1">
    <i/>
  </rowItems>
  <colItems count="1">
    <i/>
  </colItems>
  <dataFields count="1">
    <dataField name="Contagem de Data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9691E-9BB8-48A7-A178-66E820B44A4C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26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3">
        <item x="3"/>
        <item x="5"/>
        <item x="20"/>
        <item x="18"/>
        <item x="13"/>
        <item x="0"/>
        <item x="2"/>
        <item x="7"/>
        <item x="10"/>
        <item x="12"/>
        <item x="6"/>
        <item x="11"/>
        <item x="9"/>
        <item x="4"/>
        <item x="17"/>
        <item x="15"/>
        <item x="8"/>
        <item x="16"/>
        <item x="19"/>
        <item x="1"/>
        <item x="14"/>
        <item x="21"/>
        <item t="default"/>
      </items>
    </pivotField>
  </pivotFields>
  <rowFields count="1">
    <field x="8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ntagem de Descrição da Ocorrência" fld="8" subtotal="count" baseField="0" baseItem="0"/>
  </dataFields>
  <chartFormats count="2">
    <chartFormat chart="2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FF4F8-4328-4799-8CFF-C82B060864D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5" firstHeaderRow="1" firstDataRow="1" firstDataCol="1"/>
  <pivotFields count="9">
    <pivotField showAll="0"/>
    <pivotField showAll="0"/>
    <pivotField showAll="0">
      <items count="12">
        <item x="7"/>
        <item x="0"/>
        <item x="1"/>
        <item m="1" x="9"/>
        <item m="1" x="10"/>
        <item x="6"/>
        <item x="3"/>
        <item x="2"/>
        <item x="4"/>
        <item x="5"/>
        <item x="8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26">
        <item m="1" x="19"/>
        <item x="2"/>
        <item m="1" x="6"/>
        <item m="1" x="7"/>
        <item x="3"/>
        <item m="1" x="15"/>
        <item m="1" x="23"/>
        <item m="1" x="10"/>
        <item x="0"/>
        <item m="1" x="22"/>
        <item m="1" x="8"/>
        <item m="1" x="13"/>
        <item m="1" x="17"/>
        <item m="1" x="14"/>
        <item m="1" x="21"/>
        <item m="1" x="5"/>
        <item m="1" x="20"/>
        <item m="1" x="24"/>
        <item x="1"/>
        <item m="1" x="12"/>
        <item m="1" x="11"/>
        <item m="1" x="16"/>
        <item m="1" x="9"/>
        <item m="1" x="18"/>
        <item h="1" x="4"/>
        <item t="default"/>
      </items>
    </pivotField>
    <pivotField showAll="0">
      <items count="8">
        <item x="1"/>
        <item x="0"/>
        <item x="3"/>
        <item x="2"/>
        <item x="4"/>
        <item x="5"/>
        <item x="6"/>
        <item t="default"/>
      </items>
    </pivotField>
    <pivotField showAll="0"/>
    <pivotField axis="axisRow" dataField="1" showAll="0">
      <items count="5">
        <item x="1"/>
        <item x="0"/>
        <item x="2"/>
        <item x="3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Unidade/ Empresa" fld="7" subtotal="count" baseField="0" baseItem="0"/>
  </dataFields>
  <chartFormats count="8"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aptionNotEqual" evalOrder="-1" id="2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D1340-4572-435B-8CAF-CEF4C504A0E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1:B9" firstHeaderRow="1" firstDataRow="1" firstDataCol="1"/>
  <pivotFields count="9">
    <pivotField showAll="0"/>
    <pivotField showAll="0"/>
    <pivotField axis="axisRow" dataField="1" showAll="0">
      <items count="12">
        <item x="7"/>
        <item x="0"/>
        <item x="1"/>
        <item m="1" x="9"/>
        <item m="1" x="10"/>
        <item x="6"/>
        <item x="8"/>
        <item x="3"/>
        <item x="2"/>
        <item x="4"/>
        <item x="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26">
        <item m="1" x="19"/>
        <item x="2"/>
        <item m="1" x="6"/>
        <item m="1" x="7"/>
        <item x="3"/>
        <item m="1" x="15"/>
        <item m="1" x="23"/>
        <item m="1" x="10"/>
        <item x="0"/>
        <item m="1" x="22"/>
        <item m="1" x="8"/>
        <item m="1" x="13"/>
        <item m="1" x="17"/>
        <item m="1" x="14"/>
        <item m="1" x="21"/>
        <item m="1" x="5"/>
        <item m="1" x="20"/>
        <item m="1" x="24"/>
        <item x="1"/>
        <item m="1" x="12"/>
        <item m="1" x="11"/>
        <item m="1" x="16"/>
        <item m="1" x="9"/>
        <item m="1" x="18"/>
        <item h="1" x="4"/>
        <item t="default"/>
      </items>
    </pivotField>
    <pivotField showAll="0">
      <items count="8">
        <item x="1"/>
        <item x="0"/>
        <item x="3"/>
        <item x="2"/>
        <item x="4"/>
        <item x="5"/>
        <item x="6"/>
        <item t="default"/>
      </items>
    </pivotField>
    <pivotField showAll="0"/>
    <pivotField showAll="0"/>
    <pivotField showAll="0"/>
  </pivotFields>
  <rowFields count="1">
    <field x="2"/>
  </rowFields>
  <rowItems count="8">
    <i>
      <x v="1"/>
    </i>
    <i>
      <x v="2"/>
    </i>
    <i>
      <x v="5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ntagem de SEMANA2" fld="2" subtotal="count" showDataAs="percentOfTotal" baseField="0" baseItem="0" numFmtId="10"/>
  </dataFields>
  <chartFormats count="1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48D22-518C-404E-9AB4-C2CB97F9041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B9" firstHeaderRow="1" firstDataRow="1" firstDataCol="1"/>
  <pivotFields count="9">
    <pivotField showAll="0"/>
    <pivotField showAll="0"/>
    <pivotField axis="axisRow" dataField="1" showAll="0">
      <items count="12">
        <item x="7"/>
        <item x="0"/>
        <item x="1"/>
        <item m="1" x="9"/>
        <item m="1" x="10"/>
        <item x="6"/>
        <item x="8"/>
        <item x="3"/>
        <item x="2"/>
        <item x="4"/>
        <item x="5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>
      <items count="26">
        <item m="1" x="19"/>
        <item x="2"/>
        <item m="1" x="6"/>
        <item m="1" x="7"/>
        <item x="3"/>
        <item m="1" x="15"/>
        <item m="1" x="23"/>
        <item m="1" x="10"/>
        <item x="0"/>
        <item m="1" x="22"/>
        <item m="1" x="8"/>
        <item m="1" x="13"/>
        <item m="1" x="17"/>
        <item m="1" x="14"/>
        <item m="1" x="21"/>
        <item m="1" x="5"/>
        <item m="1" x="20"/>
        <item m="1" x="24"/>
        <item x="1"/>
        <item m="1" x="12"/>
        <item m="1" x="11"/>
        <item m="1" x="16"/>
        <item m="1" x="9"/>
        <item m="1" x="18"/>
        <item h="1" x="4"/>
        <item t="default"/>
      </items>
    </pivotField>
    <pivotField showAll="0">
      <items count="8">
        <item x="1"/>
        <item x="0"/>
        <item x="3"/>
        <item x="2"/>
        <item x="4"/>
        <item x="5"/>
        <item x="6"/>
        <item t="default"/>
      </items>
    </pivotField>
    <pivotField showAll="0"/>
    <pivotField showAll="0"/>
    <pivotField showAll="0"/>
  </pivotFields>
  <rowFields count="1">
    <field x="2"/>
  </rowFields>
  <rowItems count="8">
    <i>
      <x v="1"/>
    </i>
    <i>
      <x v="2"/>
    </i>
    <i>
      <x v="5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ntagem de SEMANA" fld="2" subtotal="count" baseField="0" baseItem="0"/>
  </dataFields>
  <chartFormats count="2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NotEqual" evalOrder="-1" id="1" stringValue1="(vazio)">
      <autoFilter ref="A1">
        <filterColumn colId="0">
          <customFilters>
            <customFilter operator="notEqual" val="(vazio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fissional" xr10:uid="{5D5EBD0A-A042-4386-A9B9-EC9398EAE2F9}" sourceName="Profissional">
  <pivotTables>
    <pivotTable tabId="8" name="Tabela dinâmica1"/>
    <pivotTable tabId="10" name="Tabela dinâmica1"/>
    <pivotTable tabId="9" name="Tabela dinâmica1"/>
    <pivotTable tabId="7" name="Tabela dinâmica1"/>
    <pivotTable tabId="13" name="Tabela dinâmica1"/>
    <pivotTable tabId="14" name="Tabela dinâmica1"/>
    <pivotTable tabId="15" name="Tabela dinâmica1"/>
    <pivotTable tabId="16" name="Tabela dinâmica1"/>
    <pivotTable tabId="19" name="Tabela dinâmica1"/>
    <pivotTable tabId="20" name="Tabela dinâmica1"/>
  </pivotTables>
  <data>
    <tabular pivotCacheId="694964191">
      <items count="25">
        <i x="2" s="1"/>
        <i x="3" s="1"/>
        <i x="0" s="1"/>
        <i x="1" s="1"/>
        <i x="4"/>
        <i x="19" s="1" nd="1"/>
        <i x="6" s="1" nd="1"/>
        <i x="7" s="1" nd="1"/>
        <i x="15" s="1" nd="1"/>
        <i x="23" s="1" nd="1"/>
        <i x="10" s="1" nd="1"/>
        <i x="22" s="1" nd="1"/>
        <i x="8" s="1" nd="1"/>
        <i x="13" s="1" nd="1"/>
        <i x="17" s="1" nd="1"/>
        <i x="14" s="1" nd="1"/>
        <i x="21" s="1" nd="1"/>
        <i x="5" s="1" nd="1"/>
        <i x="20" s="1" nd="1"/>
        <i x="24" s="1" nd="1"/>
        <i x="12" s="1" nd="1"/>
        <i x="11" s="1" nd="1"/>
        <i x="16" s="1" nd="1"/>
        <i x="9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NA" xr10:uid="{70D7A804-F8B8-4D58-B163-AD2A29B6A3DD}" sourceName="SEMANA">
  <pivotTables>
    <pivotTable tabId="19" name="Tabela dinâmica1"/>
    <pivotTable tabId="10" name="Tabela dinâmica1"/>
    <pivotTable tabId="15" name="Tabela dinâmica1"/>
    <pivotTable tabId="7" name="Tabela dinâmica1"/>
    <pivotTable tabId="13" name="Tabela dinâmica1"/>
    <pivotTable tabId="8" name="Tabela dinâmica1"/>
    <pivotTable tabId="14" name="Tabela dinâmica1"/>
    <pivotTable tabId="9" name="Tabela dinâmica1"/>
    <pivotTable tabId="16" name="Tabela dinâmica1"/>
    <pivotTable tabId="20" name="Tabela dinâmica1"/>
  </pivotTables>
  <data>
    <tabular pivotCacheId="694964191">
      <items count="11">
        <i x="0" s="1"/>
        <i x="1" s="1"/>
        <i x="6" s="1"/>
        <i x="3" s="1"/>
        <i x="2" s="1"/>
        <i x="4" s="1"/>
        <i x="5" s="1"/>
        <i x="7" s="1" nd="1"/>
        <i x="9" s="1" nd="1"/>
        <i x="10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D2C76EBC-C5E1-47BA-84D5-EEDA917A5233}" sourceName="Mês">
  <pivotTables>
    <pivotTable tabId="10" name="Tabela dinâmica1"/>
    <pivotTable tabId="15" name="Tabela dinâmica1"/>
    <pivotTable tabId="7" name="Tabela dinâmica1"/>
    <pivotTable tabId="13" name="Tabela dinâmica1"/>
    <pivotTable tabId="8" name="Tabela dinâmica1"/>
    <pivotTable tabId="14" name="Tabela dinâmica1"/>
    <pivotTable tabId="9" name="Tabela dinâmica1"/>
    <pivotTable tabId="16" name="Tabela dinâmica1"/>
    <pivotTable tabId="19" name="Tabela dinâmica1"/>
    <pivotTable tabId="20" name="Tabela dinâmica1"/>
  </pivotTables>
  <data>
    <tabular pivotCacheId="694964191">
      <items count="4">
        <i x="0" s="1"/>
        <i x="1" s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__Processo" xr10:uid="{9C6627F6-B79A-4235-965B-3C5C2C877AA5}" sourceName="Área/ Processo">
  <pivotTables>
    <pivotTable tabId="7" name="Tabela dinâmica1"/>
    <pivotTable tabId="13" name="Tabela dinâmica1"/>
    <pivotTable tabId="8" name="Tabela dinâmica1"/>
    <pivotTable tabId="14" name="Tabela dinâmica1"/>
    <pivotTable tabId="9" name="Tabela dinâmica1"/>
    <pivotTable tabId="16" name="Tabela dinâmica1"/>
    <pivotTable tabId="19" name="Tabela dinâmica1"/>
    <pivotTable tabId="20" name="Tabela dinâmica1"/>
    <pivotTable tabId="10" name="Tabela dinâmica1"/>
    <pivotTable tabId="15" name="Tabela dinâmica1"/>
  </pivotTables>
  <data>
    <tabular pivotCacheId="694964191">
      <items count="7">
        <i x="1" s="1"/>
        <i x="0" s="1"/>
        <i x="3" s="1"/>
        <i x="2" s="1"/>
        <i x="4" s="1"/>
        <i x="5" s="1"/>
        <i x="6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fissional1" xr10:uid="{A4C88E53-3634-443F-874B-18A67EEAACD1}" sourceName="Profissional">
  <pivotTables>
    <pivotTable tabId="25" name="Tabela dinâmica3"/>
    <pivotTable tabId="32" name="Tabela dinâmica4"/>
    <pivotTable tabId="30" name="Tabela dinâmica3"/>
    <pivotTable tabId="28" name="Tabela dinâmica3"/>
    <pivotTable tabId="27" name="Tabela dinâmica3"/>
    <pivotTable tabId="29" name="Tabela dinâmica3"/>
    <pivotTable tabId="31" name="Tabela dinâmica3"/>
  </pivotTables>
  <data>
    <tabular pivotCacheId="1097992109">
      <items count="7">
        <i x="2" s="1"/>
        <i x="3" s="1"/>
        <i x="0" s="1"/>
        <i x="1" s="1"/>
        <i x="5" s="1" nd="1"/>
        <i x="6" s="1" nd="1"/>
        <i x="4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nidade__Empresa" xr10:uid="{B0A9FD46-2ABD-4F39-9169-4ED84163E1A6}" sourceName="Unidade/ Empresa">
  <pivotTables>
    <pivotTable tabId="31" name="Tabela dinâmica3"/>
    <pivotTable tabId="32" name="Tabela dinâmica4"/>
    <pivotTable tabId="30" name="Tabela dinâmica3"/>
    <pivotTable tabId="28" name="Tabela dinâmica3"/>
    <pivotTable tabId="27" name="Tabela dinâmica3"/>
    <pivotTable tabId="25" name="Tabela dinâmica3"/>
    <pivotTable tabId="29" name="Tabela dinâmica3"/>
  </pivotTables>
  <data>
    <tabular pivotCacheId="1097992109">
      <items count="4">
        <i x="1" s="1"/>
        <i x="0" s="1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issional" xr10:uid="{2C69D935-2F4B-4386-9C17-2556E7987803}" cache="SegmentaçãodeDados_Profissional" caption="Profissional" style="SlicerStyleDark1" rowHeight="468000"/>
  <slicer name="SEMANA" xr10:uid="{8F95C883-6850-42EB-87EE-D076EF6B5C2C}" cache="SegmentaçãodeDados_SEMANA" caption="SEMANA" style="SlicerStyleDark1" rowHeight="468000"/>
  <slicer name="Mês" xr10:uid="{C020774C-7B78-404D-8414-A26E79295F7C}" cache="SegmentaçãodeDados_Mês" caption="Mês" style="SlicerStyleDark1" rowHeight="468000"/>
  <slicer name="Área/ Processo" xr10:uid="{66600674-098B-4752-9731-45633C20CA5D}" cache="SegmentaçãodeDados_Área__Processo" caption="Área/ Processo" style="SlicerStyleDark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fissional 1" xr10:uid="{5F131F19-CFAA-4EAB-924C-B3D0C0CE57AB}" cache="SegmentaçãodeDados_Profissional1" caption="Profissional" style="SlicerStyleDark1" rowHeight="234950"/>
  <slicer name="Unidade/ Empresa" xr10:uid="{DD1AD2D9-7A46-4331-AA2A-61D8219DD528}" cache="SegmentaçãodeDados_Unidade__Empresa" caption="Unidade/ Empresa" style="SlicerStyleDark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900354-DA3E-4E2F-9E1E-461F589EE482}" name="Tabela1" displayName="Tabela1" ref="A3:I144" totalsRowShown="0" headerRowDxfId="31" headerRowBorderDxfId="30" tableBorderDxfId="29" totalsRowBorderDxfId="28">
  <autoFilter ref="A3:I144" xr:uid="{03900354-DA3E-4E2F-9E1E-461F589EE482}"/>
  <tableColumns count="9">
    <tableColumn id="1" xr3:uid="{60F3EEF7-F0AF-4D72-A8A9-884393976452}" name="Data" dataDxfId="27"/>
    <tableColumn id="2" xr3:uid="{D4B3A992-52B1-4770-9912-1FF5BB79683A}" name="Dia" dataDxfId="26">
      <calculatedColumnFormula>IF(A4="","",TEXT(A4,"ddd"))</calculatedColumnFormula>
    </tableColumn>
    <tableColumn id="9" xr3:uid="{6BEC5701-CB1E-43E7-901A-00D7FCE4C3BF}" name="SEMANA" dataDxfId="25">
      <calculatedColumnFormula>IF(Tabela1[[#This Row],[Data]]="","",CONCATENATE("SEMANA"," ",_xlfn.ISOWEEKNUM(Tabela1[[#This Row],[Data]])))</calculatedColumnFormula>
    </tableColumn>
    <tableColumn id="3" xr3:uid="{813D957F-79D1-455C-B061-6C0D0D6363C5}" name="Mês" dataDxfId="24">
      <calculatedColumnFormula>IF(A4="","",TEXT(A4,"mmm-aa"))</calculatedColumnFormula>
    </tableColumn>
    <tableColumn id="4" xr3:uid="{6915DCDB-5DA6-4F2E-9E6D-E96FE63140BB}" name="Profissional" dataDxfId="23"/>
    <tableColumn id="5" xr3:uid="{4085A4E7-7FAB-42FA-97A5-E93253F02ADB}" name="Área/ Processo" dataDxfId="22"/>
    <tableColumn id="6" xr3:uid="{3029987E-392E-4A2B-95DE-FD887DBA4CF9}" name="Pendências" dataDxfId="21"/>
    <tableColumn id="7" xr3:uid="{580675CC-ABB6-4580-8519-5EFD41A9F976}" name="Unidade/ Empresa" dataDxfId="20"/>
    <tableColumn id="8" xr3:uid="{519CFBA7-ADB0-4AC1-B908-6EAEC867218F}" name="Descrição (Comentários)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5C7EA2-E2A2-4DD2-BF3C-E3168752D19D}" name="Tabela13" displayName="Tabela13" ref="A3:J143" totalsRowShown="0" headerRowDxfId="18" headerRowBorderDxfId="17" tableBorderDxfId="16" totalsRowBorderDxfId="15">
  <autoFilter ref="A3:J143" xr:uid="{03900354-DA3E-4E2F-9E1E-461F589EE482}"/>
  <tableColumns count="10">
    <tableColumn id="1" xr3:uid="{19F99840-CFAE-4FB1-926A-721C4FEB072B}" name="Data" dataDxfId="14"/>
    <tableColumn id="2" xr3:uid="{8EA39F3A-8B23-48C6-96AF-7DE3AB808CB0}" name="Dia" dataDxfId="13">
      <calculatedColumnFormula>IF(A4="","",TEXT(A4,"ddd"))</calculatedColumnFormula>
    </tableColumn>
    <tableColumn id="9" xr3:uid="{923CB942-F8DC-49E8-96BF-3C6DF7244731}" name="SEMANA" dataDxfId="12">
      <calculatedColumnFormula>IF(Tabela13[[#This Row],[Data]]="","",CONCATENATE("SEMANA"," ",_xlfn.ISOWEEKNUM(Tabela13[[#This Row],[Data]])))</calculatedColumnFormula>
    </tableColumn>
    <tableColumn id="3" xr3:uid="{23D63C0D-BFC1-4742-86C2-E83988D5D250}" name="Mês" dataDxfId="11">
      <calculatedColumnFormula>IF(A4="","",TEXT(A4,"mmm-aa"))</calculatedColumnFormula>
    </tableColumn>
    <tableColumn id="4" xr3:uid="{AC1E155B-9BF2-43C0-A4C2-90CB71C8F9E8}" name="Profissional" dataDxfId="10"/>
    <tableColumn id="5" xr3:uid="{E8113BEC-72FE-4A31-B2DF-566BBAC91B78}" name="Área/ Processo" dataDxfId="9"/>
    <tableColumn id="6" xr3:uid="{D37A721D-1FE5-4D42-A34A-4FD5A77078CB}" name="Pendências" dataDxfId="8"/>
    <tableColumn id="7" xr3:uid="{78FE31E4-7DE8-4562-9421-1095A9A5BAE1}" name="Unidade/ Empresa" dataDxfId="7"/>
    <tableColumn id="10" xr3:uid="{FDC684AA-9297-437E-A937-306BF7E44E58}" name="Faturamento" dataDxfId="6">
      <calculatedColumnFormula>IF(Tabela13[[#This Row],[Data]]="","",IF(Tabela13[[#This Row],[Descrição (Comentários)]]="Joinville usou vaga PPI","SIM","NÃO"))</calculatedColumnFormula>
    </tableColumn>
    <tableColumn id="8" xr3:uid="{633C4902-9D06-46FB-A793-40E5C43B0CBF}" name="Descrição (Comentários)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722E-EABF-46D8-844F-04D9E2ECB863}">
  <sheetPr>
    <tabColor rgb="FF7030A0"/>
  </sheetPr>
  <dimension ref="A1:B8"/>
  <sheetViews>
    <sheetView workbookViewId="0">
      <selection activeCell="M8" sqref="M8"/>
    </sheetView>
  </sheetViews>
  <sheetFormatPr defaultRowHeight="14.4" x14ac:dyDescent="0.3"/>
  <cols>
    <col min="1" max="1" width="18.21875" bestFit="1" customWidth="1"/>
    <col min="2" max="2" width="25.77734375" bestFit="1" customWidth="1"/>
    <col min="3" max="3" width="23.5546875" bestFit="1" customWidth="1"/>
  </cols>
  <sheetData>
    <row r="1" spans="1:2" x14ac:dyDescent="0.3">
      <c r="A1" s="7" t="s">
        <v>5</v>
      </c>
      <c r="B1" t="s">
        <v>83</v>
      </c>
    </row>
    <row r="2" spans="1:2" x14ac:dyDescent="0.3">
      <c r="A2" s="27" t="s">
        <v>29</v>
      </c>
      <c r="B2">
        <v>2</v>
      </c>
    </row>
    <row r="3" spans="1:2" x14ac:dyDescent="0.3">
      <c r="A3" s="27" t="s">
        <v>25</v>
      </c>
      <c r="B3">
        <v>7</v>
      </c>
    </row>
    <row r="4" spans="1:2" x14ac:dyDescent="0.3">
      <c r="A4" s="27" t="s">
        <v>46</v>
      </c>
      <c r="B4">
        <v>2</v>
      </c>
    </row>
    <row r="5" spans="1:2" x14ac:dyDescent="0.3">
      <c r="A5" s="27" t="s">
        <v>34</v>
      </c>
      <c r="B5">
        <v>7</v>
      </c>
    </row>
    <row r="6" spans="1:2" x14ac:dyDescent="0.3">
      <c r="A6" s="27" t="s">
        <v>49</v>
      </c>
      <c r="B6">
        <v>2</v>
      </c>
    </row>
    <row r="7" spans="1:2" x14ac:dyDescent="0.3">
      <c r="A7" s="27" t="s">
        <v>70</v>
      </c>
      <c r="B7">
        <v>5</v>
      </c>
    </row>
    <row r="8" spans="1:2" x14ac:dyDescent="0.3">
      <c r="A8" s="27" t="s">
        <v>7</v>
      </c>
      <c r="B8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F7486-209F-429E-BC41-01A1ADE2C524}">
  <sheetPr>
    <tabColor rgb="FF7030A0"/>
  </sheetPr>
  <dimension ref="A1:B8"/>
  <sheetViews>
    <sheetView workbookViewId="0">
      <selection activeCell="P8" sqref="P8"/>
    </sheetView>
  </sheetViews>
  <sheetFormatPr defaultRowHeight="14.4" x14ac:dyDescent="0.3"/>
  <cols>
    <col min="1" max="1" width="18.21875" bestFit="1" customWidth="1"/>
    <col min="2" max="2" width="25.77734375" bestFit="1" customWidth="1"/>
    <col min="3" max="3" width="8" bestFit="1" customWidth="1"/>
  </cols>
  <sheetData>
    <row r="1" spans="1:2" x14ac:dyDescent="0.3">
      <c r="A1" s="7" t="s">
        <v>5</v>
      </c>
      <c r="B1" t="s">
        <v>83</v>
      </c>
    </row>
    <row r="2" spans="1:2" x14ac:dyDescent="0.3">
      <c r="A2" s="27" t="s">
        <v>29</v>
      </c>
      <c r="B2">
        <v>2</v>
      </c>
    </row>
    <row r="3" spans="1:2" x14ac:dyDescent="0.3">
      <c r="A3" s="27" t="s">
        <v>25</v>
      </c>
      <c r="B3">
        <v>7</v>
      </c>
    </row>
    <row r="4" spans="1:2" x14ac:dyDescent="0.3">
      <c r="A4" s="27" t="s">
        <v>46</v>
      </c>
      <c r="B4">
        <v>2</v>
      </c>
    </row>
    <row r="5" spans="1:2" x14ac:dyDescent="0.3">
      <c r="A5" s="27" t="s">
        <v>34</v>
      </c>
      <c r="B5">
        <v>7</v>
      </c>
    </row>
    <row r="6" spans="1:2" x14ac:dyDescent="0.3">
      <c r="A6" s="27" t="s">
        <v>49</v>
      </c>
      <c r="B6">
        <v>2</v>
      </c>
    </row>
    <row r="7" spans="1:2" x14ac:dyDescent="0.3">
      <c r="A7" s="27" t="s">
        <v>70</v>
      </c>
      <c r="B7">
        <v>5</v>
      </c>
    </row>
    <row r="8" spans="1:2" x14ac:dyDescent="0.3">
      <c r="A8" s="27" t="s">
        <v>7</v>
      </c>
      <c r="B8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BD07-1217-4DDA-ADF2-7E2E9F92D5CD}">
  <dimension ref="A1:B5"/>
  <sheetViews>
    <sheetView workbookViewId="0">
      <selection activeCell="AO54" sqref="AO54"/>
    </sheetView>
  </sheetViews>
  <sheetFormatPr defaultRowHeight="14.4" x14ac:dyDescent="0.3"/>
  <cols>
    <col min="1" max="1" width="17.21875" bestFit="1" customWidth="1"/>
    <col min="2" max="2" width="28.77734375" bestFit="1" customWidth="1"/>
    <col min="3" max="3" width="8" bestFit="1" customWidth="1"/>
  </cols>
  <sheetData>
    <row r="1" spans="1:2" x14ac:dyDescent="0.3">
      <c r="A1" s="7" t="s">
        <v>5</v>
      </c>
      <c r="B1" t="s">
        <v>81</v>
      </c>
    </row>
    <row r="2" spans="1:2" x14ac:dyDescent="0.3">
      <c r="A2" s="27" t="s">
        <v>31</v>
      </c>
      <c r="B2">
        <v>8</v>
      </c>
    </row>
    <row r="3" spans="1:2" x14ac:dyDescent="0.3">
      <c r="A3" s="27" t="s">
        <v>27</v>
      </c>
      <c r="B3">
        <v>13</v>
      </c>
    </row>
    <row r="4" spans="1:2" x14ac:dyDescent="0.3">
      <c r="A4" s="27" t="s">
        <v>68</v>
      </c>
      <c r="B4">
        <v>4</v>
      </c>
    </row>
    <row r="5" spans="1:2" x14ac:dyDescent="0.3">
      <c r="A5" s="27" t="s">
        <v>7</v>
      </c>
      <c r="B5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3977-F084-4FC3-AEF1-042621F9C55A}">
  <sheetPr>
    <tabColor rgb="FF00B050"/>
  </sheetPr>
  <dimension ref="A1:I144"/>
  <sheetViews>
    <sheetView showGridLines="0" tabSelected="1" zoomScale="70" zoomScaleNormal="70" workbookViewId="0">
      <selection activeCell="F30" sqref="F30"/>
    </sheetView>
  </sheetViews>
  <sheetFormatPr defaultColWidth="13.44140625" defaultRowHeight="14.4" x14ac:dyDescent="0.3"/>
  <cols>
    <col min="1" max="1" width="11.5546875" style="38" bestFit="1" customWidth="1"/>
    <col min="2" max="2" width="10.109375" style="2" bestFit="1" customWidth="1"/>
    <col min="3" max="3" width="15" style="21" bestFit="1" customWidth="1"/>
    <col min="4" max="4" width="11.109375" style="2" bestFit="1" customWidth="1"/>
    <col min="5" max="5" width="14.109375" bestFit="1" customWidth="1"/>
    <col min="6" max="6" width="20.21875" bestFit="1" customWidth="1"/>
    <col min="7" max="7" width="31.88671875" bestFit="1" customWidth="1"/>
    <col min="8" max="8" width="20.44140625" bestFit="1" customWidth="1"/>
    <col min="9" max="9" width="72.6640625" bestFit="1" customWidth="1"/>
  </cols>
  <sheetData>
    <row r="1" spans="1:9" x14ac:dyDescent="0.3">
      <c r="A1" s="35"/>
      <c r="B1" s="6"/>
      <c r="C1" s="17"/>
      <c r="D1" s="6"/>
      <c r="E1" s="6"/>
      <c r="F1" s="6"/>
      <c r="G1" s="6"/>
      <c r="H1" s="6"/>
      <c r="I1" s="5"/>
    </row>
    <row r="3" spans="1:9" x14ac:dyDescent="0.3">
      <c r="A3" s="36" t="s">
        <v>1</v>
      </c>
      <c r="B3" s="10" t="s">
        <v>3</v>
      </c>
      <c r="C3" s="18" t="s">
        <v>10</v>
      </c>
      <c r="D3" s="10" t="s">
        <v>2</v>
      </c>
      <c r="E3" s="11" t="s">
        <v>4</v>
      </c>
      <c r="F3" s="11" t="s">
        <v>60</v>
      </c>
      <c r="G3" s="11" t="s">
        <v>89</v>
      </c>
      <c r="H3" s="11" t="s">
        <v>61</v>
      </c>
      <c r="I3" s="12" t="s">
        <v>90</v>
      </c>
    </row>
    <row r="4" spans="1:9" x14ac:dyDescent="0.3">
      <c r="A4" s="8">
        <v>45748</v>
      </c>
      <c r="B4" s="3" t="str">
        <f>IF(A4="","",TEXT(A4,"ddd"))</f>
        <v>ter</v>
      </c>
      <c r="C4" s="19" t="str">
        <f>IF(Tabela1[[#This Row],[Data]]="","",CONCATENATE("SEMANA"," ",_xlfn.ISOWEEKNUM(Tabela1[[#This Row],[Data]])))</f>
        <v>SEMANA 14</v>
      </c>
      <c r="D4" s="3" t="str">
        <f>IF(A4="","",TEXT(A4,"mmm-aa"))</f>
        <v>abr-25</v>
      </c>
      <c r="E4" s="4" t="s">
        <v>24</v>
      </c>
      <c r="F4" s="4" t="s">
        <v>25</v>
      </c>
      <c r="G4" s="4" t="s">
        <v>26</v>
      </c>
      <c r="H4" s="4" t="s">
        <v>27</v>
      </c>
      <c r="I4" s="9" t="s">
        <v>28</v>
      </c>
    </row>
    <row r="5" spans="1:9" x14ac:dyDescent="0.3">
      <c r="A5" s="8">
        <v>45754</v>
      </c>
      <c r="B5" s="3" t="str">
        <f t="shared" ref="B5:B65" si="0">IF(A5="","",TEXT(A5,"ddd"))</f>
        <v>seg</v>
      </c>
      <c r="C5" s="19" t="str">
        <f>IF(Tabela1[[#This Row],[Data]]="","",CONCATENATE("SEMANA"," ",_xlfn.ISOWEEKNUM(Tabela1[[#This Row],[Data]])))</f>
        <v>SEMANA 15</v>
      </c>
      <c r="D5" s="3" t="str">
        <f t="shared" ref="D5:D65" si="1">IF(A5="","",TEXT(A5,"mmm-aa"))</f>
        <v>abr-25</v>
      </c>
      <c r="E5" s="4" t="s">
        <v>0</v>
      </c>
      <c r="F5" s="4" t="s">
        <v>29</v>
      </c>
      <c r="G5" s="4" t="s">
        <v>30</v>
      </c>
      <c r="H5" s="4" t="s">
        <v>31</v>
      </c>
      <c r="I5" s="26" t="s">
        <v>32</v>
      </c>
    </row>
    <row r="6" spans="1:9" x14ac:dyDescent="0.3">
      <c r="A6" s="8">
        <v>45792</v>
      </c>
      <c r="B6" s="3" t="str">
        <f t="shared" si="0"/>
        <v>qui</v>
      </c>
      <c r="C6" s="19" t="str">
        <f>IF(Tabela1[[#This Row],[Data]]="","",CONCATENATE("SEMANA"," ",_xlfn.ISOWEEKNUM(Tabela1[[#This Row],[Data]])))</f>
        <v>SEMANA 20</v>
      </c>
      <c r="D6" s="3" t="str">
        <f t="shared" si="1"/>
        <v>mai-25</v>
      </c>
      <c r="E6" s="4" t="s">
        <v>33</v>
      </c>
      <c r="F6" s="4" t="s">
        <v>34</v>
      </c>
      <c r="G6" s="4" t="s">
        <v>35</v>
      </c>
      <c r="H6" s="4" t="s">
        <v>68</v>
      </c>
      <c r="I6" s="26" t="s">
        <v>36</v>
      </c>
    </row>
    <row r="7" spans="1:9" x14ac:dyDescent="0.3">
      <c r="A7" s="8">
        <v>45786</v>
      </c>
      <c r="B7" s="3" t="str">
        <f t="shared" si="0"/>
        <v>sex</v>
      </c>
      <c r="C7" s="19" t="str">
        <f>IF(Tabela1[[#This Row],[Data]]="","",CONCATENATE("SEMANA"," ",_xlfn.ISOWEEKNUM(Tabela1[[#This Row],[Data]])))</f>
        <v>SEMANA 19</v>
      </c>
      <c r="D7" s="3" t="str">
        <f t="shared" si="1"/>
        <v>mai-25</v>
      </c>
      <c r="E7" s="4" t="s">
        <v>24</v>
      </c>
      <c r="F7" s="4" t="s">
        <v>46</v>
      </c>
      <c r="G7" s="4" t="s">
        <v>47</v>
      </c>
      <c r="H7" s="4" t="s">
        <v>27</v>
      </c>
      <c r="I7" s="26" t="s">
        <v>48</v>
      </c>
    </row>
    <row r="8" spans="1:9" x14ac:dyDescent="0.3">
      <c r="A8" s="8">
        <v>45789</v>
      </c>
      <c r="B8" s="3" t="str">
        <f t="shared" si="0"/>
        <v>seg</v>
      </c>
      <c r="C8" s="19" t="str">
        <f>IF(Tabela1[[#This Row],[Data]]="","",CONCATENATE("SEMANA"," ",_xlfn.ISOWEEKNUM(Tabela1[[#This Row],[Data]])))</f>
        <v>SEMANA 20</v>
      </c>
      <c r="D8" s="3" t="str">
        <f t="shared" si="1"/>
        <v>mai-25</v>
      </c>
      <c r="E8" s="4" t="s">
        <v>24</v>
      </c>
      <c r="F8" s="4" t="s">
        <v>49</v>
      </c>
      <c r="G8" s="4" t="s">
        <v>50</v>
      </c>
      <c r="H8" s="4" t="s">
        <v>31</v>
      </c>
      <c r="I8" s="26" t="s">
        <v>51</v>
      </c>
    </row>
    <row r="9" spans="1:9" x14ac:dyDescent="0.3">
      <c r="A9" s="8">
        <v>45791</v>
      </c>
      <c r="B9" s="3" t="str">
        <f t="shared" si="0"/>
        <v>qua</v>
      </c>
      <c r="C9" s="19" t="str">
        <f>IF(Tabela1[[#This Row],[Data]]="","",CONCATENATE("SEMANA"," ",_xlfn.ISOWEEKNUM(Tabela1[[#This Row],[Data]])))</f>
        <v>SEMANA 20</v>
      </c>
      <c r="D9" s="3" t="str">
        <f t="shared" si="1"/>
        <v>mai-25</v>
      </c>
      <c r="E9" s="4" t="s">
        <v>24</v>
      </c>
      <c r="F9" s="4" t="s">
        <v>29</v>
      </c>
      <c r="G9" s="4" t="s">
        <v>52</v>
      </c>
      <c r="H9" s="4" t="s">
        <v>27</v>
      </c>
      <c r="I9" s="26" t="s">
        <v>53</v>
      </c>
    </row>
    <row r="10" spans="1:9" x14ac:dyDescent="0.3">
      <c r="A10" s="8">
        <v>45796</v>
      </c>
      <c r="B10" s="3" t="str">
        <f t="shared" si="0"/>
        <v>seg</v>
      </c>
      <c r="C10" s="19" t="str">
        <f>IF(Tabela1[[#This Row],[Data]]="","",CONCATENATE("SEMANA"," ",_xlfn.ISOWEEKNUM(Tabela1[[#This Row],[Data]])))</f>
        <v>SEMANA 21</v>
      </c>
      <c r="D10" s="3" t="str">
        <f t="shared" si="1"/>
        <v>mai-25</v>
      </c>
      <c r="E10" s="4" t="s">
        <v>24</v>
      </c>
      <c r="F10" s="4" t="s">
        <v>25</v>
      </c>
      <c r="G10" s="4" t="s">
        <v>37</v>
      </c>
      <c r="H10" s="4" t="s">
        <v>31</v>
      </c>
      <c r="I10" s="26" t="s">
        <v>38</v>
      </c>
    </row>
    <row r="11" spans="1:9" x14ac:dyDescent="0.3">
      <c r="A11" s="8">
        <v>45797</v>
      </c>
      <c r="B11" s="3" t="str">
        <f t="shared" si="0"/>
        <v>ter</v>
      </c>
      <c r="C11" s="19" t="str">
        <f>IF(Tabela1[[#This Row],[Data]]="","",CONCATENATE("SEMANA"," ",_xlfn.ISOWEEKNUM(Tabela1[[#This Row],[Data]])))</f>
        <v>SEMANA 21</v>
      </c>
      <c r="D11" s="3" t="str">
        <f t="shared" si="1"/>
        <v>mai-25</v>
      </c>
      <c r="E11" s="4" t="s">
        <v>24</v>
      </c>
      <c r="F11" s="4" t="s">
        <v>34</v>
      </c>
      <c r="G11" s="4" t="s">
        <v>54</v>
      </c>
      <c r="H11" s="4" t="s">
        <v>27</v>
      </c>
      <c r="I11" s="9" t="s">
        <v>55</v>
      </c>
    </row>
    <row r="12" spans="1:9" x14ac:dyDescent="0.3">
      <c r="A12" s="8">
        <v>45799</v>
      </c>
      <c r="B12" s="3" t="str">
        <f t="shared" si="0"/>
        <v>qui</v>
      </c>
      <c r="C12" s="19" t="str">
        <f>IF(Tabela1[[#This Row],[Data]]="","",CONCATENATE("SEMANA"," ",_xlfn.ISOWEEKNUM(Tabela1[[#This Row],[Data]])))</f>
        <v>SEMANA 21</v>
      </c>
      <c r="D12" s="3" t="str">
        <f t="shared" si="1"/>
        <v>mai-25</v>
      </c>
      <c r="E12" s="4" t="s">
        <v>24</v>
      </c>
      <c r="F12" s="4" t="s">
        <v>46</v>
      </c>
      <c r="G12" s="4" t="s">
        <v>56</v>
      </c>
      <c r="H12" s="4" t="s">
        <v>68</v>
      </c>
      <c r="I12" s="9" t="s">
        <v>57</v>
      </c>
    </row>
    <row r="13" spans="1:9" x14ac:dyDescent="0.3">
      <c r="A13" s="8">
        <v>45803</v>
      </c>
      <c r="B13" s="3" t="str">
        <f t="shared" si="0"/>
        <v>seg</v>
      </c>
      <c r="C13" s="19" t="str">
        <f>IF(Tabela1[[#This Row],[Data]]="","",CONCATENATE("SEMANA"," ",_xlfn.ISOWEEKNUM(Tabela1[[#This Row],[Data]])))</f>
        <v>SEMANA 22</v>
      </c>
      <c r="D13" s="3" t="str">
        <f t="shared" si="1"/>
        <v>mai-25</v>
      </c>
      <c r="E13" s="4" t="s">
        <v>0</v>
      </c>
      <c r="F13" s="4" t="s">
        <v>49</v>
      </c>
      <c r="G13" s="4" t="s">
        <v>58</v>
      </c>
      <c r="H13" s="4" t="s">
        <v>27</v>
      </c>
      <c r="I13" s="9" t="s">
        <v>59</v>
      </c>
    </row>
    <row r="14" spans="1:9" x14ac:dyDescent="0.3">
      <c r="A14" s="8">
        <v>45779</v>
      </c>
      <c r="B14" s="3" t="str">
        <f t="shared" si="0"/>
        <v>sex</v>
      </c>
      <c r="C14" s="19" t="str">
        <f>IF(Tabela1[[#This Row],[Data]]="","",CONCATENATE("SEMANA"," ",_xlfn.ISOWEEKNUM(Tabela1[[#This Row],[Data]])))</f>
        <v>SEMANA 18</v>
      </c>
      <c r="D14" s="3" t="str">
        <f t="shared" si="1"/>
        <v>mai-25</v>
      </c>
      <c r="E14" s="4" t="s">
        <v>33</v>
      </c>
      <c r="F14" s="4" t="s">
        <v>25</v>
      </c>
      <c r="G14" s="4" t="s">
        <v>26</v>
      </c>
      <c r="H14" s="4" t="s">
        <v>27</v>
      </c>
      <c r="I14" s="9" t="s">
        <v>28</v>
      </c>
    </row>
    <row r="15" spans="1:9" x14ac:dyDescent="0.3">
      <c r="A15" s="8">
        <v>45796</v>
      </c>
      <c r="B15" s="3" t="str">
        <f t="shared" si="0"/>
        <v>seg</v>
      </c>
      <c r="C15" s="19" t="str">
        <f>IF(Tabela1[[#This Row],[Data]]="","",CONCATENATE("SEMANA"," ",_xlfn.ISOWEEKNUM(Tabela1[[#This Row],[Data]])))</f>
        <v>SEMANA 21</v>
      </c>
      <c r="D15" s="3" t="str">
        <f t="shared" si="1"/>
        <v>mai-25</v>
      </c>
      <c r="E15" s="4" t="s">
        <v>24</v>
      </c>
      <c r="F15" s="4" t="s">
        <v>25</v>
      </c>
      <c r="G15" s="4" t="s">
        <v>37</v>
      </c>
      <c r="H15" s="4" t="s">
        <v>31</v>
      </c>
      <c r="I15" s="9" t="s">
        <v>38</v>
      </c>
    </row>
    <row r="16" spans="1:9" x14ac:dyDescent="0.3">
      <c r="A16" s="8">
        <v>45804</v>
      </c>
      <c r="B16" s="3" t="str">
        <f t="shared" si="0"/>
        <v>ter</v>
      </c>
      <c r="C16" s="19" t="str">
        <f>IF(Tabela1[[#This Row],[Data]]="","",CONCATENATE("SEMANA"," ",_xlfn.ISOWEEKNUM(Tabela1[[#This Row],[Data]])))</f>
        <v>SEMANA 22</v>
      </c>
      <c r="D16" s="3" t="str">
        <f t="shared" si="1"/>
        <v>mai-25</v>
      </c>
      <c r="E16" s="4" t="s">
        <v>24</v>
      </c>
      <c r="F16" s="4" t="s">
        <v>25</v>
      </c>
      <c r="G16" s="4" t="s">
        <v>40</v>
      </c>
      <c r="H16" s="4" t="s">
        <v>27</v>
      </c>
      <c r="I16" s="9" t="s">
        <v>41</v>
      </c>
    </row>
    <row r="17" spans="1:9" x14ac:dyDescent="0.3">
      <c r="A17" s="8">
        <v>45806</v>
      </c>
      <c r="B17" s="3" t="str">
        <f t="shared" si="0"/>
        <v>qui</v>
      </c>
      <c r="C17" s="19" t="str">
        <f>IF(Tabela1[[#This Row],[Data]]="","",CONCATENATE("SEMANA"," ",_xlfn.ISOWEEKNUM(Tabela1[[#This Row],[Data]])))</f>
        <v>SEMANA 22</v>
      </c>
      <c r="D17" s="3" t="str">
        <f t="shared" si="1"/>
        <v>mai-25</v>
      </c>
      <c r="E17" s="4" t="s">
        <v>24</v>
      </c>
      <c r="F17" s="4" t="s">
        <v>25</v>
      </c>
      <c r="G17" s="4" t="s">
        <v>42</v>
      </c>
      <c r="H17" s="4" t="s">
        <v>31</v>
      </c>
      <c r="I17" s="9" t="s">
        <v>43</v>
      </c>
    </row>
    <row r="18" spans="1:9" x14ac:dyDescent="0.3">
      <c r="A18" s="8">
        <v>45807</v>
      </c>
      <c r="B18" s="3" t="str">
        <f t="shared" si="0"/>
        <v>sex</v>
      </c>
      <c r="C18" s="19" t="str">
        <f>IF(Tabela1[[#This Row],[Data]]="","",CONCATENATE("SEMANA"," ",_xlfn.ISOWEEKNUM(Tabela1[[#This Row],[Data]])))</f>
        <v>SEMANA 22</v>
      </c>
      <c r="D18" s="3" t="str">
        <f t="shared" si="1"/>
        <v>mai-25</v>
      </c>
      <c r="E18" s="4" t="s">
        <v>0</v>
      </c>
      <c r="F18" s="4" t="s">
        <v>25</v>
      </c>
      <c r="G18" s="4" t="s">
        <v>44</v>
      </c>
      <c r="H18" s="4" t="s">
        <v>27</v>
      </c>
      <c r="I18" s="9" t="s">
        <v>45</v>
      </c>
    </row>
    <row r="19" spans="1:9" x14ac:dyDescent="0.3">
      <c r="A19" s="8">
        <v>45792</v>
      </c>
      <c r="B19" s="3" t="str">
        <f t="shared" si="0"/>
        <v>qui</v>
      </c>
      <c r="C19" s="19" t="str">
        <f>IF(Tabela1[[#This Row],[Data]]="","",CONCATENATE("SEMANA"," ",_xlfn.ISOWEEKNUM(Tabela1[[#This Row],[Data]])))</f>
        <v>SEMANA 20</v>
      </c>
      <c r="D19" s="3" t="str">
        <f t="shared" si="1"/>
        <v>mai-25</v>
      </c>
      <c r="E19" s="4" t="s">
        <v>33</v>
      </c>
      <c r="F19" s="4" t="s">
        <v>34</v>
      </c>
      <c r="G19" s="4" t="s">
        <v>35</v>
      </c>
      <c r="H19" s="4" t="s">
        <v>68</v>
      </c>
      <c r="I19" s="9" t="s">
        <v>36</v>
      </c>
    </row>
    <row r="20" spans="1:9" x14ac:dyDescent="0.3">
      <c r="A20" s="8">
        <v>45797</v>
      </c>
      <c r="B20" s="3" t="str">
        <f t="shared" si="0"/>
        <v>ter</v>
      </c>
      <c r="C20" s="19" t="str">
        <f>IF(Tabela1[[#This Row],[Data]]="","",CONCATENATE("SEMANA"," ",_xlfn.ISOWEEKNUM(Tabela1[[#This Row],[Data]])))</f>
        <v>SEMANA 21</v>
      </c>
      <c r="D20" s="3" t="str">
        <f t="shared" si="1"/>
        <v>mai-25</v>
      </c>
      <c r="E20" s="4" t="s">
        <v>0</v>
      </c>
      <c r="F20" s="4" t="s">
        <v>34</v>
      </c>
      <c r="G20" s="4" t="s">
        <v>54</v>
      </c>
      <c r="H20" s="4" t="s">
        <v>27</v>
      </c>
      <c r="I20" s="9" t="s">
        <v>55</v>
      </c>
    </row>
    <row r="21" spans="1:9" x14ac:dyDescent="0.3">
      <c r="A21" s="8">
        <v>45799</v>
      </c>
      <c r="B21" s="3" t="str">
        <f t="shared" si="0"/>
        <v>qui</v>
      </c>
      <c r="C21" s="19" t="str">
        <f>IF(Tabela1[[#This Row],[Data]]="","",CONCATENATE("SEMANA"," ",_xlfn.ISOWEEKNUM(Tabela1[[#This Row],[Data]])))</f>
        <v>SEMANA 21</v>
      </c>
      <c r="D21" s="3" t="str">
        <f t="shared" si="1"/>
        <v>mai-25</v>
      </c>
      <c r="E21" s="4" t="s">
        <v>33</v>
      </c>
      <c r="F21" s="4" t="s">
        <v>34</v>
      </c>
      <c r="G21" s="4" t="s">
        <v>62</v>
      </c>
      <c r="H21" s="4" t="s">
        <v>31</v>
      </c>
      <c r="I21" s="9" t="s">
        <v>63</v>
      </c>
    </row>
    <row r="22" spans="1:9" x14ac:dyDescent="0.3">
      <c r="A22" s="8">
        <v>45803</v>
      </c>
      <c r="B22" s="3" t="str">
        <f t="shared" si="0"/>
        <v>seg</v>
      </c>
      <c r="C22" s="19" t="str">
        <f>IF(Tabela1[[#This Row],[Data]]="","",CONCATENATE("SEMANA"," ",_xlfn.ISOWEEKNUM(Tabela1[[#This Row],[Data]])))</f>
        <v>SEMANA 22</v>
      </c>
      <c r="D22" s="3" t="str">
        <f t="shared" si="1"/>
        <v>mai-25</v>
      </c>
      <c r="E22" s="4" t="s">
        <v>0</v>
      </c>
      <c r="F22" s="4" t="s">
        <v>34</v>
      </c>
      <c r="G22" s="4" t="s">
        <v>64</v>
      </c>
      <c r="H22" s="4" t="s">
        <v>27</v>
      </c>
      <c r="I22" s="9" t="s">
        <v>65</v>
      </c>
    </row>
    <row r="23" spans="1:9" x14ac:dyDescent="0.3">
      <c r="A23" s="8">
        <v>45805</v>
      </c>
      <c r="B23" s="3" t="str">
        <f t="shared" si="0"/>
        <v>qua</v>
      </c>
      <c r="C23" s="19" t="str">
        <f>IF(Tabela1[[#This Row],[Data]]="","",CONCATENATE("SEMANA"," ",_xlfn.ISOWEEKNUM(Tabela1[[#This Row],[Data]])))</f>
        <v>SEMANA 22</v>
      </c>
      <c r="D23" s="3" t="str">
        <f t="shared" si="1"/>
        <v>mai-25</v>
      </c>
      <c r="E23" s="4" t="s">
        <v>33</v>
      </c>
      <c r="F23" s="4" t="s">
        <v>34</v>
      </c>
      <c r="G23" s="4" t="s">
        <v>66</v>
      </c>
      <c r="H23" s="4" t="s">
        <v>68</v>
      </c>
      <c r="I23" s="9" t="s">
        <v>67</v>
      </c>
    </row>
    <row r="24" spans="1:9" x14ac:dyDescent="0.3">
      <c r="A24" s="8">
        <v>45782</v>
      </c>
      <c r="B24" s="3" t="str">
        <f t="shared" si="0"/>
        <v>seg</v>
      </c>
      <c r="C24" s="19" t="str">
        <f>IF(Tabela1[[#This Row],[Data]]="","",CONCATENATE("SEMANA"," ",_xlfn.ISOWEEKNUM(Tabela1[[#This Row],[Data]])))</f>
        <v>SEMANA 19</v>
      </c>
      <c r="D24" s="3" t="str">
        <f t="shared" si="1"/>
        <v>mai-25</v>
      </c>
      <c r="E24" s="4" t="s">
        <v>69</v>
      </c>
      <c r="F24" s="4" t="s">
        <v>70</v>
      </c>
      <c r="G24" s="4" t="s">
        <v>71</v>
      </c>
      <c r="H24" s="4" t="s">
        <v>27</v>
      </c>
      <c r="I24" s="9" t="s">
        <v>72</v>
      </c>
    </row>
    <row r="25" spans="1:9" x14ac:dyDescent="0.3">
      <c r="A25" s="8">
        <v>45788</v>
      </c>
      <c r="B25" s="3" t="str">
        <f t="shared" si="0"/>
        <v>dom</v>
      </c>
      <c r="C25" s="19" t="str">
        <f>IF(Tabela1[[#This Row],[Data]]="","",CONCATENATE("SEMANA"," ",_xlfn.ISOWEEKNUM(Tabela1[[#This Row],[Data]])))</f>
        <v>SEMANA 19</v>
      </c>
      <c r="D25" s="3" t="str">
        <f t="shared" si="1"/>
        <v>mai-25</v>
      </c>
      <c r="E25" s="4" t="s">
        <v>69</v>
      </c>
      <c r="F25" s="4" t="s">
        <v>70</v>
      </c>
      <c r="G25" s="4" t="s">
        <v>73</v>
      </c>
      <c r="H25" s="4" t="s">
        <v>31</v>
      </c>
      <c r="I25" s="9" t="s">
        <v>74</v>
      </c>
    </row>
    <row r="26" spans="1:9" x14ac:dyDescent="0.3">
      <c r="A26" s="8">
        <v>45793</v>
      </c>
      <c r="B26" s="3" t="str">
        <f t="shared" si="0"/>
        <v>sex</v>
      </c>
      <c r="C26" s="19" t="str">
        <f>IF(Tabela1[[#This Row],[Data]]="","",CONCATENATE("SEMANA"," ",_xlfn.ISOWEEKNUM(Tabela1[[#This Row],[Data]])))</f>
        <v>SEMANA 20</v>
      </c>
      <c r="D26" s="3" t="str">
        <f t="shared" si="1"/>
        <v>mai-25</v>
      </c>
      <c r="E26" s="4" t="s">
        <v>69</v>
      </c>
      <c r="F26" s="4" t="s">
        <v>70</v>
      </c>
      <c r="G26" s="4" t="s">
        <v>75</v>
      </c>
      <c r="H26" s="4" t="s">
        <v>27</v>
      </c>
      <c r="I26" s="9" t="s">
        <v>76</v>
      </c>
    </row>
    <row r="27" spans="1:9" x14ac:dyDescent="0.3">
      <c r="A27" s="8">
        <v>45798</v>
      </c>
      <c r="B27" s="3" t="str">
        <f t="shared" si="0"/>
        <v>qua</v>
      </c>
      <c r="C27" s="19" t="str">
        <f>IF(Tabela1[[#This Row],[Data]]="","",CONCATENATE("SEMANA"," ",_xlfn.ISOWEEKNUM(Tabela1[[#This Row],[Data]])))</f>
        <v>SEMANA 21</v>
      </c>
      <c r="D27" s="3" t="str">
        <f t="shared" si="1"/>
        <v>mai-25</v>
      </c>
      <c r="E27" s="4" t="s">
        <v>69</v>
      </c>
      <c r="F27" s="4" t="s">
        <v>70</v>
      </c>
      <c r="G27" s="4" t="s">
        <v>77</v>
      </c>
      <c r="H27" s="4" t="s">
        <v>31</v>
      </c>
      <c r="I27" s="9" t="s">
        <v>78</v>
      </c>
    </row>
    <row r="28" spans="1:9" x14ac:dyDescent="0.3">
      <c r="A28" s="8">
        <v>45807</v>
      </c>
      <c r="B28" s="3" t="str">
        <f t="shared" si="0"/>
        <v>sex</v>
      </c>
      <c r="C28" s="19" t="str">
        <f>IF(Tabela1[[#This Row],[Data]]="","",CONCATENATE("SEMANA"," ",_xlfn.ISOWEEKNUM(Tabela1[[#This Row],[Data]])))</f>
        <v>SEMANA 22</v>
      </c>
      <c r="D28" s="3" t="str">
        <f t="shared" si="1"/>
        <v>mai-25</v>
      </c>
      <c r="E28" s="4" t="s">
        <v>69</v>
      </c>
      <c r="F28" s="4" t="s">
        <v>70</v>
      </c>
      <c r="G28" s="4" t="s">
        <v>79</v>
      </c>
      <c r="H28" s="4" t="s">
        <v>27</v>
      </c>
      <c r="I28" s="9" t="s">
        <v>80</v>
      </c>
    </row>
    <row r="29" spans="1:9" x14ac:dyDescent="0.3">
      <c r="A29" s="8"/>
      <c r="B29" s="3" t="str">
        <f t="shared" si="0"/>
        <v/>
      </c>
      <c r="C29" s="19" t="str">
        <f>IF(Tabela1[[#This Row],[Data]]="","",CONCATENATE("SEMANA"," ",_xlfn.ISOWEEKNUM(Tabela1[[#This Row],[Data]])))</f>
        <v/>
      </c>
      <c r="D29" s="3" t="str">
        <f t="shared" si="1"/>
        <v/>
      </c>
      <c r="E29" s="4"/>
      <c r="F29" s="4"/>
      <c r="G29" s="4"/>
      <c r="H29" s="4"/>
      <c r="I29" s="9"/>
    </row>
    <row r="30" spans="1:9" x14ac:dyDescent="0.3">
      <c r="A30" s="8"/>
      <c r="B30" s="3" t="str">
        <f t="shared" si="0"/>
        <v/>
      </c>
      <c r="C30" s="19" t="str">
        <f>IF(Tabela1[[#This Row],[Data]]="","",CONCATENATE("SEMANA"," ",_xlfn.ISOWEEKNUM(Tabela1[[#This Row],[Data]])))</f>
        <v/>
      </c>
      <c r="D30" s="3" t="str">
        <f t="shared" si="1"/>
        <v/>
      </c>
      <c r="E30" s="4"/>
      <c r="F30" s="4"/>
      <c r="G30" s="4"/>
      <c r="H30" s="4"/>
      <c r="I30" s="9"/>
    </row>
    <row r="31" spans="1:9" x14ac:dyDescent="0.3">
      <c r="A31" s="8"/>
      <c r="B31" s="3" t="str">
        <f t="shared" si="0"/>
        <v/>
      </c>
      <c r="C31" s="19" t="str">
        <f>IF(Tabela1[[#This Row],[Data]]="","",CONCATENATE("SEMANA"," ",_xlfn.ISOWEEKNUM(Tabela1[[#This Row],[Data]])))</f>
        <v/>
      </c>
      <c r="D31" s="3" t="str">
        <f t="shared" si="1"/>
        <v/>
      </c>
      <c r="E31" s="4"/>
      <c r="F31" s="4"/>
      <c r="G31" s="4"/>
      <c r="H31" s="4"/>
      <c r="I31" s="9"/>
    </row>
    <row r="32" spans="1:9" x14ac:dyDescent="0.3">
      <c r="A32" s="8"/>
      <c r="B32" s="3" t="str">
        <f t="shared" si="0"/>
        <v/>
      </c>
      <c r="C32" s="19" t="str">
        <f>IF(Tabela1[[#This Row],[Data]]="","",CONCATENATE("SEMANA"," ",_xlfn.ISOWEEKNUM(Tabela1[[#This Row],[Data]])))</f>
        <v/>
      </c>
      <c r="D32" s="3" t="str">
        <f t="shared" si="1"/>
        <v/>
      </c>
      <c r="E32" s="4"/>
      <c r="F32" s="4"/>
      <c r="G32" s="4"/>
      <c r="H32" s="4"/>
      <c r="I32" s="9"/>
    </row>
    <row r="33" spans="1:9" x14ac:dyDescent="0.3">
      <c r="A33" s="8"/>
      <c r="B33" s="3" t="str">
        <f t="shared" si="0"/>
        <v/>
      </c>
      <c r="C33" s="19" t="str">
        <f>IF(Tabela1[[#This Row],[Data]]="","",CONCATENATE("SEMANA"," ",_xlfn.ISOWEEKNUM(Tabela1[[#This Row],[Data]])))</f>
        <v/>
      </c>
      <c r="D33" s="3" t="str">
        <f t="shared" si="1"/>
        <v/>
      </c>
      <c r="E33" s="4"/>
      <c r="F33" s="4"/>
      <c r="G33" s="4"/>
      <c r="H33" s="4"/>
      <c r="I33" s="9"/>
    </row>
    <row r="34" spans="1:9" x14ac:dyDescent="0.3">
      <c r="A34" s="8"/>
      <c r="B34" s="3" t="str">
        <f t="shared" si="0"/>
        <v/>
      </c>
      <c r="C34" s="19" t="str">
        <f>IF(Tabela1[[#This Row],[Data]]="","",CONCATENATE("SEMANA"," ",_xlfn.ISOWEEKNUM(Tabela1[[#This Row],[Data]])))</f>
        <v/>
      </c>
      <c r="D34" s="3" t="str">
        <f t="shared" si="1"/>
        <v/>
      </c>
      <c r="E34" s="4"/>
      <c r="F34" s="4"/>
      <c r="G34" s="4"/>
      <c r="H34" s="4"/>
      <c r="I34" s="9"/>
    </row>
    <row r="35" spans="1:9" x14ac:dyDescent="0.3">
      <c r="A35" s="8"/>
      <c r="B35" s="3" t="str">
        <f t="shared" si="0"/>
        <v/>
      </c>
      <c r="C35" s="19" t="str">
        <f>IF(Tabela1[[#This Row],[Data]]="","",CONCATENATE("SEMANA"," ",_xlfn.ISOWEEKNUM(Tabela1[[#This Row],[Data]])))</f>
        <v/>
      </c>
      <c r="D35" s="3" t="str">
        <f t="shared" si="1"/>
        <v/>
      </c>
      <c r="E35" s="4"/>
      <c r="F35" s="4"/>
      <c r="G35" s="4"/>
      <c r="H35" s="4"/>
      <c r="I35" s="9"/>
    </row>
    <row r="36" spans="1:9" x14ac:dyDescent="0.3">
      <c r="A36" s="8"/>
      <c r="B36" s="3" t="str">
        <f t="shared" si="0"/>
        <v/>
      </c>
      <c r="C36" s="19" t="str">
        <f>IF(Tabela1[[#This Row],[Data]]="","",CONCATENATE("SEMANA"," ",_xlfn.ISOWEEKNUM(Tabela1[[#This Row],[Data]])))</f>
        <v/>
      </c>
      <c r="D36" s="3" t="str">
        <f t="shared" si="1"/>
        <v/>
      </c>
      <c r="E36" s="4"/>
      <c r="F36" s="4"/>
      <c r="G36" s="4"/>
      <c r="H36" s="4"/>
      <c r="I36" s="9"/>
    </row>
    <row r="37" spans="1:9" x14ac:dyDescent="0.3">
      <c r="A37" s="8"/>
      <c r="B37" s="3" t="str">
        <f t="shared" si="0"/>
        <v/>
      </c>
      <c r="C37" s="19" t="str">
        <f>IF(Tabela1[[#This Row],[Data]]="","",CONCATENATE("SEMANA"," ",_xlfn.ISOWEEKNUM(Tabela1[[#This Row],[Data]])))</f>
        <v/>
      </c>
      <c r="D37" s="3" t="str">
        <f t="shared" si="1"/>
        <v/>
      </c>
      <c r="E37" s="4"/>
      <c r="F37" s="4"/>
      <c r="G37" s="4"/>
      <c r="H37" s="4"/>
      <c r="I37" s="9"/>
    </row>
    <row r="38" spans="1:9" x14ac:dyDescent="0.3">
      <c r="A38" s="8"/>
      <c r="B38" s="3" t="str">
        <f t="shared" si="0"/>
        <v/>
      </c>
      <c r="C38" s="19" t="str">
        <f>IF(Tabela1[[#This Row],[Data]]="","",CONCATENATE("SEMANA"," ",_xlfn.ISOWEEKNUM(Tabela1[[#This Row],[Data]])))</f>
        <v/>
      </c>
      <c r="D38" s="3" t="str">
        <f t="shared" si="1"/>
        <v/>
      </c>
      <c r="E38" s="4"/>
      <c r="F38" s="4"/>
      <c r="G38" s="4"/>
      <c r="H38" s="4"/>
      <c r="I38" s="9"/>
    </row>
    <row r="39" spans="1:9" x14ac:dyDescent="0.3">
      <c r="A39" s="8"/>
      <c r="B39" s="3" t="str">
        <f t="shared" si="0"/>
        <v/>
      </c>
      <c r="C39" s="19" t="str">
        <f>IF(Tabela1[[#This Row],[Data]]="","",CONCATENATE("SEMANA"," ",_xlfn.ISOWEEKNUM(Tabela1[[#This Row],[Data]])))</f>
        <v/>
      </c>
      <c r="D39" s="3" t="str">
        <f t="shared" si="1"/>
        <v/>
      </c>
      <c r="E39" s="4"/>
      <c r="F39" s="4"/>
      <c r="G39" s="4"/>
      <c r="H39" s="4"/>
      <c r="I39" s="9"/>
    </row>
    <row r="40" spans="1:9" x14ac:dyDescent="0.3">
      <c r="A40" s="8"/>
      <c r="B40" s="3" t="str">
        <f t="shared" si="0"/>
        <v/>
      </c>
      <c r="C40" s="19" t="str">
        <f>IF(Tabela1[[#This Row],[Data]]="","",CONCATENATE("SEMANA"," ",_xlfn.ISOWEEKNUM(Tabela1[[#This Row],[Data]])))</f>
        <v/>
      </c>
      <c r="D40" s="3" t="str">
        <f t="shared" si="1"/>
        <v/>
      </c>
      <c r="E40" s="4"/>
      <c r="F40" s="4"/>
      <c r="G40" s="4"/>
      <c r="H40" s="4"/>
      <c r="I40" s="9"/>
    </row>
    <row r="41" spans="1:9" x14ac:dyDescent="0.3">
      <c r="A41" s="8"/>
      <c r="B41" s="3" t="str">
        <f t="shared" si="0"/>
        <v/>
      </c>
      <c r="C41" s="19" t="str">
        <f>IF(Tabela1[[#This Row],[Data]]="","",CONCATENATE("SEMANA"," ",_xlfn.ISOWEEKNUM(Tabela1[[#This Row],[Data]])))</f>
        <v/>
      </c>
      <c r="D41" s="3" t="str">
        <f t="shared" si="1"/>
        <v/>
      </c>
      <c r="E41" s="4"/>
      <c r="F41" s="4"/>
      <c r="G41" s="4"/>
      <c r="H41" s="4"/>
      <c r="I41" s="9"/>
    </row>
    <row r="42" spans="1:9" x14ac:dyDescent="0.3">
      <c r="A42" s="8"/>
      <c r="B42" s="3" t="str">
        <f t="shared" si="0"/>
        <v/>
      </c>
      <c r="C42" s="19" t="str">
        <f>IF(Tabela1[[#This Row],[Data]]="","",CONCATENATE("SEMANA"," ",_xlfn.ISOWEEKNUM(Tabela1[[#This Row],[Data]])))</f>
        <v/>
      </c>
      <c r="D42" s="3" t="str">
        <f t="shared" si="1"/>
        <v/>
      </c>
      <c r="E42" s="4"/>
      <c r="F42" s="4"/>
      <c r="G42" s="4"/>
      <c r="H42" s="4"/>
      <c r="I42" s="9"/>
    </row>
    <row r="43" spans="1:9" x14ac:dyDescent="0.3">
      <c r="A43" s="8"/>
      <c r="B43" s="3" t="str">
        <f t="shared" si="0"/>
        <v/>
      </c>
      <c r="C43" s="19" t="str">
        <f>IF(Tabela1[[#This Row],[Data]]="","",CONCATENATE("SEMANA"," ",_xlfn.ISOWEEKNUM(Tabela1[[#This Row],[Data]])))</f>
        <v/>
      </c>
      <c r="D43" s="3" t="str">
        <f t="shared" si="1"/>
        <v/>
      </c>
      <c r="E43" s="4"/>
      <c r="F43" s="4"/>
      <c r="G43" s="4"/>
      <c r="H43" s="4"/>
      <c r="I43" s="9"/>
    </row>
    <row r="44" spans="1:9" x14ac:dyDescent="0.3">
      <c r="A44" s="8"/>
      <c r="B44" s="3" t="str">
        <f t="shared" si="0"/>
        <v/>
      </c>
      <c r="C44" s="19" t="str">
        <f>IF(Tabela1[[#This Row],[Data]]="","",CONCATENATE("SEMANA"," ",_xlfn.ISOWEEKNUM(Tabela1[[#This Row],[Data]])))</f>
        <v/>
      </c>
      <c r="D44" s="3" t="str">
        <f t="shared" si="1"/>
        <v/>
      </c>
      <c r="E44" s="4"/>
      <c r="F44" s="4"/>
      <c r="G44" s="4"/>
      <c r="H44" s="4"/>
      <c r="I44" s="9"/>
    </row>
    <row r="45" spans="1:9" x14ac:dyDescent="0.3">
      <c r="A45" s="8"/>
      <c r="B45" s="3" t="str">
        <f t="shared" si="0"/>
        <v/>
      </c>
      <c r="C45" s="19" t="str">
        <f>IF(Tabela1[[#This Row],[Data]]="","",CONCATENATE("SEMANA"," ",_xlfn.ISOWEEKNUM(Tabela1[[#This Row],[Data]])))</f>
        <v/>
      </c>
      <c r="D45" s="3" t="str">
        <f t="shared" si="1"/>
        <v/>
      </c>
      <c r="E45" s="4"/>
      <c r="F45" s="4"/>
      <c r="G45" s="4"/>
      <c r="H45" s="4"/>
      <c r="I45" s="9"/>
    </row>
    <row r="46" spans="1:9" x14ac:dyDescent="0.3">
      <c r="A46" s="8"/>
      <c r="B46" s="3" t="str">
        <f t="shared" si="0"/>
        <v/>
      </c>
      <c r="C46" s="19" t="str">
        <f>IF(Tabela1[[#This Row],[Data]]="","",CONCATENATE("SEMANA"," ",_xlfn.ISOWEEKNUM(Tabela1[[#This Row],[Data]])))</f>
        <v/>
      </c>
      <c r="D46" s="3" t="str">
        <f t="shared" si="1"/>
        <v/>
      </c>
      <c r="E46" s="4"/>
      <c r="F46" s="4"/>
      <c r="G46" s="4"/>
      <c r="H46" s="4"/>
      <c r="I46" s="9"/>
    </row>
    <row r="47" spans="1:9" x14ac:dyDescent="0.3">
      <c r="A47" s="8"/>
      <c r="B47" s="3" t="str">
        <f t="shared" si="0"/>
        <v/>
      </c>
      <c r="C47" s="19" t="str">
        <f>IF(Tabela1[[#This Row],[Data]]="","",CONCATENATE("SEMANA"," ",_xlfn.ISOWEEKNUM(Tabela1[[#This Row],[Data]])))</f>
        <v/>
      </c>
      <c r="D47" s="3" t="str">
        <f t="shared" si="1"/>
        <v/>
      </c>
      <c r="E47" s="4"/>
      <c r="F47" s="4"/>
      <c r="G47" s="4"/>
      <c r="H47" s="4"/>
      <c r="I47" s="9"/>
    </row>
    <row r="48" spans="1:9" x14ac:dyDescent="0.3">
      <c r="A48" s="8"/>
      <c r="B48" s="3" t="str">
        <f t="shared" si="0"/>
        <v/>
      </c>
      <c r="C48" s="19" t="str">
        <f>IF(Tabela1[[#This Row],[Data]]="","",CONCATENATE("SEMANA"," ",_xlfn.ISOWEEKNUM(Tabela1[[#This Row],[Data]])))</f>
        <v/>
      </c>
      <c r="D48" s="3" t="str">
        <f t="shared" si="1"/>
        <v/>
      </c>
      <c r="E48" s="4"/>
      <c r="F48" s="4"/>
      <c r="G48" s="4"/>
      <c r="H48" s="4"/>
      <c r="I48" s="9"/>
    </row>
    <row r="49" spans="1:9" x14ac:dyDescent="0.3">
      <c r="A49" s="8"/>
      <c r="B49" s="3" t="str">
        <f t="shared" si="0"/>
        <v/>
      </c>
      <c r="C49" s="19" t="str">
        <f>IF(Tabela1[[#This Row],[Data]]="","",CONCATENATE("SEMANA"," ",_xlfn.ISOWEEKNUM(Tabela1[[#This Row],[Data]])))</f>
        <v/>
      </c>
      <c r="D49" s="3" t="str">
        <f t="shared" si="1"/>
        <v/>
      </c>
      <c r="E49" s="4"/>
      <c r="F49" s="4"/>
      <c r="G49" s="4"/>
      <c r="H49" s="4"/>
      <c r="I49" s="9"/>
    </row>
    <row r="50" spans="1:9" x14ac:dyDescent="0.3">
      <c r="A50" s="8"/>
      <c r="B50" s="3" t="str">
        <f t="shared" si="0"/>
        <v/>
      </c>
      <c r="C50" s="19" t="str">
        <f>IF(Tabela1[[#This Row],[Data]]="","",CONCATENATE("SEMANA"," ",_xlfn.ISOWEEKNUM(Tabela1[[#This Row],[Data]])))</f>
        <v/>
      </c>
      <c r="D50" s="3" t="str">
        <f t="shared" si="1"/>
        <v/>
      </c>
      <c r="E50" s="4"/>
      <c r="F50" s="4"/>
      <c r="G50" s="4"/>
      <c r="H50" s="4"/>
      <c r="I50" s="9"/>
    </row>
    <row r="51" spans="1:9" x14ac:dyDescent="0.3">
      <c r="A51" s="8"/>
      <c r="B51" s="3" t="str">
        <f t="shared" si="0"/>
        <v/>
      </c>
      <c r="C51" s="19" t="str">
        <f>IF(Tabela1[[#This Row],[Data]]="","",CONCATENATE("SEMANA"," ",_xlfn.ISOWEEKNUM(Tabela1[[#This Row],[Data]])))</f>
        <v/>
      </c>
      <c r="D51" s="3" t="str">
        <f t="shared" si="1"/>
        <v/>
      </c>
      <c r="E51" s="4"/>
      <c r="F51" s="4"/>
      <c r="G51" s="4"/>
      <c r="H51" s="4"/>
      <c r="I51" s="9"/>
    </row>
    <row r="52" spans="1:9" x14ac:dyDescent="0.3">
      <c r="A52" s="8"/>
      <c r="B52" s="3" t="str">
        <f t="shared" si="0"/>
        <v/>
      </c>
      <c r="C52" s="19" t="str">
        <f>IF(Tabela1[[#This Row],[Data]]="","",CONCATENATE("SEMANA"," ",_xlfn.ISOWEEKNUM(Tabela1[[#This Row],[Data]])))</f>
        <v/>
      </c>
      <c r="D52" s="3" t="str">
        <f t="shared" si="1"/>
        <v/>
      </c>
      <c r="E52" s="4"/>
      <c r="F52" s="4"/>
      <c r="G52" s="4"/>
      <c r="H52" s="4"/>
      <c r="I52" s="9"/>
    </row>
    <row r="53" spans="1:9" x14ac:dyDescent="0.3">
      <c r="A53" s="8"/>
      <c r="B53" s="3" t="str">
        <f t="shared" si="0"/>
        <v/>
      </c>
      <c r="C53" s="19" t="str">
        <f>IF(Tabela1[[#This Row],[Data]]="","",CONCATENATE("SEMANA"," ",_xlfn.ISOWEEKNUM(Tabela1[[#This Row],[Data]])))</f>
        <v/>
      </c>
      <c r="D53" s="3" t="str">
        <f t="shared" si="1"/>
        <v/>
      </c>
      <c r="E53" s="4"/>
      <c r="F53" s="4"/>
      <c r="G53" s="4"/>
      <c r="H53" s="4"/>
      <c r="I53" s="9"/>
    </row>
    <row r="54" spans="1:9" x14ac:dyDescent="0.3">
      <c r="A54" s="8"/>
      <c r="B54" s="3" t="str">
        <f t="shared" si="0"/>
        <v/>
      </c>
      <c r="C54" s="19" t="str">
        <f>IF(Tabela1[[#This Row],[Data]]="","",CONCATENATE("SEMANA"," ",_xlfn.ISOWEEKNUM(Tabela1[[#This Row],[Data]])))</f>
        <v/>
      </c>
      <c r="D54" s="3" t="str">
        <f t="shared" si="1"/>
        <v/>
      </c>
      <c r="E54" s="4"/>
      <c r="F54" s="4"/>
      <c r="G54" s="4"/>
      <c r="H54" s="4"/>
      <c r="I54" s="9"/>
    </row>
    <row r="55" spans="1:9" x14ac:dyDescent="0.3">
      <c r="A55" s="8"/>
      <c r="B55" s="3" t="str">
        <f t="shared" si="0"/>
        <v/>
      </c>
      <c r="C55" s="19" t="str">
        <f>IF(Tabela1[[#This Row],[Data]]="","",CONCATENATE("SEMANA"," ",_xlfn.ISOWEEKNUM(Tabela1[[#This Row],[Data]])))</f>
        <v/>
      </c>
      <c r="D55" s="3" t="str">
        <f t="shared" si="1"/>
        <v/>
      </c>
      <c r="E55" s="4"/>
      <c r="F55" s="4"/>
      <c r="G55" s="4"/>
      <c r="H55" s="4"/>
      <c r="I55" s="9"/>
    </row>
    <row r="56" spans="1:9" x14ac:dyDescent="0.3">
      <c r="A56" s="8"/>
      <c r="B56" s="3" t="str">
        <f t="shared" si="0"/>
        <v/>
      </c>
      <c r="C56" s="19" t="str">
        <f>IF(Tabela1[[#This Row],[Data]]="","",CONCATENATE("SEMANA"," ",_xlfn.ISOWEEKNUM(Tabela1[[#This Row],[Data]])))</f>
        <v/>
      </c>
      <c r="D56" s="3" t="str">
        <f t="shared" si="1"/>
        <v/>
      </c>
      <c r="E56" s="4"/>
      <c r="F56" s="4"/>
      <c r="G56" s="4"/>
      <c r="H56" s="4"/>
      <c r="I56" s="9"/>
    </row>
    <row r="57" spans="1:9" x14ac:dyDescent="0.3">
      <c r="A57" s="8"/>
      <c r="B57" s="3" t="str">
        <f t="shared" si="0"/>
        <v/>
      </c>
      <c r="C57" s="19" t="str">
        <f>IF(Tabela1[[#This Row],[Data]]="","",CONCATENATE("SEMANA"," ",_xlfn.ISOWEEKNUM(Tabela1[[#This Row],[Data]])))</f>
        <v/>
      </c>
      <c r="D57" s="3" t="str">
        <f t="shared" si="1"/>
        <v/>
      </c>
      <c r="E57" s="4"/>
      <c r="F57" s="4"/>
      <c r="G57" s="4"/>
      <c r="H57" s="4"/>
      <c r="I57" s="9"/>
    </row>
    <row r="58" spans="1:9" x14ac:dyDescent="0.3">
      <c r="A58" s="8"/>
      <c r="B58" s="3" t="str">
        <f t="shared" si="0"/>
        <v/>
      </c>
      <c r="C58" s="19" t="str">
        <f>IF(Tabela1[[#This Row],[Data]]="","",CONCATENATE("SEMANA"," ",_xlfn.ISOWEEKNUM(Tabela1[[#This Row],[Data]])))</f>
        <v/>
      </c>
      <c r="D58" s="3" t="str">
        <f t="shared" si="1"/>
        <v/>
      </c>
      <c r="E58" s="4"/>
      <c r="F58" s="4"/>
      <c r="G58" s="4"/>
      <c r="H58" s="4"/>
      <c r="I58" s="9"/>
    </row>
    <row r="59" spans="1:9" x14ac:dyDescent="0.3">
      <c r="A59" s="8"/>
      <c r="B59" s="3" t="str">
        <f t="shared" si="0"/>
        <v/>
      </c>
      <c r="C59" s="19" t="str">
        <f>IF(Tabela1[[#This Row],[Data]]="","",CONCATENATE("SEMANA"," ",_xlfn.ISOWEEKNUM(Tabela1[[#This Row],[Data]])))</f>
        <v/>
      </c>
      <c r="D59" s="3" t="str">
        <f t="shared" si="1"/>
        <v/>
      </c>
      <c r="E59" s="4"/>
      <c r="F59" s="4"/>
      <c r="G59" s="4"/>
      <c r="H59" s="4"/>
      <c r="I59" s="9"/>
    </row>
    <row r="60" spans="1:9" x14ac:dyDescent="0.3">
      <c r="A60" s="8"/>
      <c r="B60" s="3" t="str">
        <f t="shared" si="0"/>
        <v/>
      </c>
      <c r="C60" s="19" t="str">
        <f>IF(Tabela1[[#This Row],[Data]]="","",CONCATENATE("SEMANA"," ",_xlfn.ISOWEEKNUM(Tabela1[[#This Row],[Data]])))</f>
        <v/>
      </c>
      <c r="D60" s="3" t="str">
        <f t="shared" si="1"/>
        <v/>
      </c>
      <c r="E60" s="4"/>
      <c r="F60" s="4"/>
      <c r="G60" s="4"/>
      <c r="H60" s="4"/>
      <c r="I60" s="9"/>
    </row>
    <row r="61" spans="1:9" x14ac:dyDescent="0.3">
      <c r="A61" s="8"/>
      <c r="B61" s="3" t="str">
        <f t="shared" si="0"/>
        <v/>
      </c>
      <c r="C61" s="19" t="str">
        <f>IF(Tabela1[[#This Row],[Data]]="","",CONCATENATE("SEMANA"," ",_xlfn.ISOWEEKNUM(Tabela1[[#This Row],[Data]])))</f>
        <v/>
      </c>
      <c r="D61" s="3" t="str">
        <f t="shared" si="1"/>
        <v/>
      </c>
      <c r="E61" s="4"/>
      <c r="F61" s="4"/>
      <c r="G61" s="4"/>
      <c r="H61" s="4"/>
      <c r="I61" s="9"/>
    </row>
    <row r="62" spans="1:9" x14ac:dyDescent="0.3">
      <c r="A62" s="8"/>
      <c r="B62" s="3" t="str">
        <f t="shared" si="0"/>
        <v/>
      </c>
      <c r="C62" s="19" t="str">
        <f>IF(Tabela1[[#This Row],[Data]]="","",CONCATENATE("SEMANA"," ",_xlfn.ISOWEEKNUM(Tabela1[[#This Row],[Data]])))</f>
        <v/>
      </c>
      <c r="D62" s="3" t="str">
        <f t="shared" si="1"/>
        <v/>
      </c>
      <c r="E62" s="4"/>
      <c r="F62" s="4"/>
      <c r="G62" s="4"/>
      <c r="H62" s="4"/>
      <c r="I62" s="9"/>
    </row>
    <row r="63" spans="1:9" x14ac:dyDescent="0.3">
      <c r="A63" s="8"/>
      <c r="B63" s="3" t="str">
        <f t="shared" si="0"/>
        <v/>
      </c>
      <c r="C63" s="19" t="str">
        <f>IF(Tabela1[[#This Row],[Data]]="","",CONCATENATE("SEMANA"," ",_xlfn.ISOWEEKNUM(Tabela1[[#This Row],[Data]])))</f>
        <v/>
      </c>
      <c r="D63" s="3" t="str">
        <f t="shared" si="1"/>
        <v/>
      </c>
      <c r="E63" s="4"/>
      <c r="F63" s="4"/>
      <c r="G63" s="4"/>
      <c r="H63" s="4"/>
      <c r="I63" s="9"/>
    </row>
    <row r="64" spans="1:9" x14ac:dyDescent="0.3">
      <c r="A64" s="8"/>
      <c r="B64" s="3" t="str">
        <f t="shared" si="0"/>
        <v/>
      </c>
      <c r="C64" s="19" t="str">
        <f>IF(Tabela1[[#This Row],[Data]]="","",CONCATENATE("SEMANA"," ",_xlfn.ISOWEEKNUM(Tabela1[[#This Row],[Data]])))</f>
        <v/>
      </c>
      <c r="D64" s="3" t="str">
        <f t="shared" si="1"/>
        <v/>
      </c>
      <c r="E64" s="4"/>
      <c r="F64" s="4"/>
      <c r="G64" s="4"/>
      <c r="H64" s="4"/>
      <c r="I64" s="9"/>
    </row>
    <row r="65" spans="1:9" x14ac:dyDescent="0.3">
      <c r="A65" s="8"/>
      <c r="B65" s="3" t="str">
        <f t="shared" si="0"/>
        <v/>
      </c>
      <c r="C65" s="19" t="str">
        <f>IF(Tabela1[[#This Row],[Data]]="","",CONCATENATE("SEMANA"," ",_xlfn.ISOWEEKNUM(Tabela1[[#This Row],[Data]])))</f>
        <v/>
      </c>
      <c r="D65" s="3" t="str">
        <f t="shared" si="1"/>
        <v/>
      </c>
      <c r="E65" s="4"/>
      <c r="F65" s="4"/>
      <c r="G65" s="4"/>
      <c r="H65" s="4"/>
      <c r="I65" s="9"/>
    </row>
    <row r="66" spans="1:9" x14ac:dyDescent="0.3">
      <c r="A66" s="8"/>
      <c r="B66" s="3" t="str">
        <f t="shared" ref="B66:B129" si="2">IF(A66="","",TEXT(A66,"ddd"))</f>
        <v/>
      </c>
      <c r="C66" s="19" t="str">
        <f>IF(Tabela1[[#This Row],[Data]]="","",CONCATENATE("SEMANA"," ",_xlfn.ISOWEEKNUM(Tabela1[[#This Row],[Data]])))</f>
        <v/>
      </c>
      <c r="D66" s="3" t="str">
        <f t="shared" ref="D66:D129" si="3">IF(A66="","",TEXT(A66,"mmm-aa"))</f>
        <v/>
      </c>
      <c r="E66" s="4"/>
      <c r="F66" s="4"/>
      <c r="G66" s="4"/>
      <c r="H66" s="4"/>
      <c r="I66" s="9"/>
    </row>
    <row r="67" spans="1:9" x14ac:dyDescent="0.3">
      <c r="A67" s="8"/>
      <c r="B67" s="3" t="str">
        <f t="shared" si="2"/>
        <v/>
      </c>
      <c r="C67" s="19" t="str">
        <f>IF(Tabela1[[#This Row],[Data]]="","",CONCATENATE("SEMANA"," ",_xlfn.ISOWEEKNUM(Tabela1[[#This Row],[Data]])))</f>
        <v/>
      </c>
      <c r="D67" s="3" t="str">
        <f t="shared" si="3"/>
        <v/>
      </c>
      <c r="E67" s="4"/>
      <c r="F67" s="4"/>
      <c r="G67" s="4"/>
      <c r="H67" s="4"/>
      <c r="I67" s="9"/>
    </row>
    <row r="68" spans="1:9" x14ac:dyDescent="0.3">
      <c r="A68" s="8"/>
      <c r="B68" s="3" t="str">
        <f t="shared" si="2"/>
        <v/>
      </c>
      <c r="C68" s="19" t="str">
        <f>IF(Tabela1[[#This Row],[Data]]="","",CONCATENATE("SEMANA"," ",_xlfn.ISOWEEKNUM(Tabela1[[#This Row],[Data]])))</f>
        <v/>
      </c>
      <c r="D68" s="3" t="str">
        <f t="shared" si="3"/>
        <v/>
      </c>
      <c r="E68" s="4"/>
      <c r="F68" s="4"/>
      <c r="G68" s="4"/>
      <c r="H68" s="4"/>
      <c r="I68" s="9"/>
    </row>
    <row r="69" spans="1:9" x14ac:dyDescent="0.3">
      <c r="A69" s="8"/>
      <c r="B69" s="3" t="str">
        <f t="shared" si="2"/>
        <v/>
      </c>
      <c r="C69" s="19" t="str">
        <f>IF(Tabela1[[#This Row],[Data]]="","",CONCATENATE("SEMANA"," ",_xlfn.ISOWEEKNUM(Tabela1[[#This Row],[Data]])))</f>
        <v/>
      </c>
      <c r="D69" s="3" t="str">
        <f t="shared" si="3"/>
        <v/>
      </c>
      <c r="E69" s="4"/>
      <c r="F69" s="4"/>
      <c r="G69" s="4"/>
      <c r="H69" s="4"/>
      <c r="I69" s="9"/>
    </row>
    <row r="70" spans="1:9" x14ac:dyDescent="0.3">
      <c r="A70" s="8"/>
      <c r="B70" s="3" t="str">
        <f t="shared" si="2"/>
        <v/>
      </c>
      <c r="C70" s="19" t="str">
        <f>IF(Tabela1[[#This Row],[Data]]="","",CONCATENATE("SEMANA"," ",_xlfn.ISOWEEKNUM(Tabela1[[#This Row],[Data]])))</f>
        <v/>
      </c>
      <c r="D70" s="3" t="str">
        <f t="shared" si="3"/>
        <v/>
      </c>
      <c r="E70" s="4"/>
      <c r="F70" s="4"/>
      <c r="G70" s="4"/>
      <c r="H70" s="4"/>
      <c r="I70" s="9"/>
    </row>
    <row r="71" spans="1:9" x14ac:dyDescent="0.3">
      <c r="A71" s="8"/>
      <c r="B71" s="3" t="str">
        <f t="shared" si="2"/>
        <v/>
      </c>
      <c r="C71" s="19" t="str">
        <f>IF(Tabela1[[#This Row],[Data]]="","",CONCATENATE("SEMANA"," ",_xlfn.ISOWEEKNUM(Tabela1[[#This Row],[Data]])))</f>
        <v/>
      </c>
      <c r="D71" s="3" t="str">
        <f t="shared" si="3"/>
        <v/>
      </c>
      <c r="E71" s="4"/>
      <c r="F71" s="4"/>
      <c r="G71" s="4"/>
      <c r="H71" s="4"/>
      <c r="I71" s="9"/>
    </row>
    <row r="72" spans="1:9" x14ac:dyDescent="0.3">
      <c r="A72" s="8"/>
      <c r="B72" s="3" t="str">
        <f t="shared" si="2"/>
        <v/>
      </c>
      <c r="C72" s="19" t="str">
        <f>IF(Tabela1[[#This Row],[Data]]="","",CONCATENATE("SEMANA"," ",_xlfn.ISOWEEKNUM(Tabela1[[#This Row],[Data]])))</f>
        <v/>
      </c>
      <c r="D72" s="3" t="str">
        <f t="shared" si="3"/>
        <v/>
      </c>
      <c r="E72" s="4"/>
      <c r="F72" s="4"/>
      <c r="G72" s="4"/>
      <c r="H72" s="4"/>
      <c r="I72" s="9"/>
    </row>
    <row r="73" spans="1:9" x14ac:dyDescent="0.3">
      <c r="A73" s="8"/>
      <c r="B73" s="3" t="str">
        <f t="shared" si="2"/>
        <v/>
      </c>
      <c r="C73" s="19" t="str">
        <f>IF(Tabela1[[#This Row],[Data]]="","",CONCATENATE("SEMANA"," ",_xlfn.ISOWEEKNUM(Tabela1[[#This Row],[Data]])))</f>
        <v/>
      </c>
      <c r="D73" s="3" t="str">
        <f t="shared" si="3"/>
        <v/>
      </c>
      <c r="E73" s="4"/>
      <c r="F73" s="4"/>
      <c r="G73" s="4"/>
      <c r="H73" s="4"/>
      <c r="I73" s="9"/>
    </row>
    <row r="74" spans="1:9" x14ac:dyDescent="0.3">
      <c r="A74" s="8"/>
      <c r="B74" s="3" t="str">
        <f t="shared" si="2"/>
        <v/>
      </c>
      <c r="C74" s="19" t="str">
        <f>IF(Tabela1[[#This Row],[Data]]="","",CONCATENATE("SEMANA"," ",_xlfn.ISOWEEKNUM(Tabela1[[#This Row],[Data]])))</f>
        <v/>
      </c>
      <c r="D74" s="3" t="str">
        <f t="shared" si="3"/>
        <v/>
      </c>
      <c r="E74" s="4"/>
      <c r="F74" s="4"/>
      <c r="G74" s="4"/>
      <c r="H74" s="4"/>
      <c r="I74" s="9"/>
    </row>
    <row r="75" spans="1:9" x14ac:dyDescent="0.3">
      <c r="A75" s="8"/>
      <c r="B75" s="3" t="str">
        <f t="shared" si="2"/>
        <v/>
      </c>
      <c r="C75" s="19" t="str">
        <f>IF(Tabela1[[#This Row],[Data]]="","",CONCATENATE("SEMANA"," ",_xlfn.ISOWEEKNUM(Tabela1[[#This Row],[Data]])))</f>
        <v/>
      </c>
      <c r="D75" s="3" t="str">
        <f t="shared" si="3"/>
        <v/>
      </c>
      <c r="E75" s="4"/>
      <c r="F75" s="4"/>
      <c r="G75" s="4"/>
      <c r="H75" s="4"/>
      <c r="I75" s="9"/>
    </row>
    <row r="76" spans="1:9" x14ac:dyDescent="0.3">
      <c r="A76" s="8"/>
      <c r="B76" s="3" t="str">
        <f t="shared" si="2"/>
        <v/>
      </c>
      <c r="C76" s="19" t="str">
        <f>IF(Tabela1[[#This Row],[Data]]="","",CONCATENATE("SEMANA"," ",_xlfn.ISOWEEKNUM(Tabela1[[#This Row],[Data]])))</f>
        <v/>
      </c>
      <c r="D76" s="3" t="str">
        <f t="shared" si="3"/>
        <v/>
      </c>
      <c r="E76" s="4"/>
      <c r="F76" s="4"/>
      <c r="G76" s="4"/>
      <c r="H76" s="4"/>
      <c r="I76" s="9"/>
    </row>
    <row r="77" spans="1:9" x14ac:dyDescent="0.3">
      <c r="A77" s="8"/>
      <c r="B77" s="3" t="str">
        <f t="shared" si="2"/>
        <v/>
      </c>
      <c r="C77" s="19" t="str">
        <f>IF(Tabela1[[#This Row],[Data]]="","",CONCATENATE("SEMANA"," ",_xlfn.ISOWEEKNUM(Tabela1[[#This Row],[Data]])))</f>
        <v/>
      </c>
      <c r="D77" s="3" t="str">
        <f t="shared" si="3"/>
        <v/>
      </c>
      <c r="E77" s="4"/>
      <c r="F77" s="4"/>
      <c r="G77" s="4"/>
      <c r="H77" s="4"/>
      <c r="I77" s="9"/>
    </row>
    <row r="78" spans="1:9" x14ac:dyDescent="0.3">
      <c r="A78" s="8"/>
      <c r="B78" s="3" t="str">
        <f t="shared" si="2"/>
        <v/>
      </c>
      <c r="C78" s="19" t="str">
        <f>IF(Tabela1[[#This Row],[Data]]="","",CONCATENATE("SEMANA"," ",_xlfn.ISOWEEKNUM(Tabela1[[#This Row],[Data]])))</f>
        <v/>
      </c>
      <c r="D78" s="3" t="str">
        <f t="shared" si="3"/>
        <v/>
      </c>
      <c r="E78" s="4"/>
      <c r="F78" s="4"/>
      <c r="G78" s="4"/>
      <c r="H78" s="4"/>
      <c r="I78" s="9"/>
    </row>
    <row r="79" spans="1:9" x14ac:dyDescent="0.3">
      <c r="A79" s="8"/>
      <c r="B79" s="3" t="str">
        <f t="shared" si="2"/>
        <v/>
      </c>
      <c r="C79" s="19" t="str">
        <f>IF(Tabela1[[#This Row],[Data]]="","",CONCATENATE("SEMANA"," ",_xlfn.ISOWEEKNUM(Tabela1[[#This Row],[Data]])))</f>
        <v/>
      </c>
      <c r="D79" s="3" t="str">
        <f t="shared" si="3"/>
        <v/>
      </c>
      <c r="E79" s="4"/>
      <c r="F79" s="4"/>
      <c r="G79" s="4"/>
      <c r="H79" s="4"/>
      <c r="I79" s="9"/>
    </row>
    <row r="80" spans="1:9" x14ac:dyDescent="0.3">
      <c r="A80" s="8"/>
      <c r="B80" s="3" t="str">
        <f t="shared" si="2"/>
        <v/>
      </c>
      <c r="C80" s="19" t="str">
        <f>IF(Tabela1[[#This Row],[Data]]="","",CONCATENATE("SEMANA"," ",_xlfn.ISOWEEKNUM(Tabela1[[#This Row],[Data]])))</f>
        <v/>
      </c>
      <c r="D80" s="3" t="str">
        <f t="shared" si="3"/>
        <v/>
      </c>
      <c r="E80" s="4"/>
      <c r="F80" s="4"/>
      <c r="G80" s="4"/>
      <c r="H80" s="4"/>
      <c r="I80" s="9"/>
    </row>
    <row r="81" spans="1:9" x14ac:dyDescent="0.3">
      <c r="A81" s="8"/>
      <c r="B81" s="3" t="str">
        <f t="shared" si="2"/>
        <v/>
      </c>
      <c r="C81" s="19" t="str">
        <f>IF(Tabela1[[#This Row],[Data]]="","",CONCATENATE("SEMANA"," ",_xlfn.ISOWEEKNUM(Tabela1[[#This Row],[Data]])))</f>
        <v/>
      </c>
      <c r="D81" s="3" t="str">
        <f t="shared" si="3"/>
        <v/>
      </c>
      <c r="E81" s="4"/>
      <c r="F81" s="4"/>
      <c r="G81" s="4"/>
      <c r="H81" s="4"/>
      <c r="I81" s="9"/>
    </row>
    <row r="82" spans="1:9" x14ac:dyDescent="0.3">
      <c r="A82" s="8"/>
      <c r="B82" s="3" t="str">
        <f t="shared" si="2"/>
        <v/>
      </c>
      <c r="C82" s="19" t="str">
        <f>IF(Tabela1[[#This Row],[Data]]="","",CONCATENATE("SEMANA"," ",_xlfn.ISOWEEKNUM(Tabela1[[#This Row],[Data]])))</f>
        <v/>
      </c>
      <c r="D82" s="3" t="str">
        <f t="shared" si="3"/>
        <v/>
      </c>
      <c r="E82" s="4"/>
      <c r="F82" s="4"/>
      <c r="G82" s="4"/>
      <c r="H82" s="4"/>
      <c r="I82" s="9"/>
    </row>
    <row r="83" spans="1:9" x14ac:dyDescent="0.3">
      <c r="A83" s="8"/>
      <c r="B83" s="3" t="str">
        <f t="shared" si="2"/>
        <v/>
      </c>
      <c r="C83" s="19" t="str">
        <f>IF(Tabela1[[#This Row],[Data]]="","",CONCATENATE("SEMANA"," ",_xlfn.ISOWEEKNUM(Tabela1[[#This Row],[Data]])))</f>
        <v/>
      </c>
      <c r="D83" s="3" t="str">
        <f t="shared" si="3"/>
        <v/>
      </c>
      <c r="E83" s="4"/>
      <c r="F83" s="4"/>
      <c r="G83" s="4"/>
      <c r="H83" s="4"/>
      <c r="I83" s="9"/>
    </row>
    <row r="84" spans="1:9" x14ac:dyDescent="0.3">
      <c r="A84" s="8"/>
      <c r="B84" s="3" t="str">
        <f t="shared" si="2"/>
        <v/>
      </c>
      <c r="C84" s="19" t="str">
        <f>IF(Tabela1[[#This Row],[Data]]="","",CONCATENATE("SEMANA"," ",_xlfn.ISOWEEKNUM(Tabela1[[#This Row],[Data]])))</f>
        <v/>
      </c>
      <c r="D84" s="3" t="str">
        <f t="shared" si="3"/>
        <v/>
      </c>
      <c r="E84" s="4"/>
      <c r="F84" s="4"/>
      <c r="G84" s="4"/>
      <c r="H84" s="4"/>
      <c r="I84" s="9"/>
    </row>
    <row r="85" spans="1:9" x14ac:dyDescent="0.3">
      <c r="A85" s="8"/>
      <c r="B85" s="3" t="str">
        <f t="shared" si="2"/>
        <v/>
      </c>
      <c r="C85" s="19" t="str">
        <f>IF(Tabela1[[#This Row],[Data]]="","",CONCATENATE("SEMANA"," ",_xlfn.ISOWEEKNUM(Tabela1[[#This Row],[Data]])))</f>
        <v/>
      </c>
      <c r="D85" s="3" t="str">
        <f t="shared" si="3"/>
        <v/>
      </c>
      <c r="E85" s="4"/>
      <c r="F85" s="4"/>
      <c r="G85" s="4"/>
      <c r="H85" s="4"/>
      <c r="I85" s="9"/>
    </row>
    <row r="86" spans="1:9" x14ac:dyDescent="0.3">
      <c r="A86" s="8"/>
      <c r="B86" s="3" t="str">
        <f t="shared" si="2"/>
        <v/>
      </c>
      <c r="C86" s="19" t="str">
        <f>IF(Tabela1[[#This Row],[Data]]="","",CONCATENATE("SEMANA"," ",_xlfn.ISOWEEKNUM(Tabela1[[#This Row],[Data]])))</f>
        <v/>
      </c>
      <c r="D86" s="3" t="str">
        <f t="shared" si="3"/>
        <v/>
      </c>
      <c r="E86" s="4"/>
      <c r="F86" s="4"/>
      <c r="G86" s="4"/>
      <c r="H86" s="4"/>
      <c r="I86" s="9"/>
    </row>
    <row r="87" spans="1:9" x14ac:dyDescent="0.3">
      <c r="A87" s="8"/>
      <c r="B87" s="3" t="str">
        <f t="shared" si="2"/>
        <v/>
      </c>
      <c r="C87" s="19" t="str">
        <f>IF(Tabela1[[#This Row],[Data]]="","",CONCATENATE("SEMANA"," ",_xlfn.ISOWEEKNUM(Tabela1[[#This Row],[Data]])))</f>
        <v/>
      </c>
      <c r="D87" s="3" t="str">
        <f t="shared" si="3"/>
        <v/>
      </c>
      <c r="E87" s="4"/>
      <c r="F87" s="4"/>
      <c r="G87" s="4"/>
      <c r="H87" s="4"/>
      <c r="I87" s="9"/>
    </row>
    <row r="88" spans="1:9" x14ac:dyDescent="0.3">
      <c r="A88" s="8"/>
      <c r="B88" s="3" t="str">
        <f t="shared" si="2"/>
        <v/>
      </c>
      <c r="C88" s="19" t="str">
        <f>IF(Tabela1[[#This Row],[Data]]="","",CONCATENATE("SEMANA"," ",_xlfn.ISOWEEKNUM(Tabela1[[#This Row],[Data]])))</f>
        <v/>
      </c>
      <c r="D88" s="3" t="str">
        <f t="shared" si="3"/>
        <v/>
      </c>
      <c r="E88" s="4"/>
      <c r="F88" s="4"/>
      <c r="G88" s="4"/>
      <c r="H88" s="4"/>
      <c r="I88" s="9"/>
    </row>
    <row r="89" spans="1:9" x14ac:dyDescent="0.3">
      <c r="A89" s="8"/>
      <c r="B89" s="3" t="str">
        <f t="shared" si="2"/>
        <v/>
      </c>
      <c r="C89" s="19" t="str">
        <f>IF(Tabela1[[#This Row],[Data]]="","",CONCATENATE("SEMANA"," ",_xlfn.ISOWEEKNUM(Tabela1[[#This Row],[Data]])))</f>
        <v/>
      </c>
      <c r="D89" s="3" t="str">
        <f t="shared" si="3"/>
        <v/>
      </c>
      <c r="E89" s="4"/>
      <c r="F89" s="4"/>
      <c r="G89" s="4"/>
      <c r="H89" s="4"/>
      <c r="I89" s="9"/>
    </row>
    <row r="90" spans="1:9" x14ac:dyDescent="0.3">
      <c r="A90" s="8"/>
      <c r="B90" s="3" t="str">
        <f t="shared" si="2"/>
        <v/>
      </c>
      <c r="C90" s="19" t="str">
        <f>IF(Tabela1[[#This Row],[Data]]="","",CONCATENATE("SEMANA"," ",_xlfn.ISOWEEKNUM(Tabela1[[#This Row],[Data]])))</f>
        <v/>
      </c>
      <c r="D90" s="3" t="str">
        <f t="shared" si="3"/>
        <v/>
      </c>
      <c r="E90" s="4"/>
      <c r="F90" s="4"/>
      <c r="G90" s="4"/>
      <c r="H90" s="4"/>
      <c r="I90" s="9"/>
    </row>
    <row r="91" spans="1:9" x14ac:dyDescent="0.3">
      <c r="A91" s="8"/>
      <c r="B91" s="3" t="str">
        <f t="shared" si="2"/>
        <v/>
      </c>
      <c r="C91" s="19" t="str">
        <f>IF(Tabela1[[#This Row],[Data]]="","",CONCATENATE("SEMANA"," ",_xlfn.ISOWEEKNUM(Tabela1[[#This Row],[Data]])))</f>
        <v/>
      </c>
      <c r="D91" s="3" t="str">
        <f t="shared" si="3"/>
        <v/>
      </c>
      <c r="E91" s="4"/>
      <c r="F91" s="4"/>
      <c r="G91" s="4"/>
      <c r="H91" s="4"/>
      <c r="I91" s="9"/>
    </row>
    <row r="92" spans="1:9" x14ac:dyDescent="0.3">
      <c r="A92" s="8"/>
      <c r="B92" s="3" t="str">
        <f t="shared" si="2"/>
        <v/>
      </c>
      <c r="C92" s="19" t="str">
        <f>IF(Tabela1[[#This Row],[Data]]="","",CONCATENATE("SEMANA"," ",_xlfn.ISOWEEKNUM(Tabela1[[#This Row],[Data]])))</f>
        <v/>
      </c>
      <c r="D92" s="3" t="str">
        <f t="shared" si="3"/>
        <v/>
      </c>
      <c r="E92" s="4"/>
      <c r="F92" s="4"/>
      <c r="G92" s="4"/>
      <c r="H92" s="4"/>
      <c r="I92" s="9"/>
    </row>
    <row r="93" spans="1:9" x14ac:dyDescent="0.3">
      <c r="A93" s="8"/>
      <c r="B93" s="3" t="str">
        <f t="shared" si="2"/>
        <v/>
      </c>
      <c r="C93" s="19" t="str">
        <f>IF(Tabela1[[#This Row],[Data]]="","",CONCATENATE("SEMANA"," ",_xlfn.ISOWEEKNUM(Tabela1[[#This Row],[Data]])))</f>
        <v/>
      </c>
      <c r="D93" s="3" t="str">
        <f t="shared" si="3"/>
        <v/>
      </c>
      <c r="E93" s="4"/>
      <c r="F93" s="4"/>
      <c r="G93" s="4"/>
      <c r="H93" s="4"/>
      <c r="I93" s="9"/>
    </row>
    <row r="94" spans="1:9" x14ac:dyDescent="0.3">
      <c r="A94" s="8"/>
      <c r="B94" s="3" t="str">
        <f t="shared" si="2"/>
        <v/>
      </c>
      <c r="C94" s="19" t="str">
        <f>IF(Tabela1[[#This Row],[Data]]="","",CONCATENATE("SEMANA"," ",_xlfn.ISOWEEKNUM(Tabela1[[#This Row],[Data]])))</f>
        <v/>
      </c>
      <c r="D94" s="3" t="str">
        <f t="shared" si="3"/>
        <v/>
      </c>
      <c r="E94" s="4"/>
      <c r="F94" s="4"/>
      <c r="G94" s="4"/>
      <c r="H94" s="4"/>
      <c r="I94" s="9"/>
    </row>
    <row r="95" spans="1:9" x14ac:dyDescent="0.3">
      <c r="A95" s="8"/>
      <c r="B95" s="3" t="str">
        <f t="shared" si="2"/>
        <v/>
      </c>
      <c r="C95" s="19" t="str">
        <f>IF(Tabela1[[#This Row],[Data]]="","",CONCATENATE("SEMANA"," ",_xlfn.ISOWEEKNUM(Tabela1[[#This Row],[Data]])))</f>
        <v/>
      </c>
      <c r="D95" s="3" t="str">
        <f t="shared" si="3"/>
        <v/>
      </c>
      <c r="E95" s="4"/>
      <c r="F95" s="4"/>
      <c r="G95" s="4"/>
      <c r="H95" s="4"/>
      <c r="I95" s="9"/>
    </row>
    <row r="96" spans="1:9" x14ac:dyDescent="0.3">
      <c r="A96" s="8"/>
      <c r="B96" s="3" t="str">
        <f t="shared" si="2"/>
        <v/>
      </c>
      <c r="C96" s="19" t="str">
        <f>IF(Tabela1[[#This Row],[Data]]="","",CONCATENATE("SEMANA"," ",_xlfn.ISOWEEKNUM(Tabela1[[#This Row],[Data]])))</f>
        <v/>
      </c>
      <c r="D96" s="3" t="str">
        <f t="shared" si="3"/>
        <v/>
      </c>
      <c r="E96" s="4"/>
      <c r="F96" s="4"/>
      <c r="G96" s="4"/>
      <c r="H96" s="4"/>
      <c r="I96" s="9"/>
    </row>
    <row r="97" spans="1:9" x14ac:dyDescent="0.3">
      <c r="A97" s="8"/>
      <c r="B97" s="3" t="str">
        <f t="shared" si="2"/>
        <v/>
      </c>
      <c r="C97" s="19" t="str">
        <f>IF(Tabela1[[#This Row],[Data]]="","",CONCATENATE("SEMANA"," ",_xlfn.ISOWEEKNUM(Tabela1[[#This Row],[Data]])))</f>
        <v/>
      </c>
      <c r="D97" s="3" t="str">
        <f t="shared" si="3"/>
        <v/>
      </c>
      <c r="E97" s="4"/>
      <c r="F97" s="4"/>
      <c r="G97" s="4"/>
      <c r="H97" s="4"/>
      <c r="I97" s="9"/>
    </row>
    <row r="98" spans="1:9" x14ac:dyDescent="0.3">
      <c r="A98" s="8"/>
      <c r="B98" s="3" t="str">
        <f t="shared" si="2"/>
        <v/>
      </c>
      <c r="C98" s="19" t="str">
        <f>IF(Tabela1[[#This Row],[Data]]="","",CONCATENATE("SEMANA"," ",_xlfn.ISOWEEKNUM(Tabela1[[#This Row],[Data]])))</f>
        <v/>
      </c>
      <c r="D98" s="3" t="str">
        <f t="shared" si="3"/>
        <v/>
      </c>
      <c r="E98" s="4"/>
      <c r="F98" s="4"/>
      <c r="G98" s="4"/>
      <c r="H98" s="4"/>
      <c r="I98" s="9"/>
    </row>
    <row r="99" spans="1:9" x14ac:dyDescent="0.3">
      <c r="A99" s="8"/>
      <c r="B99" s="3" t="str">
        <f t="shared" si="2"/>
        <v/>
      </c>
      <c r="C99" s="19" t="str">
        <f>IF(Tabela1[[#This Row],[Data]]="","",CONCATENATE("SEMANA"," ",_xlfn.ISOWEEKNUM(Tabela1[[#This Row],[Data]])))</f>
        <v/>
      </c>
      <c r="D99" s="3" t="str">
        <f t="shared" si="3"/>
        <v/>
      </c>
      <c r="E99" s="4"/>
      <c r="F99" s="4"/>
      <c r="G99" s="4"/>
      <c r="H99" s="4"/>
      <c r="I99" s="9"/>
    </row>
    <row r="100" spans="1:9" x14ac:dyDescent="0.3">
      <c r="A100" s="8"/>
      <c r="B100" s="3" t="str">
        <f t="shared" si="2"/>
        <v/>
      </c>
      <c r="C100" s="19" t="str">
        <f>IF(Tabela1[[#This Row],[Data]]="","",CONCATENATE("SEMANA"," ",_xlfn.ISOWEEKNUM(Tabela1[[#This Row],[Data]])))</f>
        <v/>
      </c>
      <c r="D100" s="3" t="str">
        <f t="shared" si="3"/>
        <v/>
      </c>
      <c r="E100" s="4"/>
      <c r="F100" s="4"/>
      <c r="G100" s="4"/>
      <c r="H100" s="4"/>
      <c r="I100" s="9"/>
    </row>
    <row r="101" spans="1:9" x14ac:dyDescent="0.3">
      <c r="A101" s="8"/>
      <c r="B101" s="3" t="str">
        <f t="shared" si="2"/>
        <v/>
      </c>
      <c r="C101" s="19" t="str">
        <f>IF(Tabela1[[#This Row],[Data]]="","",CONCATENATE("SEMANA"," ",_xlfn.ISOWEEKNUM(Tabela1[[#This Row],[Data]])))</f>
        <v/>
      </c>
      <c r="D101" s="3" t="str">
        <f t="shared" si="3"/>
        <v/>
      </c>
      <c r="E101" s="4"/>
      <c r="F101" s="4"/>
      <c r="G101" s="4"/>
      <c r="H101" s="4"/>
      <c r="I101" s="9"/>
    </row>
    <row r="102" spans="1:9" x14ac:dyDescent="0.3">
      <c r="A102" s="8"/>
      <c r="B102" s="3" t="str">
        <f t="shared" si="2"/>
        <v/>
      </c>
      <c r="C102" s="19" t="str">
        <f>IF(Tabela1[[#This Row],[Data]]="","",CONCATENATE("SEMANA"," ",_xlfn.ISOWEEKNUM(Tabela1[[#This Row],[Data]])))</f>
        <v/>
      </c>
      <c r="D102" s="3" t="str">
        <f t="shared" si="3"/>
        <v/>
      </c>
      <c r="E102" s="4"/>
      <c r="F102" s="4"/>
      <c r="G102" s="4"/>
      <c r="H102" s="4"/>
      <c r="I102" s="9"/>
    </row>
    <row r="103" spans="1:9" x14ac:dyDescent="0.3">
      <c r="A103" s="8"/>
      <c r="B103" s="3" t="str">
        <f t="shared" si="2"/>
        <v/>
      </c>
      <c r="C103" s="19" t="str">
        <f>IF(Tabela1[[#This Row],[Data]]="","",CONCATENATE("SEMANA"," ",_xlfn.ISOWEEKNUM(Tabela1[[#This Row],[Data]])))</f>
        <v/>
      </c>
      <c r="D103" s="3" t="str">
        <f t="shared" si="3"/>
        <v/>
      </c>
      <c r="E103" s="4"/>
      <c r="F103" s="4"/>
      <c r="G103" s="4"/>
      <c r="H103" s="4"/>
      <c r="I103" s="9"/>
    </row>
    <row r="104" spans="1:9" x14ac:dyDescent="0.3">
      <c r="A104" s="8"/>
      <c r="B104" s="3" t="str">
        <f t="shared" si="2"/>
        <v/>
      </c>
      <c r="C104" s="19" t="str">
        <f>IF(Tabela1[[#This Row],[Data]]="","",CONCATENATE("SEMANA"," ",_xlfn.ISOWEEKNUM(Tabela1[[#This Row],[Data]])))</f>
        <v/>
      </c>
      <c r="D104" s="3" t="str">
        <f t="shared" si="3"/>
        <v/>
      </c>
      <c r="E104" s="4"/>
      <c r="F104" s="4"/>
      <c r="G104" s="4"/>
      <c r="H104" s="4"/>
      <c r="I104" s="9"/>
    </row>
    <row r="105" spans="1:9" x14ac:dyDescent="0.3">
      <c r="A105" s="8"/>
      <c r="B105" s="3" t="str">
        <f t="shared" si="2"/>
        <v/>
      </c>
      <c r="C105" s="19" t="str">
        <f>IF(Tabela1[[#This Row],[Data]]="","",CONCATENATE("SEMANA"," ",_xlfn.ISOWEEKNUM(Tabela1[[#This Row],[Data]])))</f>
        <v/>
      </c>
      <c r="D105" s="3" t="str">
        <f t="shared" si="3"/>
        <v/>
      </c>
      <c r="E105" s="4"/>
      <c r="F105" s="4"/>
      <c r="G105" s="4"/>
      <c r="H105" s="4"/>
      <c r="I105" s="9"/>
    </row>
    <row r="106" spans="1:9" x14ac:dyDescent="0.3">
      <c r="A106" s="8"/>
      <c r="B106" s="3" t="str">
        <f t="shared" si="2"/>
        <v/>
      </c>
      <c r="C106" s="19" t="str">
        <f>IF(Tabela1[[#This Row],[Data]]="","",CONCATENATE("SEMANA"," ",_xlfn.ISOWEEKNUM(Tabela1[[#This Row],[Data]])))</f>
        <v/>
      </c>
      <c r="D106" s="3" t="str">
        <f t="shared" si="3"/>
        <v/>
      </c>
      <c r="E106" s="4"/>
      <c r="F106" s="4"/>
      <c r="G106" s="4"/>
      <c r="H106" s="4"/>
      <c r="I106" s="9"/>
    </row>
    <row r="107" spans="1:9" x14ac:dyDescent="0.3">
      <c r="A107" s="8"/>
      <c r="B107" s="3" t="str">
        <f t="shared" si="2"/>
        <v/>
      </c>
      <c r="C107" s="19" t="str">
        <f>IF(Tabela1[[#This Row],[Data]]="","",CONCATENATE("SEMANA"," ",_xlfn.ISOWEEKNUM(Tabela1[[#This Row],[Data]])))</f>
        <v/>
      </c>
      <c r="D107" s="3" t="str">
        <f t="shared" si="3"/>
        <v/>
      </c>
      <c r="E107" s="4"/>
      <c r="F107" s="4"/>
      <c r="G107" s="4"/>
      <c r="H107" s="4"/>
      <c r="I107" s="9"/>
    </row>
    <row r="108" spans="1:9" x14ac:dyDescent="0.3">
      <c r="A108" s="8"/>
      <c r="B108" s="3" t="str">
        <f t="shared" si="2"/>
        <v/>
      </c>
      <c r="C108" s="19" t="str">
        <f>IF(Tabela1[[#This Row],[Data]]="","",CONCATENATE("SEMANA"," ",_xlfn.ISOWEEKNUM(Tabela1[[#This Row],[Data]])))</f>
        <v/>
      </c>
      <c r="D108" s="3" t="str">
        <f t="shared" si="3"/>
        <v/>
      </c>
      <c r="E108" s="4"/>
      <c r="F108" s="4"/>
      <c r="G108" s="4"/>
      <c r="H108" s="4"/>
      <c r="I108" s="9"/>
    </row>
    <row r="109" spans="1:9" x14ac:dyDescent="0.3">
      <c r="A109" s="8"/>
      <c r="B109" s="3" t="str">
        <f t="shared" si="2"/>
        <v/>
      </c>
      <c r="C109" s="19" t="str">
        <f>IF(Tabela1[[#This Row],[Data]]="","",CONCATENATE("SEMANA"," ",_xlfn.ISOWEEKNUM(Tabela1[[#This Row],[Data]])))</f>
        <v/>
      </c>
      <c r="D109" s="3" t="str">
        <f t="shared" si="3"/>
        <v/>
      </c>
      <c r="E109" s="4"/>
      <c r="F109" s="4"/>
      <c r="G109" s="4"/>
      <c r="H109" s="4"/>
      <c r="I109" s="9"/>
    </row>
    <row r="110" spans="1:9" x14ac:dyDescent="0.3">
      <c r="A110" s="8"/>
      <c r="B110" s="3" t="str">
        <f t="shared" si="2"/>
        <v/>
      </c>
      <c r="C110" s="19" t="str">
        <f>IF(Tabela1[[#This Row],[Data]]="","",CONCATENATE("SEMANA"," ",_xlfn.ISOWEEKNUM(Tabela1[[#This Row],[Data]])))</f>
        <v/>
      </c>
      <c r="D110" s="3" t="str">
        <f t="shared" si="3"/>
        <v/>
      </c>
      <c r="E110" s="4"/>
      <c r="F110" s="4"/>
      <c r="G110" s="4"/>
      <c r="H110" s="4"/>
      <c r="I110" s="9"/>
    </row>
    <row r="111" spans="1:9" x14ac:dyDescent="0.3">
      <c r="A111" s="8"/>
      <c r="B111" s="3" t="str">
        <f t="shared" si="2"/>
        <v/>
      </c>
      <c r="C111" s="19" t="str">
        <f>IF(Tabela1[[#This Row],[Data]]="","",CONCATENATE("SEMANA"," ",_xlfn.ISOWEEKNUM(Tabela1[[#This Row],[Data]])))</f>
        <v/>
      </c>
      <c r="D111" s="3" t="str">
        <f t="shared" si="3"/>
        <v/>
      </c>
      <c r="E111" s="4"/>
      <c r="F111" s="4"/>
      <c r="G111" s="4"/>
      <c r="H111" s="4"/>
      <c r="I111" s="9"/>
    </row>
    <row r="112" spans="1:9" x14ac:dyDescent="0.3">
      <c r="A112" s="8"/>
      <c r="B112" s="3" t="str">
        <f t="shared" si="2"/>
        <v/>
      </c>
      <c r="C112" s="19" t="str">
        <f>IF(Tabela1[[#This Row],[Data]]="","",CONCATENATE("SEMANA"," ",_xlfn.ISOWEEKNUM(Tabela1[[#This Row],[Data]])))</f>
        <v/>
      </c>
      <c r="D112" s="3" t="str">
        <f t="shared" si="3"/>
        <v/>
      </c>
      <c r="E112" s="4"/>
      <c r="F112" s="4"/>
      <c r="G112" s="4"/>
      <c r="H112" s="4"/>
      <c r="I112" s="9"/>
    </row>
    <row r="113" spans="1:9" x14ac:dyDescent="0.3">
      <c r="A113" s="8"/>
      <c r="B113" s="3" t="str">
        <f t="shared" si="2"/>
        <v/>
      </c>
      <c r="C113" s="19" t="str">
        <f>IF(Tabela1[[#This Row],[Data]]="","",CONCATENATE("SEMANA"," ",_xlfn.ISOWEEKNUM(Tabela1[[#This Row],[Data]])))</f>
        <v/>
      </c>
      <c r="D113" s="3" t="str">
        <f t="shared" si="3"/>
        <v/>
      </c>
      <c r="E113" s="4"/>
      <c r="F113" s="4"/>
      <c r="G113" s="4"/>
      <c r="H113" s="4"/>
      <c r="I113" s="9"/>
    </row>
    <row r="114" spans="1:9" x14ac:dyDescent="0.3">
      <c r="A114" s="8"/>
      <c r="B114" s="3" t="str">
        <f t="shared" si="2"/>
        <v/>
      </c>
      <c r="C114" s="19" t="str">
        <f>IF(Tabela1[[#This Row],[Data]]="","",CONCATENATE("SEMANA"," ",_xlfn.ISOWEEKNUM(Tabela1[[#This Row],[Data]])))</f>
        <v/>
      </c>
      <c r="D114" s="3" t="str">
        <f t="shared" si="3"/>
        <v/>
      </c>
      <c r="E114" s="4"/>
      <c r="F114" s="4"/>
      <c r="G114" s="4"/>
      <c r="H114" s="4"/>
      <c r="I114" s="9"/>
    </row>
    <row r="115" spans="1:9" x14ac:dyDescent="0.3">
      <c r="A115" s="8"/>
      <c r="B115" s="3" t="str">
        <f t="shared" si="2"/>
        <v/>
      </c>
      <c r="C115" s="19" t="str">
        <f>IF(Tabela1[[#This Row],[Data]]="","",CONCATENATE("SEMANA"," ",_xlfn.ISOWEEKNUM(Tabela1[[#This Row],[Data]])))</f>
        <v/>
      </c>
      <c r="D115" s="3" t="str">
        <f t="shared" si="3"/>
        <v/>
      </c>
      <c r="E115" s="4"/>
      <c r="F115" s="4"/>
      <c r="G115" s="4"/>
      <c r="H115" s="4"/>
      <c r="I115" s="9"/>
    </row>
    <row r="116" spans="1:9" x14ac:dyDescent="0.3">
      <c r="A116" s="8"/>
      <c r="B116" s="3" t="str">
        <f t="shared" si="2"/>
        <v/>
      </c>
      <c r="C116" s="19" t="str">
        <f>IF(Tabela1[[#This Row],[Data]]="","",CONCATENATE("SEMANA"," ",_xlfn.ISOWEEKNUM(Tabela1[[#This Row],[Data]])))</f>
        <v/>
      </c>
      <c r="D116" s="3" t="str">
        <f t="shared" si="3"/>
        <v/>
      </c>
      <c r="E116" s="4"/>
      <c r="F116" s="4"/>
      <c r="G116" s="4"/>
      <c r="H116" s="4"/>
      <c r="I116" s="9"/>
    </row>
    <row r="117" spans="1:9" x14ac:dyDescent="0.3">
      <c r="A117" s="8"/>
      <c r="B117" s="3" t="str">
        <f t="shared" si="2"/>
        <v/>
      </c>
      <c r="C117" s="19" t="str">
        <f>IF(Tabela1[[#This Row],[Data]]="","",CONCATENATE("SEMANA"," ",_xlfn.ISOWEEKNUM(Tabela1[[#This Row],[Data]])))</f>
        <v/>
      </c>
      <c r="D117" s="3" t="str">
        <f t="shared" si="3"/>
        <v/>
      </c>
      <c r="E117" s="4"/>
      <c r="F117" s="4"/>
      <c r="G117" s="4"/>
      <c r="H117" s="4"/>
      <c r="I117" s="9"/>
    </row>
    <row r="118" spans="1:9" x14ac:dyDescent="0.3">
      <c r="A118" s="8"/>
      <c r="B118" s="3" t="str">
        <f t="shared" si="2"/>
        <v/>
      </c>
      <c r="C118" s="19" t="str">
        <f>IF(Tabela1[[#This Row],[Data]]="","",CONCATENATE("SEMANA"," ",_xlfn.ISOWEEKNUM(Tabela1[[#This Row],[Data]])))</f>
        <v/>
      </c>
      <c r="D118" s="3" t="str">
        <f t="shared" si="3"/>
        <v/>
      </c>
      <c r="E118" s="4"/>
      <c r="F118" s="4"/>
      <c r="G118" s="4"/>
      <c r="H118" s="4"/>
      <c r="I118" s="9"/>
    </row>
    <row r="119" spans="1:9" x14ac:dyDescent="0.3">
      <c r="A119" s="8"/>
      <c r="B119" s="3" t="str">
        <f t="shared" si="2"/>
        <v/>
      </c>
      <c r="C119" s="19" t="str">
        <f>IF(Tabela1[[#This Row],[Data]]="","",CONCATENATE("SEMANA"," ",_xlfn.ISOWEEKNUM(Tabela1[[#This Row],[Data]])))</f>
        <v/>
      </c>
      <c r="D119" s="3" t="str">
        <f t="shared" si="3"/>
        <v/>
      </c>
      <c r="E119" s="4"/>
      <c r="F119" s="4"/>
      <c r="G119" s="4"/>
      <c r="H119" s="4"/>
      <c r="I119" s="9"/>
    </row>
    <row r="120" spans="1:9" x14ac:dyDescent="0.3">
      <c r="A120" s="8"/>
      <c r="B120" s="3" t="str">
        <f t="shared" si="2"/>
        <v/>
      </c>
      <c r="C120" s="19" t="str">
        <f>IF(Tabela1[[#This Row],[Data]]="","",CONCATENATE("SEMANA"," ",_xlfn.ISOWEEKNUM(Tabela1[[#This Row],[Data]])))</f>
        <v/>
      </c>
      <c r="D120" s="3" t="str">
        <f t="shared" si="3"/>
        <v/>
      </c>
      <c r="E120" s="4"/>
      <c r="F120" s="4"/>
      <c r="G120" s="4"/>
      <c r="H120" s="4"/>
      <c r="I120" s="9"/>
    </row>
    <row r="121" spans="1:9" x14ac:dyDescent="0.3">
      <c r="A121" s="8"/>
      <c r="B121" s="3" t="str">
        <f t="shared" si="2"/>
        <v/>
      </c>
      <c r="C121" s="19" t="str">
        <f>IF(Tabela1[[#This Row],[Data]]="","",CONCATENATE("SEMANA"," ",_xlfn.ISOWEEKNUM(Tabela1[[#This Row],[Data]])))</f>
        <v/>
      </c>
      <c r="D121" s="3" t="str">
        <f t="shared" si="3"/>
        <v/>
      </c>
      <c r="E121" s="4"/>
      <c r="F121" s="4"/>
      <c r="G121" s="4"/>
      <c r="H121" s="4"/>
      <c r="I121" s="9"/>
    </row>
    <row r="122" spans="1:9" x14ac:dyDescent="0.3">
      <c r="A122" s="8"/>
      <c r="B122" s="3" t="str">
        <f t="shared" si="2"/>
        <v/>
      </c>
      <c r="C122" s="19" t="str">
        <f>IF(Tabela1[[#This Row],[Data]]="","",CONCATENATE("SEMANA"," ",_xlfn.ISOWEEKNUM(Tabela1[[#This Row],[Data]])))</f>
        <v/>
      </c>
      <c r="D122" s="3" t="str">
        <f t="shared" si="3"/>
        <v/>
      </c>
      <c r="E122" s="4"/>
      <c r="F122" s="4"/>
      <c r="G122" s="4"/>
      <c r="H122" s="4"/>
      <c r="I122" s="9"/>
    </row>
    <row r="123" spans="1:9" x14ac:dyDescent="0.3">
      <c r="A123" s="8"/>
      <c r="B123" s="3" t="str">
        <f t="shared" si="2"/>
        <v/>
      </c>
      <c r="C123" s="19" t="str">
        <f>IF(Tabela1[[#This Row],[Data]]="","",CONCATENATE("SEMANA"," ",_xlfn.ISOWEEKNUM(Tabela1[[#This Row],[Data]])))</f>
        <v/>
      </c>
      <c r="D123" s="3" t="str">
        <f t="shared" si="3"/>
        <v/>
      </c>
      <c r="E123" s="4"/>
      <c r="F123" s="4"/>
      <c r="G123" s="4"/>
      <c r="H123" s="4"/>
      <c r="I123" s="9"/>
    </row>
    <row r="124" spans="1:9" x14ac:dyDescent="0.3">
      <c r="A124" s="8"/>
      <c r="B124" s="3" t="str">
        <f t="shared" si="2"/>
        <v/>
      </c>
      <c r="C124" s="19" t="str">
        <f>IF(Tabela1[[#This Row],[Data]]="","",CONCATENATE("SEMANA"," ",_xlfn.ISOWEEKNUM(Tabela1[[#This Row],[Data]])))</f>
        <v/>
      </c>
      <c r="D124" s="3" t="str">
        <f t="shared" si="3"/>
        <v/>
      </c>
      <c r="E124" s="4"/>
      <c r="F124" s="4"/>
      <c r="G124" s="4"/>
      <c r="H124" s="4"/>
      <c r="I124" s="9"/>
    </row>
    <row r="125" spans="1:9" x14ac:dyDescent="0.3">
      <c r="A125" s="8"/>
      <c r="B125" s="3" t="str">
        <f t="shared" si="2"/>
        <v/>
      </c>
      <c r="C125" s="19" t="str">
        <f>IF(Tabela1[[#This Row],[Data]]="","",CONCATENATE("SEMANA"," ",_xlfn.ISOWEEKNUM(Tabela1[[#This Row],[Data]])))</f>
        <v/>
      </c>
      <c r="D125" s="3" t="str">
        <f t="shared" si="3"/>
        <v/>
      </c>
      <c r="E125" s="4"/>
      <c r="F125" s="4"/>
      <c r="G125" s="4"/>
      <c r="H125" s="4"/>
      <c r="I125" s="9"/>
    </row>
    <row r="126" spans="1:9" x14ac:dyDescent="0.3">
      <c r="A126" s="8"/>
      <c r="B126" s="3" t="str">
        <f t="shared" si="2"/>
        <v/>
      </c>
      <c r="C126" s="19" t="str">
        <f>IF(Tabela1[[#This Row],[Data]]="","",CONCATENATE("SEMANA"," ",_xlfn.ISOWEEKNUM(Tabela1[[#This Row],[Data]])))</f>
        <v/>
      </c>
      <c r="D126" s="3" t="str">
        <f t="shared" si="3"/>
        <v/>
      </c>
      <c r="E126" s="4"/>
      <c r="F126" s="4"/>
      <c r="G126" s="4"/>
      <c r="H126" s="4"/>
      <c r="I126" s="9"/>
    </row>
    <row r="127" spans="1:9" x14ac:dyDescent="0.3">
      <c r="A127" s="8"/>
      <c r="B127" s="3" t="str">
        <f t="shared" si="2"/>
        <v/>
      </c>
      <c r="C127" s="19" t="str">
        <f>IF(Tabela1[[#This Row],[Data]]="","",CONCATENATE("SEMANA"," ",_xlfn.ISOWEEKNUM(Tabela1[[#This Row],[Data]])))</f>
        <v/>
      </c>
      <c r="D127" s="3" t="str">
        <f t="shared" si="3"/>
        <v/>
      </c>
      <c r="E127" s="4"/>
      <c r="F127" s="4"/>
      <c r="G127" s="4"/>
      <c r="H127" s="4"/>
      <c r="I127" s="9"/>
    </row>
    <row r="128" spans="1:9" x14ac:dyDescent="0.3">
      <c r="A128" s="8"/>
      <c r="B128" s="3" t="str">
        <f t="shared" si="2"/>
        <v/>
      </c>
      <c r="C128" s="19" t="str">
        <f>IF(Tabela1[[#This Row],[Data]]="","",CONCATENATE("SEMANA"," ",_xlfn.ISOWEEKNUM(Tabela1[[#This Row],[Data]])))</f>
        <v/>
      </c>
      <c r="D128" s="3" t="str">
        <f t="shared" si="3"/>
        <v/>
      </c>
      <c r="E128" s="4"/>
      <c r="F128" s="4"/>
      <c r="G128" s="4"/>
      <c r="H128" s="4"/>
      <c r="I128" s="9"/>
    </row>
    <row r="129" spans="1:9" x14ac:dyDescent="0.3">
      <c r="A129" s="8"/>
      <c r="B129" s="3" t="str">
        <f t="shared" si="2"/>
        <v/>
      </c>
      <c r="C129" s="19" t="str">
        <f>IF(Tabela1[[#This Row],[Data]]="","",CONCATENATE("SEMANA"," ",_xlfn.ISOWEEKNUM(Tabela1[[#This Row],[Data]])))</f>
        <v/>
      </c>
      <c r="D129" s="3" t="str">
        <f t="shared" si="3"/>
        <v/>
      </c>
      <c r="E129" s="4"/>
      <c r="F129" s="4"/>
      <c r="G129" s="4"/>
      <c r="H129" s="4"/>
      <c r="I129" s="9"/>
    </row>
    <row r="130" spans="1:9" x14ac:dyDescent="0.3">
      <c r="A130" s="8"/>
      <c r="B130" s="3" t="str">
        <f t="shared" ref="B130:B144" si="4">IF(A130="","",TEXT(A130,"ddd"))</f>
        <v/>
      </c>
      <c r="C130" s="19" t="str">
        <f>IF(Tabela1[[#This Row],[Data]]="","",CONCATENATE("SEMANA"," ",_xlfn.ISOWEEKNUM(Tabela1[[#This Row],[Data]])))</f>
        <v/>
      </c>
      <c r="D130" s="3" t="str">
        <f t="shared" ref="D130:D144" si="5">IF(A130="","",TEXT(A130,"mmm-aa"))</f>
        <v/>
      </c>
      <c r="E130" s="4"/>
      <c r="F130" s="4"/>
      <c r="G130" s="4"/>
      <c r="H130" s="4"/>
      <c r="I130" s="9"/>
    </row>
    <row r="131" spans="1:9" x14ac:dyDescent="0.3">
      <c r="A131" s="8"/>
      <c r="B131" s="3" t="str">
        <f t="shared" si="4"/>
        <v/>
      </c>
      <c r="C131" s="19" t="str">
        <f>IF(Tabela1[[#This Row],[Data]]="","",CONCATENATE("SEMANA"," ",_xlfn.ISOWEEKNUM(Tabela1[[#This Row],[Data]])))</f>
        <v/>
      </c>
      <c r="D131" s="3" t="str">
        <f t="shared" si="5"/>
        <v/>
      </c>
      <c r="E131" s="4"/>
      <c r="F131" s="4"/>
      <c r="G131" s="4"/>
      <c r="H131" s="4"/>
      <c r="I131" s="9"/>
    </row>
    <row r="132" spans="1:9" x14ac:dyDescent="0.3">
      <c r="A132" s="8"/>
      <c r="B132" s="3" t="str">
        <f t="shared" si="4"/>
        <v/>
      </c>
      <c r="C132" s="19" t="str">
        <f>IF(Tabela1[[#This Row],[Data]]="","",CONCATENATE("SEMANA"," ",_xlfn.ISOWEEKNUM(Tabela1[[#This Row],[Data]])))</f>
        <v/>
      </c>
      <c r="D132" s="3" t="str">
        <f t="shared" si="5"/>
        <v/>
      </c>
      <c r="E132" s="4"/>
      <c r="F132" s="4"/>
      <c r="G132" s="4"/>
      <c r="H132" s="4"/>
      <c r="I132" s="9"/>
    </row>
    <row r="133" spans="1:9" x14ac:dyDescent="0.3">
      <c r="A133" s="8"/>
      <c r="B133" s="3" t="str">
        <f t="shared" si="4"/>
        <v/>
      </c>
      <c r="C133" s="19" t="str">
        <f>IF(Tabela1[[#This Row],[Data]]="","",CONCATENATE("SEMANA"," ",_xlfn.ISOWEEKNUM(Tabela1[[#This Row],[Data]])))</f>
        <v/>
      </c>
      <c r="D133" s="3" t="str">
        <f t="shared" si="5"/>
        <v/>
      </c>
      <c r="E133" s="4"/>
      <c r="F133" s="4"/>
      <c r="G133" s="4"/>
      <c r="H133" s="4"/>
      <c r="I133" s="9"/>
    </row>
    <row r="134" spans="1:9" x14ac:dyDescent="0.3">
      <c r="A134" s="8"/>
      <c r="B134" s="3" t="str">
        <f t="shared" si="4"/>
        <v/>
      </c>
      <c r="C134" s="19" t="str">
        <f>IF(Tabela1[[#This Row],[Data]]="","",CONCATENATE("SEMANA"," ",_xlfn.ISOWEEKNUM(Tabela1[[#This Row],[Data]])))</f>
        <v/>
      </c>
      <c r="D134" s="3" t="str">
        <f t="shared" si="5"/>
        <v/>
      </c>
      <c r="E134" s="4"/>
      <c r="F134" s="4"/>
      <c r="G134" s="4"/>
      <c r="H134" s="4"/>
      <c r="I134" s="9"/>
    </row>
    <row r="135" spans="1:9" x14ac:dyDescent="0.3">
      <c r="A135" s="8"/>
      <c r="B135" s="3" t="str">
        <f t="shared" si="4"/>
        <v/>
      </c>
      <c r="C135" s="19" t="str">
        <f>IF(Tabela1[[#This Row],[Data]]="","",CONCATENATE("SEMANA"," ",_xlfn.ISOWEEKNUM(Tabela1[[#This Row],[Data]])))</f>
        <v/>
      </c>
      <c r="D135" s="3" t="str">
        <f t="shared" si="5"/>
        <v/>
      </c>
      <c r="E135" s="4"/>
      <c r="F135" s="4"/>
      <c r="G135" s="4"/>
      <c r="H135" s="4"/>
      <c r="I135" s="9"/>
    </row>
    <row r="136" spans="1:9" x14ac:dyDescent="0.3">
      <c r="A136" s="8"/>
      <c r="B136" s="3" t="str">
        <f t="shared" si="4"/>
        <v/>
      </c>
      <c r="C136" s="19" t="str">
        <f>IF(Tabela1[[#This Row],[Data]]="","",CONCATENATE("SEMANA"," ",_xlfn.ISOWEEKNUM(Tabela1[[#This Row],[Data]])))</f>
        <v/>
      </c>
      <c r="D136" s="3" t="str">
        <f t="shared" si="5"/>
        <v/>
      </c>
      <c r="E136" s="4"/>
      <c r="F136" s="4"/>
      <c r="G136" s="4"/>
      <c r="H136" s="4"/>
      <c r="I136" s="9"/>
    </row>
    <row r="137" spans="1:9" x14ac:dyDescent="0.3">
      <c r="A137" s="8"/>
      <c r="B137" s="3" t="str">
        <f t="shared" si="4"/>
        <v/>
      </c>
      <c r="C137" s="19" t="str">
        <f>IF(Tabela1[[#This Row],[Data]]="","",CONCATENATE("SEMANA"," ",_xlfn.ISOWEEKNUM(Tabela1[[#This Row],[Data]])))</f>
        <v/>
      </c>
      <c r="D137" s="3" t="str">
        <f t="shared" si="5"/>
        <v/>
      </c>
      <c r="E137" s="4"/>
      <c r="F137" s="4"/>
      <c r="G137" s="4"/>
      <c r="H137" s="4"/>
      <c r="I137" s="9"/>
    </row>
    <row r="138" spans="1:9" x14ac:dyDescent="0.3">
      <c r="A138" s="8"/>
      <c r="B138" s="3" t="str">
        <f t="shared" si="4"/>
        <v/>
      </c>
      <c r="C138" s="19" t="str">
        <f>IF(Tabela1[[#This Row],[Data]]="","",CONCATENATE("SEMANA"," ",_xlfn.ISOWEEKNUM(Tabela1[[#This Row],[Data]])))</f>
        <v/>
      </c>
      <c r="D138" s="3" t="str">
        <f t="shared" si="5"/>
        <v/>
      </c>
      <c r="E138" s="4"/>
      <c r="F138" s="4"/>
      <c r="G138" s="4"/>
      <c r="H138" s="4"/>
      <c r="I138" s="9"/>
    </row>
    <row r="139" spans="1:9" x14ac:dyDescent="0.3">
      <c r="A139" s="8"/>
      <c r="B139" s="3" t="str">
        <f t="shared" si="4"/>
        <v/>
      </c>
      <c r="C139" s="19" t="str">
        <f>IF(Tabela1[[#This Row],[Data]]="","",CONCATENATE("SEMANA"," ",_xlfn.ISOWEEKNUM(Tabela1[[#This Row],[Data]])))</f>
        <v/>
      </c>
      <c r="D139" s="3" t="str">
        <f t="shared" si="5"/>
        <v/>
      </c>
      <c r="E139" s="4"/>
      <c r="F139" s="4"/>
      <c r="G139" s="4"/>
      <c r="H139" s="4"/>
      <c r="I139" s="9"/>
    </row>
    <row r="140" spans="1:9" x14ac:dyDescent="0.3">
      <c r="A140" s="8"/>
      <c r="B140" s="3" t="str">
        <f t="shared" si="4"/>
        <v/>
      </c>
      <c r="C140" s="19" t="str">
        <f>IF(Tabela1[[#This Row],[Data]]="","",CONCATENATE("SEMANA"," ",_xlfn.ISOWEEKNUM(Tabela1[[#This Row],[Data]])))</f>
        <v/>
      </c>
      <c r="D140" s="3" t="str">
        <f t="shared" si="5"/>
        <v/>
      </c>
      <c r="E140" s="4"/>
      <c r="F140" s="4"/>
      <c r="G140" s="4"/>
      <c r="H140" s="4"/>
      <c r="I140" s="9"/>
    </row>
    <row r="141" spans="1:9" x14ac:dyDescent="0.3">
      <c r="A141" s="8"/>
      <c r="B141" s="3" t="str">
        <f t="shared" si="4"/>
        <v/>
      </c>
      <c r="C141" s="19" t="str">
        <f>IF(Tabela1[[#This Row],[Data]]="","",CONCATENATE("SEMANA"," ",_xlfn.ISOWEEKNUM(Tabela1[[#This Row],[Data]])))</f>
        <v/>
      </c>
      <c r="D141" s="3" t="str">
        <f t="shared" si="5"/>
        <v/>
      </c>
      <c r="E141" s="4"/>
      <c r="F141" s="4"/>
      <c r="G141" s="4"/>
      <c r="H141" s="4"/>
      <c r="I141" s="9"/>
    </row>
    <row r="142" spans="1:9" x14ac:dyDescent="0.3">
      <c r="A142" s="8"/>
      <c r="B142" s="3" t="str">
        <f t="shared" si="4"/>
        <v/>
      </c>
      <c r="C142" s="19" t="str">
        <f>IF(Tabela1[[#This Row],[Data]]="","",CONCATENATE("SEMANA"," ",_xlfn.ISOWEEKNUM(Tabela1[[#This Row],[Data]])))</f>
        <v/>
      </c>
      <c r="D142" s="3" t="str">
        <f t="shared" si="5"/>
        <v/>
      </c>
      <c r="E142" s="4"/>
      <c r="F142" s="4"/>
      <c r="G142" s="4"/>
      <c r="H142" s="4"/>
      <c r="I142" s="9"/>
    </row>
    <row r="143" spans="1:9" x14ac:dyDescent="0.3">
      <c r="A143" s="8"/>
      <c r="B143" s="3" t="str">
        <f t="shared" si="4"/>
        <v/>
      </c>
      <c r="C143" s="19" t="str">
        <f>IF(Tabela1[[#This Row],[Data]]="","",CONCATENATE("SEMANA"," ",_xlfn.ISOWEEKNUM(Tabela1[[#This Row],[Data]])))</f>
        <v/>
      </c>
      <c r="D143" s="3" t="str">
        <f t="shared" si="5"/>
        <v/>
      </c>
      <c r="E143" s="4"/>
      <c r="F143" s="4"/>
      <c r="G143" s="4"/>
      <c r="H143" s="4"/>
      <c r="I143" s="9"/>
    </row>
    <row r="144" spans="1:9" x14ac:dyDescent="0.3">
      <c r="A144" s="37"/>
      <c r="B144" s="13" t="str">
        <f t="shared" si="4"/>
        <v/>
      </c>
      <c r="C144" s="20" t="str">
        <f>IF(Tabela1[[#This Row],[Data]]="","",CONCATENATE("SEMANA"," ",_xlfn.ISOWEEKNUM(Tabela1[[#This Row],[Data]])))</f>
        <v/>
      </c>
      <c r="D144" s="13" t="str">
        <f t="shared" si="5"/>
        <v/>
      </c>
      <c r="E144" s="14"/>
      <c r="F144" s="14"/>
      <c r="G144" s="14"/>
      <c r="H144" s="14"/>
      <c r="I144" s="15"/>
    </row>
  </sheetData>
  <sheetProtection algorithmName="SHA-512" hashValue="s+pJumGFu6TL4EdZP8c32kfdARyHeOXtAXVFzybBIcSvJriYpVVLARJJsNuS7GunFPjU940cblUyILxT+rtxlw==" saltValue="mt9iHG1+LWRFf6RP/ECpPA==" spinCount="100000"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CEB9-C8C4-46CE-82D7-B7A6A6383810}">
  <dimension ref="A1:A5"/>
  <sheetViews>
    <sheetView workbookViewId="0">
      <selection activeCell="D13" sqref="D13"/>
    </sheetView>
  </sheetViews>
  <sheetFormatPr defaultRowHeight="14.4" x14ac:dyDescent="0.3"/>
  <cols>
    <col min="1" max="1" width="17.21875" bestFit="1" customWidth="1"/>
  </cols>
  <sheetData>
    <row r="1" spans="1:1" x14ac:dyDescent="0.3">
      <c r="A1" s="7" t="s">
        <v>5</v>
      </c>
    </row>
    <row r="2" spans="1:1" x14ac:dyDescent="0.3">
      <c r="A2" s="27" t="s">
        <v>31</v>
      </c>
    </row>
    <row r="3" spans="1:1" x14ac:dyDescent="0.3">
      <c r="A3" s="27" t="s">
        <v>27</v>
      </c>
    </row>
    <row r="4" spans="1:1" x14ac:dyDescent="0.3">
      <c r="A4" s="27" t="s">
        <v>68</v>
      </c>
    </row>
    <row r="5" spans="1:1" x14ac:dyDescent="0.3">
      <c r="A5" s="27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70EB-D55F-444A-9992-7B97E6CBE7C1}">
  <sheetPr>
    <tabColor rgb="FF00B050"/>
  </sheetPr>
  <dimension ref="A1:J143"/>
  <sheetViews>
    <sheetView showGridLines="0" topLeftCell="A2" zoomScale="70" zoomScaleNormal="70" workbookViewId="0">
      <selection activeCell="J30" sqref="J30"/>
    </sheetView>
  </sheetViews>
  <sheetFormatPr defaultColWidth="10.6640625" defaultRowHeight="14.4" x14ac:dyDescent="0.3"/>
  <cols>
    <col min="1" max="1" width="11.5546875" style="38" bestFit="1" customWidth="1"/>
    <col min="2" max="2" width="10.6640625" style="2"/>
    <col min="3" max="3" width="15" style="21" bestFit="1" customWidth="1"/>
    <col min="4" max="4" width="11.109375" style="2" bestFit="1" customWidth="1"/>
    <col min="5" max="5" width="14.109375" style="41" bestFit="1" customWidth="1"/>
    <col min="6" max="6" width="20.21875" bestFit="1" customWidth="1"/>
    <col min="7" max="7" width="31.88671875" bestFit="1" customWidth="1"/>
    <col min="8" max="8" width="20.44140625" style="27" bestFit="1" customWidth="1"/>
    <col min="9" max="9" width="18.88671875" style="1" bestFit="1" customWidth="1"/>
    <col min="10" max="10" width="73.21875" customWidth="1"/>
  </cols>
  <sheetData>
    <row r="1" spans="1:10" x14ac:dyDescent="0.3">
      <c r="A1" s="35"/>
      <c r="B1" s="6"/>
      <c r="C1" s="17"/>
      <c r="D1" s="6"/>
      <c r="E1" s="39"/>
      <c r="F1" s="6"/>
      <c r="G1" s="6"/>
      <c r="H1" s="42"/>
      <c r="I1" s="6"/>
      <c r="J1" s="5"/>
    </row>
    <row r="3" spans="1:10" x14ac:dyDescent="0.3">
      <c r="A3" s="36" t="s">
        <v>1</v>
      </c>
      <c r="B3" s="10" t="s">
        <v>3</v>
      </c>
      <c r="C3" s="18" t="s">
        <v>10</v>
      </c>
      <c r="D3" s="10" t="s">
        <v>2</v>
      </c>
      <c r="E3" s="11" t="s">
        <v>4</v>
      </c>
      <c r="F3" s="11" t="s">
        <v>60</v>
      </c>
      <c r="G3" s="11" t="s">
        <v>89</v>
      </c>
      <c r="H3" s="25" t="s">
        <v>61</v>
      </c>
      <c r="I3" s="22" t="s">
        <v>34</v>
      </c>
      <c r="J3" s="12" t="s">
        <v>90</v>
      </c>
    </row>
    <row r="4" spans="1:10" x14ac:dyDescent="0.3">
      <c r="A4" s="28">
        <v>45779</v>
      </c>
      <c r="B4" s="29" t="str">
        <f>IF(A4="","",TEXT(A4,"ddd"))</f>
        <v>sex</v>
      </c>
      <c r="C4" s="30" t="str">
        <f>IF(Tabela13[[#This Row],[Data]]="","",CONCATENATE("SEMANA"," ",_xlfn.ISOWEEKNUM(Tabela13[[#This Row],[Data]])))</f>
        <v>SEMANA 18</v>
      </c>
      <c r="D4" s="29" t="str">
        <f>IF(A4="","",TEXT(A4,"mmm-aa"))</f>
        <v>mai-25</v>
      </c>
      <c r="E4" s="31" t="s">
        <v>24</v>
      </c>
      <c r="F4" s="31" t="s">
        <v>25</v>
      </c>
      <c r="G4" s="32" t="s">
        <v>26</v>
      </c>
      <c r="H4" s="32" t="s">
        <v>27</v>
      </c>
      <c r="I4" s="33" t="s">
        <v>14</v>
      </c>
      <c r="J4" s="34" t="s">
        <v>28</v>
      </c>
    </row>
    <row r="5" spans="1:10" x14ac:dyDescent="0.3">
      <c r="A5" s="28">
        <v>45784</v>
      </c>
      <c r="B5" s="29" t="str">
        <f t="shared" ref="B5:B68" si="0">IF(A5="","",TEXT(A5,"ddd"))</f>
        <v>qua</v>
      </c>
      <c r="C5" s="30" t="str">
        <f>IF(Tabela13[[#This Row],[Data]]="","",CONCATENATE("SEMANA"," ",_xlfn.ISOWEEKNUM(Tabela13[[#This Row],[Data]])))</f>
        <v>SEMANA 19</v>
      </c>
      <c r="D5" s="29" t="str">
        <f t="shared" ref="D5:D23" si="1">IF(A5="","",TEXT(A5,"mmm-aa"))</f>
        <v>mai-25</v>
      </c>
      <c r="E5" s="31" t="s">
        <v>0</v>
      </c>
      <c r="F5" s="31" t="s">
        <v>29</v>
      </c>
      <c r="G5" s="32" t="s">
        <v>30</v>
      </c>
      <c r="H5" s="32" t="s">
        <v>31</v>
      </c>
      <c r="I5" s="33" t="s">
        <v>14</v>
      </c>
      <c r="J5" s="34" t="s">
        <v>32</v>
      </c>
    </row>
    <row r="6" spans="1:10" x14ac:dyDescent="0.3">
      <c r="A6" s="28">
        <v>45792</v>
      </c>
      <c r="B6" s="29" t="str">
        <f t="shared" si="0"/>
        <v>qui</v>
      </c>
      <c r="C6" s="30" t="str">
        <f>IF(Tabela13[[#This Row],[Data]]="","",CONCATENATE("SEMANA"," ",_xlfn.ISOWEEKNUM(Tabela13[[#This Row],[Data]])))</f>
        <v>SEMANA 20</v>
      </c>
      <c r="D6" s="29" t="str">
        <f t="shared" si="1"/>
        <v>mai-25</v>
      </c>
      <c r="E6" s="31" t="s">
        <v>33</v>
      </c>
      <c r="F6" s="31" t="s">
        <v>34</v>
      </c>
      <c r="G6" s="32" t="s">
        <v>35</v>
      </c>
      <c r="H6" s="32" t="s">
        <v>68</v>
      </c>
      <c r="I6" s="33" t="s">
        <v>15</v>
      </c>
      <c r="J6" s="34" t="s">
        <v>36</v>
      </c>
    </row>
    <row r="7" spans="1:10" x14ac:dyDescent="0.3">
      <c r="A7" s="28">
        <v>45786</v>
      </c>
      <c r="B7" s="29" t="str">
        <f t="shared" si="0"/>
        <v>sex</v>
      </c>
      <c r="C7" s="30" t="str">
        <f>IF(Tabela13[[#This Row],[Data]]="","",CONCATENATE("SEMANA"," ",_xlfn.ISOWEEKNUM(Tabela13[[#This Row],[Data]])))</f>
        <v>SEMANA 19</v>
      </c>
      <c r="D7" s="29" t="str">
        <f t="shared" si="1"/>
        <v>mai-25</v>
      </c>
      <c r="E7" s="31" t="s">
        <v>24</v>
      </c>
      <c r="F7" s="31" t="s">
        <v>46</v>
      </c>
      <c r="G7" s="32" t="s">
        <v>47</v>
      </c>
      <c r="H7" s="32" t="s">
        <v>27</v>
      </c>
      <c r="I7" s="33" t="s">
        <v>14</v>
      </c>
      <c r="J7" s="34" t="s">
        <v>48</v>
      </c>
    </row>
    <row r="8" spans="1:10" x14ac:dyDescent="0.3">
      <c r="A8" s="28">
        <v>45789</v>
      </c>
      <c r="B8" s="29" t="str">
        <f t="shared" si="0"/>
        <v>seg</v>
      </c>
      <c r="C8" s="30" t="str">
        <f>IF(Tabela13[[#This Row],[Data]]="","",CONCATENATE("SEMANA"," ",_xlfn.ISOWEEKNUM(Tabela13[[#This Row],[Data]])))</f>
        <v>SEMANA 20</v>
      </c>
      <c r="D8" s="29" t="str">
        <f t="shared" si="1"/>
        <v>mai-25</v>
      </c>
      <c r="E8" s="31" t="s">
        <v>24</v>
      </c>
      <c r="F8" s="31" t="s">
        <v>49</v>
      </c>
      <c r="G8" s="32" t="s">
        <v>50</v>
      </c>
      <c r="H8" s="32" t="s">
        <v>31</v>
      </c>
      <c r="I8" s="33" t="s">
        <v>14</v>
      </c>
      <c r="J8" s="34" t="s">
        <v>51</v>
      </c>
    </row>
    <row r="9" spans="1:10" x14ac:dyDescent="0.3">
      <c r="A9" s="28">
        <v>45791</v>
      </c>
      <c r="B9" s="29" t="str">
        <f t="shared" si="0"/>
        <v>qua</v>
      </c>
      <c r="C9" s="30" t="str">
        <f>IF(Tabela13[[#This Row],[Data]]="","",CONCATENATE("SEMANA"," ",_xlfn.ISOWEEKNUM(Tabela13[[#This Row],[Data]])))</f>
        <v>SEMANA 20</v>
      </c>
      <c r="D9" s="29" t="str">
        <f t="shared" si="1"/>
        <v>mai-25</v>
      </c>
      <c r="E9" s="31" t="s">
        <v>24</v>
      </c>
      <c r="F9" s="31" t="s">
        <v>29</v>
      </c>
      <c r="G9" s="32" t="s">
        <v>52</v>
      </c>
      <c r="H9" s="32" t="s">
        <v>27</v>
      </c>
      <c r="I9" s="33" t="s">
        <v>14</v>
      </c>
      <c r="J9" s="34" t="s">
        <v>53</v>
      </c>
    </row>
    <row r="10" spans="1:10" x14ac:dyDescent="0.3">
      <c r="A10" s="28">
        <v>45796</v>
      </c>
      <c r="B10" s="29" t="str">
        <f t="shared" si="0"/>
        <v>seg</v>
      </c>
      <c r="C10" s="30" t="str">
        <f>IF(Tabela13[[#This Row],[Data]]="","",CONCATENATE("SEMANA"," ",_xlfn.ISOWEEKNUM(Tabela13[[#This Row],[Data]])))</f>
        <v>SEMANA 21</v>
      </c>
      <c r="D10" s="29" t="str">
        <f t="shared" si="1"/>
        <v>mai-25</v>
      </c>
      <c r="E10" s="31" t="s">
        <v>24</v>
      </c>
      <c r="F10" s="31" t="s">
        <v>25</v>
      </c>
      <c r="G10" s="32" t="s">
        <v>37</v>
      </c>
      <c r="H10" s="32" t="s">
        <v>31</v>
      </c>
      <c r="I10" s="33" t="s">
        <v>14</v>
      </c>
      <c r="J10" s="34" t="s">
        <v>38</v>
      </c>
    </row>
    <row r="11" spans="1:10" x14ac:dyDescent="0.3">
      <c r="A11" s="8">
        <v>45797</v>
      </c>
      <c r="B11" s="29" t="str">
        <f t="shared" si="0"/>
        <v>ter</v>
      </c>
      <c r="C11" s="30" t="str">
        <f>IF(Tabela13[[#This Row],[Data]]="","",CONCATENATE("SEMANA"," ",_xlfn.ISOWEEKNUM(Tabela13[[#This Row],[Data]])))</f>
        <v>SEMANA 21</v>
      </c>
      <c r="D11" s="29" t="str">
        <f t="shared" si="1"/>
        <v>mai-25</v>
      </c>
      <c r="E11" s="31" t="s">
        <v>24</v>
      </c>
      <c r="F11" s="4" t="s">
        <v>34</v>
      </c>
      <c r="G11" s="4" t="s">
        <v>54</v>
      </c>
      <c r="H11" s="43" t="s">
        <v>27</v>
      </c>
      <c r="I11" s="33" t="s">
        <v>15</v>
      </c>
      <c r="J11" s="9" t="s">
        <v>55</v>
      </c>
    </row>
    <row r="12" spans="1:10" x14ac:dyDescent="0.3">
      <c r="A12" s="8">
        <v>45799</v>
      </c>
      <c r="B12" s="29" t="str">
        <f t="shared" si="0"/>
        <v>qui</v>
      </c>
      <c r="C12" s="30" t="str">
        <f>IF(Tabela13[[#This Row],[Data]]="","",CONCATENATE("SEMANA"," ",_xlfn.ISOWEEKNUM(Tabela13[[#This Row],[Data]])))</f>
        <v>SEMANA 21</v>
      </c>
      <c r="D12" s="29" t="str">
        <f t="shared" si="1"/>
        <v>mai-25</v>
      </c>
      <c r="E12" s="31" t="s">
        <v>24</v>
      </c>
      <c r="F12" s="4" t="s">
        <v>46</v>
      </c>
      <c r="G12" s="4" t="s">
        <v>56</v>
      </c>
      <c r="H12" s="43" t="s">
        <v>68</v>
      </c>
      <c r="I12" s="33" t="s">
        <v>14</v>
      </c>
      <c r="J12" s="9" t="s">
        <v>57</v>
      </c>
    </row>
    <row r="13" spans="1:10" x14ac:dyDescent="0.3">
      <c r="A13" s="8">
        <v>45803</v>
      </c>
      <c r="B13" s="29" t="str">
        <f t="shared" si="0"/>
        <v>seg</v>
      </c>
      <c r="C13" s="30" t="str">
        <f>IF(Tabela13[[#This Row],[Data]]="","",CONCATENATE("SEMANA"," ",_xlfn.ISOWEEKNUM(Tabela13[[#This Row],[Data]])))</f>
        <v>SEMANA 22</v>
      </c>
      <c r="D13" s="29" t="str">
        <f t="shared" si="1"/>
        <v>mai-25</v>
      </c>
      <c r="E13" s="31" t="s">
        <v>0</v>
      </c>
      <c r="F13" s="4" t="s">
        <v>49</v>
      </c>
      <c r="G13" s="4" t="s">
        <v>58</v>
      </c>
      <c r="H13" s="43" t="s">
        <v>27</v>
      </c>
      <c r="I13" s="33" t="s">
        <v>14</v>
      </c>
      <c r="J13" s="9" t="s">
        <v>59</v>
      </c>
    </row>
    <row r="14" spans="1:10" x14ac:dyDescent="0.3">
      <c r="A14" s="8">
        <v>45779</v>
      </c>
      <c r="B14" s="29" t="str">
        <f t="shared" si="0"/>
        <v>sex</v>
      </c>
      <c r="C14" s="30" t="str">
        <f>IF(Tabela13[[#This Row],[Data]]="","",CONCATENATE("SEMANA"," ",_xlfn.ISOWEEKNUM(Tabela13[[#This Row],[Data]])))</f>
        <v>SEMANA 18</v>
      </c>
      <c r="D14" s="29" t="str">
        <f t="shared" si="1"/>
        <v>mai-25</v>
      </c>
      <c r="E14" s="31" t="s">
        <v>33</v>
      </c>
      <c r="F14" s="4" t="s">
        <v>25</v>
      </c>
      <c r="G14" s="4" t="s">
        <v>26</v>
      </c>
      <c r="H14" s="43" t="s">
        <v>27</v>
      </c>
      <c r="I14" s="33" t="s">
        <v>14</v>
      </c>
      <c r="J14" s="9" t="s">
        <v>28</v>
      </c>
    </row>
    <row r="15" spans="1:10" x14ac:dyDescent="0.3">
      <c r="A15" s="8">
        <v>45796</v>
      </c>
      <c r="B15" s="29" t="str">
        <f t="shared" si="0"/>
        <v>seg</v>
      </c>
      <c r="C15" s="30" t="str">
        <f>IF(Tabela13[[#This Row],[Data]]="","",CONCATENATE("SEMANA"," ",_xlfn.ISOWEEKNUM(Tabela13[[#This Row],[Data]])))</f>
        <v>SEMANA 21</v>
      </c>
      <c r="D15" s="29" t="str">
        <f t="shared" si="1"/>
        <v>mai-25</v>
      </c>
      <c r="E15" s="31" t="s">
        <v>24</v>
      </c>
      <c r="F15" s="4" t="s">
        <v>25</v>
      </c>
      <c r="G15" s="4" t="s">
        <v>37</v>
      </c>
      <c r="H15" s="43" t="s">
        <v>31</v>
      </c>
      <c r="I15" s="33" t="s">
        <v>14</v>
      </c>
      <c r="J15" s="9" t="s">
        <v>38</v>
      </c>
    </row>
    <row r="16" spans="1:10" x14ac:dyDescent="0.3">
      <c r="A16" s="8">
        <v>45804</v>
      </c>
      <c r="B16" s="29" t="str">
        <f t="shared" si="0"/>
        <v>ter</v>
      </c>
      <c r="C16" s="30" t="str">
        <f>IF(Tabela13[[#This Row],[Data]]="","",CONCATENATE("SEMANA"," ",_xlfn.ISOWEEKNUM(Tabela13[[#This Row],[Data]])))</f>
        <v>SEMANA 22</v>
      </c>
      <c r="D16" s="29" t="str">
        <f t="shared" si="1"/>
        <v>mai-25</v>
      </c>
      <c r="E16" s="31" t="s">
        <v>24</v>
      </c>
      <c r="F16" s="4" t="s">
        <v>25</v>
      </c>
      <c r="G16" s="4" t="s">
        <v>40</v>
      </c>
      <c r="H16" s="43" t="s">
        <v>27</v>
      </c>
      <c r="I16" s="33" t="s">
        <v>14</v>
      </c>
      <c r="J16" s="9" t="s">
        <v>41</v>
      </c>
    </row>
    <row r="17" spans="1:10" x14ac:dyDescent="0.3">
      <c r="A17" s="8">
        <v>45806</v>
      </c>
      <c r="B17" s="29" t="str">
        <f t="shared" si="0"/>
        <v>qui</v>
      </c>
      <c r="C17" s="30" t="str">
        <f>IF(Tabela13[[#This Row],[Data]]="","",CONCATENATE("SEMANA"," ",_xlfn.ISOWEEKNUM(Tabela13[[#This Row],[Data]])))</f>
        <v>SEMANA 22</v>
      </c>
      <c r="D17" s="29" t="str">
        <f t="shared" si="1"/>
        <v>mai-25</v>
      </c>
      <c r="E17" s="31" t="s">
        <v>24</v>
      </c>
      <c r="F17" s="4" t="s">
        <v>25</v>
      </c>
      <c r="G17" s="4" t="s">
        <v>42</v>
      </c>
      <c r="H17" s="43" t="s">
        <v>31</v>
      </c>
      <c r="I17" s="33" t="s">
        <v>14</v>
      </c>
      <c r="J17" s="9" t="s">
        <v>43</v>
      </c>
    </row>
    <row r="18" spans="1:10" x14ac:dyDescent="0.3">
      <c r="A18" s="8">
        <v>45807</v>
      </c>
      <c r="B18" s="29" t="str">
        <f t="shared" si="0"/>
        <v>sex</v>
      </c>
      <c r="C18" s="30" t="str">
        <f>IF(Tabela13[[#This Row],[Data]]="","",CONCATENATE("SEMANA"," ",_xlfn.ISOWEEKNUM(Tabela13[[#This Row],[Data]])))</f>
        <v>SEMANA 22</v>
      </c>
      <c r="D18" s="29" t="str">
        <f t="shared" si="1"/>
        <v>mai-25</v>
      </c>
      <c r="E18" s="31" t="s">
        <v>0</v>
      </c>
      <c r="F18" s="4" t="s">
        <v>25</v>
      </c>
      <c r="G18" s="4" t="s">
        <v>44</v>
      </c>
      <c r="H18" s="43" t="s">
        <v>27</v>
      </c>
      <c r="I18" s="33" t="s">
        <v>14</v>
      </c>
      <c r="J18" s="9" t="s">
        <v>45</v>
      </c>
    </row>
    <row r="19" spans="1:10" x14ac:dyDescent="0.3">
      <c r="A19" s="8">
        <v>45792</v>
      </c>
      <c r="B19" s="29" t="str">
        <f t="shared" si="0"/>
        <v>qui</v>
      </c>
      <c r="C19" s="30" t="str">
        <f>IF(Tabela13[[#This Row],[Data]]="","",CONCATENATE("SEMANA"," ",_xlfn.ISOWEEKNUM(Tabela13[[#This Row],[Data]])))</f>
        <v>SEMANA 20</v>
      </c>
      <c r="D19" s="29" t="str">
        <f t="shared" si="1"/>
        <v>mai-25</v>
      </c>
      <c r="E19" s="31" t="s">
        <v>33</v>
      </c>
      <c r="F19" s="4" t="s">
        <v>34</v>
      </c>
      <c r="G19" s="4" t="s">
        <v>35</v>
      </c>
      <c r="H19" s="43" t="s">
        <v>68</v>
      </c>
      <c r="I19" s="33" t="s">
        <v>15</v>
      </c>
      <c r="J19" s="9" t="s">
        <v>36</v>
      </c>
    </row>
    <row r="20" spans="1:10" x14ac:dyDescent="0.3">
      <c r="A20" s="8">
        <v>45797</v>
      </c>
      <c r="B20" s="29" t="str">
        <f t="shared" si="0"/>
        <v>ter</v>
      </c>
      <c r="C20" s="30" t="str">
        <f>IF(Tabela13[[#This Row],[Data]]="","",CONCATENATE("SEMANA"," ",_xlfn.ISOWEEKNUM(Tabela13[[#This Row],[Data]])))</f>
        <v>SEMANA 21</v>
      </c>
      <c r="D20" s="29" t="str">
        <f t="shared" si="1"/>
        <v>mai-25</v>
      </c>
      <c r="E20" s="31" t="s">
        <v>0</v>
      </c>
      <c r="F20" s="4" t="s">
        <v>34</v>
      </c>
      <c r="G20" s="4" t="s">
        <v>54</v>
      </c>
      <c r="H20" s="43" t="s">
        <v>27</v>
      </c>
      <c r="I20" s="33" t="s">
        <v>15</v>
      </c>
      <c r="J20" s="9" t="s">
        <v>55</v>
      </c>
    </row>
    <row r="21" spans="1:10" x14ac:dyDescent="0.3">
      <c r="A21" s="8">
        <v>45799</v>
      </c>
      <c r="B21" s="29" t="str">
        <f t="shared" si="0"/>
        <v>qui</v>
      </c>
      <c r="C21" s="30" t="str">
        <f>IF(Tabela13[[#This Row],[Data]]="","",CONCATENATE("SEMANA"," ",_xlfn.ISOWEEKNUM(Tabela13[[#This Row],[Data]])))</f>
        <v>SEMANA 21</v>
      </c>
      <c r="D21" s="29" t="str">
        <f t="shared" si="1"/>
        <v>mai-25</v>
      </c>
      <c r="E21" s="31" t="s">
        <v>33</v>
      </c>
      <c r="F21" s="4" t="s">
        <v>34</v>
      </c>
      <c r="G21" s="4" t="s">
        <v>62</v>
      </c>
      <c r="H21" s="43" t="s">
        <v>31</v>
      </c>
      <c r="I21" s="33" t="s">
        <v>15</v>
      </c>
      <c r="J21" s="9" t="s">
        <v>63</v>
      </c>
    </row>
    <row r="22" spans="1:10" x14ac:dyDescent="0.3">
      <c r="A22" s="8">
        <v>45803</v>
      </c>
      <c r="B22" s="29" t="str">
        <f t="shared" si="0"/>
        <v>seg</v>
      </c>
      <c r="C22" s="30" t="str">
        <f>IF(Tabela13[[#This Row],[Data]]="","",CONCATENATE("SEMANA"," ",_xlfn.ISOWEEKNUM(Tabela13[[#This Row],[Data]])))</f>
        <v>SEMANA 22</v>
      </c>
      <c r="D22" s="29" t="str">
        <f t="shared" si="1"/>
        <v>mai-25</v>
      </c>
      <c r="E22" s="31" t="s">
        <v>0</v>
      </c>
      <c r="F22" s="4" t="s">
        <v>34</v>
      </c>
      <c r="G22" s="4" t="s">
        <v>64</v>
      </c>
      <c r="H22" s="43" t="s">
        <v>27</v>
      </c>
      <c r="I22" s="33" t="s">
        <v>15</v>
      </c>
      <c r="J22" s="9" t="s">
        <v>65</v>
      </c>
    </row>
    <row r="23" spans="1:10" x14ac:dyDescent="0.3">
      <c r="A23" s="8">
        <v>45805</v>
      </c>
      <c r="B23" s="29" t="str">
        <f t="shared" si="0"/>
        <v>qua</v>
      </c>
      <c r="C23" s="30" t="str">
        <f>IF(Tabela13[[#This Row],[Data]]="","",CONCATENATE("SEMANA"," ",_xlfn.ISOWEEKNUM(Tabela13[[#This Row],[Data]])))</f>
        <v>SEMANA 22</v>
      </c>
      <c r="D23" s="29" t="str">
        <f t="shared" si="1"/>
        <v>mai-25</v>
      </c>
      <c r="E23" s="31" t="s">
        <v>33</v>
      </c>
      <c r="F23" s="4" t="s">
        <v>34</v>
      </c>
      <c r="G23" s="4" t="s">
        <v>66</v>
      </c>
      <c r="H23" s="43" t="s">
        <v>68</v>
      </c>
      <c r="I23" s="33" t="s">
        <v>15</v>
      </c>
      <c r="J23" s="9" t="s">
        <v>67</v>
      </c>
    </row>
    <row r="24" spans="1:10" x14ac:dyDescent="0.3">
      <c r="A24" s="8">
        <v>45782</v>
      </c>
      <c r="B24" s="29" t="str">
        <f t="shared" si="0"/>
        <v>seg</v>
      </c>
      <c r="C24" s="30" t="str">
        <f>IF(Tabela13[[#This Row],[Data]]="","",CONCATENATE("SEMANA"," ",_xlfn.ISOWEEKNUM(Tabela13[[#This Row],[Data]])))</f>
        <v>SEMANA 19</v>
      </c>
      <c r="D24" s="3" t="str">
        <f t="shared" ref="D24:D64" si="2">IF(A24="","",TEXT(A24,"mmm-aa"))</f>
        <v>mai-25</v>
      </c>
      <c r="E24" s="31" t="s">
        <v>69</v>
      </c>
      <c r="F24" s="4" t="s">
        <v>70</v>
      </c>
      <c r="G24" s="4" t="s">
        <v>71</v>
      </c>
      <c r="H24" s="43" t="s">
        <v>27</v>
      </c>
      <c r="I24" s="33" t="s">
        <v>14</v>
      </c>
      <c r="J24" s="9" t="s">
        <v>72</v>
      </c>
    </row>
    <row r="25" spans="1:10" x14ac:dyDescent="0.3">
      <c r="A25" s="8">
        <v>45788</v>
      </c>
      <c r="B25" s="29" t="str">
        <f t="shared" si="0"/>
        <v>dom</v>
      </c>
      <c r="C25" s="30" t="str">
        <f>IF(Tabela13[[#This Row],[Data]]="","",CONCATENATE("SEMANA"," ",_xlfn.ISOWEEKNUM(Tabela13[[#This Row],[Data]])))</f>
        <v>SEMANA 19</v>
      </c>
      <c r="D25" s="3" t="str">
        <f t="shared" si="2"/>
        <v>mai-25</v>
      </c>
      <c r="E25" s="31" t="s">
        <v>69</v>
      </c>
      <c r="F25" s="4" t="s">
        <v>70</v>
      </c>
      <c r="G25" s="4" t="s">
        <v>73</v>
      </c>
      <c r="H25" s="43" t="s">
        <v>31</v>
      </c>
      <c r="I25" s="33" t="s">
        <v>14</v>
      </c>
      <c r="J25" s="9" t="s">
        <v>74</v>
      </c>
    </row>
    <row r="26" spans="1:10" x14ac:dyDescent="0.3">
      <c r="A26" s="8">
        <v>45793</v>
      </c>
      <c r="B26" s="29" t="str">
        <f t="shared" si="0"/>
        <v>sex</v>
      </c>
      <c r="C26" s="30" t="str">
        <f>IF(Tabela13[[#This Row],[Data]]="","",CONCATENATE("SEMANA"," ",_xlfn.ISOWEEKNUM(Tabela13[[#This Row],[Data]])))</f>
        <v>SEMANA 20</v>
      </c>
      <c r="D26" s="3" t="str">
        <f t="shared" si="2"/>
        <v>mai-25</v>
      </c>
      <c r="E26" s="31" t="s">
        <v>69</v>
      </c>
      <c r="F26" s="4" t="s">
        <v>70</v>
      </c>
      <c r="G26" s="4" t="s">
        <v>75</v>
      </c>
      <c r="H26" s="43" t="s">
        <v>27</v>
      </c>
      <c r="I26" s="33" t="s">
        <v>14</v>
      </c>
      <c r="J26" s="9" t="s">
        <v>76</v>
      </c>
    </row>
    <row r="27" spans="1:10" x14ac:dyDescent="0.3">
      <c r="A27" s="8">
        <v>45798</v>
      </c>
      <c r="B27" s="29" t="str">
        <f t="shared" si="0"/>
        <v>qua</v>
      </c>
      <c r="C27" s="30" t="str">
        <f>IF(Tabela13[[#This Row],[Data]]="","",CONCATENATE("SEMANA"," ",_xlfn.ISOWEEKNUM(Tabela13[[#This Row],[Data]])))</f>
        <v>SEMANA 21</v>
      </c>
      <c r="D27" s="3" t="str">
        <f t="shared" si="2"/>
        <v>mai-25</v>
      </c>
      <c r="E27" s="31" t="s">
        <v>69</v>
      </c>
      <c r="F27" s="4" t="s">
        <v>70</v>
      </c>
      <c r="G27" s="4" t="s">
        <v>77</v>
      </c>
      <c r="H27" s="43" t="s">
        <v>31</v>
      </c>
      <c r="I27" s="33" t="s">
        <v>14</v>
      </c>
      <c r="J27" s="9" t="s">
        <v>78</v>
      </c>
    </row>
    <row r="28" spans="1:10" x14ac:dyDescent="0.3">
      <c r="A28" s="8">
        <v>45807</v>
      </c>
      <c r="B28" s="29" t="str">
        <f t="shared" si="0"/>
        <v>sex</v>
      </c>
      <c r="C28" s="30" t="str">
        <f>IF(Tabela13[[#This Row],[Data]]="","",CONCATENATE("SEMANA"," ",_xlfn.ISOWEEKNUM(Tabela13[[#This Row],[Data]])))</f>
        <v>SEMANA 22</v>
      </c>
      <c r="D28" s="3" t="str">
        <f t="shared" si="2"/>
        <v>mai-25</v>
      </c>
      <c r="E28" s="31" t="s">
        <v>69</v>
      </c>
      <c r="F28" s="4" t="s">
        <v>70</v>
      </c>
      <c r="G28" s="4" t="s">
        <v>79</v>
      </c>
      <c r="H28" s="43" t="s">
        <v>27</v>
      </c>
      <c r="I28" s="33" t="s">
        <v>14</v>
      </c>
      <c r="J28" s="9" t="s">
        <v>80</v>
      </c>
    </row>
    <row r="29" spans="1:10" x14ac:dyDescent="0.3">
      <c r="A29" s="8"/>
      <c r="B29" s="29" t="str">
        <f t="shared" si="0"/>
        <v/>
      </c>
      <c r="C29" s="30" t="str">
        <f>IF(Tabela13[[#This Row],[Data]]="","",CONCATENATE("SEMANA"," ",_xlfn.ISOWEEKNUM(Tabela13[[#This Row],[Data]])))</f>
        <v/>
      </c>
      <c r="D29" s="3" t="str">
        <f t="shared" si="2"/>
        <v/>
      </c>
      <c r="E29" s="31"/>
      <c r="F29" s="4"/>
      <c r="G29" s="4"/>
      <c r="H29" s="43"/>
      <c r="I29" s="23" t="str">
        <f>IF(Tabela13[[#This Row],[Data]]="","",IF(Tabela13[[#This Row],[Descrição (Comentários)]]="Joinville usou vaga PPI","SIM","NÃO"))</f>
        <v/>
      </c>
      <c r="J29" s="9"/>
    </row>
    <row r="30" spans="1:10" x14ac:dyDescent="0.3">
      <c r="A30" s="8"/>
      <c r="B30" s="29" t="str">
        <f t="shared" si="0"/>
        <v/>
      </c>
      <c r="C30" s="30" t="str">
        <f>IF(Tabela13[[#This Row],[Data]]="","",CONCATENATE("SEMANA"," ",_xlfn.ISOWEEKNUM(Tabela13[[#This Row],[Data]])))</f>
        <v/>
      </c>
      <c r="D30" s="3" t="str">
        <f t="shared" si="2"/>
        <v/>
      </c>
      <c r="E30" s="31"/>
      <c r="F30" s="4"/>
      <c r="G30" s="4"/>
      <c r="H30" s="43"/>
      <c r="I30" s="23" t="str">
        <f>IF(Tabela13[[#This Row],[Data]]="","",IF(Tabela13[[#This Row],[Descrição (Comentários)]]="Joinville usou vaga PPI","SIM","NÃO"))</f>
        <v/>
      </c>
      <c r="J30" s="9"/>
    </row>
    <row r="31" spans="1:10" x14ac:dyDescent="0.3">
      <c r="A31" s="8"/>
      <c r="B31" s="29" t="str">
        <f t="shared" si="0"/>
        <v/>
      </c>
      <c r="C31" s="30" t="str">
        <f>IF(Tabela13[[#This Row],[Data]]="","",CONCATENATE("SEMANA"," ",_xlfn.ISOWEEKNUM(Tabela13[[#This Row],[Data]])))</f>
        <v/>
      </c>
      <c r="D31" s="3" t="str">
        <f t="shared" si="2"/>
        <v/>
      </c>
      <c r="E31" s="31"/>
      <c r="F31" s="4"/>
      <c r="G31" s="4"/>
      <c r="H31" s="43"/>
      <c r="I31" s="23" t="str">
        <f>IF(Tabela13[[#This Row],[Data]]="","",IF(Tabela13[[#This Row],[Descrição (Comentários)]]="Joinville usou vaga PPI","SIM","NÃO"))</f>
        <v/>
      </c>
      <c r="J31" s="9"/>
    </row>
    <row r="32" spans="1:10" x14ac:dyDescent="0.3">
      <c r="A32" s="8"/>
      <c r="B32" s="29" t="str">
        <f t="shared" si="0"/>
        <v/>
      </c>
      <c r="C32" s="30" t="str">
        <f>IF(Tabela13[[#This Row],[Data]]="","",CONCATENATE("SEMANA"," ",_xlfn.ISOWEEKNUM(Tabela13[[#This Row],[Data]])))</f>
        <v/>
      </c>
      <c r="D32" s="3" t="str">
        <f t="shared" si="2"/>
        <v/>
      </c>
      <c r="E32" s="31"/>
      <c r="F32" s="4"/>
      <c r="G32" s="4"/>
      <c r="H32" s="43"/>
      <c r="I32" s="23" t="str">
        <f>IF(Tabela13[[#This Row],[Data]]="","",IF(Tabela13[[#This Row],[Descrição (Comentários)]]="Joinville usou vaga PPI","SIM","NÃO"))</f>
        <v/>
      </c>
      <c r="J32" s="9"/>
    </row>
    <row r="33" spans="1:10" x14ac:dyDescent="0.3">
      <c r="A33" s="8"/>
      <c r="B33" s="29" t="str">
        <f t="shared" si="0"/>
        <v/>
      </c>
      <c r="C33" s="30" t="str">
        <f>IF(Tabela13[[#This Row],[Data]]="","",CONCATENATE("SEMANA"," ",_xlfn.ISOWEEKNUM(Tabela13[[#This Row],[Data]])))</f>
        <v/>
      </c>
      <c r="D33" s="3" t="str">
        <f t="shared" si="2"/>
        <v/>
      </c>
      <c r="E33" s="31"/>
      <c r="F33" s="4"/>
      <c r="G33" s="4"/>
      <c r="H33" s="43"/>
      <c r="I33" s="23" t="str">
        <f>IF(Tabela13[[#This Row],[Data]]="","",IF(Tabela13[[#This Row],[Descrição (Comentários)]]="Joinville usou vaga PPI","SIM","NÃO"))</f>
        <v/>
      </c>
      <c r="J33" s="9"/>
    </row>
    <row r="34" spans="1:10" x14ac:dyDescent="0.3">
      <c r="A34" s="8"/>
      <c r="B34" s="29" t="str">
        <f t="shared" si="0"/>
        <v/>
      </c>
      <c r="C34" s="30" t="str">
        <f>IF(Tabela13[[#This Row],[Data]]="","",CONCATENATE("SEMANA"," ",_xlfn.ISOWEEKNUM(Tabela13[[#This Row],[Data]])))</f>
        <v/>
      </c>
      <c r="D34" s="3" t="str">
        <f t="shared" si="2"/>
        <v/>
      </c>
      <c r="E34" s="31"/>
      <c r="F34" s="4"/>
      <c r="G34" s="4"/>
      <c r="H34" s="43"/>
      <c r="I34" s="23" t="str">
        <f>IF(Tabela13[[#This Row],[Data]]="","",IF(Tabela13[[#This Row],[Descrição (Comentários)]]="Joinville usou vaga PPI","SIM","NÃO"))</f>
        <v/>
      </c>
      <c r="J34" s="9"/>
    </row>
    <row r="35" spans="1:10" x14ac:dyDescent="0.3">
      <c r="A35" s="8"/>
      <c r="B35" s="29" t="str">
        <f t="shared" si="0"/>
        <v/>
      </c>
      <c r="C35" s="30" t="str">
        <f>IF(Tabela13[[#This Row],[Data]]="","",CONCATENATE("SEMANA"," ",_xlfn.ISOWEEKNUM(Tabela13[[#This Row],[Data]])))</f>
        <v/>
      </c>
      <c r="D35" s="3" t="str">
        <f t="shared" si="2"/>
        <v/>
      </c>
      <c r="E35" s="31"/>
      <c r="F35" s="4"/>
      <c r="G35" s="4"/>
      <c r="H35" s="43"/>
      <c r="I35" s="23" t="str">
        <f>IF(Tabela13[[#This Row],[Data]]="","",IF(Tabela13[[#This Row],[Descrição (Comentários)]]="Joinville usou vaga PPI","SIM","NÃO"))</f>
        <v/>
      </c>
      <c r="J35" s="9"/>
    </row>
    <row r="36" spans="1:10" x14ac:dyDescent="0.3">
      <c r="A36" s="8"/>
      <c r="B36" s="29" t="str">
        <f t="shared" si="0"/>
        <v/>
      </c>
      <c r="C36" s="30" t="str">
        <f>IF(Tabela13[[#This Row],[Data]]="","",CONCATENATE("SEMANA"," ",_xlfn.ISOWEEKNUM(Tabela13[[#This Row],[Data]])))</f>
        <v/>
      </c>
      <c r="D36" s="3" t="str">
        <f t="shared" si="2"/>
        <v/>
      </c>
      <c r="E36" s="31"/>
      <c r="F36" s="4"/>
      <c r="G36" s="4"/>
      <c r="H36" s="43"/>
      <c r="I36" s="23" t="str">
        <f>IF(Tabela13[[#This Row],[Data]]="","",IF(Tabela13[[#This Row],[Descrição (Comentários)]]="Joinville usou vaga PPI","SIM","NÃO"))</f>
        <v/>
      </c>
      <c r="J36" s="9"/>
    </row>
    <row r="37" spans="1:10" x14ac:dyDescent="0.3">
      <c r="A37" s="8"/>
      <c r="B37" s="29" t="str">
        <f t="shared" si="0"/>
        <v/>
      </c>
      <c r="C37" s="30" t="str">
        <f>IF(Tabela13[[#This Row],[Data]]="","",CONCATENATE("SEMANA"," ",_xlfn.ISOWEEKNUM(Tabela13[[#This Row],[Data]])))</f>
        <v/>
      </c>
      <c r="D37" s="3" t="str">
        <f t="shared" si="2"/>
        <v/>
      </c>
      <c r="E37" s="31"/>
      <c r="F37" s="4"/>
      <c r="G37" s="4"/>
      <c r="H37" s="43"/>
      <c r="I37" s="23" t="str">
        <f>IF(Tabela13[[#This Row],[Data]]="","",IF(Tabela13[[#This Row],[Descrição (Comentários)]]="Joinville usou vaga PPI","SIM","NÃO"))</f>
        <v/>
      </c>
      <c r="J37" s="9"/>
    </row>
    <row r="38" spans="1:10" x14ac:dyDescent="0.3">
      <c r="A38" s="8"/>
      <c r="B38" s="29" t="str">
        <f t="shared" si="0"/>
        <v/>
      </c>
      <c r="C38" s="30" t="str">
        <f>IF(Tabela13[[#This Row],[Data]]="","",CONCATENATE("SEMANA"," ",_xlfn.ISOWEEKNUM(Tabela13[[#This Row],[Data]])))</f>
        <v/>
      </c>
      <c r="D38" s="3" t="str">
        <f t="shared" si="2"/>
        <v/>
      </c>
      <c r="E38" s="31"/>
      <c r="F38" s="4"/>
      <c r="G38" s="4"/>
      <c r="H38" s="43"/>
      <c r="I38" s="23" t="str">
        <f>IF(Tabela13[[#This Row],[Data]]="","",IF(Tabela13[[#This Row],[Descrição (Comentários)]]="Joinville usou vaga PPI","SIM","NÃO"))</f>
        <v/>
      </c>
      <c r="J38" s="9"/>
    </row>
    <row r="39" spans="1:10" x14ac:dyDescent="0.3">
      <c r="A39" s="8"/>
      <c r="B39" s="29" t="str">
        <f t="shared" si="0"/>
        <v/>
      </c>
      <c r="C39" s="30" t="str">
        <f>IF(Tabela13[[#This Row],[Data]]="","",CONCATENATE("SEMANA"," ",_xlfn.ISOWEEKNUM(Tabela13[[#This Row],[Data]])))</f>
        <v/>
      </c>
      <c r="D39" s="3" t="str">
        <f t="shared" si="2"/>
        <v/>
      </c>
      <c r="E39" s="31"/>
      <c r="F39" s="4"/>
      <c r="G39" s="4"/>
      <c r="H39" s="43"/>
      <c r="I39" s="23" t="str">
        <f>IF(Tabela13[[#This Row],[Data]]="","",IF(Tabela13[[#This Row],[Descrição (Comentários)]]="Joinville usou vaga PPI","SIM","NÃO"))</f>
        <v/>
      </c>
      <c r="J39" s="9"/>
    </row>
    <row r="40" spans="1:10" x14ac:dyDescent="0.3">
      <c r="A40" s="8"/>
      <c r="B40" s="29" t="str">
        <f t="shared" si="0"/>
        <v/>
      </c>
      <c r="C40" s="30" t="str">
        <f>IF(Tabela13[[#This Row],[Data]]="","",CONCATENATE("SEMANA"," ",_xlfn.ISOWEEKNUM(Tabela13[[#This Row],[Data]])))</f>
        <v/>
      </c>
      <c r="D40" s="3" t="str">
        <f t="shared" si="2"/>
        <v/>
      </c>
      <c r="E40" s="31"/>
      <c r="F40" s="4"/>
      <c r="G40" s="4"/>
      <c r="H40" s="43"/>
      <c r="I40" s="23" t="str">
        <f>IF(Tabela13[[#This Row],[Data]]="","",IF(Tabela13[[#This Row],[Descrição (Comentários)]]="Joinville usou vaga PPI","SIM","NÃO"))</f>
        <v/>
      </c>
      <c r="J40" s="9"/>
    </row>
    <row r="41" spans="1:10" x14ac:dyDescent="0.3">
      <c r="A41" s="8"/>
      <c r="B41" s="29" t="str">
        <f t="shared" si="0"/>
        <v/>
      </c>
      <c r="C41" s="30" t="str">
        <f>IF(Tabela13[[#This Row],[Data]]="","",CONCATENATE("SEMANA"," ",_xlfn.ISOWEEKNUM(Tabela13[[#This Row],[Data]])))</f>
        <v/>
      </c>
      <c r="D41" s="3" t="str">
        <f t="shared" si="2"/>
        <v/>
      </c>
      <c r="E41" s="31"/>
      <c r="F41" s="4"/>
      <c r="G41" s="4"/>
      <c r="H41" s="43"/>
      <c r="I41" s="23" t="str">
        <f>IF(Tabela13[[#This Row],[Data]]="","",IF(Tabela13[[#This Row],[Descrição (Comentários)]]="Joinville usou vaga PPI","SIM","NÃO"))</f>
        <v/>
      </c>
      <c r="J41" s="9"/>
    </row>
    <row r="42" spans="1:10" x14ac:dyDescent="0.3">
      <c r="A42" s="8"/>
      <c r="B42" s="29" t="str">
        <f t="shared" si="0"/>
        <v/>
      </c>
      <c r="C42" s="30" t="str">
        <f>IF(Tabela13[[#This Row],[Data]]="","",CONCATENATE("SEMANA"," ",_xlfn.ISOWEEKNUM(Tabela13[[#This Row],[Data]])))</f>
        <v/>
      </c>
      <c r="D42" s="3" t="str">
        <f t="shared" si="2"/>
        <v/>
      </c>
      <c r="E42" s="31"/>
      <c r="F42" s="4"/>
      <c r="G42" s="4"/>
      <c r="H42" s="43"/>
      <c r="I42" s="23" t="str">
        <f>IF(Tabela13[[#This Row],[Data]]="","",IF(Tabela13[[#This Row],[Descrição (Comentários)]]="Joinville usou vaga PPI","SIM","NÃO"))</f>
        <v/>
      </c>
      <c r="J42" s="9"/>
    </row>
    <row r="43" spans="1:10" x14ac:dyDescent="0.3">
      <c r="A43" s="8"/>
      <c r="B43" s="29" t="str">
        <f t="shared" si="0"/>
        <v/>
      </c>
      <c r="C43" s="30" t="str">
        <f>IF(Tabela13[[#This Row],[Data]]="","",CONCATENATE("SEMANA"," ",_xlfn.ISOWEEKNUM(Tabela13[[#This Row],[Data]])))</f>
        <v/>
      </c>
      <c r="D43" s="3" t="str">
        <f t="shared" si="2"/>
        <v/>
      </c>
      <c r="E43" s="31"/>
      <c r="F43" s="4"/>
      <c r="G43" s="4"/>
      <c r="H43" s="43"/>
      <c r="I43" s="23" t="str">
        <f>IF(Tabela13[[#This Row],[Data]]="","",IF(Tabela13[[#This Row],[Descrição (Comentários)]]="Joinville usou vaga PPI","SIM","NÃO"))</f>
        <v/>
      </c>
      <c r="J43" s="9"/>
    </row>
    <row r="44" spans="1:10" x14ac:dyDescent="0.3">
      <c r="A44" s="8"/>
      <c r="B44" s="29" t="str">
        <f t="shared" si="0"/>
        <v/>
      </c>
      <c r="C44" s="30" t="str">
        <f>IF(Tabela13[[#This Row],[Data]]="","",CONCATENATE("SEMANA"," ",_xlfn.ISOWEEKNUM(Tabela13[[#This Row],[Data]])))</f>
        <v/>
      </c>
      <c r="D44" s="3" t="str">
        <f t="shared" si="2"/>
        <v/>
      </c>
      <c r="E44" s="31"/>
      <c r="F44" s="4"/>
      <c r="G44" s="4"/>
      <c r="H44" s="43"/>
      <c r="I44" s="23" t="str">
        <f>IF(Tabela13[[#This Row],[Data]]="","",IF(Tabela13[[#This Row],[Descrição (Comentários)]]="Joinville usou vaga PPI","SIM","NÃO"))</f>
        <v/>
      </c>
      <c r="J44" s="9"/>
    </row>
    <row r="45" spans="1:10" x14ac:dyDescent="0.3">
      <c r="A45" s="8"/>
      <c r="B45" s="29" t="str">
        <f t="shared" si="0"/>
        <v/>
      </c>
      <c r="C45" s="30" t="str">
        <f>IF(Tabela13[[#This Row],[Data]]="","",CONCATENATE("SEMANA"," ",_xlfn.ISOWEEKNUM(Tabela13[[#This Row],[Data]])))</f>
        <v/>
      </c>
      <c r="D45" s="3" t="str">
        <f t="shared" si="2"/>
        <v/>
      </c>
      <c r="E45" s="31"/>
      <c r="F45" s="4"/>
      <c r="G45" s="4"/>
      <c r="H45" s="43"/>
      <c r="I45" s="23" t="str">
        <f>IF(Tabela13[[#This Row],[Data]]="","",IF(Tabela13[[#This Row],[Descrição (Comentários)]]="Joinville usou vaga PPI","SIM","NÃO"))</f>
        <v/>
      </c>
      <c r="J45" s="9"/>
    </row>
    <row r="46" spans="1:10" x14ac:dyDescent="0.3">
      <c r="A46" s="8"/>
      <c r="B46" s="29" t="str">
        <f t="shared" si="0"/>
        <v/>
      </c>
      <c r="C46" s="30" t="str">
        <f>IF(Tabela13[[#This Row],[Data]]="","",CONCATENATE("SEMANA"," ",_xlfn.ISOWEEKNUM(Tabela13[[#This Row],[Data]])))</f>
        <v/>
      </c>
      <c r="D46" s="3" t="str">
        <f t="shared" si="2"/>
        <v/>
      </c>
      <c r="E46" s="31"/>
      <c r="F46" s="4"/>
      <c r="G46" s="4"/>
      <c r="H46" s="43"/>
      <c r="I46" s="23" t="str">
        <f>IF(Tabela13[[#This Row],[Data]]="","",IF(Tabela13[[#This Row],[Descrição (Comentários)]]="Joinville usou vaga PPI","SIM","NÃO"))</f>
        <v/>
      </c>
      <c r="J46" s="9"/>
    </row>
    <row r="47" spans="1:10" x14ac:dyDescent="0.3">
      <c r="A47" s="8"/>
      <c r="B47" s="29" t="str">
        <f t="shared" si="0"/>
        <v/>
      </c>
      <c r="C47" s="30" t="str">
        <f>IF(Tabela13[[#This Row],[Data]]="","",CONCATENATE("SEMANA"," ",_xlfn.ISOWEEKNUM(Tabela13[[#This Row],[Data]])))</f>
        <v/>
      </c>
      <c r="D47" s="3" t="str">
        <f t="shared" si="2"/>
        <v/>
      </c>
      <c r="E47" s="31"/>
      <c r="F47" s="4"/>
      <c r="G47" s="4"/>
      <c r="H47" s="43"/>
      <c r="I47" s="23" t="str">
        <f>IF(Tabela13[[#This Row],[Data]]="","",IF(Tabela13[[#This Row],[Descrição (Comentários)]]="Joinville usou vaga PPI","SIM","NÃO"))</f>
        <v/>
      </c>
      <c r="J47" s="9"/>
    </row>
    <row r="48" spans="1:10" x14ac:dyDescent="0.3">
      <c r="A48" s="8"/>
      <c r="B48" s="29" t="str">
        <f t="shared" si="0"/>
        <v/>
      </c>
      <c r="C48" s="30" t="str">
        <f>IF(Tabela13[[#This Row],[Data]]="","",CONCATENATE("SEMANA"," ",_xlfn.ISOWEEKNUM(Tabela13[[#This Row],[Data]])))</f>
        <v/>
      </c>
      <c r="D48" s="3" t="str">
        <f t="shared" si="2"/>
        <v/>
      </c>
      <c r="E48" s="31"/>
      <c r="F48" s="4"/>
      <c r="G48" s="4"/>
      <c r="H48" s="43"/>
      <c r="I48" s="23" t="str">
        <f>IF(Tabela13[[#This Row],[Data]]="","",IF(Tabela13[[#This Row],[Descrição (Comentários)]]="Joinville usou vaga PPI","SIM","NÃO"))</f>
        <v/>
      </c>
      <c r="J48" s="9"/>
    </row>
    <row r="49" spans="1:10" x14ac:dyDescent="0.3">
      <c r="A49" s="8"/>
      <c r="B49" s="29" t="str">
        <f t="shared" si="0"/>
        <v/>
      </c>
      <c r="C49" s="30" t="str">
        <f>IF(Tabela13[[#This Row],[Data]]="","",CONCATENATE("SEMANA"," ",_xlfn.ISOWEEKNUM(Tabela13[[#This Row],[Data]])))</f>
        <v/>
      </c>
      <c r="D49" s="3" t="str">
        <f t="shared" si="2"/>
        <v/>
      </c>
      <c r="E49" s="31"/>
      <c r="F49" s="4"/>
      <c r="G49" s="4"/>
      <c r="H49" s="43"/>
      <c r="I49" s="23" t="str">
        <f>IF(Tabela13[[#This Row],[Data]]="","",IF(Tabela13[[#This Row],[Descrição (Comentários)]]="Joinville usou vaga PPI","SIM","NÃO"))</f>
        <v/>
      </c>
      <c r="J49" s="9"/>
    </row>
    <row r="50" spans="1:10" x14ac:dyDescent="0.3">
      <c r="A50" s="8"/>
      <c r="B50" s="29" t="str">
        <f t="shared" si="0"/>
        <v/>
      </c>
      <c r="C50" s="30" t="str">
        <f>IF(Tabela13[[#This Row],[Data]]="","",CONCATENATE("SEMANA"," ",_xlfn.ISOWEEKNUM(Tabela13[[#This Row],[Data]])))</f>
        <v/>
      </c>
      <c r="D50" s="3" t="str">
        <f t="shared" si="2"/>
        <v/>
      </c>
      <c r="E50" s="31"/>
      <c r="F50" s="4"/>
      <c r="G50" s="4"/>
      <c r="H50" s="43"/>
      <c r="I50" s="23" t="str">
        <f>IF(Tabela13[[#This Row],[Data]]="","",IF(Tabela13[[#This Row],[Descrição (Comentários)]]="Joinville usou vaga PPI","SIM","NÃO"))</f>
        <v/>
      </c>
      <c r="J50" s="9"/>
    </row>
    <row r="51" spans="1:10" x14ac:dyDescent="0.3">
      <c r="A51" s="8"/>
      <c r="B51" s="29" t="str">
        <f t="shared" si="0"/>
        <v/>
      </c>
      <c r="C51" s="30" t="str">
        <f>IF(Tabela13[[#This Row],[Data]]="","",CONCATENATE("SEMANA"," ",_xlfn.ISOWEEKNUM(Tabela13[[#This Row],[Data]])))</f>
        <v/>
      </c>
      <c r="D51" s="3" t="str">
        <f t="shared" si="2"/>
        <v/>
      </c>
      <c r="E51" s="31"/>
      <c r="F51" s="4"/>
      <c r="G51" s="4"/>
      <c r="H51" s="43"/>
      <c r="I51" s="23" t="str">
        <f>IF(Tabela13[[#This Row],[Data]]="","",IF(Tabela13[[#This Row],[Descrição (Comentários)]]="Joinville usou vaga PPI","SIM","NÃO"))</f>
        <v/>
      </c>
      <c r="J51" s="9"/>
    </row>
    <row r="52" spans="1:10" x14ac:dyDescent="0.3">
      <c r="A52" s="8"/>
      <c r="B52" s="29" t="str">
        <f t="shared" si="0"/>
        <v/>
      </c>
      <c r="C52" s="30" t="str">
        <f>IF(Tabela13[[#This Row],[Data]]="","",CONCATENATE("SEMANA"," ",_xlfn.ISOWEEKNUM(Tabela13[[#This Row],[Data]])))</f>
        <v/>
      </c>
      <c r="D52" s="3" t="str">
        <f t="shared" si="2"/>
        <v/>
      </c>
      <c r="E52" s="31"/>
      <c r="F52" s="4"/>
      <c r="G52" s="4"/>
      <c r="H52" s="43"/>
      <c r="I52" s="23" t="str">
        <f>IF(Tabela13[[#This Row],[Data]]="","",IF(Tabela13[[#This Row],[Descrição (Comentários)]]="Joinville usou vaga PPI","SIM","NÃO"))</f>
        <v/>
      </c>
      <c r="J52" s="9"/>
    </row>
    <row r="53" spans="1:10" x14ac:dyDescent="0.3">
      <c r="A53" s="8"/>
      <c r="B53" s="29" t="str">
        <f t="shared" si="0"/>
        <v/>
      </c>
      <c r="C53" s="30" t="str">
        <f>IF(Tabela13[[#This Row],[Data]]="","",CONCATENATE("SEMANA"," ",_xlfn.ISOWEEKNUM(Tabela13[[#This Row],[Data]])))</f>
        <v/>
      </c>
      <c r="D53" s="3" t="str">
        <f t="shared" si="2"/>
        <v/>
      </c>
      <c r="E53" s="31"/>
      <c r="F53" s="4"/>
      <c r="G53" s="4"/>
      <c r="H53" s="43"/>
      <c r="I53" s="23" t="str">
        <f>IF(Tabela13[[#This Row],[Data]]="","",IF(Tabela13[[#This Row],[Descrição (Comentários)]]="Joinville usou vaga PPI","SIM","NÃO"))</f>
        <v/>
      </c>
      <c r="J53" s="9"/>
    </row>
    <row r="54" spans="1:10" x14ac:dyDescent="0.3">
      <c r="A54" s="8"/>
      <c r="B54" s="29" t="str">
        <f t="shared" si="0"/>
        <v/>
      </c>
      <c r="C54" s="30" t="str">
        <f>IF(Tabela13[[#This Row],[Data]]="","",CONCATENATE("SEMANA"," ",_xlfn.ISOWEEKNUM(Tabela13[[#This Row],[Data]])))</f>
        <v/>
      </c>
      <c r="D54" s="3" t="str">
        <f t="shared" si="2"/>
        <v/>
      </c>
      <c r="E54" s="31"/>
      <c r="F54" s="4"/>
      <c r="G54" s="4"/>
      <c r="H54" s="43"/>
      <c r="I54" s="23" t="str">
        <f>IF(Tabela13[[#This Row],[Data]]="","",IF(Tabela13[[#This Row],[Descrição (Comentários)]]="Joinville usou vaga PPI","SIM","NÃO"))</f>
        <v/>
      </c>
      <c r="J54" s="9"/>
    </row>
    <row r="55" spans="1:10" x14ac:dyDescent="0.3">
      <c r="A55" s="8"/>
      <c r="B55" s="29" t="str">
        <f t="shared" si="0"/>
        <v/>
      </c>
      <c r="C55" s="30" t="str">
        <f>IF(Tabela13[[#This Row],[Data]]="","",CONCATENATE("SEMANA"," ",_xlfn.ISOWEEKNUM(Tabela13[[#This Row],[Data]])))</f>
        <v/>
      </c>
      <c r="D55" s="3" t="str">
        <f t="shared" si="2"/>
        <v/>
      </c>
      <c r="E55" s="31"/>
      <c r="F55" s="4"/>
      <c r="G55" s="4"/>
      <c r="H55" s="43"/>
      <c r="I55" s="23" t="str">
        <f>IF(Tabela13[[#This Row],[Data]]="","",IF(Tabela13[[#This Row],[Descrição (Comentários)]]="Joinville usou vaga PPI","SIM","NÃO"))</f>
        <v/>
      </c>
      <c r="J55" s="9"/>
    </row>
    <row r="56" spans="1:10" x14ac:dyDescent="0.3">
      <c r="A56" s="8"/>
      <c r="B56" s="29" t="str">
        <f t="shared" si="0"/>
        <v/>
      </c>
      <c r="C56" s="30" t="str">
        <f>IF(Tabela13[[#This Row],[Data]]="","",CONCATENATE("SEMANA"," ",_xlfn.ISOWEEKNUM(Tabela13[[#This Row],[Data]])))</f>
        <v/>
      </c>
      <c r="D56" s="3" t="str">
        <f t="shared" si="2"/>
        <v/>
      </c>
      <c r="E56" s="31"/>
      <c r="F56" s="4"/>
      <c r="G56" s="4"/>
      <c r="H56" s="43"/>
      <c r="I56" s="23" t="str">
        <f>IF(Tabela13[[#This Row],[Data]]="","",IF(Tabela13[[#This Row],[Descrição (Comentários)]]="Joinville usou vaga PPI","SIM","NÃO"))</f>
        <v/>
      </c>
      <c r="J56" s="9"/>
    </row>
    <row r="57" spans="1:10" x14ac:dyDescent="0.3">
      <c r="A57" s="8"/>
      <c r="B57" s="29" t="str">
        <f t="shared" si="0"/>
        <v/>
      </c>
      <c r="C57" s="30" t="str">
        <f>IF(Tabela13[[#This Row],[Data]]="","",CONCATENATE("SEMANA"," ",_xlfn.ISOWEEKNUM(Tabela13[[#This Row],[Data]])))</f>
        <v/>
      </c>
      <c r="D57" s="3" t="str">
        <f t="shared" si="2"/>
        <v/>
      </c>
      <c r="E57" s="31"/>
      <c r="F57" s="4"/>
      <c r="G57" s="4"/>
      <c r="H57" s="43"/>
      <c r="I57" s="23" t="str">
        <f>IF(Tabela13[[#This Row],[Data]]="","",IF(Tabela13[[#This Row],[Descrição (Comentários)]]="Joinville usou vaga PPI","SIM","NÃO"))</f>
        <v/>
      </c>
      <c r="J57" s="9"/>
    </row>
    <row r="58" spans="1:10" x14ac:dyDescent="0.3">
      <c r="A58" s="8"/>
      <c r="B58" s="29" t="str">
        <f t="shared" si="0"/>
        <v/>
      </c>
      <c r="C58" s="30" t="str">
        <f>IF(Tabela13[[#This Row],[Data]]="","",CONCATENATE("SEMANA"," ",_xlfn.ISOWEEKNUM(Tabela13[[#This Row],[Data]])))</f>
        <v/>
      </c>
      <c r="D58" s="3" t="str">
        <f t="shared" si="2"/>
        <v/>
      </c>
      <c r="E58" s="31"/>
      <c r="F58" s="4"/>
      <c r="G58" s="4"/>
      <c r="H58" s="43"/>
      <c r="I58" s="23" t="str">
        <f>IF(Tabela13[[#This Row],[Data]]="","",IF(Tabela13[[#This Row],[Descrição (Comentários)]]="Joinville usou vaga PPI","SIM","NÃO"))</f>
        <v/>
      </c>
      <c r="J58" s="9"/>
    </row>
    <row r="59" spans="1:10" x14ac:dyDescent="0.3">
      <c r="A59" s="8"/>
      <c r="B59" s="29" t="str">
        <f t="shared" si="0"/>
        <v/>
      </c>
      <c r="C59" s="30" t="str">
        <f>IF(Tabela13[[#This Row],[Data]]="","",CONCATENATE("SEMANA"," ",_xlfn.ISOWEEKNUM(Tabela13[[#This Row],[Data]])))</f>
        <v/>
      </c>
      <c r="D59" s="3" t="str">
        <f t="shared" si="2"/>
        <v/>
      </c>
      <c r="E59" s="31"/>
      <c r="F59" s="4"/>
      <c r="G59" s="4"/>
      <c r="H59" s="43"/>
      <c r="I59" s="23" t="str">
        <f>IF(Tabela13[[#This Row],[Data]]="","",IF(Tabela13[[#This Row],[Descrição (Comentários)]]="Joinville usou vaga PPI","SIM","NÃO"))</f>
        <v/>
      </c>
      <c r="J59" s="9"/>
    </row>
    <row r="60" spans="1:10" x14ac:dyDescent="0.3">
      <c r="A60" s="8"/>
      <c r="B60" s="29" t="str">
        <f t="shared" si="0"/>
        <v/>
      </c>
      <c r="C60" s="30" t="str">
        <f>IF(Tabela13[[#This Row],[Data]]="","",CONCATENATE("SEMANA"," ",_xlfn.ISOWEEKNUM(Tabela13[[#This Row],[Data]])))</f>
        <v/>
      </c>
      <c r="D60" s="3" t="str">
        <f t="shared" si="2"/>
        <v/>
      </c>
      <c r="E60" s="31"/>
      <c r="F60" s="4"/>
      <c r="G60" s="4"/>
      <c r="H60" s="43"/>
      <c r="I60" s="23" t="str">
        <f>IF(Tabela13[[#This Row],[Data]]="","",IF(Tabela13[[#This Row],[Descrição (Comentários)]]="Joinville usou vaga PPI","SIM","NÃO"))</f>
        <v/>
      </c>
      <c r="J60" s="9"/>
    </row>
    <row r="61" spans="1:10" x14ac:dyDescent="0.3">
      <c r="A61" s="8"/>
      <c r="B61" s="29" t="str">
        <f t="shared" si="0"/>
        <v/>
      </c>
      <c r="C61" s="30" t="str">
        <f>IF(Tabela13[[#This Row],[Data]]="","",CONCATENATE("SEMANA"," ",_xlfn.ISOWEEKNUM(Tabela13[[#This Row],[Data]])))</f>
        <v/>
      </c>
      <c r="D61" s="3" t="str">
        <f t="shared" si="2"/>
        <v/>
      </c>
      <c r="E61" s="31"/>
      <c r="F61" s="4"/>
      <c r="G61" s="4"/>
      <c r="H61" s="43"/>
      <c r="I61" s="23" t="str">
        <f>IF(Tabela13[[#This Row],[Data]]="","",IF(Tabela13[[#This Row],[Descrição (Comentários)]]="Joinville usou vaga PPI","SIM","NÃO"))</f>
        <v/>
      </c>
      <c r="J61" s="9"/>
    </row>
    <row r="62" spans="1:10" x14ac:dyDescent="0.3">
      <c r="A62" s="8"/>
      <c r="B62" s="29" t="str">
        <f t="shared" si="0"/>
        <v/>
      </c>
      <c r="C62" s="30" t="str">
        <f>IF(Tabela13[[#This Row],[Data]]="","",CONCATENATE("SEMANA"," ",_xlfn.ISOWEEKNUM(Tabela13[[#This Row],[Data]])))</f>
        <v/>
      </c>
      <c r="D62" s="3" t="str">
        <f t="shared" si="2"/>
        <v/>
      </c>
      <c r="E62" s="31"/>
      <c r="F62" s="4"/>
      <c r="G62" s="4"/>
      <c r="H62" s="43"/>
      <c r="I62" s="23" t="str">
        <f>IF(Tabela13[[#This Row],[Data]]="","",IF(Tabela13[[#This Row],[Descrição (Comentários)]]="Joinville usou vaga PPI","SIM","NÃO"))</f>
        <v/>
      </c>
      <c r="J62" s="9"/>
    </row>
    <row r="63" spans="1:10" x14ac:dyDescent="0.3">
      <c r="A63" s="8"/>
      <c r="B63" s="29" t="str">
        <f t="shared" si="0"/>
        <v/>
      </c>
      <c r="C63" s="30" t="str">
        <f>IF(Tabela13[[#This Row],[Data]]="","",CONCATENATE("SEMANA"," ",_xlfn.ISOWEEKNUM(Tabela13[[#This Row],[Data]])))</f>
        <v/>
      </c>
      <c r="D63" s="3" t="str">
        <f t="shared" si="2"/>
        <v/>
      </c>
      <c r="E63" s="31"/>
      <c r="F63" s="4"/>
      <c r="G63" s="4"/>
      <c r="H63" s="43"/>
      <c r="I63" s="23" t="str">
        <f>IF(Tabela13[[#This Row],[Data]]="","",IF(Tabela13[[#This Row],[Descrição (Comentários)]]="Joinville usou vaga PPI","SIM","NÃO"))</f>
        <v/>
      </c>
      <c r="J63" s="9"/>
    </row>
    <row r="64" spans="1:10" x14ac:dyDescent="0.3">
      <c r="A64" s="8"/>
      <c r="B64" s="29" t="str">
        <f t="shared" si="0"/>
        <v/>
      </c>
      <c r="C64" s="30" t="str">
        <f>IF(Tabela13[[#This Row],[Data]]="","",CONCATENATE("SEMANA"," ",_xlfn.ISOWEEKNUM(Tabela13[[#This Row],[Data]])))</f>
        <v/>
      </c>
      <c r="D64" s="3" t="str">
        <f t="shared" si="2"/>
        <v/>
      </c>
      <c r="E64" s="31"/>
      <c r="F64" s="4"/>
      <c r="G64" s="4"/>
      <c r="H64" s="43"/>
      <c r="I64" s="23" t="str">
        <f>IF(Tabela13[[#This Row],[Data]]="","",IF(Tabela13[[#This Row],[Descrição (Comentários)]]="Joinville usou vaga PPI","SIM","NÃO"))</f>
        <v/>
      </c>
      <c r="J64" s="9"/>
    </row>
    <row r="65" spans="1:10" x14ac:dyDescent="0.3">
      <c r="A65" s="8"/>
      <c r="B65" s="29" t="str">
        <f t="shared" si="0"/>
        <v/>
      </c>
      <c r="C65" s="30" t="str">
        <f>IF(Tabela13[[#This Row],[Data]]="","",CONCATENATE("SEMANA"," ",_xlfn.ISOWEEKNUM(Tabela13[[#This Row],[Data]])))</f>
        <v/>
      </c>
      <c r="D65" s="3" t="str">
        <f t="shared" ref="D65:D128" si="3">IF(A65="","",TEXT(A65,"mmm-aa"))</f>
        <v/>
      </c>
      <c r="E65" s="31"/>
      <c r="F65" s="4"/>
      <c r="G65" s="4"/>
      <c r="H65" s="43"/>
      <c r="I65" s="23" t="str">
        <f>IF(Tabela13[[#This Row],[Data]]="","",IF(Tabela13[[#This Row],[Descrição (Comentários)]]="Joinville usou vaga PPI","SIM","NÃO"))</f>
        <v/>
      </c>
      <c r="J65" s="9"/>
    </row>
    <row r="66" spans="1:10" x14ac:dyDescent="0.3">
      <c r="A66" s="8"/>
      <c r="B66" s="29" t="str">
        <f t="shared" si="0"/>
        <v/>
      </c>
      <c r="C66" s="30" t="str">
        <f>IF(Tabela13[[#This Row],[Data]]="","",CONCATENATE("SEMANA"," ",_xlfn.ISOWEEKNUM(Tabela13[[#This Row],[Data]])))</f>
        <v/>
      </c>
      <c r="D66" s="3" t="str">
        <f t="shared" si="3"/>
        <v/>
      </c>
      <c r="E66" s="31"/>
      <c r="F66" s="4"/>
      <c r="G66" s="4"/>
      <c r="H66" s="43"/>
      <c r="I66" s="23" t="str">
        <f>IF(Tabela13[[#This Row],[Data]]="","",IF(Tabela13[[#This Row],[Descrição (Comentários)]]="Joinville usou vaga PPI","SIM","NÃO"))</f>
        <v/>
      </c>
      <c r="J66" s="9"/>
    </row>
    <row r="67" spans="1:10" x14ac:dyDescent="0.3">
      <c r="A67" s="8"/>
      <c r="B67" s="29" t="str">
        <f t="shared" si="0"/>
        <v/>
      </c>
      <c r="C67" s="30" t="str">
        <f>IF(Tabela13[[#This Row],[Data]]="","",CONCATENATE("SEMANA"," ",_xlfn.ISOWEEKNUM(Tabela13[[#This Row],[Data]])))</f>
        <v/>
      </c>
      <c r="D67" s="3" t="str">
        <f t="shared" si="3"/>
        <v/>
      </c>
      <c r="E67" s="31"/>
      <c r="F67" s="4"/>
      <c r="G67" s="4"/>
      <c r="H67" s="43"/>
      <c r="I67" s="23" t="str">
        <f>IF(Tabela13[[#This Row],[Data]]="","",IF(Tabela13[[#This Row],[Descrição (Comentários)]]="Joinville usou vaga PPI","SIM","NÃO"))</f>
        <v/>
      </c>
      <c r="J67" s="9"/>
    </row>
    <row r="68" spans="1:10" x14ac:dyDescent="0.3">
      <c r="A68" s="8"/>
      <c r="B68" s="29" t="str">
        <f t="shared" si="0"/>
        <v/>
      </c>
      <c r="C68" s="30" t="str">
        <f>IF(Tabela13[[#This Row],[Data]]="","",CONCATENATE("SEMANA"," ",_xlfn.ISOWEEKNUM(Tabela13[[#This Row],[Data]])))</f>
        <v/>
      </c>
      <c r="D68" s="3" t="str">
        <f t="shared" si="3"/>
        <v/>
      </c>
      <c r="E68" s="31"/>
      <c r="F68" s="4"/>
      <c r="G68" s="4"/>
      <c r="H68" s="43"/>
      <c r="I68" s="23" t="str">
        <f>IF(Tabela13[[#This Row],[Data]]="","",IF(Tabela13[[#This Row],[Descrição (Comentários)]]="Joinville usou vaga PPI","SIM","NÃO"))</f>
        <v/>
      </c>
      <c r="J68" s="9"/>
    </row>
    <row r="69" spans="1:10" x14ac:dyDescent="0.3">
      <c r="A69" s="8"/>
      <c r="B69" s="29" t="str">
        <f t="shared" ref="B69:B132" si="4">IF(A69="","",TEXT(A69,"ddd"))</f>
        <v/>
      </c>
      <c r="C69" s="30" t="str">
        <f>IF(Tabela13[[#This Row],[Data]]="","",CONCATENATE("SEMANA"," ",_xlfn.ISOWEEKNUM(Tabela13[[#This Row],[Data]])))</f>
        <v/>
      </c>
      <c r="D69" s="3" t="str">
        <f t="shared" si="3"/>
        <v/>
      </c>
      <c r="E69" s="31"/>
      <c r="F69" s="4"/>
      <c r="G69" s="4"/>
      <c r="H69" s="43"/>
      <c r="I69" s="23" t="str">
        <f>IF(Tabela13[[#This Row],[Data]]="","",IF(Tabela13[[#This Row],[Descrição (Comentários)]]="Joinville usou vaga PPI","SIM","NÃO"))</f>
        <v/>
      </c>
      <c r="J69" s="9"/>
    </row>
    <row r="70" spans="1:10" x14ac:dyDescent="0.3">
      <c r="A70" s="8"/>
      <c r="B70" s="29" t="str">
        <f t="shared" si="4"/>
        <v/>
      </c>
      <c r="C70" s="30" t="str">
        <f>IF(Tabela13[[#This Row],[Data]]="","",CONCATENATE("SEMANA"," ",_xlfn.ISOWEEKNUM(Tabela13[[#This Row],[Data]])))</f>
        <v/>
      </c>
      <c r="D70" s="3" t="str">
        <f t="shared" si="3"/>
        <v/>
      </c>
      <c r="E70" s="31"/>
      <c r="F70" s="4"/>
      <c r="G70" s="4"/>
      <c r="H70" s="43"/>
      <c r="I70" s="23" t="str">
        <f>IF(Tabela13[[#This Row],[Data]]="","",IF(Tabela13[[#This Row],[Descrição (Comentários)]]="Joinville usou vaga PPI","SIM","NÃO"))</f>
        <v/>
      </c>
      <c r="J70" s="9"/>
    </row>
    <row r="71" spans="1:10" x14ac:dyDescent="0.3">
      <c r="A71" s="8"/>
      <c r="B71" s="29" t="str">
        <f t="shared" si="4"/>
        <v/>
      </c>
      <c r="C71" s="30" t="str">
        <f>IF(Tabela13[[#This Row],[Data]]="","",CONCATENATE("SEMANA"," ",_xlfn.ISOWEEKNUM(Tabela13[[#This Row],[Data]])))</f>
        <v/>
      </c>
      <c r="D71" s="3" t="str">
        <f t="shared" si="3"/>
        <v/>
      </c>
      <c r="E71" s="31"/>
      <c r="F71" s="4"/>
      <c r="G71" s="4"/>
      <c r="H71" s="43"/>
      <c r="I71" s="23" t="str">
        <f>IF(Tabela13[[#This Row],[Data]]="","",IF(Tabela13[[#This Row],[Descrição (Comentários)]]="Joinville usou vaga PPI","SIM","NÃO"))</f>
        <v/>
      </c>
      <c r="J71" s="9"/>
    </row>
    <row r="72" spans="1:10" x14ac:dyDescent="0.3">
      <c r="A72" s="8"/>
      <c r="B72" s="29" t="str">
        <f t="shared" si="4"/>
        <v/>
      </c>
      <c r="C72" s="30" t="str">
        <f>IF(Tabela13[[#This Row],[Data]]="","",CONCATENATE("SEMANA"," ",_xlfn.ISOWEEKNUM(Tabela13[[#This Row],[Data]])))</f>
        <v/>
      </c>
      <c r="D72" s="3" t="str">
        <f t="shared" si="3"/>
        <v/>
      </c>
      <c r="E72" s="31"/>
      <c r="F72" s="4"/>
      <c r="G72" s="4"/>
      <c r="H72" s="43"/>
      <c r="I72" s="23" t="str">
        <f>IF(Tabela13[[#This Row],[Data]]="","",IF(Tabela13[[#This Row],[Descrição (Comentários)]]="Joinville usou vaga PPI","SIM","NÃO"))</f>
        <v/>
      </c>
      <c r="J72" s="9"/>
    </row>
    <row r="73" spans="1:10" x14ac:dyDescent="0.3">
      <c r="A73" s="8"/>
      <c r="B73" s="29" t="str">
        <f t="shared" si="4"/>
        <v/>
      </c>
      <c r="C73" s="30" t="str">
        <f>IF(Tabela13[[#This Row],[Data]]="","",CONCATENATE("SEMANA"," ",_xlfn.ISOWEEKNUM(Tabela13[[#This Row],[Data]])))</f>
        <v/>
      </c>
      <c r="D73" s="3" t="str">
        <f t="shared" si="3"/>
        <v/>
      </c>
      <c r="E73" s="31"/>
      <c r="F73" s="4"/>
      <c r="G73" s="4"/>
      <c r="H73" s="43"/>
      <c r="I73" s="23" t="str">
        <f>IF(Tabela13[[#This Row],[Data]]="","",IF(Tabela13[[#This Row],[Descrição (Comentários)]]="Joinville usou vaga PPI","SIM","NÃO"))</f>
        <v/>
      </c>
      <c r="J73" s="9"/>
    </row>
    <row r="74" spans="1:10" x14ac:dyDescent="0.3">
      <c r="A74" s="8"/>
      <c r="B74" s="29" t="str">
        <f t="shared" si="4"/>
        <v/>
      </c>
      <c r="C74" s="30" t="str">
        <f>IF(Tabela13[[#This Row],[Data]]="","",CONCATENATE("SEMANA"," ",_xlfn.ISOWEEKNUM(Tabela13[[#This Row],[Data]])))</f>
        <v/>
      </c>
      <c r="D74" s="3" t="str">
        <f t="shared" si="3"/>
        <v/>
      </c>
      <c r="E74" s="31"/>
      <c r="F74" s="4"/>
      <c r="G74" s="4"/>
      <c r="H74" s="43"/>
      <c r="I74" s="23" t="str">
        <f>IF(Tabela13[[#This Row],[Data]]="","",IF(Tabela13[[#This Row],[Descrição (Comentários)]]="Joinville usou vaga PPI","SIM","NÃO"))</f>
        <v/>
      </c>
      <c r="J74" s="9"/>
    </row>
    <row r="75" spans="1:10" x14ac:dyDescent="0.3">
      <c r="A75" s="8"/>
      <c r="B75" s="29" t="str">
        <f t="shared" si="4"/>
        <v/>
      </c>
      <c r="C75" s="30" t="str">
        <f>IF(Tabela13[[#This Row],[Data]]="","",CONCATENATE("SEMANA"," ",_xlfn.ISOWEEKNUM(Tabela13[[#This Row],[Data]])))</f>
        <v/>
      </c>
      <c r="D75" s="3" t="str">
        <f t="shared" si="3"/>
        <v/>
      </c>
      <c r="E75" s="31"/>
      <c r="F75" s="4"/>
      <c r="G75" s="4"/>
      <c r="H75" s="43"/>
      <c r="I75" s="23" t="str">
        <f>IF(Tabela13[[#This Row],[Data]]="","",IF(Tabela13[[#This Row],[Descrição (Comentários)]]="Joinville usou vaga PPI","SIM","NÃO"))</f>
        <v/>
      </c>
      <c r="J75" s="9"/>
    </row>
    <row r="76" spans="1:10" x14ac:dyDescent="0.3">
      <c r="A76" s="8"/>
      <c r="B76" s="29" t="str">
        <f t="shared" si="4"/>
        <v/>
      </c>
      <c r="C76" s="30" t="str">
        <f>IF(Tabela13[[#This Row],[Data]]="","",CONCATENATE("SEMANA"," ",_xlfn.ISOWEEKNUM(Tabela13[[#This Row],[Data]])))</f>
        <v/>
      </c>
      <c r="D76" s="3" t="str">
        <f t="shared" si="3"/>
        <v/>
      </c>
      <c r="E76" s="31"/>
      <c r="F76" s="4"/>
      <c r="G76" s="4"/>
      <c r="H76" s="43"/>
      <c r="I76" s="23" t="str">
        <f>IF(Tabela13[[#This Row],[Data]]="","",IF(Tabela13[[#This Row],[Descrição (Comentários)]]="Joinville usou vaga PPI","SIM","NÃO"))</f>
        <v/>
      </c>
      <c r="J76" s="9"/>
    </row>
    <row r="77" spans="1:10" x14ac:dyDescent="0.3">
      <c r="A77" s="8"/>
      <c r="B77" s="29" t="str">
        <f t="shared" si="4"/>
        <v/>
      </c>
      <c r="C77" s="30" t="str">
        <f>IF(Tabela13[[#This Row],[Data]]="","",CONCATENATE("SEMANA"," ",_xlfn.ISOWEEKNUM(Tabela13[[#This Row],[Data]])))</f>
        <v/>
      </c>
      <c r="D77" s="3" t="str">
        <f t="shared" si="3"/>
        <v/>
      </c>
      <c r="E77" s="31"/>
      <c r="F77" s="4"/>
      <c r="G77" s="4"/>
      <c r="H77" s="43"/>
      <c r="I77" s="23" t="str">
        <f>IF(Tabela13[[#This Row],[Data]]="","",IF(Tabela13[[#This Row],[Descrição (Comentários)]]="Joinville usou vaga PPI","SIM","NÃO"))</f>
        <v/>
      </c>
      <c r="J77" s="9"/>
    </row>
    <row r="78" spans="1:10" x14ac:dyDescent="0.3">
      <c r="A78" s="8"/>
      <c r="B78" s="29" t="str">
        <f t="shared" si="4"/>
        <v/>
      </c>
      <c r="C78" s="30" t="str">
        <f>IF(Tabela13[[#This Row],[Data]]="","",CONCATENATE("SEMANA"," ",_xlfn.ISOWEEKNUM(Tabela13[[#This Row],[Data]])))</f>
        <v/>
      </c>
      <c r="D78" s="3" t="str">
        <f t="shared" si="3"/>
        <v/>
      </c>
      <c r="E78" s="31"/>
      <c r="F78" s="4"/>
      <c r="G78" s="4"/>
      <c r="H78" s="43"/>
      <c r="I78" s="23" t="str">
        <f>IF(Tabela13[[#This Row],[Data]]="","",IF(Tabela13[[#This Row],[Descrição (Comentários)]]="Joinville usou vaga PPI","SIM","NÃO"))</f>
        <v/>
      </c>
      <c r="J78" s="9"/>
    </row>
    <row r="79" spans="1:10" x14ac:dyDescent="0.3">
      <c r="A79" s="8"/>
      <c r="B79" s="29" t="str">
        <f t="shared" si="4"/>
        <v/>
      </c>
      <c r="C79" s="30" t="str">
        <f>IF(Tabela13[[#This Row],[Data]]="","",CONCATENATE("SEMANA"," ",_xlfn.ISOWEEKNUM(Tabela13[[#This Row],[Data]])))</f>
        <v/>
      </c>
      <c r="D79" s="3" t="str">
        <f t="shared" si="3"/>
        <v/>
      </c>
      <c r="E79" s="31"/>
      <c r="F79" s="4"/>
      <c r="G79" s="4"/>
      <c r="H79" s="43"/>
      <c r="I79" s="23" t="str">
        <f>IF(Tabela13[[#This Row],[Data]]="","",IF(Tabela13[[#This Row],[Descrição (Comentários)]]="Joinville usou vaga PPI","SIM","NÃO"))</f>
        <v/>
      </c>
      <c r="J79" s="9"/>
    </row>
    <row r="80" spans="1:10" x14ac:dyDescent="0.3">
      <c r="A80" s="8"/>
      <c r="B80" s="29" t="str">
        <f t="shared" si="4"/>
        <v/>
      </c>
      <c r="C80" s="30" t="str">
        <f>IF(Tabela13[[#This Row],[Data]]="","",CONCATENATE("SEMANA"," ",_xlfn.ISOWEEKNUM(Tabela13[[#This Row],[Data]])))</f>
        <v/>
      </c>
      <c r="D80" s="3" t="str">
        <f t="shared" si="3"/>
        <v/>
      </c>
      <c r="E80" s="31"/>
      <c r="F80" s="4"/>
      <c r="G80" s="4"/>
      <c r="H80" s="43"/>
      <c r="I80" s="23" t="str">
        <f>IF(Tabela13[[#This Row],[Data]]="","",IF(Tabela13[[#This Row],[Descrição (Comentários)]]="Joinville usou vaga PPI","SIM","NÃO"))</f>
        <v/>
      </c>
      <c r="J80" s="9"/>
    </row>
    <row r="81" spans="1:10" x14ac:dyDescent="0.3">
      <c r="A81" s="8"/>
      <c r="B81" s="29" t="str">
        <f t="shared" si="4"/>
        <v/>
      </c>
      <c r="C81" s="30" t="str">
        <f>IF(Tabela13[[#This Row],[Data]]="","",CONCATENATE("SEMANA"," ",_xlfn.ISOWEEKNUM(Tabela13[[#This Row],[Data]])))</f>
        <v/>
      </c>
      <c r="D81" s="3" t="str">
        <f t="shared" si="3"/>
        <v/>
      </c>
      <c r="E81" s="31"/>
      <c r="F81" s="4"/>
      <c r="G81" s="4"/>
      <c r="H81" s="43"/>
      <c r="I81" s="23" t="str">
        <f>IF(Tabela13[[#This Row],[Data]]="","",IF(Tabela13[[#This Row],[Descrição (Comentários)]]="Joinville usou vaga PPI","SIM","NÃO"))</f>
        <v/>
      </c>
      <c r="J81" s="9"/>
    </row>
    <row r="82" spans="1:10" x14ac:dyDescent="0.3">
      <c r="A82" s="8"/>
      <c r="B82" s="29" t="str">
        <f t="shared" si="4"/>
        <v/>
      </c>
      <c r="C82" s="30" t="str">
        <f>IF(Tabela13[[#This Row],[Data]]="","",CONCATENATE("SEMANA"," ",_xlfn.ISOWEEKNUM(Tabela13[[#This Row],[Data]])))</f>
        <v/>
      </c>
      <c r="D82" s="3" t="str">
        <f t="shared" si="3"/>
        <v/>
      </c>
      <c r="E82" s="31"/>
      <c r="F82" s="4"/>
      <c r="G82" s="4"/>
      <c r="H82" s="43"/>
      <c r="I82" s="23" t="str">
        <f>IF(Tabela13[[#This Row],[Data]]="","",IF(Tabela13[[#This Row],[Descrição (Comentários)]]="Joinville usou vaga PPI","SIM","NÃO"))</f>
        <v/>
      </c>
      <c r="J82" s="9"/>
    </row>
    <row r="83" spans="1:10" x14ac:dyDescent="0.3">
      <c r="A83" s="8"/>
      <c r="B83" s="29" t="str">
        <f t="shared" si="4"/>
        <v/>
      </c>
      <c r="C83" s="30" t="str">
        <f>IF(Tabela13[[#This Row],[Data]]="","",CONCATENATE("SEMANA"," ",_xlfn.ISOWEEKNUM(Tabela13[[#This Row],[Data]])))</f>
        <v/>
      </c>
      <c r="D83" s="3" t="str">
        <f t="shared" si="3"/>
        <v/>
      </c>
      <c r="E83" s="31"/>
      <c r="F83" s="4"/>
      <c r="G83" s="4"/>
      <c r="H83" s="43"/>
      <c r="I83" s="23" t="str">
        <f>IF(Tabela13[[#This Row],[Data]]="","",IF(Tabela13[[#This Row],[Descrição (Comentários)]]="Joinville usou vaga PPI","SIM","NÃO"))</f>
        <v/>
      </c>
      <c r="J83" s="9"/>
    </row>
    <row r="84" spans="1:10" x14ac:dyDescent="0.3">
      <c r="A84" s="8"/>
      <c r="B84" s="29" t="str">
        <f t="shared" si="4"/>
        <v/>
      </c>
      <c r="C84" s="30" t="str">
        <f>IF(Tabela13[[#This Row],[Data]]="","",CONCATENATE("SEMANA"," ",_xlfn.ISOWEEKNUM(Tabela13[[#This Row],[Data]])))</f>
        <v/>
      </c>
      <c r="D84" s="3" t="str">
        <f t="shared" si="3"/>
        <v/>
      </c>
      <c r="E84" s="31"/>
      <c r="F84" s="4"/>
      <c r="G84" s="4"/>
      <c r="H84" s="43"/>
      <c r="I84" s="23" t="str">
        <f>IF(Tabela13[[#This Row],[Data]]="","",IF(Tabela13[[#This Row],[Descrição (Comentários)]]="Joinville usou vaga PPI","SIM","NÃO"))</f>
        <v/>
      </c>
      <c r="J84" s="9"/>
    </row>
    <row r="85" spans="1:10" x14ac:dyDescent="0.3">
      <c r="A85" s="8"/>
      <c r="B85" s="29" t="str">
        <f t="shared" si="4"/>
        <v/>
      </c>
      <c r="C85" s="30" t="str">
        <f>IF(Tabela13[[#This Row],[Data]]="","",CONCATENATE("SEMANA"," ",_xlfn.ISOWEEKNUM(Tabela13[[#This Row],[Data]])))</f>
        <v/>
      </c>
      <c r="D85" s="3" t="str">
        <f t="shared" si="3"/>
        <v/>
      </c>
      <c r="E85" s="31"/>
      <c r="F85" s="4"/>
      <c r="G85" s="4"/>
      <c r="H85" s="43"/>
      <c r="I85" s="23" t="str">
        <f>IF(Tabela13[[#This Row],[Data]]="","",IF(Tabela13[[#This Row],[Descrição (Comentários)]]="Joinville usou vaga PPI","SIM","NÃO"))</f>
        <v/>
      </c>
      <c r="J85" s="9"/>
    </row>
    <row r="86" spans="1:10" x14ac:dyDescent="0.3">
      <c r="A86" s="8"/>
      <c r="B86" s="29" t="str">
        <f t="shared" si="4"/>
        <v/>
      </c>
      <c r="C86" s="30" t="str">
        <f>IF(Tabela13[[#This Row],[Data]]="","",CONCATENATE("SEMANA"," ",_xlfn.ISOWEEKNUM(Tabela13[[#This Row],[Data]])))</f>
        <v/>
      </c>
      <c r="D86" s="3" t="str">
        <f t="shared" si="3"/>
        <v/>
      </c>
      <c r="E86" s="31"/>
      <c r="F86" s="4"/>
      <c r="G86" s="4"/>
      <c r="H86" s="43"/>
      <c r="I86" s="23" t="str">
        <f>IF(Tabela13[[#This Row],[Data]]="","",IF(Tabela13[[#This Row],[Descrição (Comentários)]]="Joinville usou vaga PPI","SIM","NÃO"))</f>
        <v/>
      </c>
      <c r="J86" s="9"/>
    </row>
    <row r="87" spans="1:10" x14ac:dyDescent="0.3">
      <c r="A87" s="8"/>
      <c r="B87" s="29" t="str">
        <f t="shared" si="4"/>
        <v/>
      </c>
      <c r="C87" s="30" t="str">
        <f>IF(Tabela13[[#This Row],[Data]]="","",CONCATENATE("SEMANA"," ",_xlfn.ISOWEEKNUM(Tabela13[[#This Row],[Data]])))</f>
        <v/>
      </c>
      <c r="D87" s="3" t="str">
        <f t="shared" si="3"/>
        <v/>
      </c>
      <c r="E87" s="31"/>
      <c r="F87" s="4"/>
      <c r="G87" s="4"/>
      <c r="H87" s="43"/>
      <c r="I87" s="23" t="str">
        <f>IF(Tabela13[[#This Row],[Data]]="","",IF(Tabela13[[#This Row],[Descrição (Comentários)]]="Joinville usou vaga PPI","SIM","NÃO"))</f>
        <v/>
      </c>
      <c r="J87" s="9"/>
    </row>
    <row r="88" spans="1:10" x14ac:dyDescent="0.3">
      <c r="A88" s="8"/>
      <c r="B88" s="29" t="str">
        <f t="shared" si="4"/>
        <v/>
      </c>
      <c r="C88" s="30" t="str">
        <f>IF(Tabela13[[#This Row],[Data]]="","",CONCATENATE("SEMANA"," ",_xlfn.ISOWEEKNUM(Tabela13[[#This Row],[Data]])))</f>
        <v/>
      </c>
      <c r="D88" s="3" t="str">
        <f t="shared" si="3"/>
        <v/>
      </c>
      <c r="E88" s="31"/>
      <c r="F88" s="4"/>
      <c r="G88" s="4"/>
      <c r="H88" s="43"/>
      <c r="I88" s="23" t="str">
        <f>IF(Tabela13[[#This Row],[Data]]="","",IF(Tabela13[[#This Row],[Descrição (Comentários)]]="Joinville usou vaga PPI","SIM","NÃO"))</f>
        <v/>
      </c>
      <c r="J88" s="9"/>
    </row>
    <row r="89" spans="1:10" x14ac:dyDescent="0.3">
      <c r="A89" s="8"/>
      <c r="B89" s="29" t="str">
        <f t="shared" si="4"/>
        <v/>
      </c>
      <c r="C89" s="30" t="str">
        <f>IF(Tabela13[[#This Row],[Data]]="","",CONCATENATE("SEMANA"," ",_xlfn.ISOWEEKNUM(Tabela13[[#This Row],[Data]])))</f>
        <v/>
      </c>
      <c r="D89" s="3" t="str">
        <f t="shared" si="3"/>
        <v/>
      </c>
      <c r="E89" s="31"/>
      <c r="F89" s="4"/>
      <c r="G89" s="4"/>
      <c r="H89" s="43"/>
      <c r="I89" s="23" t="str">
        <f>IF(Tabela13[[#This Row],[Data]]="","",IF(Tabela13[[#This Row],[Descrição (Comentários)]]="Joinville usou vaga PPI","SIM","NÃO"))</f>
        <v/>
      </c>
      <c r="J89" s="9"/>
    </row>
    <row r="90" spans="1:10" x14ac:dyDescent="0.3">
      <c r="A90" s="8"/>
      <c r="B90" s="29" t="str">
        <f t="shared" si="4"/>
        <v/>
      </c>
      <c r="C90" s="30" t="str">
        <f>IF(Tabela13[[#This Row],[Data]]="","",CONCATENATE("SEMANA"," ",_xlfn.ISOWEEKNUM(Tabela13[[#This Row],[Data]])))</f>
        <v/>
      </c>
      <c r="D90" s="3" t="str">
        <f t="shared" si="3"/>
        <v/>
      </c>
      <c r="E90" s="31"/>
      <c r="F90" s="4"/>
      <c r="G90" s="4"/>
      <c r="H90" s="43"/>
      <c r="I90" s="23" t="str">
        <f>IF(Tabela13[[#This Row],[Data]]="","",IF(Tabela13[[#This Row],[Descrição (Comentários)]]="Joinville usou vaga PPI","SIM","NÃO"))</f>
        <v/>
      </c>
      <c r="J90" s="9"/>
    </row>
    <row r="91" spans="1:10" x14ac:dyDescent="0.3">
      <c r="A91" s="8"/>
      <c r="B91" s="29" t="str">
        <f t="shared" si="4"/>
        <v/>
      </c>
      <c r="C91" s="30" t="str">
        <f>IF(Tabela13[[#This Row],[Data]]="","",CONCATENATE("SEMANA"," ",_xlfn.ISOWEEKNUM(Tabela13[[#This Row],[Data]])))</f>
        <v/>
      </c>
      <c r="D91" s="3" t="str">
        <f t="shared" si="3"/>
        <v/>
      </c>
      <c r="E91" s="31"/>
      <c r="F91" s="4"/>
      <c r="G91" s="4"/>
      <c r="H91" s="43"/>
      <c r="I91" s="23" t="str">
        <f>IF(Tabela13[[#This Row],[Data]]="","",IF(Tabela13[[#This Row],[Descrição (Comentários)]]="Joinville usou vaga PPI","SIM","NÃO"))</f>
        <v/>
      </c>
      <c r="J91" s="9"/>
    </row>
    <row r="92" spans="1:10" x14ac:dyDescent="0.3">
      <c r="A92" s="8"/>
      <c r="B92" s="29" t="str">
        <f t="shared" si="4"/>
        <v/>
      </c>
      <c r="C92" s="30" t="str">
        <f>IF(Tabela13[[#This Row],[Data]]="","",CONCATENATE("SEMANA"," ",_xlfn.ISOWEEKNUM(Tabela13[[#This Row],[Data]])))</f>
        <v/>
      </c>
      <c r="D92" s="3" t="str">
        <f t="shared" si="3"/>
        <v/>
      </c>
      <c r="E92" s="31"/>
      <c r="F92" s="4"/>
      <c r="G92" s="4"/>
      <c r="H92" s="43"/>
      <c r="I92" s="23" t="str">
        <f>IF(Tabela13[[#This Row],[Data]]="","",IF(Tabela13[[#This Row],[Descrição (Comentários)]]="Joinville usou vaga PPI","SIM","NÃO"))</f>
        <v/>
      </c>
      <c r="J92" s="9"/>
    </row>
    <row r="93" spans="1:10" x14ac:dyDescent="0.3">
      <c r="A93" s="8"/>
      <c r="B93" s="29" t="str">
        <f t="shared" si="4"/>
        <v/>
      </c>
      <c r="C93" s="30" t="str">
        <f>IF(Tabela13[[#This Row],[Data]]="","",CONCATENATE("SEMANA"," ",_xlfn.ISOWEEKNUM(Tabela13[[#This Row],[Data]])))</f>
        <v/>
      </c>
      <c r="D93" s="3" t="str">
        <f t="shared" si="3"/>
        <v/>
      </c>
      <c r="E93" s="31"/>
      <c r="F93" s="4"/>
      <c r="G93" s="4"/>
      <c r="H93" s="43"/>
      <c r="I93" s="23" t="str">
        <f>IF(Tabela13[[#This Row],[Data]]="","",IF(Tabela13[[#This Row],[Descrição (Comentários)]]="Joinville usou vaga PPI","SIM","NÃO"))</f>
        <v/>
      </c>
      <c r="J93" s="9"/>
    </row>
    <row r="94" spans="1:10" x14ac:dyDescent="0.3">
      <c r="A94" s="8"/>
      <c r="B94" s="29" t="str">
        <f t="shared" si="4"/>
        <v/>
      </c>
      <c r="C94" s="30" t="str">
        <f>IF(Tabela13[[#This Row],[Data]]="","",CONCATENATE("SEMANA"," ",_xlfn.ISOWEEKNUM(Tabela13[[#This Row],[Data]])))</f>
        <v/>
      </c>
      <c r="D94" s="3" t="str">
        <f t="shared" si="3"/>
        <v/>
      </c>
      <c r="E94" s="31"/>
      <c r="F94" s="4"/>
      <c r="G94" s="4"/>
      <c r="H94" s="43"/>
      <c r="I94" s="23" t="str">
        <f>IF(Tabela13[[#This Row],[Data]]="","",IF(Tabela13[[#This Row],[Descrição (Comentários)]]="Joinville usou vaga PPI","SIM","NÃO"))</f>
        <v/>
      </c>
      <c r="J94" s="9"/>
    </row>
    <row r="95" spans="1:10" x14ac:dyDescent="0.3">
      <c r="A95" s="8"/>
      <c r="B95" s="29" t="str">
        <f t="shared" si="4"/>
        <v/>
      </c>
      <c r="C95" s="30" t="str">
        <f>IF(Tabela13[[#This Row],[Data]]="","",CONCATENATE("SEMANA"," ",_xlfn.ISOWEEKNUM(Tabela13[[#This Row],[Data]])))</f>
        <v/>
      </c>
      <c r="D95" s="3" t="str">
        <f t="shared" si="3"/>
        <v/>
      </c>
      <c r="E95" s="31"/>
      <c r="F95" s="4"/>
      <c r="G95" s="4"/>
      <c r="H95" s="43"/>
      <c r="I95" s="23" t="str">
        <f>IF(Tabela13[[#This Row],[Data]]="","",IF(Tabela13[[#This Row],[Descrição (Comentários)]]="Joinville usou vaga PPI","SIM","NÃO"))</f>
        <v/>
      </c>
      <c r="J95" s="9"/>
    </row>
    <row r="96" spans="1:10" x14ac:dyDescent="0.3">
      <c r="A96" s="8"/>
      <c r="B96" s="29" t="str">
        <f t="shared" si="4"/>
        <v/>
      </c>
      <c r="C96" s="30" t="str">
        <f>IF(Tabela13[[#This Row],[Data]]="","",CONCATENATE("SEMANA"," ",_xlfn.ISOWEEKNUM(Tabela13[[#This Row],[Data]])))</f>
        <v/>
      </c>
      <c r="D96" s="3" t="str">
        <f t="shared" si="3"/>
        <v/>
      </c>
      <c r="E96" s="31"/>
      <c r="F96" s="4"/>
      <c r="G96" s="4"/>
      <c r="H96" s="43"/>
      <c r="I96" s="23" t="str">
        <f>IF(Tabela13[[#This Row],[Data]]="","",IF(Tabela13[[#This Row],[Descrição (Comentários)]]="Joinville usou vaga PPI","SIM","NÃO"))</f>
        <v/>
      </c>
      <c r="J96" s="9"/>
    </row>
    <row r="97" spans="1:10" x14ac:dyDescent="0.3">
      <c r="A97" s="8"/>
      <c r="B97" s="29" t="str">
        <f t="shared" si="4"/>
        <v/>
      </c>
      <c r="C97" s="30" t="str">
        <f>IF(Tabela13[[#This Row],[Data]]="","",CONCATENATE("SEMANA"," ",_xlfn.ISOWEEKNUM(Tabela13[[#This Row],[Data]])))</f>
        <v/>
      </c>
      <c r="D97" s="3" t="str">
        <f t="shared" si="3"/>
        <v/>
      </c>
      <c r="E97" s="31"/>
      <c r="F97" s="4"/>
      <c r="G97" s="4"/>
      <c r="H97" s="43"/>
      <c r="I97" s="23" t="str">
        <f>IF(Tabela13[[#This Row],[Data]]="","",IF(Tabela13[[#This Row],[Descrição (Comentários)]]="Joinville usou vaga PPI","SIM","NÃO"))</f>
        <v/>
      </c>
      <c r="J97" s="9"/>
    </row>
    <row r="98" spans="1:10" x14ac:dyDescent="0.3">
      <c r="A98" s="8"/>
      <c r="B98" s="29" t="str">
        <f t="shared" si="4"/>
        <v/>
      </c>
      <c r="C98" s="30" t="str">
        <f>IF(Tabela13[[#This Row],[Data]]="","",CONCATENATE("SEMANA"," ",_xlfn.ISOWEEKNUM(Tabela13[[#This Row],[Data]])))</f>
        <v/>
      </c>
      <c r="D98" s="3" t="str">
        <f t="shared" si="3"/>
        <v/>
      </c>
      <c r="E98" s="31"/>
      <c r="F98" s="4"/>
      <c r="G98" s="4"/>
      <c r="H98" s="43"/>
      <c r="I98" s="23" t="str">
        <f>IF(Tabela13[[#This Row],[Data]]="","",IF(Tabela13[[#This Row],[Descrição (Comentários)]]="Joinville usou vaga PPI","SIM","NÃO"))</f>
        <v/>
      </c>
      <c r="J98" s="9"/>
    </row>
    <row r="99" spans="1:10" x14ac:dyDescent="0.3">
      <c r="A99" s="8"/>
      <c r="B99" s="29" t="str">
        <f t="shared" si="4"/>
        <v/>
      </c>
      <c r="C99" s="30" t="str">
        <f>IF(Tabela13[[#This Row],[Data]]="","",CONCATENATE("SEMANA"," ",_xlfn.ISOWEEKNUM(Tabela13[[#This Row],[Data]])))</f>
        <v/>
      </c>
      <c r="D99" s="3" t="str">
        <f t="shared" si="3"/>
        <v/>
      </c>
      <c r="E99" s="31"/>
      <c r="F99" s="4"/>
      <c r="G99" s="4"/>
      <c r="H99" s="43"/>
      <c r="I99" s="23" t="str">
        <f>IF(Tabela13[[#This Row],[Data]]="","",IF(Tabela13[[#This Row],[Descrição (Comentários)]]="Joinville usou vaga PPI","SIM","NÃO"))</f>
        <v/>
      </c>
      <c r="J99" s="9"/>
    </row>
    <row r="100" spans="1:10" x14ac:dyDescent="0.3">
      <c r="A100" s="8"/>
      <c r="B100" s="29" t="str">
        <f t="shared" si="4"/>
        <v/>
      </c>
      <c r="C100" s="30" t="str">
        <f>IF(Tabela13[[#This Row],[Data]]="","",CONCATENATE("SEMANA"," ",_xlfn.ISOWEEKNUM(Tabela13[[#This Row],[Data]])))</f>
        <v/>
      </c>
      <c r="D100" s="3" t="str">
        <f t="shared" si="3"/>
        <v/>
      </c>
      <c r="E100" s="31"/>
      <c r="F100" s="4"/>
      <c r="G100" s="4"/>
      <c r="H100" s="43"/>
      <c r="I100" s="23" t="str">
        <f>IF(Tabela13[[#This Row],[Data]]="","",IF(Tabela13[[#This Row],[Descrição (Comentários)]]="Joinville usou vaga PPI","SIM","NÃO"))</f>
        <v/>
      </c>
      <c r="J100" s="9"/>
    </row>
    <row r="101" spans="1:10" x14ac:dyDescent="0.3">
      <c r="A101" s="8"/>
      <c r="B101" s="29" t="str">
        <f t="shared" si="4"/>
        <v/>
      </c>
      <c r="C101" s="30" t="str">
        <f>IF(Tabela13[[#This Row],[Data]]="","",CONCATENATE("SEMANA"," ",_xlfn.ISOWEEKNUM(Tabela13[[#This Row],[Data]])))</f>
        <v/>
      </c>
      <c r="D101" s="3" t="str">
        <f t="shared" si="3"/>
        <v/>
      </c>
      <c r="E101" s="31"/>
      <c r="F101" s="4"/>
      <c r="G101" s="4"/>
      <c r="H101" s="43"/>
      <c r="I101" s="23" t="str">
        <f>IF(Tabela13[[#This Row],[Data]]="","",IF(Tabela13[[#This Row],[Descrição (Comentários)]]="Joinville usou vaga PPI","SIM","NÃO"))</f>
        <v/>
      </c>
      <c r="J101" s="9"/>
    </row>
    <row r="102" spans="1:10" x14ac:dyDescent="0.3">
      <c r="A102" s="8"/>
      <c r="B102" s="29" t="str">
        <f t="shared" si="4"/>
        <v/>
      </c>
      <c r="C102" s="30" t="str">
        <f>IF(Tabela13[[#This Row],[Data]]="","",CONCATENATE("SEMANA"," ",_xlfn.ISOWEEKNUM(Tabela13[[#This Row],[Data]])))</f>
        <v/>
      </c>
      <c r="D102" s="3" t="str">
        <f t="shared" si="3"/>
        <v/>
      </c>
      <c r="E102" s="31"/>
      <c r="F102" s="4"/>
      <c r="G102" s="4"/>
      <c r="H102" s="43"/>
      <c r="I102" s="23" t="str">
        <f>IF(Tabela13[[#This Row],[Data]]="","",IF(Tabela13[[#This Row],[Descrição (Comentários)]]="Joinville usou vaga PPI","SIM","NÃO"))</f>
        <v/>
      </c>
      <c r="J102" s="9"/>
    </row>
    <row r="103" spans="1:10" x14ac:dyDescent="0.3">
      <c r="A103" s="8"/>
      <c r="B103" s="29" t="str">
        <f t="shared" si="4"/>
        <v/>
      </c>
      <c r="C103" s="30" t="str">
        <f>IF(Tabela13[[#This Row],[Data]]="","",CONCATENATE("SEMANA"," ",_xlfn.ISOWEEKNUM(Tabela13[[#This Row],[Data]])))</f>
        <v/>
      </c>
      <c r="D103" s="3" t="str">
        <f t="shared" si="3"/>
        <v/>
      </c>
      <c r="E103" s="31"/>
      <c r="F103" s="4"/>
      <c r="G103" s="4"/>
      <c r="H103" s="43"/>
      <c r="I103" s="23" t="str">
        <f>IF(Tabela13[[#This Row],[Data]]="","",IF(Tabela13[[#This Row],[Descrição (Comentários)]]="Joinville usou vaga PPI","SIM","NÃO"))</f>
        <v/>
      </c>
      <c r="J103" s="9"/>
    </row>
    <row r="104" spans="1:10" x14ac:dyDescent="0.3">
      <c r="A104" s="8"/>
      <c r="B104" s="29" t="str">
        <f t="shared" si="4"/>
        <v/>
      </c>
      <c r="C104" s="30" t="str">
        <f>IF(Tabela13[[#This Row],[Data]]="","",CONCATENATE("SEMANA"," ",_xlfn.ISOWEEKNUM(Tabela13[[#This Row],[Data]])))</f>
        <v/>
      </c>
      <c r="D104" s="3" t="str">
        <f t="shared" si="3"/>
        <v/>
      </c>
      <c r="E104" s="31"/>
      <c r="F104" s="4"/>
      <c r="G104" s="4"/>
      <c r="H104" s="43"/>
      <c r="I104" s="23" t="str">
        <f>IF(Tabela13[[#This Row],[Data]]="","",IF(Tabela13[[#This Row],[Descrição (Comentários)]]="Joinville usou vaga PPI","SIM","NÃO"))</f>
        <v/>
      </c>
      <c r="J104" s="9"/>
    </row>
    <row r="105" spans="1:10" x14ac:dyDescent="0.3">
      <c r="A105" s="8"/>
      <c r="B105" s="29" t="str">
        <f t="shared" si="4"/>
        <v/>
      </c>
      <c r="C105" s="30" t="str">
        <f>IF(Tabela13[[#This Row],[Data]]="","",CONCATENATE("SEMANA"," ",_xlfn.ISOWEEKNUM(Tabela13[[#This Row],[Data]])))</f>
        <v/>
      </c>
      <c r="D105" s="3" t="str">
        <f t="shared" si="3"/>
        <v/>
      </c>
      <c r="E105" s="31"/>
      <c r="F105" s="4"/>
      <c r="G105" s="4"/>
      <c r="H105" s="43"/>
      <c r="I105" s="23" t="str">
        <f>IF(Tabela13[[#This Row],[Data]]="","",IF(Tabela13[[#This Row],[Descrição (Comentários)]]="Joinville usou vaga PPI","SIM","NÃO"))</f>
        <v/>
      </c>
      <c r="J105" s="9"/>
    </row>
    <row r="106" spans="1:10" x14ac:dyDescent="0.3">
      <c r="A106" s="8"/>
      <c r="B106" s="29" t="str">
        <f t="shared" si="4"/>
        <v/>
      </c>
      <c r="C106" s="30" t="str">
        <f>IF(Tabela13[[#This Row],[Data]]="","",CONCATENATE("SEMANA"," ",_xlfn.ISOWEEKNUM(Tabela13[[#This Row],[Data]])))</f>
        <v/>
      </c>
      <c r="D106" s="3" t="str">
        <f t="shared" si="3"/>
        <v/>
      </c>
      <c r="E106" s="31"/>
      <c r="F106" s="4"/>
      <c r="G106" s="4"/>
      <c r="H106" s="43"/>
      <c r="I106" s="23" t="str">
        <f>IF(Tabela13[[#This Row],[Data]]="","",IF(Tabela13[[#This Row],[Descrição (Comentários)]]="Joinville usou vaga PPI","SIM","NÃO"))</f>
        <v/>
      </c>
      <c r="J106" s="9"/>
    </row>
    <row r="107" spans="1:10" x14ac:dyDescent="0.3">
      <c r="A107" s="8"/>
      <c r="B107" s="29" t="str">
        <f t="shared" si="4"/>
        <v/>
      </c>
      <c r="C107" s="30" t="str">
        <f>IF(Tabela13[[#This Row],[Data]]="","",CONCATENATE("SEMANA"," ",_xlfn.ISOWEEKNUM(Tabela13[[#This Row],[Data]])))</f>
        <v/>
      </c>
      <c r="D107" s="3" t="str">
        <f t="shared" si="3"/>
        <v/>
      </c>
      <c r="E107" s="31"/>
      <c r="F107" s="4"/>
      <c r="G107" s="4"/>
      <c r="H107" s="43"/>
      <c r="I107" s="23" t="str">
        <f>IF(Tabela13[[#This Row],[Data]]="","",IF(Tabela13[[#This Row],[Descrição (Comentários)]]="Joinville usou vaga PPI","SIM","NÃO"))</f>
        <v/>
      </c>
      <c r="J107" s="9"/>
    </row>
    <row r="108" spans="1:10" x14ac:dyDescent="0.3">
      <c r="A108" s="8"/>
      <c r="B108" s="29" t="str">
        <f t="shared" si="4"/>
        <v/>
      </c>
      <c r="C108" s="30" t="str">
        <f>IF(Tabela13[[#This Row],[Data]]="","",CONCATENATE("SEMANA"," ",_xlfn.ISOWEEKNUM(Tabela13[[#This Row],[Data]])))</f>
        <v/>
      </c>
      <c r="D108" s="3" t="str">
        <f t="shared" si="3"/>
        <v/>
      </c>
      <c r="E108" s="31"/>
      <c r="F108" s="4"/>
      <c r="G108" s="4"/>
      <c r="H108" s="43"/>
      <c r="I108" s="23" t="str">
        <f>IF(Tabela13[[#This Row],[Data]]="","",IF(Tabela13[[#This Row],[Descrição (Comentários)]]="Joinville usou vaga PPI","SIM","NÃO"))</f>
        <v/>
      </c>
      <c r="J108" s="9"/>
    </row>
    <row r="109" spans="1:10" x14ac:dyDescent="0.3">
      <c r="A109" s="8"/>
      <c r="B109" s="29" t="str">
        <f t="shared" si="4"/>
        <v/>
      </c>
      <c r="C109" s="30" t="str">
        <f>IF(Tabela13[[#This Row],[Data]]="","",CONCATENATE("SEMANA"," ",_xlfn.ISOWEEKNUM(Tabela13[[#This Row],[Data]])))</f>
        <v/>
      </c>
      <c r="D109" s="3" t="str">
        <f t="shared" si="3"/>
        <v/>
      </c>
      <c r="E109" s="31"/>
      <c r="F109" s="4"/>
      <c r="G109" s="4"/>
      <c r="H109" s="43"/>
      <c r="I109" s="23" t="str">
        <f>IF(Tabela13[[#This Row],[Data]]="","",IF(Tabela13[[#This Row],[Descrição (Comentários)]]="Joinville usou vaga PPI","SIM","NÃO"))</f>
        <v/>
      </c>
      <c r="J109" s="9"/>
    </row>
    <row r="110" spans="1:10" x14ac:dyDescent="0.3">
      <c r="A110" s="8"/>
      <c r="B110" s="29" t="str">
        <f t="shared" si="4"/>
        <v/>
      </c>
      <c r="C110" s="30" t="str">
        <f>IF(Tabela13[[#This Row],[Data]]="","",CONCATENATE("SEMANA"," ",_xlfn.ISOWEEKNUM(Tabela13[[#This Row],[Data]])))</f>
        <v/>
      </c>
      <c r="D110" s="3" t="str">
        <f t="shared" si="3"/>
        <v/>
      </c>
      <c r="E110" s="31"/>
      <c r="F110" s="4"/>
      <c r="G110" s="4"/>
      <c r="H110" s="43"/>
      <c r="I110" s="23" t="str">
        <f>IF(Tabela13[[#This Row],[Data]]="","",IF(Tabela13[[#This Row],[Descrição (Comentários)]]="Joinville usou vaga PPI","SIM","NÃO"))</f>
        <v/>
      </c>
      <c r="J110" s="9"/>
    </row>
    <row r="111" spans="1:10" x14ac:dyDescent="0.3">
      <c r="A111" s="8"/>
      <c r="B111" s="29" t="str">
        <f t="shared" si="4"/>
        <v/>
      </c>
      <c r="C111" s="30" t="str">
        <f>IF(Tabela13[[#This Row],[Data]]="","",CONCATENATE("SEMANA"," ",_xlfn.ISOWEEKNUM(Tabela13[[#This Row],[Data]])))</f>
        <v/>
      </c>
      <c r="D111" s="3" t="str">
        <f t="shared" si="3"/>
        <v/>
      </c>
      <c r="E111" s="31"/>
      <c r="F111" s="4"/>
      <c r="G111" s="4"/>
      <c r="H111" s="43"/>
      <c r="I111" s="23" t="str">
        <f>IF(Tabela13[[#This Row],[Data]]="","",IF(Tabela13[[#This Row],[Descrição (Comentários)]]="Joinville usou vaga PPI","SIM","NÃO"))</f>
        <v/>
      </c>
      <c r="J111" s="9"/>
    </row>
    <row r="112" spans="1:10" x14ac:dyDescent="0.3">
      <c r="A112" s="8"/>
      <c r="B112" s="29" t="str">
        <f t="shared" si="4"/>
        <v/>
      </c>
      <c r="C112" s="30" t="str">
        <f>IF(Tabela13[[#This Row],[Data]]="","",CONCATENATE("SEMANA"," ",_xlfn.ISOWEEKNUM(Tabela13[[#This Row],[Data]])))</f>
        <v/>
      </c>
      <c r="D112" s="3" t="str">
        <f t="shared" si="3"/>
        <v/>
      </c>
      <c r="E112" s="31"/>
      <c r="F112" s="4"/>
      <c r="G112" s="4"/>
      <c r="H112" s="43"/>
      <c r="I112" s="23" t="str">
        <f>IF(Tabela13[[#This Row],[Data]]="","",IF(Tabela13[[#This Row],[Descrição (Comentários)]]="Joinville usou vaga PPI","SIM","NÃO"))</f>
        <v/>
      </c>
      <c r="J112" s="9"/>
    </row>
    <row r="113" spans="1:10" x14ac:dyDescent="0.3">
      <c r="A113" s="8"/>
      <c r="B113" s="29" t="str">
        <f t="shared" si="4"/>
        <v/>
      </c>
      <c r="C113" s="30" t="str">
        <f>IF(Tabela13[[#This Row],[Data]]="","",CONCATENATE("SEMANA"," ",_xlfn.ISOWEEKNUM(Tabela13[[#This Row],[Data]])))</f>
        <v/>
      </c>
      <c r="D113" s="3" t="str">
        <f t="shared" si="3"/>
        <v/>
      </c>
      <c r="E113" s="31"/>
      <c r="F113" s="4"/>
      <c r="G113" s="4"/>
      <c r="H113" s="43"/>
      <c r="I113" s="23" t="str">
        <f>IF(Tabela13[[#This Row],[Data]]="","",IF(Tabela13[[#This Row],[Descrição (Comentários)]]="Joinville usou vaga PPI","SIM","NÃO"))</f>
        <v/>
      </c>
      <c r="J113" s="9"/>
    </row>
    <row r="114" spans="1:10" x14ac:dyDescent="0.3">
      <c r="A114" s="8"/>
      <c r="B114" s="29" t="str">
        <f t="shared" si="4"/>
        <v/>
      </c>
      <c r="C114" s="30" t="str">
        <f>IF(Tabela13[[#This Row],[Data]]="","",CONCATENATE("SEMANA"," ",_xlfn.ISOWEEKNUM(Tabela13[[#This Row],[Data]])))</f>
        <v/>
      </c>
      <c r="D114" s="3" t="str">
        <f t="shared" si="3"/>
        <v/>
      </c>
      <c r="E114" s="31"/>
      <c r="F114" s="4"/>
      <c r="G114" s="4"/>
      <c r="H114" s="43"/>
      <c r="I114" s="23" t="str">
        <f>IF(Tabela13[[#This Row],[Data]]="","",IF(Tabela13[[#This Row],[Descrição (Comentários)]]="Joinville usou vaga PPI","SIM","NÃO"))</f>
        <v/>
      </c>
      <c r="J114" s="9"/>
    </row>
    <row r="115" spans="1:10" x14ac:dyDescent="0.3">
      <c r="A115" s="8"/>
      <c r="B115" s="29" t="str">
        <f t="shared" si="4"/>
        <v/>
      </c>
      <c r="C115" s="30" t="str">
        <f>IF(Tabela13[[#This Row],[Data]]="","",CONCATENATE("SEMANA"," ",_xlfn.ISOWEEKNUM(Tabela13[[#This Row],[Data]])))</f>
        <v/>
      </c>
      <c r="D115" s="3" t="str">
        <f t="shared" si="3"/>
        <v/>
      </c>
      <c r="E115" s="31"/>
      <c r="F115" s="4"/>
      <c r="G115" s="4"/>
      <c r="H115" s="43"/>
      <c r="I115" s="23" t="str">
        <f>IF(Tabela13[[#This Row],[Data]]="","",IF(Tabela13[[#This Row],[Descrição (Comentários)]]="Joinville usou vaga PPI","SIM","NÃO"))</f>
        <v/>
      </c>
      <c r="J115" s="9"/>
    </row>
    <row r="116" spans="1:10" x14ac:dyDescent="0.3">
      <c r="A116" s="8"/>
      <c r="B116" s="29" t="str">
        <f t="shared" si="4"/>
        <v/>
      </c>
      <c r="C116" s="30" t="str">
        <f>IF(Tabela13[[#This Row],[Data]]="","",CONCATENATE("SEMANA"," ",_xlfn.ISOWEEKNUM(Tabela13[[#This Row],[Data]])))</f>
        <v/>
      </c>
      <c r="D116" s="3" t="str">
        <f t="shared" si="3"/>
        <v/>
      </c>
      <c r="E116" s="31"/>
      <c r="F116" s="4"/>
      <c r="G116" s="4"/>
      <c r="H116" s="43"/>
      <c r="I116" s="23" t="str">
        <f>IF(Tabela13[[#This Row],[Data]]="","",IF(Tabela13[[#This Row],[Descrição (Comentários)]]="Joinville usou vaga PPI","SIM","NÃO"))</f>
        <v/>
      </c>
      <c r="J116" s="9"/>
    </row>
    <row r="117" spans="1:10" x14ac:dyDescent="0.3">
      <c r="A117" s="8"/>
      <c r="B117" s="29" t="str">
        <f t="shared" si="4"/>
        <v/>
      </c>
      <c r="C117" s="30" t="str">
        <f>IF(Tabela13[[#This Row],[Data]]="","",CONCATENATE("SEMANA"," ",_xlfn.ISOWEEKNUM(Tabela13[[#This Row],[Data]])))</f>
        <v/>
      </c>
      <c r="D117" s="3" t="str">
        <f t="shared" si="3"/>
        <v/>
      </c>
      <c r="E117" s="31"/>
      <c r="F117" s="4"/>
      <c r="G117" s="4"/>
      <c r="H117" s="43"/>
      <c r="I117" s="23" t="str">
        <f>IF(Tabela13[[#This Row],[Data]]="","",IF(Tabela13[[#This Row],[Descrição (Comentários)]]="Joinville usou vaga PPI","SIM","NÃO"))</f>
        <v/>
      </c>
      <c r="J117" s="9"/>
    </row>
    <row r="118" spans="1:10" x14ac:dyDescent="0.3">
      <c r="A118" s="8"/>
      <c r="B118" s="29" t="str">
        <f t="shared" si="4"/>
        <v/>
      </c>
      <c r="C118" s="30" t="str">
        <f>IF(Tabela13[[#This Row],[Data]]="","",CONCATENATE("SEMANA"," ",_xlfn.ISOWEEKNUM(Tabela13[[#This Row],[Data]])))</f>
        <v/>
      </c>
      <c r="D118" s="3" t="str">
        <f t="shared" si="3"/>
        <v/>
      </c>
      <c r="E118" s="31"/>
      <c r="F118" s="4"/>
      <c r="G118" s="4"/>
      <c r="H118" s="43"/>
      <c r="I118" s="23" t="str">
        <f>IF(Tabela13[[#This Row],[Data]]="","",IF(Tabela13[[#This Row],[Descrição (Comentários)]]="Joinville usou vaga PPI","SIM","NÃO"))</f>
        <v/>
      </c>
      <c r="J118" s="9"/>
    </row>
    <row r="119" spans="1:10" x14ac:dyDescent="0.3">
      <c r="A119" s="8"/>
      <c r="B119" s="29" t="str">
        <f t="shared" si="4"/>
        <v/>
      </c>
      <c r="C119" s="30" t="str">
        <f>IF(Tabela13[[#This Row],[Data]]="","",CONCATENATE("SEMANA"," ",_xlfn.ISOWEEKNUM(Tabela13[[#This Row],[Data]])))</f>
        <v/>
      </c>
      <c r="D119" s="3" t="str">
        <f t="shared" si="3"/>
        <v/>
      </c>
      <c r="E119" s="31"/>
      <c r="F119" s="4"/>
      <c r="G119" s="4"/>
      <c r="H119" s="43"/>
      <c r="I119" s="23" t="str">
        <f>IF(Tabela13[[#This Row],[Data]]="","",IF(Tabela13[[#This Row],[Descrição (Comentários)]]="Joinville usou vaga PPI","SIM","NÃO"))</f>
        <v/>
      </c>
      <c r="J119" s="9"/>
    </row>
    <row r="120" spans="1:10" x14ac:dyDescent="0.3">
      <c r="A120" s="8"/>
      <c r="B120" s="29" t="str">
        <f t="shared" si="4"/>
        <v/>
      </c>
      <c r="C120" s="30" t="str">
        <f>IF(Tabela13[[#This Row],[Data]]="","",CONCATENATE("SEMANA"," ",_xlfn.ISOWEEKNUM(Tabela13[[#This Row],[Data]])))</f>
        <v/>
      </c>
      <c r="D120" s="3" t="str">
        <f t="shared" si="3"/>
        <v/>
      </c>
      <c r="E120" s="31"/>
      <c r="F120" s="4"/>
      <c r="G120" s="4"/>
      <c r="H120" s="43"/>
      <c r="I120" s="23" t="str">
        <f>IF(Tabela13[[#This Row],[Data]]="","",IF(Tabela13[[#This Row],[Descrição (Comentários)]]="Joinville usou vaga PPI","SIM","NÃO"))</f>
        <v/>
      </c>
      <c r="J120" s="9"/>
    </row>
    <row r="121" spans="1:10" x14ac:dyDescent="0.3">
      <c r="A121" s="8"/>
      <c r="B121" s="29" t="str">
        <f t="shared" si="4"/>
        <v/>
      </c>
      <c r="C121" s="30" t="str">
        <f>IF(Tabela13[[#This Row],[Data]]="","",CONCATENATE("SEMANA"," ",_xlfn.ISOWEEKNUM(Tabela13[[#This Row],[Data]])))</f>
        <v/>
      </c>
      <c r="D121" s="3" t="str">
        <f t="shared" si="3"/>
        <v/>
      </c>
      <c r="E121" s="31"/>
      <c r="F121" s="4"/>
      <c r="G121" s="4"/>
      <c r="H121" s="43"/>
      <c r="I121" s="23" t="str">
        <f>IF(Tabela13[[#This Row],[Data]]="","",IF(Tabela13[[#This Row],[Descrição (Comentários)]]="Joinville usou vaga PPI","SIM","NÃO"))</f>
        <v/>
      </c>
      <c r="J121" s="9"/>
    </row>
    <row r="122" spans="1:10" x14ac:dyDescent="0.3">
      <c r="A122" s="8"/>
      <c r="B122" s="29" t="str">
        <f t="shared" si="4"/>
        <v/>
      </c>
      <c r="C122" s="30" t="str">
        <f>IF(Tabela13[[#This Row],[Data]]="","",CONCATENATE("SEMANA"," ",_xlfn.ISOWEEKNUM(Tabela13[[#This Row],[Data]])))</f>
        <v/>
      </c>
      <c r="D122" s="3" t="str">
        <f t="shared" si="3"/>
        <v/>
      </c>
      <c r="E122" s="31"/>
      <c r="F122" s="4"/>
      <c r="G122" s="4"/>
      <c r="H122" s="43"/>
      <c r="I122" s="23" t="str">
        <f>IF(Tabela13[[#This Row],[Data]]="","",IF(Tabela13[[#This Row],[Descrição (Comentários)]]="Joinville usou vaga PPI","SIM","NÃO"))</f>
        <v/>
      </c>
      <c r="J122" s="9"/>
    </row>
    <row r="123" spans="1:10" x14ac:dyDescent="0.3">
      <c r="A123" s="8"/>
      <c r="B123" s="29" t="str">
        <f t="shared" si="4"/>
        <v/>
      </c>
      <c r="C123" s="30" t="str">
        <f>IF(Tabela13[[#This Row],[Data]]="","",CONCATENATE("SEMANA"," ",_xlfn.ISOWEEKNUM(Tabela13[[#This Row],[Data]])))</f>
        <v/>
      </c>
      <c r="D123" s="3" t="str">
        <f t="shared" si="3"/>
        <v/>
      </c>
      <c r="E123" s="31"/>
      <c r="F123" s="4"/>
      <c r="G123" s="4"/>
      <c r="H123" s="43"/>
      <c r="I123" s="23" t="str">
        <f>IF(Tabela13[[#This Row],[Data]]="","",IF(Tabela13[[#This Row],[Descrição (Comentários)]]="Joinville usou vaga PPI","SIM","NÃO"))</f>
        <v/>
      </c>
      <c r="J123" s="9"/>
    </row>
    <row r="124" spans="1:10" x14ac:dyDescent="0.3">
      <c r="A124" s="8"/>
      <c r="B124" s="29" t="str">
        <f t="shared" si="4"/>
        <v/>
      </c>
      <c r="C124" s="30" t="str">
        <f>IF(Tabela13[[#This Row],[Data]]="","",CONCATENATE("SEMANA"," ",_xlfn.ISOWEEKNUM(Tabela13[[#This Row],[Data]])))</f>
        <v/>
      </c>
      <c r="D124" s="3" t="str">
        <f t="shared" si="3"/>
        <v/>
      </c>
      <c r="E124" s="31"/>
      <c r="F124" s="4"/>
      <c r="G124" s="4"/>
      <c r="H124" s="43"/>
      <c r="I124" s="23" t="str">
        <f>IF(Tabela13[[#This Row],[Data]]="","",IF(Tabela13[[#This Row],[Descrição (Comentários)]]="Joinville usou vaga PPI","SIM","NÃO"))</f>
        <v/>
      </c>
      <c r="J124" s="9"/>
    </row>
    <row r="125" spans="1:10" x14ac:dyDescent="0.3">
      <c r="A125" s="8"/>
      <c r="B125" s="29" t="str">
        <f t="shared" si="4"/>
        <v/>
      </c>
      <c r="C125" s="30" t="str">
        <f>IF(Tabela13[[#This Row],[Data]]="","",CONCATENATE("SEMANA"," ",_xlfn.ISOWEEKNUM(Tabela13[[#This Row],[Data]])))</f>
        <v/>
      </c>
      <c r="D125" s="3" t="str">
        <f t="shared" si="3"/>
        <v/>
      </c>
      <c r="E125" s="31"/>
      <c r="F125" s="4"/>
      <c r="G125" s="4"/>
      <c r="H125" s="43"/>
      <c r="I125" s="23" t="str">
        <f>IF(Tabela13[[#This Row],[Data]]="","",IF(Tabela13[[#This Row],[Descrição (Comentários)]]="Joinville usou vaga PPI","SIM","NÃO"))</f>
        <v/>
      </c>
      <c r="J125" s="9"/>
    </row>
    <row r="126" spans="1:10" x14ac:dyDescent="0.3">
      <c r="A126" s="8"/>
      <c r="B126" s="29" t="str">
        <f t="shared" si="4"/>
        <v/>
      </c>
      <c r="C126" s="30" t="str">
        <f>IF(Tabela13[[#This Row],[Data]]="","",CONCATENATE("SEMANA"," ",_xlfn.ISOWEEKNUM(Tabela13[[#This Row],[Data]])))</f>
        <v/>
      </c>
      <c r="D126" s="3" t="str">
        <f t="shared" si="3"/>
        <v/>
      </c>
      <c r="E126" s="31"/>
      <c r="F126" s="4"/>
      <c r="G126" s="4"/>
      <c r="H126" s="43"/>
      <c r="I126" s="23" t="str">
        <f>IF(Tabela13[[#This Row],[Data]]="","",IF(Tabela13[[#This Row],[Descrição (Comentários)]]="Joinville usou vaga PPI","SIM","NÃO"))</f>
        <v/>
      </c>
      <c r="J126" s="9"/>
    </row>
    <row r="127" spans="1:10" x14ac:dyDescent="0.3">
      <c r="A127" s="8"/>
      <c r="B127" s="29" t="str">
        <f t="shared" si="4"/>
        <v/>
      </c>
      <c r="C127" s="30" t="str">
        <f>IF(Tabela13[[#This Row],[Data]]="","",CONCATENATE("SEMANA"," ",_xlfn.ISOWEEKNUM(Tabela13[[#This Row],[Data]])))</f>
        <v/>
      </c>
      <c r="D127" s="3" t="str">
        <f t="shared" si="3"/>
        <v/>
      </c>
      <c r="E127" s="31"/>
      <c r="F127" s="4"/>
      <c r="G127" s="4"/>
      <c r="H127" s="43"/>
      <c r="I127" s="23" t="str">
        <f>IF(Tabela13[[#This Row],[Data]]="","",IF(Tabela13[[#This Row],[Descrição (Comentários)]]="Joinville usou vaga PPI","SIM","NÃO"))</f>
        <v/>
      </c>
      <c r="J127" s="9"/>
    </row>
    <row r="128" spans="1:10" x14ac:dyDescent="0.3">
      <c r="A128" s="8"/>
      <c r="B128" s="29" t="str">
        <f t="shared" si="4"/>
        <v/>
      </c>
      <c r="C128" s="30" t="str">
        <f>IF(Tabela13[[#This Row],[Data]]="","",CONCATENATE("SEMANA"," ",_xlfn.ISOWEEKNUM(Tabela13[[#This Row],[Data]])))</f>
        <v/>
      </c>
      <c r="D128" s="3" t="str">
        <f t="shared" si="3"/>
        <v/>
      </c>
      <c r="E128" s="31"/>
      <c r="F128" s="4"/>
      <c r="G128" s="4"/>
      <c r="H128" s="43"/>
      <c r="I128" s="23" t="str">
        <f>IF(Tabela13[[#This Row],[Data]]="","",IF(Tabela13[[#This Row],[Descrição (Comentários)]]="Joinville usou vaga PPI","SIM","NÃO"))</f>
        <v/>
      </c>
      <c r="J128" s="9"/>
    </row>
    <row r="129" spans="1:10" x14ac:dyDescent="0.3">
      <c r="A129" s="8"/>
      <c r="B129" s="29" t="str">
        <f t="shared" si="4"/>
        <v/>
      </c>
      <c r="C129" s="30" t="str">
        <f>IF(Tabela13[[#This Row],[Data]]="","",CONCATENATE("SEMANA"," ",_xlfn.ISOWEEKNUM(Tabela13[[#This Row],[Data]])))</f>
        <v/>
      </c>
      <c r="D129" s="3" t="str">
        <f t="shared" ref="D129:D143" si="5">IF(A129="","",TEXT(A129,"mmm-aa"))</f>
        <v/>
      </c>
      <c r="E129" s="31"/>
      <c r="F129" s="4"/>
      <c r="G129" s="4"/>
      <c r="H129" s="43"/>
      <c r="I129" s="23" t="str">
        <f>IF(Tabela13[[#This Row],[Data]]="","",IF(Tabela13[[#This Row],[Descrição (Comentários)]]="Joinville usou vaga PPI","SIM","NÃO"))</f>
        <v/>
      </c>
      <c r="J129" s="9"/>
    </row>
    <row r="130" spans="1:10" x14ac:dyDescent="0.3">
      <c r="A130" s="8"/>
      <c r="B130" s="29" t="str">
        <f t="shared" si="4"/>
        <v/>
      </c>
      <c r="C130" s="30" t="str">
        <f>IF(Tabela13[[#This Row],[Data]]="","",CONCATENATE("SEMANA"," ",_xlfn.ISOWEEKNUM(Tabela13[[#This Row],[Data]])))</f>
        <v/>
      </c>
      <c r="D130" s="3" t="str">
        <f t="shared" si="5"/>
        <v/>
      </c>
      <c r="E130" s="31"/>
      <c r="F130" s="4"/>
      <c r="G130" s="4"/>
      <c r="H130" s="43"/>
      <c r="I130" s="23" t="str">
        <f>IF(Tabela13[[#This Row],[Data]]="","",IF(Tabela13[[#This Row],[Descrição (Comentários)]]="Joinville usou vaga PPI","SIM","NÃO"))</f>
        <v/>
      </c>
      <c r="J130" s="9"/>
    </row>
    <row r="131" spans="1:10" x14ac:dyDescent="0.3">
      <c r="A131" s="8"/>
      <c r="B131" s="29" t="str">
        <f t="shared" si="4"/>
        <v/>
      </c>
      <c r="C131" s="30" t="str">
        <f>IF(Tabela13[[#This Row],[Data]]="","",CONCATENATE("SEMANA"," ",_xlfn.ISOWEEKNUM(Tabela13[[#This Row],[Data]])))</f>
        <v/>
      </c>
      <c r="D131" s="3" t="str">
        <f t="shared" si="5"/>
        <v/>
      </c>
      <c r="E131" s="31"/>
      <c r="F131" s="4"/>
      <c r="G131" s="4"/>
      <c r="H131" s="43"/>
      <c r="I131" s="23" t="str">
        <f>IF(Tabela13[[#This Row],[Data]]="","",IF(Tabela13[[#This Row],[Descrição (Comentários)]]="Joinville usou vaga PPI","SIM","NÃO"))</f>
        <v/>
      </c>
      <c r="J131" s="9"/>
    </row>
    <row r="132" spans="1:10" x14ac:dyDescent="0.3">
      <c r="A132" s="8"/>
      <c r="B132" s="29" t="str">
        <f t="shared" si="4"/>
        <v/>
      </c>
      <c r="C132" s="30" t="str">
        <f>IF(Tabela13[[#This Row],[Data]]="","",CONCATENATE("SEMANA"," ",_xlfn.ISOWEEKNUM(Tabela13[[#This Row],[Data]])))</f>
        <v/>
      </c>
      <c r="D132" s="3" t="str">
        <f t="shared" si="5"/>
        <v/>
      </c>
      <c r="E132" s="31"/>
      <c r="F132" s="4"/>
      <c r="G132" s="4"/>
      <c r="H132" s="43"/>
      <c r="I132" s="23" t="str">
        <f>IF(Tabela13[[#This Row],[Data]]="","",IF(Tabela13[[#This Row],[Descrição (Comentários)]]="Joinville usou vaga PPI","SIM","NÃO"))</f>
        <v/>
      </c>
      <c r="J132" s="9"/>
    </row>
    <row r="133" spans="1:10" x14ac:dyDescent="0.3">
      <c r="A133" s="8"/>
      <c r="B133" s="29" t="str">
        <f t="shared" ref="B133:B143" si="6">IF(A133="","",TEXT(A133,"ddd"))</f>
        <v/>
      </c>
      <c r="C133" s="30" t="str">
        <f>IF(Tabela13[[#This Row],[Data]]="","",CONCATENATE("SEMANA"," ",_xlfn.ISOWEEKNUM(Tabela13[[#This Row],[Data]])))</f>
        <v/>
      </c>
      <c r="D133" s="3" t="str">
        <f t="shared" si="5"/>
        <v/>
      </c>
      <c r="E133" s="31"/>
      <c r="F133" s="4"/>
      <c r="G133" s="4"/>
      <c r="H133" s="43"/>
      <c r="I133" s="23" t="str">
        <f>IF(Tabela13[[#This Row],[Data]]="","",IF(Tabela13[[#This Row],[Descrição (Comentários)]]="Joinville usou vaga PPI","SIM","NÃO"))</f>
        <v/>
      </c>
      <c r="J133" s="9"/>
    </row>
    <row r="134" spans="1:10" x14ac:dyDescent="0.3">
      <c r="A134" s="8"/>
      <c r="B134" s="29" t="str">
        <f t="shared" si="6"/>
        <v/>
      </c>
      <c r="C134" s="30" t="str">
        <f>IF(Tabela13[[#This Row],[Data]]="","",CONCATENATE("SEMANA"," ",_xlfn.ISOWEEKNUM(Tabela13[[#This Row],[Data]])))</f>
        <v/>
      </c>
      <c r="D134" s="3" t="str">
        <f t="shared" si="5"/>
        <v/>
      </c>
      <c r="E134" s="31"/>
      <c r="F134" s="4"/>
      <c r="G134" s="4"/>
      <c r="H134" s="43"/>
      <c r="I134" s="23" t="str">
        <f>IF(Tabela13[[#This Row],[Data]]="","",IF(Tabela13[[#This Row],[Descrição (Comentários)]]="Joinville usou vaga PPI","SIM","NÃO"))</f>
        <v/>
      </c>
      <c r="J134" s="9"/>
    </row>
    <row r="135" spans="1:10" x14ac:dyDescent="0.3">
      <c r="A135" s="8"/>
      <c r="B135" s="29" t="str">
        <f t="shared" si="6"/>
        <v/>
      </c>
      <c r="C135" s="30" t="str">
        <f>IF(Tabela13[[#This Row],[Data]]="","",CONCATENATE("SEMANA"," ",_xlfn.ISOWEEKNUM(Tabela13[[#This Row],[Data]])))</f>
        <v/>
      </c>
      <c r="D135" s="3" t="str">
        <f t="shared" si="5"/>
        <v/>
      </c>
      <c r="E135" s="31"/>
      <c r="F135" s="4"/>
      <c r="G135" s="4"/>
      <c r="H135" s="43"/>
      <c r="I135" s="23" t="str">
        <f>IF(Tabela13[[#This Row],[Data]]="","",IF(Tabela13[[#This Row],[Descrição (Comentários)]]="Joinville usou vaga PPI","SIM","NÃO"))</f>
        <v/>
      </c>
      <c r="J135" s="9"/>
    </row>
    <row r="136" spans="1:10" x14ac:dyDescent="0.3">
      <c r="A136" s="8"/>
      <c r="B136" s="29" t="str">
        <f t="shared" si="6"/>
        <v/>
      </c>
      <c r="C136" s="30" t="str">
        <f>IF(Tabela13[[#This Row],[Data]]="","",CONCATENATE("SEMANA"," ",_xlfn.ISOWEEKNUM(Tabela13[[#This Row],[Data]])))</f>
        <v/>
      </c>
      <c r="D136" s="3" t="str">
        <f t="shared" si="5"/>
        <v/>
      </c>
      <c r="E136" s="31"/>
      <c r="F136" s="4"/>
      <c r="G136" s="4"/>
      <c r="H136" s="43"/>
      <c r="I136" s="23" t="str">
        <f>IF(Tabela13[[#This Row],[Data]]="","",IF(Tabela13[[#This Row],[Descrição (Comentários)]]="Joinville usou vaga PPI","SIM","NÃO"))</f>
        <v/>
      </c>
      <c r="J136" s="9"/>
    </row>
    <row r="137" spans="1:10" x14ac:dyDescent="0.3">
      <c r="A137" s="8"/>
      <c r="B137" s="29" t="str">
        <f t="shared" si="6"/>
        <v/>
      </c>
      <c r="C137" s="30" t="str">
        <f>IF(Tabela13[[#This Row],[Data]]="","",CONCATENATE("SEMANA"," ",_xlfn.ISOWEEKNUM(Tabela13[[#This Row],[Data]])))</f>
        <v/>
      </c>
      <c r="D137" s="3" t="str">
        <f t="shared" si="5"/>
        <v/>
      </c>
      <c r="E137" s="31"/>
      <c r="F137" s="4"/>
      <c r="G137" s="4"/>
      <c r="H137" s="43"/>
      <c r="I137" s="23" t="str">
        <f>IF(Tabela13[[#This Row],[Data]]="","",IF(Tabela13[[#This Row],[Descrição (Comentários)]]="Joinville usou vaga PPI","SIM","NÃO"))</f>
        <v/>
      </c>
      <c r="J137" s="9"/>
    </row>
    <row r="138" spans="1:10" x14ac:dyDescent="0.3">
      <c r="A138" s="8"/>
      <c r="B138" s="29" t="str">
        <f t="shared" si="6"/>
        <v/>
      </c>
      <c r="C138" s="30" t="str">
        <f>IF(Tabela13[[#This Row],[Data]]="","",CONCATENATE("SEMANA"," ",_xlfn.ISOWEEKNUM(Tabela13[[#This Row],[Data]])))</f>
        <v/>
      </c>
      <c r="D138" s="3" t="str">
        <f t="shared" si="5"/>
        <v/>
      </c>
      <c r="E138" s="31"/>
      <c r="F138" s="4"/>
      <c r="G138" s="4"/>
      <c r="H138" s="43"/>
      <c r="I138" s="23" t="str">
        <f>IF(Tabela13[[#This Row],[Data]]="","",IF(Tabela13[[#This Row],[Descrição (Comentários)]]="Joinville usou vaga PPI","SIM","NÃO"))</f>
        <v/>
      </c>
      <c r="J138" s="9"/>
    </row>
    <row r="139" spans="1:10" x14ac:dyDescent="0.3">
      <c r="A139" s="8"/>
      <c r="B139" s="29" t="str">
        <f t="shared" si="6"/>
        <v/>
      </c>
      <c r="C139" s="30" t="str">
        <f>IF(Tabela13[[#This Row],[Data]]="","",CONCATENATE("SEMANA"," ",_xlfn.ISOWEEKNUM(Tabela13[[#This Row],[Data]])))</f>
        <v/>
      </c>
      <c r="D139" s="3" t="str">
        <f t="shared" si="5"/>
        <v/>
      </c>
      <c r="E139" s="31"/>
      <c r="F139" s="4"/>
      <c r="G139" s="4"/>
      <c r="H139" s="43"/>
      <c r="I139" s="23" t="str">
        <f>IF(Tabela13[[#This Row],[Data]]="","",IF(Tabela13[[#This Row],[Descrição (Comentários)]]="Joinville usou vaga PPI","SIM","NÃO"))</f>
        <v/>
      </c>
      <c r="J139" s="9"/>
    </row>
    <row r="140" spans="1:10" x14ac:dyDescent="0.3">
      <c r="A140" s="8"/>
      <c r="B140" s="29" t="str">
        <f t="shared" si="6"/>
        <v/>
      </c>
      <c r="C140" s="30" t="str">
        <f>IF(Tabela13[[#This Row],[Data]]="","",CONCATENATE("SEMANA"," ",_xlfn.ISOWEEKNUM(Tabela13[[#This Row],[Data]])))</f>
        <v/>
      </c>
      <c r="D140" s="3" t="str">
        <f t="shared" si="5"/>
        <v/>
      </c>
      <c r="E140" s="31"/>
      <c r="F140" s="4"/>
      <c r="G140" s="4"/>
      <c r="H140" s="43"/>
      <c r="I140" s="23" t="str">
        <f>IF(Tabela13[[#This Row],[Data]]="","",IF(Tabela13[[#This Row],[Descrição (Comentários)]]="Joinville usou vaga PPI","SIM","NÃO"))</f>
        <v/>
      </c>
      <c r="J140" s="9"/>
    </row>
    <row r="141" spans="1:10" x14ac:dyDescent="0.3">
      <c r="A141" s="8"/>
      <c r="B141" s="29" t="str">
        <f t="shared" si="6"/>
        <v/>
      </c>
      <c r="C141" s="30" t="str">
        <f>IF(Tabela13[[#This Row],[Data]]="","",CONCATENATE("SEMANA"," ",_xlfn.ISOWEEKNUM(Tabela13[[#This Row],[Data]])))</f>
        <v/>
      </c>
      <c r="D141" s="3" t="str">
        <f t="shared" si="5"/>
        <v/>
      </c>
      <c r="E141" s="31"/>
      <c r="F141" s="4"/>
      <c r="G141" s="4"/>
      <c r="H141" s="43"/>
      <c r="I141" s="23" t="str">
        <f>IF(Tabela13[[#This Row],[Data]]="","",IF(Tabela13[[#This Row],[Descrição (Comentários)]]="Joinville usou vaga PPI","SIM","NÃO"))</f>
        <v/>
      </c>
      <c r="J141" s="9"/>
    </row>
    <row r="142" spans="1:10" x14ac:dyDescent="0.3">
      <c r="A142" s="8"/>
      <c r="B142" s="29" t="str">
        <f t="shared" si="6"/>
        <v/>
      </c>
      <c r="C142" s="30" t="str">
        <f>IF(Tabela13[[#This Row],[Data]]="","",CONCATENATE("SEMANA"," ",_xlfn.ISOWEEKNUM(Tabela13[[#This Row],[Data]])))</f>
        <v/>
      </c>
      <c r="D142" s="3" t="str">
        <f t="shared" si="5"/>
        <v/>
      </c>
      <c r="E142" s="31"/>
      <c r="F142" s="4"/>
      <c r="G142" s="4"/>
      <c r="H142" s="43"/>
      <c r="I142" s="23" t="str">
        <f>IF(Tabela13[[#This Row],[Data]]="","",IF(Tabela13[[#This Row],[Descrição (Comentários)]]="Joinville usou vaga PPI","SIM","NÃO"))</f>
        <v/>
      </c>
      <c r="J142" s="9"/>
    </row>
    <row r="143" spans="1:10" x14ac:dyDescent="0.3">
      <c r="A143" s="37"/>
      <c r="B143" s="29" t="str">
        <f t="shared" si="6"/>
        <v/>
      </c>
      <c r="C143" s="20" t="str">
        <f>IF(Tabela13[[#This Row],[Data]]="","",CONCATENATE("SEMANA"," ",_xlfn.ISOWEEKNUM(Tabela13[[#This Row],[Data]])))</f>
        <v/>
      </c>
      <c r="D143" s="13" t="str">
        <f t="shared" si="5"/>
        <v/>
      </c>
      <c r="E143" s="40"/>
      <c r="F143" s="14"/>
      <c r="G143" s="14"/>
      <c r="H143" s="44"/>
      <c r="I143" s="24" t="str">
        <f>IF(Tabela13[[#This Row],[Data]]="","",IF(Tabela13[[#This Row],[Descrição (Comentários)]]="Joinville usou vaga PPI","SIM","NÃO"))</f>
        <v/>
      </c>
      <c r="J143" s="15"/>
    </row>
  </sheetData>
  <sheetProtection algorithmName="SHA-512" hashValue="YhE/FdLtyYQEk1GD8QRxCmvt0cTfupRZ+zkusAiVaH2wOjK/Traa755hdHCh/90j6r7tSG4eDumNP3ZoRhFn0w==" saltValue="2GxAOBLfrgkGzvKpAy7YCw==" spinCount="100000" sheet="1" objects="1" scenarios="1"/>
  <conditionalFormatting sqref="I1:I1048576">
    <cfRule type="containsText" dxfId="0" priority="1" operator="containsText" text="Sim">
      <formula>NOT(ISERROR(SEARCH("Sim",I1)))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3025-29C3-4DB1-9F20-2DDDD96FA229}">
  <sheetPr>
    <tabColor theme="7" tint="-0.499984740745262"/>
    <pageSetUpPr fitToPage="1"/>
  </sheetPr>
  <dimension ref="A1:AG4"/>
  <sheetViews>
    <sheetView showGridLines="0" view="pageBreakPreview" zoomScale="40" zoomScaleNormal="25" zoomScaleSheetLayoutView="40" workbookViewId="0">
      <selection activeCell="AR49" sqref="AR49"/>
    </sheetView>
  </sheetViews>
  <sheetFormatPr defaultRowHeight="14.4" x14ac:dyDescent="0.3"/>
  <cols>
    <col min="15" max="15" width="9.21875" customWidth="1"/>
  </cols>
  <sheetData>
    <row r="1" spans="1:33" ht="23.4" x14ac:dyDescent="0.3">
      <c r="A1" s="47" t="s">
        <v>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</row>
    <row r="2" spans="1:33" ht="4.95" customHeight="1" x14ac:dyDescent="0.3"/>
    <row r="3" spans="1:33" ht="31.8" customHeight="1" x14ac:dyDescent="0.3">
      <c r="A3" s="49" t="s">
        <v>16</v>
      </c>
      <c r="B3" s="49"/>
      <c r="C3" s="49"/>
      <c r="D3" s="49"/>
      <c r="E3" s="49"/>
      <c r="F3" s="49"/>
      <c r="G3" s="49"/>
      <c r="H3" s="45">
        <f>COUNTA(PENDÊNCIAS_FINANCEIRO!H4:H144)</f>
        <v>25</v>
      </c>
      <c r="I3" s="45"/>
      <c r="J3" s="45"/>
      <c r="L3" s="49" t="s">
        <v>88</v>
      </c>
      <c r="M3" s="49"/>
      <c r="N3" s="49"/>
      <c r="O3" s="49"/>
      <c r="P3" s="50" t="s">
        <v>27</v>
      </c>
      <c r="Q3" s="50"/>
      <c r="R3" s="50"/>
      <c r="S3" s="50"/>
      <c r="T3" s="50"/>
      <c r="V3" s="45">
        <f>COUNTIF(Tabela1[Unidade/ Empresa],P3)</f>
        <v>13</v>
      </c>
      <c r="W3" s="45"/>
      <c r="X3" s="45"/>
      <c r="Z3" s="46">
        <f>V3/H3</f>
        <v>0.52</v>
      </c>
      <c r="AA3" s="46"/>
      <c r="AB3" s="46"/>
    </row>
    <row r="4" spans="1:33" ht="4.95" customHeight="1" x14ac:dyDescent="0.3"/>
  </sheetData>
  <mergeCells count="7">
    <mergeCell ref="V3:X3"/>
    <mergeCell ref="Z3:AB3"/>
    <mergeCell ref="A1:AG1"/>
    <mergeCell ref="A3:G3"/>
    <mergeCell ref="L3:O3"/>
    <mergeCell ref="H3:J3"/>
    <mergeCell ref="P3:T3"/>
  </mergeCells>
  <printOptions horizontalCentered="1"/>
  <pageMargins left="0.11811023622047245" right="0.11811023622047245" top="0.11811023622047245" bottom="0" header="0.31496062992125984" footer="0.31496062992125984"/>
  <pageSetup paperSize="9" scale="49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0187DF-1C81-4C09-96C0-9E447D250F39}">
          <x14:formula1>
            <xm:f>'FILTRO DE UNIDADE'!$A:$A</xm:f>
          </x14:formula1>
          <xm:sqref>P3:T3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6F6E-0F16-4953-A0CC-EC07607AE606}">
  <sheetPr>
    <tabColor theme="7" tint="-0.499984740745262"/>
    <pageSetUpPr fitToPage="1"/>
  </sheetPr>
  <dimension ref="A1:AM1"/>
  <sheetViews>
    <sheetView showGridLines="0" view="pageBreakPreview" zoomScale="40" zoomScaleNormal="40" zoomScaleSheetLayoutView="40" workbookViewId="0">
      <selection activeCell="AH39" sqref="AH39"/>
    </sheetView>
  </sheetViews>
  <sheetFormatPr defaultRowHeight="14.4" x14ac:dyDescent="0.3"/>
  <cols>
    <col min="39" max="39" width="3.33203125" customWidth="1"/>
  </cols>
  <sheetData>
    <row r="1" spans="1:39" ht="23.4" x14ac:dyDescent="0.3">
      <c r="A1" s="47" t="s">
        <v>91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</row>
  </sheetData>
  <mergeCells count="1">
    <mergeCell ref="A1:AM1"/>
  </mergeCells>
  <printOptions horizontalCentered="1"/>
  <pageMargins left="0" right="0" top="0.39370078740157483" bottom="0.19685039370078741" header="0.31496062992125984" footer="0.31496062992125984"/>
  <pageSetup paperSize="9" scale="43" fitToHeight="0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2C93-7BC8-482F-BE59-F56EBC749B19}">
  <sheetPr>
    <tabColor rgb="FF0070C0"/>
  </sheetPr>
  <dimension ref="A1:B23"/>
  <sheetViews>
    <sheetView workbookViewId="0">
      <selection activeCell="B14" sqref="B14"/>
    </sheetView>
  </sheetViews>
  <sheetFormatPr defaultRowHeight="14.4" x14ac:dyDescent="0.3"/>
  <cols>
    <col min="1" max="1" width="29.5546875" bestFit="1" customWidth="1"/>
    <col min="2" max="2" width="22.5546875" bestFit="1" customWidth="1"/>
  </cols>
  <sheetData>
    <row r="1" spans="1:2" x14ac:dyDescent="0.3">
      <c r="A1" s="7" t="s">
        <v>5</v>
      </c>
      <c r="B1" t="s">
        <v>92</v>
      </c>
    </row>
    <row r="2" spans="1:2" x14ac:dyDescent="0.3">
      <c r="A2" s="27" t="s">
        <v>62</v>
      </c>
      <c r="B2">
        <v>1</v>
      </c>
    </row>
    <row r="3" spans="1:2" x14ac:dyDescent="0.3">
      <c r="A3" s="27" t="s">
        <v>44</v>
      </c>
      <c r="B3">
        <v>1</v>
      </c>
    </row>
    <row r="4" spans="1:2" x14ac:dyDescent="0.3">
      <c r="A4" s="27" t="s">
        <v>47</v>
      </c>
      <c r="B4">
        <v>1</v>
      </c>
    </row>
    <row r="5" spans="1:2" x14ac:dyDescent="0.3">
      <c r="A5" s="27" t="s">
        <v>52</v>
      </c>
      <c r="B5">
        <v>1</v>
      </c>
    </row>
    <row r="6" spans="1:2" x14ac:dyDescent="0.3">
      <c r="A6" s="27" t="s">
        <v>30</v>
      </c>
      <c r="B6">
        <v>1</v>
      </c>
    </row>
    <row r="7" spans="1:2" x14ac:dyDescent="0.3">
      <c r="A7" s="27" t="s">
        <v>64</v>
      </c>
      <c r="B7">
        <v>1</v>
      </c>
    </row>
    <row r="8" spans="1:2" x14ac:dyDescent="0.3">
      <c r="A8" s="27" t="s">
        <v>75</v>
      </c>
      <c r="B8">
        <v>1</v>
      </c>
    </row>
    <row r="9" spans="1:2" x14ac:dyDescent="0.3">
      <c r="A9" s="27" t="s">
        <v>66</v>
      </c>
      <c r="B9">
        <v>1</v>
      </c>
    </row>
    <row r="10" spans="1:2" x14ac:dyDescent="0.3">
      <c r="A10" s="27" t="s">
        <v>56</v>
      </c>
      <c r="B10">
        <v>1</v>
      </c>
    </row>
    <row r="11" spans="1:2" x14ac:dyDescent="0.3">
      <c r="A11" s="27" t="s">
        <v>58</v>
      </c>
      <c r="B11">
        <v>1</v>
      </c>
    </row>
    <row r="12" spans="1:2" x14ac:dyDescent="0.3">
      <c r="A12" s="27" t="s">
        <v>73</v>
      </c>
      <c r="B12">
        <v>1</v>
      </c>
    </row>
    <row r="13" spans="1:2" x14ac:dyDescent="0.3">
      <c r="A13" s="27" t="s">
        <v>79</v>
      </c>
      <c r="B13">
        <v>1</v>
      </c>
    </row>
    <row r="14" spans="1:2" x14ac:dyDescent="0.3">
      <c r="A14" s="27" t="s">
        <v>40</v>
      </c>
      <c r="B14">
        <v>1</v>
      </c>
    </row>
    <row r="15" spans="1:2" x14ac:dyDescent="0.3">
      <c r="A15" s="27" t="s">
        <v>50</v>
      </c>
      <c r="B15">
        <v>1</v>
      </c>
    </row>
    <row r="16" spans="1:2" x14ac:dyDescent="0.3">
      <c r="A16" s="27" t="s">
        <v>54</v>
      </c>
      <c r="B16">
        <v>2</v>
      </c>
    </row>
    <row r="17" spans="1:2" x14ac:dyDescent="0.3">
      <c r="A17" s="27" t="s">
        <v>35</v>
      </c>
      <c r="B17">
        <v>2</v>
      </c>
    </row>
    <row r="18" spans="1:2" x14ac:dyDescent="0.3">
      <c r="A18" s="27" t="s">
        <v>26</v>
      </c>
      <c r="B18">
        <v>2</v>
      </c>
    </row>
    <row r="19" spans="1:2" x14ac:dyDescent="0.3">
      <c r="A19" s="27" t="s">
        <v>37</v>
      </c>
      <c r="B19">
        <v>2</v>
      </c>
    </row>
    <row r="20" spans="1:2" x14ac:dyDescent="0.3">
      <c r="A20" s="27" t="s">
        <v>71</v>
      </c>
      <c r="B20">
        <v>1</v>
      </c>
    </row>
    <row r="21" spans="1:2" x14ac:dyDescent="0.3">
      <c r="A21" s="27" t="s">
        <v>77</v>
      </c>
      <c r="B21">
        <v>1</v>
      </c>
    </row>
    <row r="22" spans="1:2" x14ac:dyDescent="0.3">
      <c r="A22" s="27" t="s">
        <v>42</v>
      </c>
      <c r="B22">
        <v>1</v>
      </c>
    </row>
    <row r="23" spans="1:2" x14ac:dyDescent="0.3">
      <c r="A23" s="27" t="s">
        <v>7</v>
      </c>
      <c r="B23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2ED4-C278-4C2B-A946-E34FA223F871}">
  <sheetPr>
    <tabColor rgb="FF0070C0"/>
  </sheetPr>
  <dimension ref="A1:B5"/>
  <sheetViews>
    <sheetView workbookViewId="0">
      <selection activeCell="N23" sqref="N23"/>
    </sheetView>
  </sheetViews>
  <sheetFormatPr defaultRowHeight="14.4" x14ac:dyDescent="0.3"/>
  <cols>
    <col min="1" max="1" width="17.21875" bestFit="1" customWidth="1"/>
    <col min="2" max="2" width="20.44140625" bestFit="1" customWidth="1"/>
  </cols>
  <sheetData>
    <row r="1" spans="1:2" x14ac:dyDescent="0.3">
      <c r="A1" s="7" t="s">
        <v>5</v>
      </c>
      <c r="B1" t="s">
        <v>11</v>
      </c>
    </row>
    <row r="2" spans="1:2" x14ac:dyDescent="0.3">
      <c r="A2" s="27" t="s">
        <v>18</v>
      </c>
      <c r="B2">
        <v>7</v>
      </c>
    </row>
    <row r="3" spans="1:2" x14ac:dyDescent="0.3">
      <c r="A3" s="27" t="s">
        <v>19</v>
      </c>
      <c r="B3">
        <v>5</v>
      </c>
    </row>
    <row r="4" spans="1:2" x14ac:dyDescent="0.3">
      <c r="A4" s="27" t="s">
        <v>20</v>
      </c>
      <c r="B4">
        <v>4</v>
      </c>
    </row>
    <row r="5" spans="1:2" x14ac:dyDescent="0.3">
      <c r="A5" s="27" t="s">
        <v>7</v>
      </c>
      <c r="B5">
        <v>16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8577-BCBA-4739-A3F2-714F076BB1E6}">
  <sheetPr>
    <tabColor rgb="FF0070C0"/>
  </sheetPr>
  <dimension ref="A1:B3"/>
  <sheetViews>
    <sheetView workbookViewId="0">
      <selection activeCell="P27" sqref="P27"/>
    </sheetView>
  </sheetViews>
  <sheetFormatPr defaultRowHeight="14.4" x14ac:dyDescent="0.3"/>
  <cols>
    <col min="1" max="1" width="17.21875" bestFit="1" customWidth="1"/>
    <col min="2" max="2" width="16.33203125" bestFit="1" customWidth="1"/>
  </cols>
  <sheetData>
    <row r="1" spans="1:2" x14ac:dyDescent="0.3">
      <c r="A1" s="7" t="s">
        <v>5</v>
      </c>
      <c r="B1" t="s">
        <v>13</v>
      </c>
    </row>
    <row r="2" spans="1:2" x14ac:dyDescent="0.3">
      <c r="A2" s="27" t="s">
        <v>21</v>
      </c>
      <c r="B2">
        <v>25</v>
      </c>
    </row>
    <row r="3" spans="1:2" x14ac:dyDescent="0.3">
      <c r="A3" s="27" t="s">
        <v>7</v>
      </c>
      <c r="B3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8741-EC2E-4909-9C28-B577FF0F7A5E}">
  <sheetPr>
    <tabColor rgb="FF0070C0"/>
  </sheetPr>
  <dimension ref="A1:B4"/>
  <sheetViews>
    <sheetView workbookViewId="0">
      <selection activeCell="B22" sqref="B22"/>
    </sheetView>
  </sheetViews>
  <sheetFormatPr defaultRowHeight="14.4" x14ac:dyDescent="0.3"/>
  <cols>
    <col min="1" max="1" width="17.21875" bestFit="1" customWidth="1"/>
    <col min="2" max="2" width="23.88671875" bestFit="1" customWidth="1"/>
  </cols>
  <sheetData>
    <row r="1" spans="1:2" x14ac:dyDescent="0.3">
      <c r="A1" s="7" t="s">
        <v>5</v>
      </c>
      <c r="B1" t="s">
        <v>87</v>
      </c>
    </row>
    <row r="2" spans="1:2" x14ac:dyDescent="0.3">
      <c r="A2" s="27" t="s">
        <v>14</v>
      </c>
      <c r="B2">
        <v>18</v>
      </c>
    </row>
    <row r="3" spans="1:2" x14ac:dyDescent="0.3">
      <c r="A3" s="27" t="s">
        <v>15</v>
      </c>
      <c r="B3">
        <v>7</v>
      </c>
    </row>
    <row r="4" spans="1:2" x14ac:dyDescent="0.3">
      <c r="A4" s="27" t="s">
        <v>7</v>
      </c>
      <c r="B4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ECE0-963C-4202-B861-8145CB417E22}">
  <sheetPr>
    <tabColor rgb="FF0070C0"/>
  </sheetPr>
  <dimension ref="A1:B5"/>
  <sheetViews>
    <sheetView workbookViewId="0">
      <selection activeCell="J29" sqref="J29"/>
    </sheetView>
  </sheetViews>
  <sheetFormatPr defaultRowHeight="14.4" x14ac:dyDescent="0.3"/>
  <cols>
    <col min="1" max="1" width="17.21875" bestFit="1" customWidth="1"/>
    <col min="2" max="2" width="28.77734375" bestFit="1" customWidth="1"/>
  </cols>
  <sheetData>
    <row r="1" spans="1:2" x14ac:dyDescent="0.3">
      <c r="A1" s="7" t="s">
        <v>5</v>
      </c>
      <c r="B1" t="s">
        <v>81</v>
      </c>
    </row>
    <row r="2" spans="1:2" x14ac:dyDescent="0.3">
      <c r="A2" s="27" t="s">
        <v>31</v>
      </c>
      <c r="B2">
        <v>8</v>
      </c>
    </row>
    <row r="3" spans="1:2" x14ac:dyDescent="0.3">
      <c r="A3" s="27" t="s">
        <v>27</v>
      </c>
      <c r="B3">
        <v>13</v>
      </c>
    </row>
    <row r="4" spans="1:2" x14ac:dyDescent="0.3">
      <c r="A4" s="27" t="s">
        <v>68</v>
      </c>
      <c r="B4">
        <v>4</v>
      </c>
    </row>
    <row r="5" spans="1:2" x14ac:dyDescent="0.3">
      <c r="A5" s="27" t="s">
        <v>7</v>
      </c>
      <c r="B5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16B6-F825-4515-B040-385637B02D03}">
  <sheetPr>
    <tabColor rgb="FF0070C0"/>
  </sheetPr>
  <dimension ref="A1:B6"/>
  <sheetViews>
    <sheetView workbookViewId="0">
      <selection activeCell="AH39" sqref="AH39"/>
    </sheetView>
  </sheetViews>
  <sheetFormatPr defaultRowHeight="14.4" x14ac:dyDescent="0.3"/>
  <cols>
    <col min="1" max="1" width="17.21875" bestFit="1" customWidth="1"/>
    <col min="2" max="2" width="22.6640625" bestFit="1" customWidth="1"/>
  </cols>
  <sheetData>
    <row r="1" spans="1:2" x14ac:dyDescent="0.3">
      <c r="A1" s="7" t="s">
        <v>5</v>
      </c>
      <c r="B1" t="s">
        <v>22</v>
      </c>
    </row>
    <row r="2" spans="1:2" x14ac:dyDescent="0.3">
      <c r="A2" s="27" t="s">
        <v>0</v>
      </c>
      <c r="B2">
        <v>5</v>
      </c>
    </row>
    <row r="3" spans="1:2" x14ac:dyDescent="0.3">
      <c r="A3" s="27" t="s">
        <v>24</v>
      </c>
      <c r="B3">
        <v>10</v>
      </c>
    </row>
    <row r="4" spans="1:2" x14ac:dyDescent="0.3">
      <c r="A4" s="27" t="s">
        <v>33</v>
      </c>
      <c r="B4">
        <v>5</v>
      </c>
    </row>
    <row r="5" spans="1:2" x14ac:dyDescent="0.3">
      <c r="A5" s="27" t="s">
        <v>69</v>
      </c>
      <c r="B5">
        <v>5</v>
      </c>
    </row>
    <row r="6" spans="1:2" x14ac:dyDescent="0.3">
      <c r="A6" s="27" t="s">
        <v>7</v>
      </c>
      <c r="B6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EF28B-158E-4386-8049-4573DC20117D}">
  <sheetPr>
    <tabColor rgb="FF0070C0"/>
  </sheetPr>
  <dimension ref="A1:B23"/>
  <sheetViews>
    <sheetView workbookViewId="0">
      <selection activeCell="H29" sqref="H29"/>
    </sheetView>
  </sheetViews>
  <sheetFormatPr defaultRowHeight="14.4" x14ac:dyDescent="0.3"/>
  <cols>
    <col min="1" max="1" width="69.77734375" bestFit="1" customWidth="1"/>
    <col min="2" max="2" width="33.77734375" bestFit="1" customWidth="1"/>
  </cols>
  <sheetData>
    <row r="1" spans="1:2" x14ac:dyDescent="0.3">
      <c r="A1" s="7" t="s">
        <v>5</v>
      </c>
      <c r="B1" t="s">
        <v>93</v>
      </c>
    </row>
    <row r="2" spans="1:2" x14ac:dyDescent="0.3">
      <c r="A2" s="27" t="s">
        <v>48</v>
      </c>
      <c r="B2">
        <v>1</v>
      </c>
    </row>
    <row r="3" spans="1:2" x14ac:dyDescent="0.3">
      <c r="A3" s="27" t="s">
        <v>53</v>
      </c>
      <c r="B3">
        <v>1</v>
      </c>
    </row>
    <row r="4" spans="1:2" x14ac:dyDescent="0.3">
      <c r="A4" s="27" t="s">
        <v>80</v>
      </c>
      <c r="B4">
        <v>1</v>
      </c>
    </row>
    <row r="5" spans="1:2" x14ac:dyDescent="0.3">
      <c r="A5" s="27" t="s">
        <v>76</v>
      </c>
      <c r="B5">
        <v>1</v>
      </c>
    </row>
    <row r="6" spans="1:2" x14ac:dyDescent="0.3">
      <c r="A6" s="27" t="s">
        <v>63</v>
      </c>
      <c r="B6">
        <v>1</v>
      </c>
    </row>
    <row r="7" spans="1:2" x14ac:dyDescent="0.3">
      <c r="A7" s="27" t="s">
        <v>28</v>
      </c>
      <c r="B7">
        <v>2</v>
      </c>
    </row>
    <row r="8" spans="1:2" x14ac:dyDescent="0.3">
      <c r="A8" s="27" t="s">
        <v>36</v>
      </c>
      <c r="B8">
        <v>2</v>
      </c>
    </row>
    <row r="9" spans="1:2" x14ac:dyDescent="0.3">
      <c r="A9" s="27" t="s">
        <v>55</v>
      </c>
      <c r="B9">
        <v>2</v>
      </c>
    </row>
    <row r="10" spans="1:2" x14ac:dyDescent="0.3">
      <c r="A10" s="27" t="s">
        <v>41</v>
      </c>
      <c r="B10">
        <v>1</v>
      </c>
    </row>
    <row r="11" spans="1:2" x14ac:dyDescent="0.3">
      <c r="A11" s="27" t="s">
        <v>45</v>
      </c>
      <c r="B11">
        <v>1</v>
      </c>
    </row>
    <row r="12" spans="1:2" x14ac:dyDescent="0.3">
      <c r="A12" s="27" t="s">
        <v>38</v>
      </c>
      <c r="B12">
        <v>2</v>
      </c>
    </row>
    <row r="13" spans="1:2" x14ac:dyDescent="0.3">
      <c r="A13" s="27" t="s">
        <v>43</v>
      </c>
      <c r="B13">
        <v>1</v>
      </c>
    </row>
    <row r="14" spans="1:2" x14ac:dyDescent="0.3">
      <c r="A14" s="27" t="s">
        <v>59</v>
      </c>
      <c r="B14">
        <v>1</v>
      </c>
    </row>
    <row r="15" spans="1:2" x14ac:dyDescent="0.3">
      <c r="A15" s="27" t="s">
        <v>51</v>
      </c>
      <c r="B15">
        <v>1</v>
      </c>
    </row>
    <row r="16" spans="1:2" x14ac:dyDescent="0.3">
      <c r="A16" s="27" t="s">
        <v>74</v>
      </c>
      <c r="B16">
        <v>1</v>
      </c>
    </row>
    <row r="17" spans="1:2" x14ac:dyDescent="0.3">
      <c r="A17" s="27" t="s">
        <v>67</v>
      </c>
      <c r="B17">
        <v>1</v>
      </c>
    </row>
    <row r="18" spans="1:2" x14ac:dyDescent="0.3">
      <c r="A18" s="27" t="s">
        <v>57</v>
      </c>
      <c r="B18">
        <v>1</v>
      </c>
    </row>
    <row r="19" spans="1:2" x14ac:dyDescent="0.3">
      <c r="A19" s="27" t="s">
        <v>72</v>
      </c>
      <c r="B19">
        <v>1</v>
      </c>
    </row>
    <row r="20" spans="1:2" x14ac:dyDescent="0.3">
      <c r="A20" s="27" t="s">
        <v>78</v>
      </c>
      <c r="B20">
        <v>1</v>
      </c>
    </row>
    <row r="21" spans="1:2" x14ac:dyDescent="0.3">
      <c r="A21" s="27" t="s">
        <v>32</v>
      </c>
      <c r="B21">
        <v>1</v>
      </c>
    </row>
    <row r="22" spans="1:2" x14ac:dyDescent="0.3">
      <c r="A22" s="27" t="s">
        <v>65</v>
      </c>
      <c r="B22">
        <v>1</v>
      </c>
    </row>
    <row r="23" spans="1:2" x14ac:dyDescent="0.3">
      <c r="A23" s="27" t="s">
        <v>7</v>
      </c>
      <c r="B23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2A1C-15B3-4EFC-8316-BB0CD87A87F2}">
  <sheetPr>
    <tabColor rgb="FF00B050"/>
  </sheetPr>
  <dimension ref="A1:B4"/>
  <sheetViews>
    <sheetView workbookViewId="0">
      <selection activeCell="A2" sqref="A2"/>
    </sheetView>
  </sheetViews>
  <sheetFormatPr defaultRowHeight="14.4" x14ac:dyDescent="0.3"/>
  <cols>
    <col min="1" max="1" width="17.21875" bestFit="1" customWidth="1"/>
    <col min="2" max="2" width="8" bestFit="1" customWidth="1"/>
    <col min="3" max="3" width="17.77734375" bestFit="1" customWidth="1"/>
  </cols>
  <sheetData>
    <row r="1" spans="1:2" x14ac:dyDescent="0.3">
      <c r="A1" s="7" t="s">
        <v>5</v>
      </c>
      <c r="B1" s="2" t="s">
        <v>17</v>
      </c>
    </row>
    <row r="2" spans="1:2" x14ac:dyDescent="0.3">
      <c r="A2" s="27" t="s">
        <v>84</v>
      </c>
      <c r="B2" s="16">
        <v>0.08</v>
      </c>
    </row>
    <row r="3" spans="1:2" x14ac:dyDescent="0.3">
      <c r="A3" s="27" t="s">
        <v>21</v>
      </c>
      <c r="B3" s="16">
        <v>0.92</v>
      </c>
    </row>
    <row r="4" spans="1:2" x14ac:dyDescent="0.3">
      <c r="A4" s="27" t="s">
        <v>7</v>
      </c>
      <c r="B4" s="16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6A4D-0218-4D35-A9AD-5639619CA627}">
  <sheetPr>
    <tabColor rgb="FF00B050"/>
  </sheetPr>
  <dimension ref="A1:C4"/>
  <sheetViews>
    <sheetView workbookViewId="0">
      <selection activeCell="B14" sqref="B14"/>
    </sheetView>
  </sheetViews>
  <sheetFormatPr defaultRowHeight="14.4" x14ac:dyDescent="0.3"/>
  <cols>
    <col min="1" max="1" width="17.21875" bestFit="1" customWidth="1"/>
    <col min="2" max="2" width="16.6640625" bestFit="1" customWidth="1"/>
    <col min="3" max="3" width="8" bestFit="1" customWidth="1"/>
  </cols>
  <sheetData>
    <row r="1" spans="1:3" x14ac:dyDescent="0.3">
      <c r="A1" s="7" t="s">
        <v>5</v>
      </c>
      <c r="B1" t="s">
        <v>8</v>
      </c>
      <c r="C1" s="2" t="s">
        <v>17</v>
      </c>
    </row>
    <row r="2" spans="1:3" x14ac:dyDescent="0.3">
      <c r="A2" s="27" t="s">
        <v>84</v>
      </c>
      <c r="B2">
        <v>2</v>
      </c>
      <c r="C2" s="16">
        <v>0.08</v>
      </c>
    </row>
    <row r="3" spans="1:3" x14ac:dyDescent="0.3">
      <c r="A3" s="27" t="s">
        <v>21</v>
      </c>
      <c r="B3">
        <v>23</v>
      </c>
      <c r="C3" s="16">
        <v>0.92</v>
      </c>
    </row>
    <row r="4" spans="1:3" x14ac:dyDescent="0.3">
      <c r="A4" s="27" t="s">
        <v>7</v>
      </c>
      <c r="B4">
        <v>25</v>
      </c>
      <c r="C4" s="16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BADC-9F23-44CF-8735-32B088CDC405}">
  <dimension ref="A1:B6"/>
  <sheetViews>
    <sheetView workbookViewId="0">
      <selection activeCell="A2" sqref="A2:B2"/>
      <pivotSelection pane="bottomRight" showHeader="1" extendable="1" max="5" activeRow="1" click="1" r:id="rId1">
        <pivotArea dataOnly="0" fieldPosition="0">
          <references count="1">
            <reference field="4" count="1">
              <x v="15"/>
            </reference>
          </references>
        </pivotArea>
      </pivotSelection>
    </sheetView>
  </sheetViews>
  <sheetFormatPr defaultRowHeight="14.4" x14ac:dyDescent="0.3"/>
  <cols>
    <col min="1" max="1" width="17.21875" bestFit="1" customWidth="1"/>
    <col min="2" max="2" width="22.6640625" bestFit="1" customWidth="1"/>
    <col min="3" max="3" width="19.6640625" bestFit="1" customWidth="1"/>
  </cols>
  <sheetData>
    <row r="1" spans="1:2" x14ac:dyDescent="0.3">
      <c r="A1" s="7" t="s">
        <v>5</v>
      </c>
      <c r="B1" t="s">
        <v>22</v>
      </c>
    </row>
    <row r="2" spans="1:2" x14ac:dyDescent="0.3">
      <c r="A2" s="27" t="s">
        <v>0</v>
      </c>
      <c r="B2">
        <v>5</v>
      </c>
    </row>
    <row r="3" spans="1:2" x14ac:dyDescent="0.3">
      <c r="A3" s="27" t="s">
        <v>24</v>
      </c>
      <c r="B3">
        <v>10</v>
      </c>
    </row>
    <row r="4" spans="1:2" x14ac:dyDescent="0.3">
      <c r="A4" s="27" t="s">
        <v>33</v>
      </c>
      <c r="B4">
        <v>5</v>
      </c>
    </row>
    <row r="5" spans="1:2" x14ac:dyDescent="0.3">
      <c r="A5" s="27" t="s">
        <v>69</v>
      </c>
      <c r="B5">
        <v>5</v>
      </c>
    </row>
    <row r="6" spans="1:2" x14ac:dyDescent="0.3">
      <c r="A6" s="27" t="s">
        <v>7</v>
      </c>
      <c r="B6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47B19-F70C-49FF-B510-ED1B0B3C6890}">
  <dimension ref="A1:A2"/>
  <sheetViews>
    <sheetView workbookViewId="0">
      <selection activeCell="A2" sqref="A2"/>
    </sheetView>
  </sheetViews>
  <sheetFormatPr defaultRowHeight="14.4" x14ac:dyDescent="0.3"/>
  <cols>
    <col min="1" max="2" width="16.6640625" bestFit="1" customWidth="1"/>
    <col min="3" max="3" width="19.6640625" bestFit="1" customWidth="1"/>
  </cols>
  <sheetData>
    <row r="1" spans="1:1" x14ac:dyDescent="0.3">
      <c r="A1" t="s">
        <v>8</v>
      </c>
    </row>
    <row r="2" spans="1:1" x14ac:dyDescent="0.3">
      <c r="A2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16A0-333B-4B16-B84C-D189F11B2FBA}">
  <dimension ref="A3:B26"/>
  <sheetViews>
    <sheetView zoomScale="70" zoomScaleNormal="70" workbookViewId="0">
      <selection activeCell="A34" sqref="A34"/>
    </sheetView>
  </sheetViews>
  <sheetFormatPr defaultRowHeight="14.4" x14ac:dyDescent="0.3"/>
  <cols>
    <col min="1" max="1" width="76" bestFit="1" customWidth="1"/>
    <col min="2" max="2" width="34.44140625" bestFit="1" customWidth="1"/>
    <col min="3" max="3" width="62.33203125" bestFit="1" customWidth="1"/>
    <col min="4" max="4" width="68.5546875" bestFit="1" customWidth="1"/>
    <col min="5" max="5" width="63.109375" bestFit="1" customWidth="1"/>
    <col min="6" max="6" width="62" bestFit="1" customWidth="1"/>
    <col min="7" max="7" width="66.77734375" bestFit="1" customWidth="1"/>
    <col min="8" max="8" width="52.6640625" bestFit="1" customWidth="1"/>
    <col min="9" max="9" width="52.21875" bestFit="1" customWidth="1"/>
    <col min="10" max="10" width="50.77734375" bestFit="1" customWidth="1"/>
    <col min="11" max="11" width="70.5546875" bestFit="1" customWidth="1"/>
    <col min="12" max="12" width="55.6640625" bestFit="1" customWidth="1"/>
    <col min="13" max="13" width="61.88671875" bestFit="1" customWidth="1"/>
    <col min="14" max="14" width="53" bestFit="1" customWidth="1"/>
    <col min="15" max="15" width="48.5546875" bestFit="1" customWidth="1"/>
    <col min="16" max="16" width="73.88671875" bestFit="1" customWidth="1"/>
    <col min="17" max="17" width="69.109375" bestFit="1" customWidth="1"/>
    <col min="18" max="18" width="58.33203125" bestFit="1" customWidth="1"/>
    <col min="19" max="19" width="64.21875" bestFit="1" customWidth="1"/>
    <col min="20" max="20" width="67.88671875" bestFit="1" customWidth="1"/>
    <col min="21" max="21" width="60" bestFit="1" customWidth="1"/>
    <col min="22" max="22" width="54.6640625" bestFit="1" customWidth="1"/>
    <col min="23" max="23" width="6.6640625" bestFit="1" customWidth="1"/>
    <col min="24" max="24" width="10.44140625" bestFit="1" customWidth="1"/>
  </cols>
  <sheetData>
    <row r="3" spans="1:2" x14ac:dyDescent="0.3">
      <c r="A3" s="7" t="s">
        <v>5</v>
      </c>
      <c r="B3" t="s">
        <v>82</v>
      </c>
    </row>
    <row r="4" spans="1:2" x14ac:dyDescent="0.3">
      <c r="A4" s="27" t="s">
        <v>48</v>
      </c>
      <c r="B4">
        <v>1</v>
      </c>
    </row>
    <row r="5" spans="1:2" x14ac:dyDescent="0.3">
      <c r="A5" s="27" t="s">
        <v>53</v>
      </c>
      <c r="B5">
        <v>1</v>
      </c>
    </row>
    <row r="6" spans="1:2" x14ac:dyDescent="0.3">
      <c r="A6" s="27" t="s">
        <v>80</v>
      </c>
      <c r="B6">
        <v>1</v>
      </c>
    </row>
    <row r="7" spans="1:2" x14ac:dyDescent="0.3">
      <c r="A7" s="27" t="s">
        <v>76</v>
      </c>
      <c r="B7">
        <v>1</v>
      </c>
    </row>
    <row r="8" spans="1:2" x14ac:dyDescent="0.3">
      <c r="A8" s="27" t="s">
        <v>63</v>
      </c>
      <c r="B8">
        <v>1</v>
      </c>
    </row>
    <row r="9" spans="1:2" x14ac:dyDescent="0.3">
      <c r="A9" s="27" t="s">
        <v>28</v>
      </c>
      <c r="B9">
        <v>2</v>
      </c>
    </row>
    <row r="10" spans="1:2" x14ac:dyDescent="0.3">
      <c r="A10" s="27" t="s">
        <v>36</v>
      </c>
      <c r="B10">
        <v>2</v>
      </c>
    </row>
    <row r="11" spans="1:2" x14ac:dyDescent="0.3">
      <c r="A11" s="27" t="s">
        <v>55</v>
      </c>
      <c r="B11">
        <v>2</v>
      </c>
    </row>
    <row r="12" spans="1:2" x14ac:dyDescent="0.3">
      <c r="A12" s="27" t="s">
        <v>41</v>
      </c>
      <c r="B12">
        <v>1</v>
      </c>
    </row>
    <row r="13" spans="1:2" x14ac:dyDescent="0.3">
      <c r="A13" s="27" t="s">
        <v>45</v>
      </c>
      <c r="B13">
        <v>1</v>
      </c>
    </row>
    <row r="14" spans="1:2" x14ac:dyDescent="0.3">
      <c r="A14" s="27" t="s">
        <v>38</v>
      </c>
      <c r="B14">
        <v>2</v>
      </c>
    </row>
    <row r="15" spans="1:2" x14ac:dyDescent="0.3">
      <c r="A15" s="27" t="s">
        <v>43</v>
      </c>
      <c r="B15">
        <v>1</v>
      </c>
    </row>
    <row r="16" spans="1:2" x14ac:dyDescent="0.3">
      <c r="A16" s="27" t="s">
        <v>59</v>
      </c>
      <c r="B16">
        <v>1</v>
      </c>
    </row>
    <row r="17" spans="1:2" x14ac:dyDescent="0.3">
      <c r="A17" s="27" t="s">
        <v>51</v>
      </c>
      <c r="B17">
        <v>1</v>
      </c>
    </row>
    <row r="18" spans="1:2" x14ac:dyDescent="0.3">
      <c r="A18" s="27" t="s">
        <v>74</v>
      </c>
      <c r="B18">
        <v>1</v>
      </c>
    </row>
    <row r="19" spans="1:2" x14ac:dyDescent="0.3">
      <c r="A19" s="27" t="s">
        <v>67</v>
      </c>
      <c r="B19">
        <v>1</v>
      </c>
    </row>
    <row r="20" spans="1:2" x14ac:dyDescent="0.3">
      <c r="A20" s="27" t="s">
        <v>57</v>
      </c>
      <c r="B20">
        <v>1</v>
      </c>
    </row>
    <row r="21" spans="1:2" x14ac:dyDescent="0.3">
      <c r="A21" s="27" t="s">
        <v>72</v>
      </c>
      <c r="B21">
        <v>1</v>
      </c>
    </row>
    <row r="22" spans="1:2" x14ac:dyDescent="0.3">
      <c r="A22" s="27" t="s">
        <v>78</v>
      </c>
      <c r="B22">
        <v>1</v>
      </c>
    </row>
    <row r="23" spans="1:2" x14ac:dyDescent="0.3">
      <c r="A23" s="27" t="s">
        <v>32</v>
      </c>
      <c r="B23">
        <v>1</v>
      </c>
    </row>
    <row r="24" spans="1:2" x14ac:dyDescent="0.3">
      <c r="A24" s="27" t="s">
        <v>65</v>
      </c>
      <c r="B24">
        <v>1</v>
      </c>
    </row>
    <row r="25" spans="1:2" x14ac:dyDescent="0.3">
      <c r="A25" s="27" t="s">
        <v>6</v>
      </c>
    </row>
    <row r="26" spans="1:2" x14ac:dyDescent="0.3">
      <c r="A26" s="27" t="s">
        <v>7</v>
      </c>
      <c r="B26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490D-774E-4F7D-BE7F-F6201BFF658A}">
  <dimension ref="A1:B5"/>
  <sheetViews>
    <sheetView workbookViewId="0">
      <selection activeCell="A3" sqref="A3"/>
    </sheetView>
  </sheetViews>
  <sheetFormatPr defaultRowHeight="14.4" x14ac:dyDescent="0.3"/>
  <cols>
    <col min="1" max="1" width="17.21875" bestFit="1" customWidth="1"/>
    <col min="2" max="2" width="28.77734375" bestFit="1" customWidth="1"/>
    <col min="3" max="3" width="18.6640625" bestFit="1" customWidth="1"/>
  </cols>
  <sheetData>
    <row r="1" spans="1:2" x14ac:dyDescent="0.3">
      <c r="A1" s="7" t="s">
        <v>5</v>
      </c>
      <c r="B1" t="s">
        <v>81</v>
      </c>
    </row>
    <row r="2" spans="1:2" x14ac:dyDescent="0.3">
      <c r="A2" s="27" t="s">
        <v>31</v>
      </c>
      <c r="B2">
        <v>8</v>
      </c>
    </row>
    <row r="3" spans="1:2" x14ac:dyDescent="0.3">
      <c r="A3" s="27" t="s">
        <v>27</v>
      </c>
      <c r="B3">
        <v>13</v>
      </c>
    </row>
    <row r="4" spans="1:2" x14ac:dyDescent="0.3">
      <c r="A4" s="27" t="s">
        <v>68</v>
      </c>
      <c r="B4">
        <v>4</v>
      </c>
    </row>
    <row r="5" spans="1:2" x14ac:dyDescent="0.3">
      <c r="A5" s="27" t="s">
        <v>7</v>
      </c>
      <c r="B5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2308-EB1E-4BA4-A4B1-E0E59A69FA52}">
  <sheetPr>
    <tabColor rgb="FF00B050"/>
  </sheetPr>
  <dimension ref="A1:B9"/>
  <sheetViews>
    <sheetView workbookViewId="0">
      <selection activeCell="N15" sqref="N15"/>
    </sheetView>
  </sheetViews>
  <sheetFormatPr defaultRowHeight="14.4" x14ac:dyDescent="0.3"/>
  <cols>
    <col min="1" max="1" width="17.21875" bestFit="1" customWidth="1"/>
    <col min="2" max="3" width="21.5546875" bestFit="1" customWidth="1"/>
  </cols>
  <sheetData>
    <row r="1" spans="1:2" x14ac:dyDescent="0.3">
      <c r="A1" s="7" t="s">
        <v>5</v>
      </c>
      <c r="B1" t="s">
        <v>12</v>
      </c>
    </row>
    <row r="2" spans="1:2" x14ac:dyDescent="0.3">
      <c r="A2" s="27" t="s">
        <v>85</v>
      </c>
      <c r="B2" s="16">
        <v>0.04</v>
      </c>
    </row>
    <row r="3" spans="1:2" x14ac:dyDescent="0.3">
      <c r="A3" s="27" t="s">
        <v>86</v>
      </c>
      <c r="B3" s="16">
        <v>0.04</v>
      </c>
    </row>
    <row r="4" spans="1:2" x14ac:dyDescent="0.3">
      <c r="A4" s="27" t="s">
        <v>23</v>
      </c>
      <c r="B4" s="16">
        <v>0.04</v>
      </c>
    </row>
    <row r="5" spans="1:2" x14ac:dyDescent="0.3">
      <c r="A5" s="27" t="s">
        <v>20</v>
      </c>
      <c r="B5" s="16">
        <v>0.12</v>
      </c>
    </row>
    <row r="6" spans="1:2" x14ac:dyDescent="0.3">
      <c r="A6" s="27" t="s">
        <v>19</v>
      </c>
      <c r="B6" s="16">
        <v>0.2</v>
      </c>
    </row>
    <row r="7" spans="1:2" x14ac:dyDescent="0.3">
      <c r="A7" s="27" t="s">
        <v>18</v>
      </c>
      <c r="B7" s="16">
        <v>0.28000000000000003</v>
      </c>
    </row>
    <row r="8" spans="1:2" x14ac:dyDescent="0.3">
      <c r="A8" s="27" t="s">
        <v>39</v>
      </c>
      <c r="B8" s="16">
        <v>0.28000000000000003</v>
      </c>
    </row>
    <row r="9" spans="1:2" x14ac:dyDescent="0.3">
      <c r="A9" s="27" t="s">
        <v>7</v>
      </c>
      <c r="B9" s="16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BC15-D161-43F4-B79A-14C9C5122A98}">
  <sheetPr>
    <tabColor rgb="FF00B050"/>
  </sheetPr>
  <dimension ref="A1:B9"/>
  <sheetViews>
    <sheetView workbookViewId="0">
      <selection activeCell="A4" sqref="A4"/>
    </sheetView>
  </sheetViews>
  <sheetFormatPr defaultRowHeight="14.4" x14ac:dyDescent="0.3"/>
  <cols>
    <col min="1" max="1" width="17.21875" bestFit="1" customWidth="1"/>
    <col min="2" max="2" width="20.44140625" bestFit="1" customWidth="1"/>
    <col min="3" max="3" width="21.5546875" bestFit="1" customWidth="1"/>
  </cols>
  <sheetData>
    <row r="1" spans="1:2" x14ac:dyDescent="0.3">
      <c r="A1" s="7" t="s">
        <v>5</v>
      </c>
      <c r="B1" t="s">
        <v>11</v>
      </c>
    </row>
    <row r="2" spans="1:2" x14ac:dyDescent="0.3">
      <c r="A2" s="27" t="s">
        <v>85</v>
      </c>
      <c r="B2">
        <v>1</v>
      </c>
    </row>
    <row r="3" spans="1:2" x14ac:dyDescent="0.3">
      <c r="A3" s="27" t="s">
        <v>86</v>
      </c>
      <c r="B3">
        <v>1</v>
      </c>
    </row>
    <row r="4" spans="1:2" x14ac:dyDescent="0.3">
      <c r="A4" s="27" t="s">
        <v>23</v>
      </c>
      <c r="B4">
        <v>1</v>
      </c>
    </row>
    <row r="5" spans="1:2" x14ac:dyDescent="0.3">
      <c r="A5" s="27" t="s">
        <v>20</v>
      </c>
      <c r="B5">
        <v>3</v>
      </c>
    </row>
    <row r="6" spans="1:2" x14ac:dyDescent="0.3">
      <c r="A6" s="27" t="s">
        <v>19</v>
      </c>
      <c r="B6">
        <v>5</v>
      </c>
    </row>
    <row r="7" spans="1:2" x14ac:dyDescent="0.3">
      <c r="A7" s="27" t="s">
        <v>18</v>
      </c>
      <c r="B7">
        <v>7</v>
      </c>
    </row>
    <row r="8" spans="1:2" x14ac:dyDescent="0.3">
      <c r="A8" s="27" t="s">
        <v>39</v>
      </c>
      <c r="B8">
        <v>7</v>
      </c>
    </row>
    <row r="9" spans="1:2" x14ac:dyDescent="0.3">
      <c r="A9" s="27" t="s">
        <v>7</v>
      </c>
      <c r="B9">
        <v>25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2</vt:i4>
      </vt:variant>
    </vt:vector>
  </HeadingPairs>
  <TitlesOfParts>
    <vt:vector size="25" baseType="lpstr">
      <vt:lpstr>ÁREA_PROCESSO</vt:lpstr>
      <vt:lpstr>ÁREA </vt:lpstr>
      <vt:lpstr>UNIDADE</vt:lpstr>
      <vt:lpstr>PENDÊNCIAS_FINANCEIRO</vt:lpstr>
      <vt:lpstr>FILTRO DE UNIDADE</vt:lpstr>
      <vt:lpstr>PENDÊNCIAS_FATURAMENTO</vt:lpstr>
      <vt:lpstr>DASHBOARD_FINANCEIRO</vt:lpstr>
      <vt:lpstr>DASHBOARD_FATURAMENTO</vt:lpstr>
      <vt:lpstr>PENDÊNCIA (FATURAMENTO) </vt:lpstr>
      <vt:lpstr>SEMANA (FATURAMENTO) </vt:lpstr>
      <vt:lpstr>MÊS (FATURAMENTO)</vt:lpstr>
      <vt:lpstr>FATURAMENTO</vt:lpstr>
      <vt:lpstr>UNIDADE (FATURAMENTO) </vt:lpstr>
      <vt:lpstr>PROFISIONAL (FATURAMENTO)</vt:lpstr>
      <vt:lpstr>COMENTÁRIOS (FATURAMENTO)</vt:lpstr>
      <vt:lpstr>MÊS (2)</vt:lpstr>
      <vt:lpstr>MÊS</vt:lpstr>
      <vt:lpstr>PROFISSIONAL (2)</vt:lpstr>
      <vt:lpstr>PROFISSIONAL</vt:lpstr>
      <vt:lpstr>COMENTÁRIOS</vt:lpstr>
      <vt:lpstr>UNIDADE 2</vt:lpstr>
      <vt:lpstr>SEMANA (2)</vt:lpstr>
      <vt:lpstr>SEMANA</vt:lpstr>
      <vt:lpstr>DASHBOARD_FATURAMENTO!Area_de_impressao</vt:lpstr>
      <vt:lpstr>DASHBOARD_FINANCEIRO!Area_de_impressao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Franciele Klaumann</dc:creator>
  <cp:lastModifiedBy>Franciele Klaumann</cp:lastModifiedBy>
  <cp:lastPrinted>2025-06-08T17:37:16Z</cp:lastPrinted>
  <dcterms:created xsi:type="dcterms:W3CDTF">2025-05-21T21:35:08Z</dcterms:created>
  <dcterms:modified xsi:type="dcterms:W3CDTF">2025-06-08T17:44:57Z</dcterms:modified>
</cp:coreProperties>
</file>