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ele Klaumann\Desktop\"/>
    </mc:Choice>
  </mc:AlternateContent>
  <xr:revisionPtr revIDLastSave="0" documentId="13_ncr:1_{6ED63C30-47A0-47D9-A2AE-B61638AB524D}" xr6:coauthVersionLast="47" xr6:coauthVersionMax="47" xr10:uidLastSave="{00000000-0000-0000-0000-000000000000}"/>
  <bookViews>
    <workbookView xWindow="-108" yWindow="-108" windowWidth="23256" windowHeight="12456" xr2:uid="{2F5AB280-D5E3-4B70-94EA-1B3EA6F645ED}"/>
  </bookViews>
  <sheets>
    <sheet name="CONTAS A PAGAR" sheetId="4" r:id="rId1"/>
  </sheets>
  <definedNames>
    <definedName name="_xlnm._FilterDatabase" localSheetId="0" hidden="1">'CONTAS A PAGAR'!$C$73:$E$73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4" i="4" l="1"/>
  <c r="G116" i="4"/>
  <c r="G117" i="4"/>
  <c r="G118" i="4"/>
  <c r="G119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27" i="4"/>
  <c r="G28" i="4"/>
  <c r="G74" i="4"/>
  <c r="G48" i="4"/>
  <c r="G46" i="4"/>
  <c r="J34" i="4"/>
  <c r="C23" i="4"/>
  <c r="K27" i="4" l="1"/>
  <c r="K28" i="4"/>
  <c r="K29" i="4"/>
  <c r="K30" i="4"/>
  <c r="K32" i="4" l="1"/>
</calcChain>
</file>

<file path=xl/sharedStrings.xml><?xml version="1.0" encoding="utf-8"?>
<sst xmlns="http://schemas.openxmlformats.org/spreadsheetml/2006/main" count="166" uniqueCount="108">
  <si>
    <t>Atividades Diária</t>
  </si>
  <si>
    <t>2ª</t>
  </si>
  <si>
    <t>3ª</t>
  </si>
  <si>
    <t>4ª</t>
  </si>
  <si>
    <t>5ª</t>
  </si>
  <si>
    <t>6ª</t>
  </si>
  <si>
    <t>Frequência</t>
  </si>
  <si>
    <t>Diária</t>
  </si>
  <si>
    <t>Semanal</t>
  </si>
  <si>
    <t>Atividades</t>
  </si>
  <si>
    <t>Mensal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</si>
  <si>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</si>
  <si>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</si>
  <si>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</si>
  <si>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</si>
  <si>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</si>
  <si>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</si>
  <si>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</si>
  <si>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</si>
  <si>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</si>
  <si>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</si>
  <si>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</si>
  <si>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</si>
  <si>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</si>
  <si>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</si>
  <si>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</si>
  <si>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</si>
  <si>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</si>
  <si>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</si>
  <si>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</si>
  <si>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</si>
  <si>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</si>
  <si>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</si>
  <si>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</si>
  <si>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</si>
  <si>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</si>
  <si>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</si>
  <si>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</si>
  <si>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</si>
  <si>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31</t>
  </si>
  <si>
    <t xml:space="preserve">Atividades </t>
  </si>
  <si>
    <t>Variável</t>
  </si>
  <si>
    <t>Identificar oportunidades de descontos financeiros para clientes estratégicos</t>
  </si>
  <si>
    <t>Elabora programas de incentivos para clientes que pagam antes do vencimento</t>
  </si>
  <si>
    <t>Comparar taxas de juros de bancos e fintechs para otimizar recebíveis</t>
  </si>
  <si>
    <t>Concluída</t>
  </si>
  <si>
    <t>Em Andamento</t>
  </si>
  <si>
    <t>Status</t>
  </si>
  <si>
    <t>Pendente</t>
  </si>
  <si>
    <t>Em Atraso</t>
  </si>
  <si>
    <t>DATA ATUAL</t>
  </si>
  <si>
    <t>Quant.</t>
  </si>
  <si>
    <t>Total de Tarefas</t>
  </si>
  <si>
    <t>Comparar receitas planejadas x realizadas</t>
  </si>
  <si>
    <t>Atualizar e validar projeções financeiras para próximas semanas</t>
  </si>
  <si>
    <t>Revisar e ajustar provisões financeiras</t>
  </si>
  <si>
    <t>Preparar previsão de caixa para o próximo mês</t>
  </si>
  <si>
    <t>Verificar conformidade das notas fiscais emitidas</t>
  </si>
  <si>
    <t>Atualizar manuais e procedimentos financeiros</t>
  </si>
  <si>
    <t xml:space="preserve">CONTROLE DE TAREFAS </t>
  </si>
  <si>
    <t>Realizar conciliação bancária</t>
  </si>
  <si>
    <t>Acompanhar e cobrar clientes inadimplentes</t>
  </si>
  <si>
    <t>Lançar e conferir recebimentos</t>
  </si>
  <si>
    <t>Atualizar fluxo de caixa</t>
  </si>
  <si>
    <t>Responder e-mails e atender solicitações financeiras</t>
  </si>
  <si>
    <t>Monitorar limites de crédito e aprovações</t>
  </si>
  <si>
    <t>Acompanhar tickets e chamados relacionados a dúvidas financeiras, garantindo resolução dentro do prazo.</t>
  </si>
  <si>
    <t>Analisar Aging List e propor ações de cobrança</t>
  </si>
  <si>
    <t>Revisar contratos e prazos de pagamento com clientes, identificando possíveis negociações</t>
  </si>
  <si>
    <t>Revisar descontos e abatimentos concedidos</t>
  </si>
  <si>
    <t>Atualizar relatórios de inadimplência</t>
  </si>
  <si>
    <t>Ajustar previsoes de recebimentos com base nas atualiaçoes de vendas e inadimplência</t>
  </si>
  <si>
    <t>Analisar fluxo de caixa projetado para a semana</t>
  </si>
  <si>
    <t>Verificar pendências de recebimentos e inadimplência</t>
  </si>
  <si>
    <t>Realizar a atualização e conferência de cadastro de clientes e dados bancários</t>
  </si>
  <si>
    <t>Preparar relatórios de performance financeira</t>
  </si>
  <si>
    <t>Revisar carteira de clientes e identificar oportunidade de antecipação</t>
  </si>
  <si>
    <t>Verificar a performace das açoes de cobrança, propondo melhorias</t>
  </si>
  <si>
    <t>Realizar follow-up com clientes que posuem títulos proximos do vencimento</t>
  </si>
  <si>
    <t>Analisar Variaços do flux de caixa e ivestigar desvios</t>
  </si>
  <si>
    <t>Verificar e ajustar os processos de integraçãode novos clientes no sistema financeiro</t>
  </si>
  <si>
    <t>Fechamento mensal do Contas a Receber</t>
  </si>
  <si>
    <t>Gerar e analisar DRE</t>
  </si>
  <si>
    <t>Revisar e apresentar indicadores financeiros</t>
  </si>
  <si>
    <t>Emitir e conferir boletos para clientes</t>
  </si>
  <si>
    <t>Acompanhar variação do saldo bancário</t>
  </si>
  <si>
    <t>Validar recebimentos de contratos recorrentes</t>
  </si>
  <si>
    <t>Analisar impacto de inadimplência no resultado</t>
  </si>
  <si>
    <t>Revisar e negociar taxas bancárias</t>
  </si>
  <si>
    <t>Conferir e ajustar classificação contábil</t>
  </si>
  <si>
    <t>Gerar relatórios de recebíveis futuros</t>
  </si>
  <si>
    <t>Elaborar apresentações para diretoria</t>
  </si>
  <si>
    <t>Acompanhar indicadores de turnover de clientes</t>
  </si>
  <si>
    <t>Revisar políticas de crédito e cobrança</t>
  </si>
  <si>
    <t>Realizar treinamento interno sobre boas práticas financeiras</t>
  </si>
  <si>
    <t>Revisar contratos de clientes e cláusulas de pagamento</t>
  </si>
  <si>
    <t>Acompanhar tendências de mercado e impacto financeiro</t>
  </si>
  <si>
    <t>Gerar insights para melhorias no fluxo financeiro</t>
  </si>
  <si>
    <t>Realizar auditoria interna de contas a receber</t>
  </si>
  <si>
    <t>Avaliar eficiência dos métodos de cobrança</t>
  </si>
  <si>
    <t>Criar planos de ação para redução de inadimplência</t>
  </si>
  <si>
    <t>Gerar relatório de clientes com histórico crítico</t>
  </si>
  <si>
    <t>Analisar impacto das variações cambiais</t>
  </si>
  <si>
    <t>Acompanhar mudanças regulatórias que impactam recebíveis</t>
  </si>
  <si>
    <t>Avaliar impacto de sazonalidade nas receitas</t>
  </si>
  <si>
    <t>Revisar processos automatizados de cobrança</t>
  </si>
  <si>
    <t>Revisar processos de Análise de crédito</t>
  </si>
  <si>
    <t xml:space="preserve">Apresentar insights financeiros para  demosntrando têndencias de riscos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</si>
</sst>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24"/>
      <color rgb="FFFFC000"/>
      <name val="Segoe UI"/>
      <family val="2"/>
    </font>
    <font>
      <b/>
      <sz val="24"/>
      <color theme="1"/>
      <name val="Segoe UI"/>
      <family val="2"/>
    </font>
    <font>
      <b/>
      <sz val="9"/>
      <color theme="0"/>
      <name val="Calibri"/>
      <family val="2"/>
      <scheme val="minor"/>
    </font>
    <font>
      <sz val="11"/>
      <color rgb="FFFFC000"/>
      <name val="Calibri"/>
      <family val="2"/>
      <scheme val="minor"/>
    </font>
    <font>
      <sz val="10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A1347"/>
        <bgColor indexed="64"/>
      </patternFill>
    </fill>
    <fill>
      <patternFill patternType="solid">
        <fgColor rgb="FFF1B7EA"/>
        <bgColor indexed="64"/>
      </patternFill>
    </fill>
    <fill>
      <patternFill patternType="solid">
        <fgColor rgb="FFFFD96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34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" fillId="3" borderId="2" xfId="0" quotePrefix="1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/>
    <xf numFmtId="0" fontId="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0" fillId="2" borderId="2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6429C4AB-6D61-4AD3-9476-76E3FEA09FEA}"/>
    <cellStyle name="Normal 3" xfId="1" xr:uid="{6F469C82-4B0C-491C-AD2B-7F763A9D5921}"/>
  </cellStyles>
  <dxfs count="5">
    <dxf>
      <font>
        <color rgb="FF174940"/>
      </font>
    </dxf>
    <dxf>
      <font>
        <b/>
        <i val="0"/>
        <color rgb="FF22822E"/>
      </font>
    </dxf>
    <dxf>
      <font>
        <b/>
        <i val="0"/>
        <color theme="5"/>
      </font>
    </dxf>
    <dxf>
      <font>
        <b/>
        <i val="0"/>
        <color rgb="FF4F80E2"/>
      </font>
    </dxf>
    <dxf>
      <font>
        <b/>
        <i val="0"/>
        <color rgb="FFE93558"/>
      </font>
    </dxf>
  </dxfs>
  <tableStyles count="0" defaultTableStyle="TableStyleMedium2" defaultPivotStyle="PivotStyleLight16"/>
  <colors>
    <mruColors>
      <color rgb="FF1A1347"/>
      <color rgb="FFFFD966"/>
      <color rgb="FFC6EFCE"/>
      <color rgb="FFE63946"/>
      <color rgb="FFF1B7EA"/>
      <color rgb="FF662549"/>
      <color rgb="FF451952"/>
      <color rgb="FF413F8A"/>
      <color rgb="FF7C58AA"/>
      <color rgb="FFE8BC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384778440780834"/>
          <c:y val="0.1001534712695519"/>
          <c:w val="0.34052965059055118"/>
          <c:h val="0.8322252081258338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92-4602-9D0B-0F170DDC5C1E}"/>
              </c:ext>
            </c:extLst>
          </c:dPt>
          <c:dPt>
            <c:idx val="1"/>
            <c:bubble3D val="0"/>
            <c:spPr>
              <a:solidFill>
                <a:srgbClr val="F39F5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92-4602-9D0B-0F170DDC5C1E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92-4602-9D0B-0F170DDC5C1E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92-4602-9D0B-0F170DDC5C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'CONTAS A PAGAR'!$J$27:$J$30</c:f>
              <c:strCache>
                <c:ptCount val="4"/>
                <c:pt idx="0">
                  <c:v>Concluída</c:v>
                </c:pt>
                <c:pt idx="1">
                  <c:v>Em Andamento</c:v>
                </c:pt>
                <c:pt idx="2">
                  <c:v>Pendente</c:v>
                </c:pt>
                <c:pt idx="3">
                  <c:v>Em Atraso</c:v>
                </c:pt>
              </c:strCache>
            </c:strRef>
          </c:cat>
          <c:val>
            <c:numRef>
              <c:f>'CONTAS A PAGAR'!$K$27:$K$30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92-4602-9D0B-0F170DDC5C1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48564632545932"/>
          <c:y val="0.35598350027248982"/>
          <c:w val="0.22052663486709917"/>
          <c:h val="0.28007695698087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3017520</xdr:colOff>
      <xdr:row>7</xdr:row>
      <xdr:rowOff>76200</xdr:rowOff>
    </xdr:from>
    <xdr:to>
      <xdr:col>4</xdr:col>
      <xdr:colOff>975360</xdr:colOff>
      <xdr:row>23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2CAB2B-9C45-4E9E-AA3D-6A6305DF2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228599</xdr:colOff>
      <xdr:row>18</xdr:row>
      <xdr:rowOff>23620</xdr:rowOff>
    </xdr:from>
    <xdr:to>
      <xdr:col>2</xdr:col>
      <xdr:colOff>812800</xdr:colOff>
      <xdr:row>20</xdr:row>
      <xdr:rowOff>152061</xdr:rowOff>
    </xdr:to>
    <xdr:pic>
      <xdr:nvPicPr>
        <xdr:cNvPr id="3" name="Elemento gráfico 40" descr="Calendário diário">
          <a:extLst>
            <a:ext uri="{FF2B5EF4-FFF2-40B4-BE49-F238E27FC236}">
              <a16:creationId xmlns:a16="http://schemas.microsoft.com/office/drawing/2014/main" id="{90069BBF-E65E-4B9F-93AB-C9E48FAA2395}"/>
            </a:ext>
            <a:ext uri="{147F2762-F138-4A5C-976F-8EAC2B608ADB}">
              <a16:predDERef xmlns:a16="http://schemas.microsoft.com/office/drawing/2014/main" pred="{65337146-E2B8-4A38-8C39-9805A75B3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799" y="3345940"/>
          <a:ext cx="584201" cy="494201"/>
        </a:xfrm>
        <a:prstGeom prst="rect">
          <a:avLst/>
        </a:prstGeom>
      </xdr:spPr>
    </xdr:pic>
    <xdr:clientData/>
  </xdr:twoCellAnchor>
  <xdr:twoCellAnchor>
    <xdr:from>
      <xdr:col>2</xdr:col>
      <xdr:colOff>699247</xdr:colOff>
      <xdr:row>11</xdr:row>
      <xdr:rowOff>143396</xdr:rowOff>
    </xdr:from>
    <xdr:to>
      <xdr:col>3</xdr:col>
      <xdr:colOff>2842260</xdr:colOff>
      <xdr:row>15</xdr:row>
      <xdr:rowOff>160020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F19C3BC-6870-4160-BEFB-3621BE87D542}"/>
            </a:ext>
          </a:extLst>
        </xdr:cNvPr>
        <xdr:cNvSpPr txBox="1"/>
      </xdr:nvSpPr>
      <xdr:spPr>
        <a:xfrm>
          <a:off x="1918447" y="2185556"/>
          <a:ext cx="3331733" cy="748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de Tarefas</a:t>
          </a:r>
          <a:r>
            <a:rPr lang="pt-BR" sz="2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2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514694</xdr:colOff>
      <xdr:row>14</xdr:row>
      <xdr:rowOff>166256</xdr:rowOff>
    </xdr:from>
    <xdr:to>
      <xdr:col>3</xdr:col>
      <xdr:colOff>1436021</xdr:colOff>
      <xdr:row>18</xdr:row>
      <xdr:rowOff>71718</xdr:rowOff>
    </xdr:to>
    <xdr:sp macro="" textlink="$J$34">
      <xdr:nvSpPr>
        <xdr:cNvPr id="5" name="CaixaDeTexto 4">
          <a:extLst>
            <a:ext uri="{FF2B5EF4-FFF2-40B4-BE49-F238E27FC236}">
              <a16:creationId xmlns:a16="http://schemas.microsoft.com/office/drawing/2014/main" id="{D1FDDFEC-0A31-49A8-852D-8F452BAF1DF0}"/>
            </a:ext>
          </a:extLst>
        </xdr:cNvPr>
        <xdr:cNvSpPr txBox="1"/>
      </xdr:nvSpPr>
      <xdr:spPr>
        <a:xfrm>
          <a:off x="2922614" y="2757056"/>
          <a:ext cx="921327" cy="636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EEACD04-2A79-4D21-B5A7-6EFDA15FEEB0}" type="TxLink">
            <a:rPr lang="en-US" sz="48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57</a:t>
          </a:fld>
          <a:endParaRPr lang="pt-BR" sz="4400" b="1">
            <a:solidFill>
              <a:schemeClr val="bg1"/>
            </a:solidFill>
            <a:latin typeface="Segoe UI" panose="020B0502040204020203" pitchFamily="34" charset="0"/>
            <a:ea typeface="Yu Gothic" panose="020B0400000000000000" pitchFamily="34" charset="-128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779958</xdr:colOff>
      <xdr:row>9</xdr:row>
      <xdr:rowOff>63092</xdr:rowOff>
    </xdr:from>
    <xdr:to>
      <xdr:col>3</xdr:col>
      <xdr:colOff>1339947</xdr:colOff>
      <xdr:row>12</xdr:row>
      <xdr:rowOff>74118</xdr:rowOff>
    </xdr:to>
    <xdr:pic>
      <xdr:nvPicPr>
        <xdr:cNvPr id="6" name="Elemento gráfico 17" descr="Apresentação com a lista de verificação">
          <a:extLst>
            <a:ext uri="{FF2B5EF4-FFF2-40B4-BE49-F238E27FC236}">
              <a16:creationId xmlns:a16="http://schemas.microsoft.com/office/drawing/2014/main" id="{E1C1E126-E404-4358-9201-5B03FA35D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187878" y="1739492"/>
          <a:ext cx="559989" cy="559666"/>
        </a:xfrm>
        <a:prstGeom prst="rect">
          <a:avLst/>
        </a:prstGeom>
      </xdr:spPr>
    </xdr:pic>
    <xdr:clientData/>
  </xdr:twoCellAnchor>
  <xdr:twoCellAnchor>
    <xdr:from>
      <xdr:col>3</xdr:col>
      <xdr:colOff>9412941</xdr:colOff>
      <xdr:row>9</xdr:row>
      <xdr:rowOff>170329</xdr:rowOff>
    </xdr:from>
    <xdr:to>
      <xdr:col>4</xdr:col>
      <xdr:colOff>125506</xdr:colOff>
      <xdr:row>12</xdr:row>
      <xdr:rowOff>116541</xdr:rowOff>
    </xdr:to>
    <xdr:sp macro="" textlink="$K$32">
      <xdr:nvSpPr>
        <xdr:cNvPr id="7" name="CaixaDeTexto 6">
          <a:extLst>
            <a:ext uri="{FF2B5EF4-FFF2-40B4-BE49-F238E27FC236}">
              <a16:creationId xmlns:a16="http://schemas.microsoft.com/office/drawing/2014/main" id="{63DB00DD-7EAD-4E8A-A96B-4C723EC3E500}"/>
            </a:ext>
          </a:extLst>
        </xdr:cNvPr>
        <xdr:cNvSpPr txBox="1"/>
      </xdr:nvSpPr>
      <xdr:spPr>
        <a:xfrm>
          <a:off x="11820861" y="1846729"/>
          <a:ext cx="923365" cy="4948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2F69201-E3C3-4504-9C09-944E8C0A24E5}" type="TxLink">
            <a:rPr lang="en-US" sz="4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7</a:t>
          </a:fld>
          <a:endParaRPr lang="pt-BR" sz="48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5C7B-DC55-46C4-B05A-AF89450C1699}">
  <dimension ref="A1:L124"/>
  <sheetViews>
    <sheetView showGridLines="0" showRowColHeaders="0" tabSelected="1" zoomScale="85" zoomScaleNormal="85" workbookViewId="0">
      <selection sqref="A1:G4"/>
    </sheetView>
  </sheetViews>
  <sheetFormatPr defaultColWidth="0" defaultRowHeight="14.4" customHeight="1" zeroHeight="1" x14ac:dyDescent="0.3"/>
  <cols>
    <col min="1" max="2" width="8.88671875" style="1" customWidth="1"/>
    <col min="3" max="3" width="17.33203125" style="8" bestFit="1" customWidth="1"/>
    <col min="4" max="4" width="148.88671875" style="18" bestFit="1" customWidth="1"/>
    <col min="5" max="5" width="14.6640625" style="9" bestFit="1" customWidth="1"/>
    <col min="6" max="6" width="8.88671875" style="1" customWidth="1"/>
    <col min="7" max="7" width="94.88671875" style="23" hidden="1" customWidth="1"/>
    <col min="8" max="8" width="9.6640625" style="1" hidden="1" customWidth="1"/>
    <col min="9" max="9" width="8.88671875" style="1" hidden="1" customWidth="1"/>
    <col min="10" max="10" width="14" style="1" hidden="1" customWidth="1"/>
    <col min="11" max="11" width="6.33203125" style="1" hidden="1" customWidth="1"/>
    <col min="12" max="12" width="9.6640625" style="1" hidden="1" customWidth="1"/>
    <col min="13" max="16384" width="8.88671875" style="1" hidden="1"/>
  </cols>
  <sheetData>
    <row r="1" spans="1:7" s="11" customFormat="1" ht="15" customHeight="1" thickTop="1" x14ac:dyDescent="0.3">
      <c r="A1" s="25" t="s">
        <v>59</v>
      </c>
      <c r="B1" s="26"/>
      <c r="C1" s="26"/>
      <c r="D1" s="26"/>
      <c r="E1" s="26"/>
      <c r="F1" s="26"/>
      <c r="G1" s="27"/>
    </row>
    <row r="2" spans="1:7" s="11" customFormat="1" ht="14.4" customHeight="1" x14ac:dyDescent="0.3">
      <c r="A2" s="28"/>
      <c r="B2" s="29"/>
      <c r="C2" s="29"/>
      <c r="D2" s="29"/>
      <c r="E2" s="29"/>
      <c r="F2" s="29"/>
      <c r="G2" s="30"/>
    </row>
    <row r="3" spans="1:7" s="11" customFormat="1" ht="15" customHeight="1" x14ac:dyDescent="0.3">
      <c r="A3" s="28"/>
      <c r="B3" s="29"/>
      <c r="C3" s="29"/>
      <c r="D3" s="29"/>
      <c r="E3" s="29"/>
      <c r="F3" s="29"/>
      <c r="G3" s="30"/>
    </row>
    <row r="4" spans="1:7" ht="15" thickBot="1" x14ac:dyDescent="0.35">
      <c r="A4" s="31"/>
      <c r="B4" s="32"/>
      <c r="C4" s="32"/>
      <c r="D4" s="32"/>
      <c r="E4" s="32"/>
      <c r="F4" s="32"/>
      <c r="G4" s="33"/>
    </row>
    <row r="5" spans="1:7" ht="15" thickTop="1" x14ac:dyDescent="0.3"/>
    <row r="6" spans="1:7" x14ac:dyDescent="0.3"/>
    <row r="7" spans="1:7" x14ac:dyDescent="0.3"/>
    <row r="8" spans="1:7" x14ac:dyDescent="0.3"/>
    <row r="9" spans="1:7" x14ac:dyDescent="0.3"/>
    <row r="10" spans="1:7" x14ac:dyDescent="0.3"/>
    <row r="11" spans="1:7" x14ac:dyDescent="0.3"/>
    <row r="12" spans="1:7" x14ac:dyDescent="0.3"/>
    <row r="13" spans="1:7" x14ac:dyDescent="0.3"/>
    <row r="14" spans="1:7" x14ac:dyDescent="0.3"/>
    <row r="15" spans="1:7" x14ac:dyDescent="0.3"/>
    <row r="16" spans="1:7" x14ac:dyDescent="0.3"/>
    <row r="17" spans="3:11" x14ac:dyDescent="0.3"/>
    <row r="18" spans="3:11" x14ac:dyDescent="0.3"/>
    <row r="19" spans="3:11" x14ac:dyDescent="0.3"/>
    <row r="20" spans="3:11" x14ac:dyDescent="0.3"/>
    <row r="21" spans="3:11" ht="15" thickBot="1" x14ac:dyDescent="0.35"/>
    <row r="22" spans="3:11" ht="30" customHeight="1" thickTop="1" thickBot="1" x14ac:dyDescent="0.35">
      <c r="C22" s="6" t="s">
        <v>50</v>
      </c>
    </row>
    <row r="23" spans="3:11" ht="15.6" thickTop="1" thickBot="1" x14ac:dyDescent="0.35">
      <c r="C23" s="5">
        <f ca="1">TODAY()</f>
        <v>45771</v>
      </c>
    </row>
    <row r="24" spans="3:11" ht="15" thickTop="1" x14ac:dyDescent="0.3">
      <c r="C24" s="13"/>
    </row>
    <row r="25" spans="3:11" ht="15" thickBot="1" x14ac:dyDescent="0.35">
      <c r="C25" s="14"/>
    </row>
    <row r="26" spans="3:11" ht="30" customHeight="1" thickTop="1" thickBot="1" x14ac:dyDescent="0.35">
      <c r="C26" s="7" t="s">
        <v>6</v>
      </c>
      <c r="D26" s="7" t="s">
        <v>0</v>
      </c>
      <c r="E26" s="7" t="s">
        <v>47</v>
      </c>
      <c r="J26" s="2" t="s">
        <v>47</v>
      </c>
      <c r="K26" s="2" t="s">
        <v>51</v>
      </c>
    </row>
    <row r="27" spans="3:11" ht="15.6" thickTop="1" thickBot="1" x14ac:dyDescent="0.35">
      <c r="C27" s="4" t="s">
        <v>7</v>
      </c>
      <c r="D27" s="19" t="s">
        <v>60</v>
      </c>
      <c r="E27" s="3" t="s">
        <v>49</v>
      </c>
      <c r="G27" s="23" t="str">
        <f>IF(D27&lt;&gt;"", E27, "")</f>
        <v>Em Atraso</v>
      </c>
      <c r="J27" s="2" t="s">
        <v>45</v>
      </c>
      <c r="K27" s="2">
        <f>COUNTIF(G:G,"Concluída")</f>
        <v>2</v>
      </c>
    </row>
    <row r="28" spans="3:11" ht="15.6" thickTop="1" thickBot="1" x14ac:dyDescent="0.35">
      <c r="C28" s="4" t="s">
        <v>7</v>
      </c>
      <c r="D28" s="19" t="s">
        <v>61</v>
      </c>
      <c r="E28" s="3" t="s">
        <v>45</v>
      </c>
      <c r="G28" s="23" t="str">
        <f>IF(D28&lt;&gt;"", E28, "")</f>
        <v>Concluída</v>
      </c>
      <c r="J28" s="2" t="s">
        <v>46</v>
      </c>
      <c r="K28" s="2">
        <f>COUNTIF(G:G,"Em Andamento")</f>
        <v>2</v>
      </c>
    </row>
    <row r="29" spans="3:11" ht="15.6" thickTop="1" thickBot="1" x14ac:dyDescent="0.35">
      <c r="C29" s="4" t="s">
        <v>7</v>
      </c>
      <c r="D29" s="19" t="s">
        <v>62</v>
      </c>
      <c r="E29" s="3" t="s">
        <v>45</v>
      </c>
      <c r="G29" s="23" t="str">
        <f t="shared" ref="G29:G45" si="0">IF(D29&lt;&gt;"", E29, "")</f>
        <v>Concluída</v>
      </c>
      <c r="J29" s="2" t="s">
        <v>48</v>
      </c>
      <c r="K29" s="2">
        <f>COUNTIF(G:G,"Pendente")</f>
        <v>1</v>
      </c>
    </row>
    <row r="30" spans="3:11" ht="15.6" thickTop="1" thickBot="1" x14ac:dyDescent="0.35">
      <c r="C30" s="4" t="s">
        <v>7</v>
      </c>
      <c r="D30" s="19" t="s">
        <v>63</v>
      </c>
      <c r="E30" s="3" t="s">
        <v>46</v>
      </c>
      <c r="G30" s="23" t="str">
        <f>IF(D30&lt;&gt;"", E30, "")</f>
        <v>Em Andamento</v>
      </c>
      <c r="J30" s="2" t="s">
        <v>49</v>
      </c>
      <c r="K30" s="2">
        <f>COUNTIF(G:G,"Em Atraso")</f>
        <v>2</v>
      </c>
    </row>
    <row r="31" spans="3:11" ht="15.6" thickTop="1" thickBot="1" x14ac:dyDescent="0.35">
      <c r="C31" s="4" t="s">
        <v>7</v>
      </c>
      <c r="D31" s="19" t="s">
        <v>64</v>
      </c>
      <c r="E31" s="3" t="s">
        <v>46</v>
      </c>
      <c r="G31" s="23" t="str">
        <f t="shared" si="0"/>
        <v>Em Andamento</v>
      </c>
    </row>
    <row r="32" spans="3:11" ht="15.6" thickTop="1" thickBot="1" x14ac:dyDescent="0.35">
      <c r="C32" s="4" t="s">
        <v>7</v>
      </c>
      <c r="D32" s="19" t="s">
        <v>65</v>
      </c>
      <c r="E32" s="3" t="s">
        <v>48</v>
      </c>
      <c r="G32" s="23" t="str">
        <f t="shared" si="0"/>
        <v>Pendente</v>
      </c>
      <c r="K32" s="21">
        <f>SUM(K27:K30)</f>
        <v>7</v>
      </c>
    </row>
    <row r="33" spans="3:10" ht="15.6" thickTop="1" thickBot="1" x14ac:dyDescent="0.35">
      <c r="C33" s="4" t="s">
        <v>7</v>
      </c>
      <c r="D33" s="19" t="s">
        <v>66</v>
      </c>
      <c r="E33" s="3" t="s">
        <v>49</v>
      </c>
      <c r="G33" s="23" t="str">
        <f t="shared" si="0"/>
        <v>Em Atraso</v>
      </c>
      <c r="J33" s="21" t="s">
        <v>52</v>
      </c>
    </row>
    <row r="34" spans="3:10" ht="15.6" customHeight="1" thickTop="1" thickBot="1" x14ac:dyDescent="0.35">
      <c r="C34" s="4" t="s">
        <v>7</v>
      </c>
      <c r="D34" s="19"/>
      <c r="E34" s="3"/>
      <c r="G34" s="23" t="str">
        <f t="shared" si="0"/>
        <v/>
      </c>
      <c r="J34" s="22">
        <f>SUMPRODUCT((D27:D46&lt;&gt;"")*1) + SUMPRODUCT((D48:D72&lt;&gt;"")*1)+ SUMPRODUCT((D74:D114&lt;&gt;"")*1)+ SUMPRODUCT((D116:D119&lt;&gt;"")*1)</f>
        <v>57</v>
      </c>
    </row>
    <row r="35" spans="3:10" ht="15.6" customHeight="1" thickTop="1" thickBot="1" x14ac:dyDescent="0.35">
      <c r="C35" s="4" t="s">
        <v>7</v>
      </c>
      <c r="D35" s="19"/>
      <c r="E35" s="3"/>
      <c r="G35" s="23" t="str">
        <f t="shared" si="0"/>
        <v/>
      </c>
      <c r="J35" s="22"/>
    </row>
    <row r="36" spans="3:10" ht="15.6" customHeight="1" thickTop="1" thickBot="1" x14ac:dyDescent="0.35">
      <c r="C36" s="4" t="s">
        <v>7</v>
      </c>
      <c r="D36" s="19"/>
      <c r="E36" s="3"/>
      <c r="G36" s="23" t="str">
        <f t="shared" si="0"/>
        <v/>
      </c>
      <c r="J36" s="22"/>
    </row>
    <row r="37" spans="3:10" ht="15.6" customHeight="1" thickTop="1" thickBot="1" x14ac:dyDescent="0.35">
      <c r="C37" s="4" t="s">
        <v>7</v>
      </c>
      <c r="D37" s="19"/>
      <c r="E37" s="3"/>
      <c r="G37" s="23" t="str">
        <f t="shared" si="0"/>
        <v/>
      </c>
      <c r="J37" s="22"/>
    </row>
    <row r="38" spans="3:10" ht="15.6" customHeight="1" thickTop="1" thickBot="1" x14ac:dyDescent="0.35">
      <c r="C38" s="4" t="s">
        <v>7</v>
      </c>
      <c r="D38" s="24"/>
      <c r="E38" s="3"/>
      <c r="G38" s="23" t="str">
        <f>IF(D38&lt;&gt;"", E38, "")</f>
        <v/>
      </c>
      <c r="J38" s="22"/>
    </row>
    <row r="39" spans="3:10" ht="15.6" customHeight="1" thickTop="1" thickBot="1" x14ac:dyDescent="0.35">
      <c r="C39" s="4" t="s">
        <v>7</v>
      </c>
      <c r="E39" s="3"/>
      <c r="G39" s="23" t="str">
        <f t="shared" si="0"/>
        <v/>
      </c>
      <c r="J39" s="22"/>
    </row>
    <row r="40" spans="3:10" ht="15.6" customHeight="1" thickTop="1" thickBot="1" x14ac:dyDescent="0.35">
      <c r="C40" s="4" t="s">
        <v>7</v>
      </c>
      <c r="D40" s="19"/>
      <c r="E40" s="3"/>
      <c r="G40" s="23" t="str">
        <f t="shared" si="0"/>
        <v/>
      </c>
      <c r="J40" s="22"/>
    </row>
    <row r="41" spans="3:10" ht="15.6" customHeight="1" thickTop="1" thickBot="1" x14ac:dyDescent="0.35">
      <c r="C41" s="4" t="s">
        <v>7</v>
      </c>
      <c r="D41" s="19"/>
      <c r="E41" s="3"/>
      <c r="G41" s="23" t="str">
        <f t="shared" si="0"/>
        <v/>
      </c>
      <c r="J41" s="22"/>
    </row>
    <row r="42" spans="3:10" ht="15.6" customHeight="1" thickTop="1" thickBot="1" x14ac:dyDescent="0.35">
      <c r="C42" s="4" t="s">
        <v>7</v>
      </c>
      <c r="D42" s="19"/>
      <c r="E42" s="3"/>
      <c r="G42" s="23" t="str">
        <f t="shared" si="0"/>
        <v/>
      </c>
      <c r="J42" s="22"/>
    </row>
    <row r="43" spans="3:10" ht="15.6" customHeight="1" thickTop="1" thickBot="1" x14ac:dyDescent="0.35">
      <c r="C43" s="4" t="s">
        <v>7</v>
      </c>
      <c r="D43" s="19"/>
      <c r="E43" s="3"/>
      <c r="G43" s="23" t="str">
        <f t="shared" si="0"/>
        <v/>
      </c>
      <c r="J43" s="22"/>
    </row>
    <row r="44" spans="3:10" ht="15.6" thickTop="1" thickBot="1" x14ac:dyDescent="0.35">
      <c r="C44" s="4" t="s">
        <v>7</v>
      </c>
      <c r="D44" s="19"/>
      <c r="E44" s="3"/>
      <c r="G44" s="23" t="str">
        <f t="shared" si="0"/>
        <v/>
      </c>
    </row>
    <row r="45" spans="3:10" ht="15.6" thickTop="1" thickBot="1" x14ac:dyDescent="0.35">
      <c r="C45" s="4" t="s">
        <v>7</v>
      </c>
      <c r="D45" s="19"/>
      <c r="E45" s="3"/>
      <c r="G45" s="23" t="str">
        <f t="shared" si="0"/>
        <v/>
      </c>
    </row>
    <row r="46" spans="3:10" ht="15.6" thickTop="1" thickBot="1" x14ac:dyDescent="0.35">
      <c r="C46" s="14"/>
      <c r="D46" s="20"/>
      <c r="G46" s="23" t="str">
        <f t="shared" ref="G46" si="1">IF(E46&lt;&gt;"", E46, "")</f>
        <v/>
      </c>
    </row>
    <row r="47" spans="3:10" ht="30" customHeight="1" thickTop="1" thickBot="1" x14ac:dyDescent="0.35">
      <c r="C47" s="7" t="s">
        <v>8</v>
      </c>
      <c r="D47" s="7" t="s">
        <v>9</v>
      </c>
      <c r="E47" s="7" t="s">
        <v>47</v>
      </c>
    </row>
    <row r="48" spans="3:10" ht="15.6" thickTop="1" thickBot="1" x14ac:dyDescent="0.35">
      <c r="C48" s="4" t="s">
        <v>1</v>
      </c>
      <c r="D48" s="19" t="s">
        <v>67</v>
      </c>
      <c r="E48" s="3"/>
      <c r="G48" s="23">
        <f>IF(D48&lt;&gt;"", E48, "")</f>
        <v>0</v>
      </c>
    </row>
    <row r="49" spans="3:7" ht="15.6" thickTop="1" thickBot="1" x14ac:dyDescent="0.35">
      <c r="C49" s="4" t="s">
        <v>1</v>
      </c>
      <c r="D49" s="24" t="s">
        <v>68</v>
      </c>
      <c r="E49" s="3"/>
      <c r="G49" s="23">
        <f t="shared" ref="G49:G71" si="2">IF(D49&lt;&gt;"", E49, "")</f>
        <v>0</v>
      </c>
    </row>
    <row r="50" spans="3:7" ht="15.6" thickTop="1" thickBot="1" x14ac:dyDescent="0.35">
      <c r="C50" s="4" t="s">
        <v>1</v>
      </c>
      <c r="D50" s="19" t="s">
        <v>69</v>
      </c>
      <c r="E50" s="3"/>
      <c r="G50" s="23">
        <f t="shared" si="2"/>
        <v>0</v>
      </c>
    </row>
    <row r="51" spans="3:7" ht="15.6" thickTop="1" thickBot="1" x14ac:dyDescent="0.35">
      <c r="C51" s="4" t="s">
        <v>1</v>
      </c>
      <c r="D51" s="19" t="s">
        <v>70</v>
      </c>
      <c r="E51" s="3"/>
      <c r="G51" s="23">
        <f t="shared" si="2"/>
        <v>0</v>
      </c>
    </row>
    <row r="52" spans="3:7" ht="15.6" thickTop="1" thickBot="1" x14ac:dyDescent="0.35">
      <c r="C52" s="4" t="s">
        <v>1</v>
      </c>
      <c r="D52" s="19" t="s">
        <v>71</v>
      </c>
      <c r="E52" s="3"/>
      <c r="G52" s="23">
        <f t="shared" si="2"/>
        <v>0</v>
      </c>
    </row>
    <row r="53" spans="3:7" ht="16.8" customHeight="1" thickTop="1" thickBot="1" x14ac:dyDescent="0.35">
      <c r="C53" s="4" t="s">
        <v>1</v>
      </c>
      <c r="D53" s="19" t="s">
        <v>72</v>
      </c>
      <c r="E53" s="3"/>
      <c r="G53" s="23">
        <f t="shared" si="2"/>
        <v>0</v>
      </c>
    </row>
    <row r="54" spans="3:7" ht="15.6" thickTop="1" thickBot="1" x14ac:dyDescent="0.35">
      <c r="C54" s="4" t="s">
        <v>1</v>
      </c>
      <c r="D54" s="19" t="s">
        <v>73</v>
      </c>
      <c r="E54" s="3"/>
      <c r="G54" s="23">
        <f t="shared" si="2"/>
        <v>0</v>
      </c>
    </row>
    <row r="55" spans="3:7" ht="15.6" thickTop="1" thickBot="1" x14ac:dyDescent="0.35">
      <c r="C55" s="4" t="s">
        <v>1</v>
      </c>
      <c r="D55" s="19" t="s">
        <v>74</v>
      </c>
      <c r="E55" s="3"/>
      <c r="G55" s="23">
        <f t="shared" si="2"/>
        <v>0</v>
      </c>
    </row>
    <row r="56" spans="3:7" ht="15.6" thickTop="1" thickBot="1" x14ac:dyDescent="0.35">
      <c r="C56" s="4" t="s">
        <v>2</v>
      </c>
      <c r="D56" s="19" t="s">
        <v>75</v>
      </c>
      <c r="E56" s="3"/>
      <c r="G56" s="23">
        <f t="shared" si="2"/>
        <v>0</v>
      </c>
    </row>
    <row r="57" spans="3:7" ht="15.6" thickTop="1" thickBot="1" x14ac:dyDescent="0.35">
      <c r="C57" s="4" t="s">
        <v>2</v>
      </c>
      <c r="D57" s="19" t="s">
        <v>76</v>
      </c>
      <c r="E57" s="3"/>
      <c r="G57" s="23">
        <f t="shared" si="2"/>
        <v>0</v>
      </c>
    </row>
    <row r="58" spans="3:7" ht="15.6" thickTop="1" thickBot="1" x14ac:dyDescent="0.35">
      <c r="C58" s="4" t="s">
        <v>2</v>
      </c>
      <c r="D58" s="19" t="s">
        <v>77</v>
      </c>
      <c r="E58" s="3"/>
      <c r="G58" s="23">
        <f t="shared" si="2"/>
        <v>0</v>
      </c>
    </row>
    <row r="59" spans="3:7" ht="15.6" thickTop="1" thickBot="1" x14ac:dyDescent="0.35">
      <c r="C59" s="4" t="s">
        <v>2</v>
      </c>
      <c r="D59" s="19" t="s">
        <v>78</v>
      </c>
      <c r="E59" s="3"/>
      <c r="G59" s="23">
        <f t="shared" si="2"/>
        <v>0</v>
      </c>
    </row>
    <row r="60" spans="3:7" ht="15.6" thickTop="1" thickBot="1" x14ac:dyDescent="0.35">
      <c r="C60" s="4" t="s">
        <v>3</v>
      </c>
      <c r="D60" s="19" t="s">
        <v>79</v>
      </c>
      <c r="E60" s="3"/>
      <c r="G60" s="23">
        <f t="shared" si="2"/>
        <v>0</v>
      </c>
    </row>
    <row r="61" spans="3:7" ht="15.6" thickTop="1" thickBot="1" x14ac:dyDescent="0.35">
      <c r="C61" s="4" t="s">
        <v>3</v>
      </c>
      <c r="D61" s="24" t="s">
        <v>54</v>
      </c>
      <c r="E61" s="3"/>
      <c r="G61" s="23">
        <f t="shared" si="2"/>
        <v>0</v>
      </c>
    </row>
    <row r="62" spans="3:7" ht="15.6" thickTop="1" thickBot="1" x14ac:dyDescent="0.35">
      <c r="C62" s="4" t="s">
        <v>3</v>
      </c>
      <c r="D62" s="19" t="s">
        <v>80</v>
      </c>
      <c r="E62" s="3"/>
      <c r="G62" s="23">
        <f t="shared" si="2"/>
        <v>0</v>
      </c>
    </row>
    <row r="63" spans="3:7" ht="15.6" thickTop="1" thickBot="1" x14ac:dyDescent="0.35">
      <c r="C63" s="4" t="s">
        <v>4</v>
      </c>
      <c r="D63" s="19"/>
      <c r="E63" s="3"/>
      <c r="G63" s="23" t="str">
        <f t="shared" si="2"/>
        <v/>
      </c>
    </row>
    <row r="64" spans="3:7" ht="15.6" thickTop="1" thickBot="1" x14ac:dyDescent="0.35">
      <c r="C64" s="4" t="s">
        <v>4</v>
      </c>
      <c r="D64" s="24"/>
      <c r="E64" s="3"/>
      <c r="G64" s="23" t="str">
        <f t="shared" si="2"/>
        <v/>
      </c>
    </row>
    <row r="65" spans="3:7" ht="15.6" thickTop="1" thickBot="1" x14ac:dyDescent="0.35">
      <c r="C65" s="4" t="s">
        <v>4</v>
      </c>
      <c r="D65" s="19"/>
      <c r="E65" s="3"/>
      <c r="G65" s="23" t="str">
        <f t="shared" si="2"/>
        <v/>
      </c>
    </row>
    <row r="66" spans="3:7" ht="15.6" thickTop="1" thickBot="1" x14ac:dyDescent="0.35">
      <c r="C66" s="4" t="s">
        <v>4</v>
      </c>
      <c r="D66" s="19"/>
      <c r="E66" s="3"/>
      <c r="G66" s="23" t="str">
        <f t="shared" si="2"/>
        <v/>
      </c>
    </row>
    <row r="67" spans="3:7" ht="15.6" thickTop="1" thickBot="1" x14ac:dyDescent="0.35">
      <c r="C67" s="4" t="s">
        <v>4</v>
      </c>
      <c r="D67" s="19"/>
      <c r="E67" s="3"/>
      <c r="G67" s="23" t="str">
        <f t="shared" si="2"/>
        <v/>
      </c>
    </row>
    <row r="68" spans="3:7" ht="15.6" thickTop="1" thickBot="1" x14ac:dyDescent="0.35">
      <c r="C68" s="4" t="s">
        <v>5</v>
      </c>
      <c r="D68" s="19"/>
      <c r="E68" s="3"/>
      <c r="G68" s="23" t="str">
        <f t="shared" si="2"/>
        <v/>
      </c>
    </row>
    <row r="69" spans="3:7" ht="15.6" thickTop="1" thickBot="1" x14ac:dyDescent="0.35">
      <c r="C69" s="4" t="s">
        <v>5</v>
      </c>
      <c r="D69" s="24"/>
      <c r="E69" s="3"/>
      <c r="G69" s="23" t="str">
        <f t="shared" si="2"/>
        <v/>
      </c>
    </row>
    <row r="70" spans="3:7" ht="15.6" thickTop="1" thickBot="1" x14ac:dyDescent="0.35">
      <c r="C70" s="4" t="s">
        <v>5</v>
      </c>
      <c r="D70" s="19"/>
      <c r="E70" s="3"/>
      <c r="G70" s="23" t="str">
        <f t="shared" si="2"/>
        <v/>
      </c>
    </row>
    <row r="71" spans="3:7" ht="15.6" thickTop="1" thickBot="1" x14ac:dyDescent="0.35">
      <c r="C71" s="4" t="s">
        <v>5</v>
      </c>
      <c r="D71" s="19"/>
      <c r="E71" s="3"/>
      <c r="G71" s="23" t="str">
        <f t="shared" si="2"/>
        <v/>
      </c>
    </row>
    <row r="72" spans="3:7" ht="15.6" thickTop="1" thickBot="1" x14ac:dyDescent="0.35">
      <c r="C72" s="14"/>
      <c r="D72" s="20"/>
    </row>
    <row r="73" spans="3:7" ht="30" customHeight="1" thickTop="1" thickBot="1" x14ac:dyDescent="0.35">
      <c r="C73" s="7" t="s">
        <v>10</v>
      </c>
      <c r="D73" s="7" t="s">
        <v>9</v>
      </c>
      <c r="E73" s="7" t="s">
        <v>47</v>
      </c>
    </row>
    <row r="74" spans="3:7" ht="15.6" thickTop="1" thickBot="1" x14ac:dyDescent="0.35">
      <c r="C74" s="15" t="s">
        <v>11</v>
      </c>
      <c r="D74" s="19" t="s">
        <v>81</v>
      </c>
      <c r="E74" s="3"/>
      <c r="G74" s="23">
        <f t="shared" ref="G74:G119" si="3">IF(D74&lt;&gt;"", E74, "")</f>
        <v>0</v>
      </c>
    </row>
    <row r="75" spans="3:7" ht="15.6" thickTop="1" thickBot="1" x14ac:dyDescent="0.35">
      <c r="C75" s="15" t="s">
        <v>12</v>
      </c>
      <c r="D75" s="19" t="s">
        <v>82</v>
      </c>
      <c r="E75" s="3"/>
      <c r="G75" s="23">
        <f t="shared" si="3"/>
        <v>0</v>
      </c>
    </row>
    <row r="76" spans="3:7" ht="15.6" thickTop="1" thickBot="1" x14ac:dyDescent="0.35">
      <c r="C76" s="15" t="s">
        <v>12</v>
      </c>
      <c r="D76" s="19" t="s">
        <v>83</v>
      </c>
      <c r="E76" s="3"/>
      <c r="G76" s="23">
        <f t="shared" si="3"/>
        <v>0</v>
      </c>
    </row>
    <row r="77" spans="3:7" ht="15.6" thickTop="1" thickBot="1" x14ac:dyDescent="0.35">
      <c r="C77" s="15" t="s">
        <v>13</v>
      </c>
      <c r="D77" s="19" t="s">
        <v>84</v>
      </c>
      <c r="E77" s="3"/>
      <c r="G77" s="23">
        <f t="shared" si="3"/>
        <v>0</v>
      </c>
    </row>
    <row r="78" spans="3:7" ht="15.6" thickTop="1" thickBot="1" x14ac:dyDescent="0.35">
      <c r="C78" s="15" t="s">
        <v>14</v>
      </c>
      <c r="D78" s="19" t="s">
        <v>85</v>
      </c>
      <c r="E78" s="3"/>
      <c r="G78" s="23">
        <f t="shared" si="3"/>
        <v>0</v>
      </c>
    </row>
    <row r="79" spans="3:7" ht="15.6" thickTop="1" thickBot="1" x14ac:dyDescent="0.35">
      <c r="C79" s="15" t="s">
        <v>15</v>
      </c>
      <c r="D79" s="19" t="s">
        <v>86</v>
      </c>
      <c r="E79" s="3"/>
      <c r="G79" s="23">
        <f t="shared" si="3"/>
        <v>0</v>
      </c>
    </row>
    <row r="80" spans="3:7" ht="15.6" thickTop="1" thickBot="1" x14ac:dyDescent="0.35">
      <c r="C80" s="15" t="s">
        <v>16</v>
      </c>
      <c r="D80" s="19" t="s">
        <v>55</v>
      </c>
      <c r="E80" s="3"/>
      <c r="G80" s="23">
        <f t="shared" si="3"/>
        <v>0</v>
      </c>
    </row>
    <row r="81" spans="3:7" ht="15.6" thickTop="1" thickBot="1" x14ac:dyDescent="0.35">
      <c r="C81" s="15" t="s">
        <v>17</v>
      </c>
      <c r="D81" s="19" t="s">
        <v>87</v>
      </c>
      <c r="E81" s="3"/>
      <c r="G81" s="23">
        <f t="shared" si="3"/>
        <v>0</v>
      </c>
    </row>
    <row r="82" spans="3:7" ht="15.6" thickTop="1" thickBot="1" x14ac:dyDescent="0.35">
      <c r="C82" s="15" t="s">
        <v>18</v>
      </c>
      <c r="D82" s="19" t="s">
        <v>88</v>
      </c>
      <c r="E82" s="3"/>
      <c r="G82" s="23">
        <f t="shared" si="3"/>
        <v>0</v>
      </c>
    </row>
    <row r="83" spans="3:7" ht="15.6" thickTop="1" thickBot="1" x14ac:dyDescent="0.35">
      <c r="C83" s="15" t="s">
        <v>19</v>
      </c>
      <c r="D83" s="19" t="s">
        <v>89</v>
      </c>
      <c r="E83" s="3"/>
      <c r="G83" s="23">
        <f t="shared" si="3"/>
        <v>0</v>
      </c>
    </row>
    <row r="84" spans="3:7" ht="15.6" thickTop="1" thickBot="1" x14ac:dyDescent="0.35">
      <c r="C84" s="15">
        <v>10</v>
      </c>
      <c r="D84" s="19" t="s">
        <v>90</v>
      </c>
      <c r="E84" s="3"/>
      <c r="G84" s="23">
        <f t="shared" si="3"/>
        <v>0</v>
      </c>
    </row>
    <row r="85" spans="3:7" ht="15.6" thickTop="1" thickBot="1" x14ac:dyDescent="0.35">
      <c r="C85" s="15" t="s">
        <v>20</v>
      </c>
      <c r="D85" s="19" t="s">
        <v>91</v>
      </c>
      <c r="E85" s="3"/>
      <c r="G85" s="23">
        <f t="shared" si="3"/>
        <v>0</v>
      </c>
    </row>
    <row r="86" spans="3:7" ht="15.6" thickTop="1" thickBot="1" x14ac:dyDescent="0.35">
      <c r="C86" s="15" t="s">
        <v>21</v>
      </c>
      <c r="D86" s="19" t="s">
        <v>92</v>
      </c>
      <c r="E86" s="3"/>
      <c r="G86" s="23">
        <f t="shared" si="3"/>
        <v>0</v>
      </c>
    </row>
    <row r="87" spans="3:7" ht="15.6" thickTop="1" thickBot="1" x14ac:dyDescent="0.35">
      <c r="C87" s="15" t="s">
        <v>22</v>
      </c>
      <c r="D87" s="19" t="s">
        <v>56</v>
      </c>
      <c r="E87" s="3"/>
      <c r="G87" s="23">
        <f t="shared" si="3"/>
        <v>0</v>
      </c>
    </row>
    <row r="88" spans="3:7" ht="15.6" thickTop="1" thickBot="1" x14ac:dyDescent="0.35">
      <c r="C88" s="15" t="s">
        <v>23</v>
      </c>
      <c r="D88" s="19" t="s">
        <v>93</v>
      </c>
      <c r="E88" s="3"/>
      <c r="G88" s="23">
        <f t="shared" si="3"/>
        <v>0</v>
      </c>
    </row>
    <row r="89" spans="3:7" ht="15.6" thickTop="1" thickBot="1" x14ac:dyDescent="0.35">
      <c r="C89" s="15" t="s">
        <v>24</v>
      </c>
      <c r="D89" s="19" t="s">
        <v>94</v>
      </c>
      <c r="E89" s="3"/>
      <c r="G89" s="23">
        <f t="shared" si="3"/>
        <v>0</v>
      </c>
    </row>
    <row r="90" spans="3:7" ht="15.6" thickTop="1" thickBot="1" x14ac:dyDescent="0.35">
      <c r="C90" s="15">
        <v>15</v>
      </c>
      <c r="D90" s="24" t="s">
        <v>95</v>
      </c>
      <c r="E90" s="3"/>
      <c r="G90" s="23">
        <f t="shared" si="3"/>
        <v>0</v>
      </c>
    </row>
    <row r="91" spans="3:7" ht="15.6" thickTop="1" thickBot="1" x14ac:dyDescent="0.35">
      <c r="C91" s="15" t="s">
        <v>25</v>
      </c>
      <c r="D91" s="19" t="s">
        <v>57</v>
      </c>
      <c r="E91" s="3"/>
      <c r="G91" s="23">
        <f t="shared" si="3"/>
        <v>0</v>
      </c>
    </row>
    <row r="92" spans="3:7" ht="15.6" thickTop="1" thickBot="1" x14ac:dyDescent="0.35">
      <c r="C92" s="15" t="s">
        <v>26</v>
      </c>
      <c r="D92" s="19" t="s">
        <v>96</v>
      </c>
      <c r="E92" s="3"/>
      <c r="G92" s="23">
        <f t="shared" si="3"/>
        <v>0</v>
      </c>
    </row>
    <row r="93" spans="3:7" ht="15.6" thickTop="1" thickBot="1" x14ac:dyDescent="0.35">
      <c r="C93" s="15" t="s">
        <v>26</v>
      </c>
      <c r="D93" s="19" t="s">
        <v>97</v>
      </c>
      <c r="E93" s="3"/>
      <c r="G93" s="23">
        <f t="shared" si="3"/>
        <v>0</v>
      </c>
    </row>
    <row r="94" spans="3:7" ht="15.6" thickTop="1" thickBot="1" x14ac:dyDescent="0.35">
      <c r="C94" s="15" t="s">
        <v>27</v>
      </c>
      <c r="D94" s="19" t="s">
        <v>53</v>
      </c>
      <c r="E94" s="3"/>
      <c r="G94" s="23">
        <f t="shared" si="3"/>
        <v>0</v>
      </c>
    </row>
    <row r="95" spans="3:7" ht="15.6" thickTop="1" thickBot="1" x14ac:dyDescent="0.35">
      <c r="C95" s="15" t="s">
        <v>28</v>
      </c>
      <c r="D95" s="19" t="s">
        <v>98</v>
      </c>
      <c r="E95" s="3"/>
      <c r="G95" s="23">
        <f t="shared" si="3"/>
        <v>0</v>
      </c>
    </row>
    <row r="96" spans="3:7" ht="15.6" thickTop="1" thickBot="1" x14ac:dyDescent="0.35">
      <c r="C96" s="15" t="s">
        <v>29</v>
      </c>
      <c r="D96" s="19" t="s">
        <v>99</v>
      </c>
      <c r="E96" s="3"/>
      <c r="G96" s="23">
        <f t="shared" si="3"/>
        <v>0</v>
      </c>
    </row>
    <row r="97" spans="3:7" ht="15.6" thickTop="1" thickBot="1" x14ac:dyDescent="0.35">
      <c r="C97" s="15">
        <v>20</v>
      </c>
      <c r="D97" s="19" t="s">
        <v>100</v>
      </c>
      <c r="E97" s="3"/>
      <c r="G97" s="23">
        <f t="shared" si="3"/>
        <v>0</v>
      </c>
    </row>
    <row r="98" spans="3:7" ht="15.6" thickTop="1" thickBot="1" x14ac:dyDescent="0.35">
      <c r="C98" s="15" t="s">
        <v>30</v>
      </c>
      <c r="D98" s="19" t="s">
        <v>101</v>
      </c>
      <c r="E98" s="3"/>
      <c r="G98" s="23">
        <f t="shared" si="3"/>
        <v>0</v>
      </c>
    </row>
    <row r="99" spans="3:7" ht="15.6" thickTop="1" thickBot="1" x14ac:dyDescent="0.35">
      <c r="C99" s="15" t="s">
        <v>31</v>
      </c>
      <c r="D99" s="19" t="s">
        <v>58</v>
      </c>
      <c r="E99" s="3"/>
      <c r="G99" s="23">
        <f t="shared" si="3"/>
        <v>0</v>
      </c>
    </row>
    <row r="100" spans="3:7" ht="15.6" thickTop="1" thickBot="1" x14ac:dyDescent="0.35">
      <c r="C100" s="15" t="s">
        <v>32</v>
      </c>
      <c r="D100" s="19" t="s">
        <v>102</v>
      </c>
      <c r="E100" s="3"/>
      <c r="G100" s="23">
        <f t="shared" si="3"/>
        <v>0</v>
      </c>
    </row>
    <row r="101" spans="3:7" ht="15.6" thickTop="1" thickBot="1" x14ac:dyDescent="0.35">
      <c r="C101" s="15" t="s">
        <v>33</v>
      </c>
      <c r="D101" s="19" t="s">
        <v>103</v>
      </c>
      <c r="E101" s="3"/>
      <c r="G101" s="23">
        <f t="shared" si="3"/>
        <v>0</v>
      </c>
    </row>
    <row r="102" spans="3:7" ht="15.6" thickTop="1" thickBot="1" x14ac:dyDescent="0.35">
      <c r="C102" s="15" t="s">
        <v>34</v>
      </c>
      <c r="D102" s="19" t="s">
        <v>104</v>
      </c>
      <c r="E102" s="3"/>
      <c r="G102" s="23">
        <f t="shared" si="3"/>
        <v>0</v>
      </c>
    </row>
    <row r="103" spans="3:7" ht="15.6" thickTop="1" thickBot="1" x14ac:dyDescent="0.35">
      <c r="C103" s="15" t="s">
        <v>35</v>
      </c>
      <c r="D103" s="19" t="s">
        <v>105</v>
      </c>
      <c r="E103" s="3"/>
      <c r="G103" s="23">
        <f t="shared" si="3"/>
        <v>0</v>
      </c>
    </row>
    <row r="104" spans="3:7" ht="15.6" thickTop="1" thickBot="1" x14ac:dyDescent="0.35">
      <c r="C104" s="15" t="s">
        <v>36</v>
      </c>
      <c r="D104" s="19" t="s">
        <v>106</v>
      </c>
      <c r="E104" s="3"/>
      <c r="G104" s="23">
        <f t="shared" si="3"/>
        <v>0</v>
      </c>
    </row>
    <row r="105" spans="3:7" ht="15.6" thickTop="1" thickBot="1" x14ac:dyDescent="0.35">
      <c r="C105" s="15" t="s">
        <v>37</v>
      </c>
      <c r="D105" s="19"/>
      <c r="E105" s="3"/>
      <c r="G105" s="23" t="str">
        <f t="shared" si="3"/>
        <v/>
      </c>
    </row>
    <row r="106" spans="3:7" ht="15.6" thickTop="1" thickBot="1" x14ac:dyDescent="0.35">
      <c r="C106" s="15" t="s">
        <v>37</v>
      </c>
      <c r="D106" s="19"/>
      <c r="E106" s="3"/>
      <c r="G106" s="23" t="str">
        <f t="shared" si="3"/>
        <v/>
      </c>
    </row>
    <row r="107" spans="3:7" ht="15.6" thickTop="1" thickBot="1" x14ac:dyDescent="0.35">
      <c r="C107" s="15">
        <v>28</v>
      </c>
      <c r="D107" s="19"/>
      <c r="E107" s="3"/>
      <c r="G107" s="23" t="str">
        <f t="shared" si="3"/>
        <v/>
      </c>
    </row>
    <row r="108" spans="3:7" ht="15.6" thickTop="1" thickBot="1" x14ac:dyDescent="0.35">
      <c r="C108" s="15" t="s">
        <v>38</v>
      </c>
      <c r="D108" s="19"/>
      <c r="E108" s="3"/>
      <c r="G108" s="23" t="str">
        <f t="shared" si="3"/>
        <v/>
      </c>
    </row>
    <row r="109" spans="3:7" ht="15.6" thickTop="1" thickBot="1" x14ac:dyDescent="0.35">
      <c r="C109" s="15">
        <v>30</v>
      </c>
      <c r="D109" s="19"/>
      <c r="E109" s="3"/>
      <c r="G109" s="23" t="str">
        <f t="shared" si="3"/>
        <v/>
      </c>
    </row>
    <row r="110" spans="3:7" ht="15.6" thickTop="1" thickBot="1" x14ac:dyDescent="0.35">
      <c r="C110" s="15" t="s">
        <v>39</v>
      </c>
      <c r="D110" s="19"/>
      <c r="E110" s="3"/>
      <c r="G110" s="23" t="str">
        <f t="shared" si="3"/>
        <v/>
      </c>
    </row>
    <row r="111" spans="3:7" ht="15.6" thickTop="1" thickBot="1" x14ac:dyDescent="0.35">
      <c r="C111" s="15">
        <v>31</v>
      </c>
      <c r="D111" s="24"/>
      <c r="E111" s="3"/>
      <c r="G111" s="23" t="str">
        <f t="shared" si="3"/>
        <v/>
      </c>
    </row>
    <row r="112" spans="3:7" ht="15.6" thickTop="1" thickBot="1" x14ac:dyDescent="0.35">
      <c r="C112" s="15" t="s">
        <v>39</v>
      </c>
      <c r="D112" s="24"/>
      <c r="E112" s="3"/>
      <c r="G112" s="23" t="str">
        <f t="shared" si="3"/>
        <v/>
      </c>
    </row>
    <row r="113" spans="3:7" ht="15.6" thickTop="1" thickBot="1" x14ac:dyDescent="0.35">
      <c r="C113" s="15" t="s">
        <v>39</v>
      </c>
      <c r="D113" s="19"/>
      <c r="E113" s="3"/>
      <c r="G113" s="23" t="str">
        <f t="shared" si="3"/>
        <v/>
      </c>
    </row>
    <row r="114" spans="3:7" ht="15.6" thickTop="1" thickBot="1" x14ac:dyDescent="0.35">
      <c r="C114" s="16"/>
      <c r="D114" s="20"/>
      <c r="G114" s="23" t="str">
        <f t="shared" si="3"/>
        <v/>
      </c>
    </row>
    <row r="115" spans="3:7" s="8" customFormat="1" ht="30" customHeight="1" thickTop="1" thickBot="1" x14ac:dyDescent="0.35">
      <c r="C115" s="12" t="s">
        <v>41</v>
      </c>
      <c r="D115" s="7" t="s">
        <v>40</v>
      </c>
      <c r="E115" s="7" t="s">
        <v>47</v>
      </c>
      <c r="G115" s="23"/>
    </row>
    <row r="116" spans="3:7" ht="15.6" thickTop="1" thickBot="1" x14ac:dyDescent="0.35">
      <c r="C116" s="15" t="s">
        <v>41</v>
      </c>
      <c r="D116" s="19" t="s">
        <v>42</v>
      </c>
      <c r="E116" s="10"/>
      <c r="G116" s="23">
        <f t="shared" si="3"/>
        <v>0</v>
      </c>
    </row>
    <row r="117" spans="3:7" ht="15.6" thickTop="1" thickBot="1" x14ac:dyDescent="0.35">
      <c r="C117" s="15" t="s">
        <v>41</v>
      </c>
      <c r="D117" s="19" t="s">
        <v>107</v>
      </c>
      <c r="E117" s="10"/>
      <c r="G117" s="23">
        <f t="shared" si="3"/>
        <v>0</v>
      </c>
    </row>
    <row r="118" spans="3:7" ht="15.6" thickTop="1" thickBot="1" x14ac:dyDescent="0.35">
      <c r="C118" s="15" t="s">
        <v>41</v>
      </c>
      <c r="D118" s="19" t="s">
        <v>43</v>
      </c>
      <c r="E118" s="10"/>
      <c r="G118" s="23">
        <f t="shared" si="3"/>
        <v>0</v>
      </c>
    </row>
    <row r="119" spans="3:7" ht="15.6" thickTop="1" thickBot="1" x14ac:dyDescent="0.35">
      <c r="C119" s="15" t="s">
        <v>41</v>
      </c>
      <c r="D119" s="19" t="s">
        <v>44</v>
      </c>
      <c r="E119" s="10"/>
      <c r="G119" s="23">
        <f t="shared" si="3"/>
        <v>0</v>
      </c>
    </row>
    <row r="120" spans="3:7" ht="15" thickTop="1" x14ac:dyDescent="0.3">
      <c r="C120" s="17"/>
    </row>
    <row r="121" spans="3:7" x14ac:dyDescent="0.3">
      <c r="C121" s="17"/>
    </row>
    <row r="122" spans="3:7" x14ac:dyDescent="0.3"/>
    <row r="123" spans="3:7" x14ac:dyDescent="0.3"/>
    <row r="124" spans="3:7" x14ac:dyDescent="0.3"/>
  </sheetData>
  <mergeCells count="1">
    <mergeCell ref="A1:G4"/>
  </mergeCells>
  <dataValidations count="2">
    <dataValidation type="list" allowBlank="1" showInputMessage="1" showErrorMessage="1" sqref="E116:E119 E48:E71 E74:E113 E27:E45" xr:uid="{5586E713-15B6-4C23-A926-78CF87B9A68A}">
      <formula1>$J$27:$J$30</formula1>
    </dataValidation>
    <dataValidation type="list" allowBlank="1" showInputMessage="1" showErrorMessage="1" sqref="H23" xr:uid="{D22DF0ED-6722-46F1-8D44-3980EB9B0A16}">
      <formula1>$M$27:$M$54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E76EADE-DB4A-42DB-B80B-8FCBB459E740}">
            <xm:f>NOT(ISERROR(SEARCH($J$30,E27)))</xm:f>
            <xm:f>$J$30</xm:f>
            <x14:dxf>
              <font>
                <b/>
                <i val="0"/>
                <color rgb="FFE93558"/>
              </font>
            </x14:dxf>
          </x14:cfRule>
          <x14:cfRule type="containsText" priority="2" operator="containsText" id="{68CC4259-596F-4110-9749-F398E3C6EED8}">
            <xm:f>NOT(ISERROR(SEARCH($J$29,E27)))</xm:f>
            <xm:f>$J$29</xm:f>
            <x14:dxf>
              <font>
                <b/>
                <i val="0"/>
                <color rgb="FF4F80E2"/>
              </font>
            </x14:dxf>
          </x14:cfRule>
          <x14:cfRule type="containsText" priority="3" operator="containsText" id="{DB38CDCC-F235-4ED5-B7C5-075F796F00A6}">
            <xm:f>NOT(ISERROR(SEARCH($J$28,E27)))</xm:f>
            <xm:f>$J$28</xm:f>
            <x14:dxf>
              <font>
                <b/>
                <i val="0"/>
                <color theme="5"/>
              </font>
            </x14:dxf>
          </x14:cfRule>
          <x14:cfRule type="containsText" priority="4" operator="containsText" id="{B302BBDC-05EE-44CA-8D7C-09D89DFB4E33}">
            <xm:f>NOT(ISERROR(SEARCH($J$27,E27)))</xm:f>
            <xm:f>$J$27</xm:f>
            <x14:dxf>
              <font>
                <b/>
                <i val="0"/>
                <color rgb="FF22822E"/>
              </font>
            </x14:dxf>
          </x14:cfRule>
          <x14:cfRule type="containsText" priority="5" operator="containsText" id="{47AEE5D3-D039-4F5F-93B7-A7999F025622}">
            <xm:f>NOT(ISERROR(SEARCH($J$27,E27)))</xm:f>
            <xm:f>$J$27</xm:f>
            <x14:dxf>
              <font>
                <color rgb="FF174940"/>
              </font>
            </x14:dxf>
          </x14:cfRule>
          <xm:sqref>E27:E119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 A PAGAR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Franciele Klaumann</dc:creator>
  <cp:lastModifiedBy>Franciele Klaumann</cp:lastModifiedBy>
  <dcterms:created xsi:type="dcterms:W3CDTF">2025-03-10T19:16:23Z</dcterms:created>
  <dcterms:modified xsi:type="dcterms:W3CDTF">2025-04-25T01:42:09Z</dcterms:modified>
</cp:coreProperties>
</file>