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ele Klaumann\Desktop\"/>
    </mc:Choice>
  </mc:AlternateContent>
  <xr:revisionPtr revIDLastSave="0" documentId="13_ncr:1_{33BE59F1-7D5F-44B1-BCBE-3091408F833B}" xr6:coauthVersionLast="47" xr6:coauthVersionMax="47" xr10:uidLastSave="{00000000-0000-0000-0000-000000000000}"/>
  <bookViews>
    <workbookView xWindow="-108" yWindow="-108" windowWidth="23256" windowHeight="12456" xr2:uid="{2F5AB280-D5E3-4B70-94EA-1B3EA6F645ED}"/>
  </bookViews>
  <sheets>
    <sheet name="CONTROLE DE JUROS E MULTA 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" i="6" l="1"/>
  <c r="F6" i="6"/>
  <c r="I6" i="6" s="1"/>
  <c r="F7" i="6"/>
  <c r="I7" i="6" s="1"/>
  <c r="K7" i="6" s="1"/>
  <c r="F8" i="6"/>
  <c r="F9" i="6"/>
  <c r="I9" i="6" s="1"/>
  <c r="F10" i="6"/>
  <c r="I10" i="6" s="1"/>
  <c r="K10" i="6" s="1"/>
  <c r="F11" i="6"/>
  <c r="I11" i="6" s="1"/>
  <c r="K11" i="6" s="1"/>
  <c r="F12" i="6"/>
  <c r="I12" i="6" s="1"/>
  <c r="K12" i="6" s="1"/>
  <c r="F13" i="6"/>
  <c r="I13" i="6" s="1"/>
  <c r="K13" i="6" s="1"/>
  <c r="F14" i="6"/>
  <c r="I14" i="6" s="1"/>
  <c r="J6" i="6"/>
  <c r="J7" i="6"/>
  <c r="J8" i="6"/>
  <c r="J9" i="6"/>
  <c r="J10" i="6"/>
  <c r="J11" i="6"/>
  <c r="J12" i="6"/>
  <c r="J13" i="6"/>
  <c r="J14" i="6"/>
  <c r="I8" i="6"/>
  <c r="K8" i="6" s="1"/>
  <c r="J5" i="6"/>
  <c r="F5" i="6"/>
  <c r="I5" i="6" s="1"/>
  <c r="C15" i="6"/>
  <c r="K14" i="6" l="1"/>
  <c r="K9" i="6"/>
  <c r="K6" i="6"/>
  <c r="K5" i="6"/>
  <c r="J15" i="6"/>
  <c r="I15" i="6"/>
  <c r="K15" i="6" l="1"/>
</calcChain>
</file>

<file path=xl/sharedStrings.xml><?xml version="1.0" encoding="utf-8"?>
<sst xmlns="http://schemas.openxmlformats.org/spreadsheetml/2006/main" count="31" uniqueCount="30">
  <si>
    <t>Status</t>
  </si>
  <si>
    <t>Pendente</t>
  </si>
  <si>
    <t>Fornecedor</t>
  </si>
  <si>
    <t>Juros</t>
  </si>
  <si>
    <t>Motivo</t>
  </si>
  <si>
    <t>Responsável</t>
  </si>
  <si>
    <t>Total</t>
  </si>
  <si>
    <t>Valor Devido</t>
  </si>
  <si>
    <t>Data Inicial</t>
  </si>
  <si>
    <t>Data Final</t>
  </si>
  <si>
    <t>Dias de Atraso</t>
  </si>
  <si>
    <t>Multa %</t>
  </si>
  <si>
    <t>Cliente A</t>
  </si>
  <si>
    <t>Cliente B</t>
  </si>
  <si>
    <t xml:space="preserve">Deprtamento </t>
  </si>
  <si>
    <t>Valor devido total</t>
  </si>
  <si>
    <t>Total de Juros</t>
  </si>
  <si>
    <t>Total de Multa</t>
  </si>
  <si>
    <t>Falta de saldo no banco na data de pagamento</t>
  </si>
  <si>
    <t>Maria</t>
  </si>
  <si>
    <t>Tesouraria</t>
  </si>
  <si>
    <t xml:space="preserve">NF fora do processo </t>
  </si>
  <si>
    <t>Joana</t>
  </si>
  <si>
    <t>RH</t>
  </si>
  <si>
    <t>STATUS</t>
  </si>
  <si>
    <t>Pago</t>
  </si>
  <si>
    <t xml:space="preserve">CONTROLE DE JUROS E MULTA - CONTAS A PAGAR </t>
  </si>
  <si>
    <t>A tabela acima não considera o fator de multiplicação, pois se trata de um cálculo de juros simples.</t>
  </si>
  <si>
    <t>http://calculoexato.com.br/parprima.aspx?codMenu=FinanAtualizaIndiceJuros</t>
  </si>
  <si>
    <t>Fator de Multiplicação: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</si>
</sst>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_ ;[Red]\-#,##0.00\ 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347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249977111117893"/>
      </left>
      <right style="thick">
        <color theme="0" tint="-0.249977111117893"/>
      </right>
      <top style="thick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 style="thick">
        <color theme="0" tint="-4.9989318521683403E-2"/>
      </bottom>
      <diagonal/>
    </border>
  </borders>
  <cellStyleXfs count="5">
    <xf numFmtId="0" fontId="0" fillId="0" borderId="0"/>
    <xf numFmtId="0" fontId="4" fillId="0" borderId="0"/>
    <xf numFmtId="9" fontId="5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164" fontId="5" fillId="0" borderId="1" xfId="3" applyNumberFormat="1" applyFont="1" applyBorder="1" applyAlignment="1">
      <alignment horizontal="center" vertical="center"/>
    </xf>
    <xf numFmtId="14" fontId="5" fillId="0" borderId="1" xfId="3" applyNumberFormat="1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2" fontId="5" fillId="0" borderId="1" xfId="2" applyNumberFormat="1" applyFont="1" applyFill="1" applyBorder="1" applyAlignment="1">
      <alignment horizontal="center" vertical="center"/>
    </xf>
    <xf numFmtId="9" fontId="5" fillId="0" borderId="1" xfId="2" applyFont="1" applyFill="1" applyBorder="1" applyAlignment="1">
      <alignment horizontal="center" vertical="center"/>
    </xf>
    <xf numFmtId="164" fontId="2" fillId="0" borderId="1" xfId="3" applyNumberFormat="1" applyFont="1" applyBorder="1" applyAlignment="1">
      <alignment horizontal="center" vertical="center"/>
    </xf>
    <xf numFmtId="44" fontId="2" fillId="0" borderId="1" xfId="3" applyNumberFormat="1" applyFont="1" applyBorder="1" applyAlignment="1">
      <alignment horizontal="center" vertical="center"/>
    </xf>
    <xf numFmtId="164" fontId="5" fillId="0" borderId="1" xfId="3" applyNumberFormat="1" applyFont="1" applyBorder="1" applyAlignment="1">
      <alignment horizontal="left" vertical="center"/>
    </xf>
    <xf numFmtId="0" fontId="2" fillId="0" borderId="0" xfId="0" applyFont="1"/>
    <xf numFmtId="164" fontId="5" fillId="0" borderId="3" xfId="3" applyNumberFormat="1" applyFont="1" applyBorder="1" applyAlignment="1">
      <alignment horizontal="center" vertical="center"/>
    </xf>
    <xf numFmtId="14" fontId="5" fillId="0" borderId="3" xfId="3" applyNumberFormat="1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2" fontId="5" fillId="0" borderId="3" xfId="2" applyNumberFormat="1" applyFont="1" applyFill="1" applyBorder="1" applyAlignment="1">
      <alignment horizontal="center" vertical="center"/>
    </xf>
    <xf numFmtId="9" fontId="5" fillId="0" borderId="3" xfId="2" applyFont="1" applyFill="1" applyBorder="1" applyAlignment="1">
      <alignment horizontal="center" vertical="center"/>
    </xf>
    <xf numFmtId="164" fontId="2" fillId="0" borderId="3" xfId="3" applyNumberFormat="1" applyFont="1" applyBorder="1" applyAlignment="1">
      <alignment horizontal="center" vertical="center"/>
    </xf>
    <xf numFmtId="44" fontId="2" fillId="0" borderId="3" xfId="3" applyNumberFormat="1" applyFont="1" applyBorder="1" applyAlignment="1">
      <alignment horizontal="center" vertical="center"/>
    </xf>
    <xf numFmtId="164" fontId="5" fillId="0" borderId="3" xfId="3" applyNumberFormat="1" applyFont="1" applyBorder="1" applyAlignment="1">
      <alignment horizontal="left" vertical="center"/>
    </xf>
    <xf numFmtId="164" fontId="7" fillId="3" borderId="1" xfId="3" applyNumberFormat="1" applyFont="1" applyFill="1" applyBorder="1" applyAlignment="1">
      <alignment horizontal="center" vertical="center"/>
    </xf>
    <xf numFmtId="14" fontId="7" fillId="3" borderId="1" xfId="3" applyNumberFormat="1" applyFont="1" applyFill="1" applyBorder="1" applyAlignment="1">
      <alignment horizontal="center" vertical="center"/>
    </xf>
    <xf numFmtId="3" fontId="7" fillId="3" borderId="1" xfId="3" applyNumberFormat="1" applyFont="1" applyFill="1" applyBorder="1" applyAlignment="1">
      <alignment horizontal="center" vertical="center"/>
    </xf>
    <xf numFmtId="44" fontId="7" fillId="3" borderId="1" xfId="3" applyNumberFormat="1" applyFont="1" applyFill="1" applyBorder="1" applyAlignment="1">
      <alignment horizontal="center" vertical="center"/>
    </xf>
    <xf numFmtId="9" fontId="7" fillId="3" borderId="1" xfId="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4"/>
    <xf numFmtId="0" fontId="1" fillId="2" borderId="2" xfId="3" applyFont="1" applyFill="1" applyBorder="1" applyAlignment="1">
      <alignment horizontal="center" vertical="center" wrapText="1"/>
    </xf>
    <xf numFmtId="0" fontId="1" fillId="2" borderId="4" xfId="3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5">
    <cellStyle name="Hiperlink" xfId="4" builtinId="8"/>
    <cellStyle name="Normal" xfId="0" builtinId="0"/>
    <cellStyle name="Normal 2" xfId="3" xr:uid="{6429C4AB-6D61-4AD3-9476-76E3FEA09FEA}"/>
    <cellStyle name="Normal 3" xfId="1" xr:uid="{6F469C82-4B0C-491C-AD2B-7F763A9D5921}"/>
    <cellStyle name="Porcentagem" xfId="2" builtinId="5"/>
  </cellStyles>
  <dxfs count="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1A1347"/>
      <color rgb="FFFFD966"/>
      <color rgb="FFC6EFCE"/>
      <color rgb="FFE63946"/>
      <color rgb="FFF1B7EA"/>
      <color rgb="FF662549"/>
      <color rgb="FF451952"/>
      <color rgb="FF413F8A"/>
      <color rgb="FF7C58AA"/>
      <color rgb="FFE8BC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alculoexato.com.br/parprima.aspx?codMenu=FinanAtualizaIndiceJur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08B7-9992-41BD-9FAE-928796860344}">
  <dimension ref="A1:Q61"/>
  <sheetViews>
    <sheetView showGridLines="0" tabSelected="1" zoomScale="75" zoomScaleNormal="75" workbookViewId="0">
      <selection activeCell="B1" sqref="B1:O1"/>
    </sheetView>
  </sheetViews>
  <sheetFormatPr defaultColWidth="0" defaultRowHeight="14.4" zeroHeight="1" x14ac:dyDescent="0.3"/>
  <cols>
    <col min="1" max="1" width="2.21875" customWidth="1"/>
    <col min="2" max="2" width="11.5546875" bestFit="1" customWidth="1"/>
    <col min="3" max="3" width="17.6640625" bestFit="1" customWidth="1"/>
    <col min="4" max="4" width="13.44140625" customWidth="1"/>
    <col min="5" max="5" width="11.5546875" bestFit="1" customWidth="1"/>
    <col min="6" max="6" width="14.6640625" customWidth="1"/>
    <col min="7" max="7" width="13.88671875" bestFit="1" customWidth="1"/>
    <col min="8" max="8" width="9.6640625" bestFit="1" customWidth="1"/>
    <col min="9" max="9" width="17.21875" bestFit="1" customWidth="1"/>
    <col min="10" max="10" width="22.77734375" bestFit="1" customWidth="1"/>
    <col min="11" max="11" width="18.21875" bestFit="1" customWidth="1"/>
    <col min="12" max="12" width="41.88671875" bestFit="1" customWidth="1"/>
    <col min="13" max="13" width="17.109375" customWidth="1"/>
    <col min="14" max="14" width="31.21875" customWidth="1"/>
    <col min="15" max="15" width="14.33203125" customWidth="1"/>
    <col min="16" max="16" width="2.21875" customWidth="1"/>
    <col min="17" max="17" width="12.5546875" hidden="1" customWidth="1"/>
    <col min="18" max="16384" width="31.21875" hidden="1"/>
  </cols>
  <sheetData>
    <row r="1" spans="2:17" s="28" customFormat="1" ht="30" customHeight="1" thickTop="1" thickBot="1" x14ac:dyDescent="0.35">
      <c r="B1" s="29" t="s">
        <v>26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2:17" ht="15" thickTop="1" x14ac:dyDescent="0.3">
      <c r="B2" s="9"/>
      <c r="C2" s="9"/>
      <c r="D2" s="9"/>
      <c r="E2" s="9"/>
      <c r="F2" s="9"/>
      <c r="G2" s="9"/>
    </row>
    <row r="3" spans="2:17" ht="15" thickBot="1" x14ac:dyDescent="0.35"/>
    <row r="4" spans="2:17" ht="30" customHeight="1" thickTop="1" thickBot="1" x14ac:dyDescent="0.35">
      <c r="B4" s="25" t="s">
        <v>2</v>
      </c>
      <c r="C4" s="25" t="s">
        <v>7</v>
      </c>
      <c r="D4" s="25" t="s">
        <v>8</v>
      </c>
      <c r="E4" s="25" t="s">
        <v>9</v>
      </c>
      <c r="F4" s="25" t="s">
        <v>10</v>
      </c>
      <c r="G4" s="25" t="s">
        <v>3</v>
      </c>
      <c r="H4" s="25" t="s">
        <v>11</v>
      </c>
      <c r="I4" s="25" t="s">
        <v>16</v>
      </c>
      <c r="J4" s="25" t="s">
        <v>17</v>
      </c>
      <c r="K4" s="25" t="s">
        <v>15</v>
      </c>
      <c r="L4" s="25" t="s">
        <v>4</v>
      </c>
      <c r="M4" s="25" t="s">
        <v>5</v>
      </c>
      <c r="N4" s="25" t="s">
        <v>14</v>
      </c>
      <c r="O4" s="25" t="s">
        <v>24</v>
      </c>
      <c r="Q4" s="26" t="s">
        <v>0</v>
      </c>
    </row>
    <row r="5" spans="2:17" ht="20.100000000000001" customHeight="1" thickTop="1" thickBot="1" x14ac:dyDescent="0.35">
      <c r="B5" s="10" t="s">
        <v>12</v>
      </c>
      <c r="C5" s="10">
        <v>10000</v>
      </c>
      <c r="D5" s="11">
        <v>45717</v>
      </c>
      <c r="E5" s="11">
        <v>45731</v>
      </c>
      <c r="F5" s="12">
        <f>IF(D5="","-",IF(E5-D5&lt;0,0,E5-D5))</f>
        <v>14</v>
      </c>
      <c r="G5" s="13">
        <v>0.1</v>
      </c>
      <c r="H5" s="14">
        <v>0.1</v>
      </c>
      <c r="I5" s="15">
        <f>IFERROR(C5 * (G5 / 100 * F5),"")</f>
        <v>140</v>
      </c>
      <c r="J5" s="16">
        <f>C5 * H5</f>
        <v>1000</v>
      </c>
      <c r="K5" s="15">
        <f>IFERROR(C5+I5+J5,"")</f>
        <v>11140</v>
      </c>
      <c r="L5" s="17" t="s">
        <v>18</v>
      </c>
      <c r="M5" s="17" t="s">
        <v>19</v>
      </c>
      <c r="N5" s="17" t="s">
        <v>20</v>
      </c>
      <c r="O5" s="15" t="s">
        <v>25</v>
      </c>
      <c r="Q5" s="27" t="s">
        <v>25</v>
      </c>
    </row>
    <row r="6" spans="2:17" ht="20.100000000000001" customHeight="1" thickTop="1" x14ac:dyDescent="0.3">
      <c r="B6" s="1" t="s">
        <v>13</v>
      </c>
      <c r="C6" s="1">
        <v>15000</v>
      </c>
      <c r="D6" s="2">
        <v>45731</v>
      </c>
      <c r="E6" s="2">
        <v>45747</v>
      </c>
      <c r="F6" s="3">
        <f t="shared" ref="F6:F14" si="0">IF(D6="","-",IF(E6-D6&lt;0,0,E6-D6))</f>
        <v>16</v>
      </c>
      <c r="G6" s="4">
        <v>0.1</v>
      </c>
      <c r="H6" s="5">
        <v>0.1</v>
      </c>
      <c r="I6" s="6">
        <f t="shared" ref="I6:I14" si="1">IFERROR(C6 * (G6 / 100 * F6),"")</f>
        <v>240</v>
      </c>
      <c r="J6" s="7">
        <f t="shared" ref="J6:J14" si="2">C6 * H6</f>
        <v>1500</v>
      </c>
      <c r="K6" s="6">
        <f t="shared" ref="K6:K14" si="3">IFERROR(C6+I6+J6,"")</f>
        <v>16740</v>
      </c>
      <c r="L6" s="8" t="s">
        <v>21</v>
      </c>
      <c r="M6" s="8" t="s">
        <v>22</v>
      </c>
      <c r="N6" s="8" t="s">
        <v>23</v>
      </c>
      <c r="O6" s="15" t="s">
        <v>1</v>
      </c>
    </row>
    <row r="7" spans="2:17" ht="20.100000000000001" customHeight="1" x14ac:dyDescent="0.3">
      <c r="B7" s="1"/>
      <c r="C7" s="1"/>
      <c r="D7" s="2"/>
      <c r="E7" s="2"/>
      <c r="F7" s="3" t="str">
        <f t="shared" si="0"/>
        <v>-</v>
      </c>
      <c r="G7" s="4">
        <v>0.1</v>
      </c>
      <c r="H7" s="5">
        <v>0.1</v>
      </c>
      <c r="I7" s="6" t="str">
        <f t="shared" si="1"/>
        <v/>
      </c>
      <c r="J7" s="7">
        <f t="shared" si="2"/>
        <v>0</v>
      </c>
      <c r="K7" s="6" t="str">
        <f t="shared" si="3"/>
        <v/>
      </c>
      <c r="L7" s="6"/>
      <c r="M7" s="6"/>
      <c r="N7" s="1"/>
      <c r="O7" s="15"/>
    </row>
    <row r="8" spans="2:17" ht="20.100000000000001" customHeight="1" x14ac:dyDescent="0.3">
      <c r="B8" s="1"/>
      <c r="C8" s="1"/>
      <c r="D8" s="2"/>
      <c r="E8" s="2"/>
      <c r="F8" s="3" t="str">
        <f t="shared" si="0"/>
        <v>-</v>
      </c>
      <c r="G8" s="4">
        <v>0.1</v>
      </c>
      <c r="H8" s="5">
        <v>0.1</v>
      </c>
      <c r="I8" s="6" t="str">
        <f t="shared" si="1"/>
        <v/>
      </c>
      <c r="J8" s="7">
        <f t="shared" si="2"/>
        <v>0</v>
      </c>
      <c r="K8" s="6" t="str">
        <f t="shared" si="3"/>
        <v/>
      </c>
      <c r="L8" s="6"/>
      <c r="M8" s="6"/>
      <c r="N8" s="1"/>
      <c r="O8" s="15"/>
    </row>
    <row r="9" spans="2:17" ht="20.100000000000001" customHeight="1" x14ac:dyDescent="0.3">
      <c r="B9" s="1"/>
      <c r="C9" s="1"/>
      <c r="D9" s="2"/>
      <c r="E9" s="2"/>
      <c r="F9" s="3" t="str">
        <f t="shared" si="0"/>
        <v>-</v>
      </c>
      <c r="G9" s="4">
        <v>0.1</v>
      </c>
      <c r="H9" s="5">
        <v>0.1</v>
      </c>
      <c r="I9" s="6" t="str">
        <f t="shared" si="1"/>
        <v/>
      </c>
      <c r="J9" s="7">
        <f t="shared" si="2"/>
        <v>0</v>
      </c>
      <c r="K9" s="6" t="str">
        <f t="shared" si="3"/>
        <v/>
      </c>
      <c r="L9" s="6"/>
      <c r="M9" s="6"/>
      <c r="N9" s="1"/>
      <c r="O9" s="15"/>
    </row>
    <row r="10" spans="2:17" ht="20.100000000000001" customHeight="1" x14ac:dyDescent="0.3">
      <c r="B10" s="1"/>
      <c r="C10" s="1"/>
      <c r="D10" s="1"/>
      <c r="E10" s="2"/>
      <c r="F10" s="3" t="str">
        <f t="shared" si="0"/>
        <v>-</v>
      </c>
      <c r="G10" s="4">
        <v>0.1</v>
      </c>
      <c r="H10" s="5">
        <v>0.1</v>
      </c>
      <c r="I10" s="6" t="str">
        <f t="shared" si="1"/>
        <v/>
      </c>
      <c r="J10" s="7">
        <f t="shared" si="2"/>
        <v>0</v>
      </c>
      <c r="K10" s="6" t="str">
        <f t="shared" si="3"/>
        <v/>
      </c>
      <c r="L10" s="6"/>
      <c r="M10" s="6"/>
      <c r="N10" s="1"/>
      <c r="O10" s="15"/>
    </row>
    <row r="11" spans="2:17" ht="20.100000000000001" customHeight="1" x14ac:dyDescent="0.3">
      <c r="B11" s="1"/>
      <c r="C11" s="1"/>
      <c r="D11" s="2"/>
      <c r="E11" s="2"/>
      <c r="F11" s="3" t="str">
        <f t="shared" si="0"/>
        <v>-</v>
      </c>
      <c r="G11" s="4">
        <v>0.1</v>
      </c>
      <c r="H11" s="5">
        <v>0.1</v>
      </c>
      <c r="I11" s="6" t="str">
        <f t="shared" si="1"/>
        <v/>
      </c>
      <c r="J11" s="7">
        <f t="shared" si="2"/>
        <v>0</v>
      </c>
      <c r="K11" s="6" t="str">
        <f t="shared" si="3"/>
        <v/>
      </c>
      <c r="L11" s="6"/>
      <c r="M11" s="6"/>
      <c r="N11" s="1"/>
      <c r="O11" s="15"/>
    </row>
    <row r="12" spans="2:17" ht="20.100000000000001" customHeight="1" x14ac:dyDescent="0.3">
      <c r="B12" s="1"/>
      <c r="C12" s="1"/>
      <c r="D12" s="1"/>
      <c r="E12" s="2"/>
      <c r="F12" s="3" t="str">
        <f t="shared" si="0"/>
        <v>-</v>
      </c>
      <c r="G12" s="4">
        <v>0.1</v>
      </c>
      <c r="H12" s="5">
        <v>0.1</v>
      </c>
      <c r="I12" s="6" t="str">
        <f t="shared" si="1"/>
        <v/>
      </c>
      <c r="J12" s="7">
        <f t="shared" si="2"/>
        <v>0</v>
      </c>
      <c r="K12" s="6" t="str">
        <f t="shared" si="3"/>
        <v/>
      </c>
      <c r="L12" s="6"/>
      <c r="M12" s="6"/>
      <c r="N12" s="1"/>
      <c r="O12" s="15"/>
    </row>
    <row r="13" spans="2:17" ht="20.100000000000001" customHeight="1" x14ac:dyDescent="0.3">
      <c r="B13" s="1"/>
      <c r="C13" s="1"/>
      <c r="D13" s="2"/>
      <c r="E13" s="2"/>
      <c r="F13" s="3" t="str">
        <f t="shared" si="0"/>
        <v>-</v>
      </c>
      <c r="G13" s="4">
        <v>0.1</v>
      </c>
      <c r="H13" s="5">
        <v>0.1</v>
      </c>
      <c r="I13" s="6" t="str">
        <f t="shared" si="1"/>
        <v/>
      </c>
      <c r="J13" s="7">
        <f t="shared" si="2"/>
        <v>0</v>
      </c>
      <c r="K13" s="6" t="str">
        <f t="shared" si="3"/>
        <v/>
      </c>
      <c r="L13" s="6"/>
      <c r="M13" s="6"/>
      <c r="N13" s="1"/>
      <c r="O13" s="15"/>
    </row>
    <row r="14" spans="2:17" ht="20.100000000000001" customHeight="1" x14ac:dyDescent="0.3">
      <c r="B14" s="1"/>
      <c r="C14" s="1"/>
      <c r="D14" s="1"/>
      <c r="E14" s="2"/>
      <c r="F14" s="3" t="str">
        <f t="shared" si="0"/>
        <v>-</v>
      </c>
      <c r="G14" s="4">
        <v>0.1</v>
      </c>
      <c r="H14" s="5">
        <v>0.1</v>
      </c>
      <c r="I14" s="6" t="str">
        <f t="shared" si="1"/>
        <v/>
      </c>
      <c r="J14" s="7">
        <f t="shared" si="2"/>
        <v>0</v>
      </c>
      <c r="K14" s="6" t="str">
        <f t="shared" si="3"/>
        <v/>
      </c>
      <c r="L14" s="6"/>
      <c r="M14" s="6"/>
      <c r="N14" s="1"/>
      <c r="O14" s="15"/>
    </row>
    <row r="15" spans="2:17" s="23" customFormat="1" ht="30" customHeight="1" x14ac:dyDescent="0.3">
      <c r="B15" s="18" t="s">
        <v>6</v>
      </c>
      <c r="C15" s="18">
        <f>SUM(C5:C14)</f>
        <v>25000</v>
      </c>
      <c r="D15" s="18"/>
      <c r="E15" s="19"/>
      <c r="F15" s="20"/>
      <c r="G15" s="18"/>
      <c r="H15" s="18"/>
      <c r="I15" s="18">
        <f>SUM(I5:I14)</f>
        <v>380</v>
      </c>
      <c r="J15" s="21">
        <f>SUM(J5:J14)</f>
        <v>2500</v>
      </c>
      <c r="K15" s="18">
        <f>SUM(K5:K14)</f>
        <v>27880</v>
      </c>
      <c r="L15" s="18"/>
      <c r="M15" s="18"/>
      <c r="N15" s="18"/>
      <c r="O15" s="22">
        <f>IFERROR(COUNTIF($O$5:$O$14,Q5)/COUNTA($O$5:$O$14),0)</f>
        <v>0.5</v>
      </c>
    </row>
    <row r="16" spans="2:17" x14ac:dyDescent="0.3"/>
    <row r="17" spans="2:2" x14ac:dyDescent="0.3"/>
    <row r="18" spans="2:2" x14ac:dyDescent="0.3"/>
    <row r="19" spans="2:2" x14ac:dyDescent="0.3">
      <c r="B19" t="s">
        <v>27</v>
      </c>
    </row>
    <row r="20" spans="2:2" x14ac:dyDescent="0.3"/>
    <row r="21" spans="2:2" x14ac:dyDescent="0.3">
      <c r="B21" t="s">
        <v>29</v>
      </c>
    </row>
    <row r="22" spans="2:2" x14ac:dyDescent="0.3">
      <c r="B22" s="24" t="s">
        <v>28</v>
      </c>
    </row>
    <row r="23" spans="2:2" x14ac:dyDescent="0.3"/>
    <row r="24" spans="2:2" x14ac:dyDescent="0.3"/>
    <row r="25" spans="2:2" x14ac:dyDescent="0.3"/>
    <row r="26" spans="2:2" x14ac:dyDescent="0.3"/>
    <row r="29" spans="2:2" ht="16.2" hidden="1" customHeight="1" x14ac:dyDescent="0.3"/>
    <row r="33" customFormat="1" hidden="1" x14ac:dyDescent="0.3"/>
    <row r="34" customFormat="1" hidden="1" x14ac:dyDescent="0.3"/>
    <row r="35" customFormat="1" hidden="1" x14ac:dyDescent="0.3"/>
    <row r="36" customFormat="1" hidden="1" x14ac:dyDescent="0.3"/>
    <row r="37" customFormat="1" hidden="1" x14ac:dyDescent="0.3"/>
    <row r="38" customFormat="1" hidden="1" x14ac:dyDescent="0.3"/>
    <row r="39" customFormat="1" hidden="1" x14ac:dyDescent="0.3"/>
    <row r="40" customFormat="1" hidden="1" x14ac:dyDescent="0.3"/>
    <row r="41" customFormat="1" hidden="1" x14ac:dyDescent="0.3"/>
    <row r="42" customFormat="1" hidden="1" x14ac:dyDescent="0.3"/>
    <row r="43" customFormat="1" hidden="1" x14ac:dyDescent="0.3"/>
    <row r="44" customFormat="1" hidden="1" x14ac:dyDescent="0.3"/>
    <row r="45" customFormat="1" hidden="1" x14ac:dyDescent="0.3"/>
    <row r="46" customFormat="1" hidden="1" x14ac:dyDescent="0.3"/>
    <row r="47" customFormat="1" hidden="1" x14ac:dyDescent="0.3"/>
    <row r="48" customFormat="1" hidden="1" x14ac:dyDescent="0.3"/>
    <row r="49" customFormat="1" hidden="1" x14ac:dyDescent="0.3"/>
    <row r="50" customFormat="1" hidden="1" x14ac:dyDescent="0.3"/>
    <row r="51" customFormat="1" hidden="1" x14ac:dyDescent="0.3"/>
    <row r="52" customFormat="1" hidden="1" x14ac:dyDescent="0.3"/>
    <row r="53" customFormat="1" hidden="1" x14ac:dyDescent="0.3"/>
    <row r="54" customFormat="1" hidden="1" x14ac:dyDescent="0.3"/>
    <row r="55" customFormat="1" hidden="1" x14ac:dyDescent="0.3"/>
    <row r="56" customFormat="1" hidden="1" x14ac:dyDescent="0.3"/>
    <row r="57" customFormat="1" hidden="1" x14ac:dyDescent="0.3"/>
    <row r="58" customFormat="1" hidden="1" x14ac:dyDescent="0.3"/>
    <row r="59" customFormat="1" hidden="1" x14ac:dyDescent="0.3"/>
    <row r="60" customFormat="1" hidden="1" x14ac:dyDescent="0.3"/>
    <row r="61" customFormat="1" hidden="1" x14ac:dyDescent="0.3"/>
  </sheetData>
  <mergeCells count="1">
    <mergeCell ref="B1:O1"/>
  </mergeCells>
  <conditionalFormatting sqref="F5:F14">
    <cfRule type="expression" dxfId="6" priority="1">
      <formula>$F$5</formula>
    </cfRule>
  </conditionalFormatting>
  <conditionalFormatting sqref="I5:I14">
    <cfRule type="expression" dxfId="5" priority="7">
      <formula>$I$5</formula>
    </cfRule>
  </conditionalFormatting>
  <conditionalFormatting sqref="J5:J14">
    <cfRule type="expression" dxfId="3" priority="6">
      <formula>$J$5</formula>
    </cfRule>
  </conditionalFormatting>
  <conditionalFormatting sqref="K5:K14">
    <cfRule type="expression" dxfId="2" priority="2">
      <formula>$K$5</formula>
    </cfRule>
  </conditionalFormatting>
  <conditionalFormatting sqref="O5:O14">
    <cfRule type="containsText" dxfId="1" priority="4" operator="containsText" text="Pendente">
      <formula>NOT(ISERROR(SEARCH("Pendente",O5)))</formula>
    </cfRule>
    <cfRule type="containsText" dxfId="0" priority="5" operator="containsText" text="Pago">
      <formula>NOT(ISERROR(SEARCH("Pago",O5)))</formula>
    </cfRule>
  </conditionalFormatting>
  <dataValidations count="1">
    <dataValidation type="list" allowBlank="1" showInputMessage="1" showErrorMessage="1" sqref="O5:O14" xr:uid="{C7F90A41-EB6A-4677-8D99-B332B8FCBB5B}">
      <formula1>"Pago,Pendente"</formula1>
    </dataValidation>
  </dataValidations>
  <hyperlinks>
    <hyperlink ref="B22" r:id="rId1" xr:uid="{2ECFBA10-F9CC-451B-8A8C-646B46B3D4F0}"/>
  </hyperlinks>
  <pageMargins left="0.511811024" right="0.511811024" top="0.78740157499999996" bottom="0.78740157499999996" header="0.31496062000000002" footer="0.31496062000000002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F01A1E4B-D991-48F5-970A-5F97A86482FB}">
            <xm:f>NOT(ISERROR(SEARCH($K$5,J5)))</xm:f>
            <xm:f>$K$5</xm:f>
            <x14:dxf>
              <fill>
                <patternFill>
                  <bgColor rgb="FFC6EFCE"/>
                </patternFill>
              </fill>
            </x14:dxf>
          </x14:cfRule>
          <xm:sqref>J5:J14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JUROS E MULTA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Franciele Klaumann</dc:creator>
  <cp:lastModifiedBy>Franciele Klaumann</cp:lastModifiedBy>
  <dcterms:created xsi:type="dcterms:W3CDTF">2025-03-10T19:16:23Z</dcterms:created>
  <dcterms:modified xsi:type="dcterms:W3CDTF">2025-04-03T02:15:37Z</dcterms:modified>
</cp:coreProperties>
</file>