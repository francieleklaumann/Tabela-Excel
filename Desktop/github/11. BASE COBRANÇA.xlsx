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slicers/slicer1.xml" ContentType="application/vnd.ms-excel.slicer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slicers/slicer2.xml" ContentType="application/vnd.ms-excel.slicer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slicers/slicer3.xml" ContentType="application/vnd.ms-excel.slicer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0.xml" ContentType="application/vnd.openxmlformats-officedocument.drawing+xml"/>
  <Override PartName="/xl/slicers/slicer4.xml" ContentType="application/vnd.ms-excel.slicer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1.xml" ContentType="application/vnd.openxmlformats-officedocument.drawing+xml"/>
  <Override PartName="/xl/slicers/slicer5.xml" ContentType="application/vnd.ms-excel.slicer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pivotTables/pivotTable19.xml" ContentType="application/vnd.openxmlformats-officedocument.spreadsheetml.pivotTable+xml"/>
  <Override PartName="/xl/drawings/drawing22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pivotTables/pivotTable20.xml" ContentType="application/vnd.openxmlformats-officedocument.spreadsheetml.pivotTable+xml"/>
  <Override PartName="/xl/drawings/drawing23.xml" ContentType="application/vnd.openxmlformats-officedocument.drawing+xml"/>
  <Override PartName="/xl/slicers/slicer6.xml" ContentType="application/vnd.ms-excel.slicer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ables/table2.xml" ContentType="application/vnd.openxmlformats-officedocument.spreadsheetml.table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5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26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github\"/>
    </mc:Choice>
  </mc:AlternateContent>
  <xr:revisionPtr revIDLastSave="0" documentId="13_ncr:1_{A8EB5858-0071-415B-A74E-1070255501CF}" xr6:coauthVersionLast="47" xr6:coauthVersionMax="47" xr10:uidLastSave="{00000000-0000-0000-0000-000000000000}"/>
  <workbookProtection workbookAlgorithmName="SHA-512" workbookHashValue="xT8/0kJWQnXnQGpFPQj6KBweBER598NFVbuiqKUY++FFncB6Xa8FU4NjQoV7Uma5OdEHSsDZsN1A6C87NEIqQw==" workbookSaltValue="5QR8BPlxsZjZPQgcysIEpw==" workbookSpinCount="100000" lockStructure="1"/>
  <bookViews>
    <workbookView xWindow="-108" yWindow="-108" windowWidth="23256" windowHeight="12456" tabRatio="948" firstSheet="17" activeTab="17" xr2:uid="{EE91B2F9-E446-44D8-A4DA-1CFCCFD19472}"/>
  </bookViews>
  <sheets>
    <sheet name="OBSERVAÇÕES" sheetId="58" state="hidden" r:id="rId1"/>
    <sheet name="DADOS FINANCEIROS" sheetId="1" state="hidden" r:id="rId2"/>
    <sheet name="MÊS EMISSOR" sheetId="24" state="hidden" r:id="rId3"/>
    <sheet name="MÊS ORIGINAL" sheetId="25" state="hidden" r:id="rId4"/>
    <sheet name="MÊS ATUAL" sheetId="26" state="hidden" r:id="rId5"/>
    <sheet name="CARTEIRA" sheetId="28" state="hidden" r:id="rId6"/>
    <sheet name="VENDEDORES" sheetId="27" state="hidden" r:id="rId7"/>
    <sheet name="VALORES VENCIDO" sheetId="31" state="hidden" r:id="rId8"/>
    <sheet name="TÍTULO ELEGÍVEL" sheetId="33" state="hidden" r:id="rId9"/>
    <sheet name="STATUS DE PAGAMENTO" sheetId="30" state="hidden" r:id="rId10"/>
    <sheet name="STATUS DE COBRANÇA" sheetId="29" state="hidden" r:id="rId11"/>
    <sheet name="UNIDADE" sheetId="34" state="hidden" r:id="rId12"/>
    <sheet name="GRUPO" sheetId="35" state="hidden" r:id="rId13"/>
    <sheet name="EMPRESA - QUANTIDADE" sheetId="36" state="hidden" r:id="rId14"/>
    <sheet name="EMPRESA - VALORES" sheetId="37" state="hidden" r:id="rId15"/>
    <sheet name="$ COBRANÇAS" sheetId="51" state="hidden" r:id="rId16"/>
    <sheet name="QTDE COBRANÇAS" sheetId="50" state="hidden" r:id="rId17"/>
    <sheet name="DADOS FINANCEIROS - TABELA" sheetId="44" r:id="rId18"/>
    <sheet name="ACOMPANHAMENTO DA COB. - TABELA" sheetId="46" r:id="rId19"/>
    <sheet name="STATUS NEGOCIAÇÃO - TABELA" sheetId="49" r:id="rId20"/>
    <sheet name="DASHBOARD" sheetId="32" r:id="rId21"/>
    <sheet name="PAINEL" sheetId="52" r:id="rId22"/>
    <sheet name="VALORES FATURADOS" sheetId="56" state="hidden" r:id="rId23"/>
    <sheet name="EMPRESA x DIAS EM ATRASO" sheetId="57" state="hidden" r:id="rId24"/>
    <sheet name="ANÁLISE DE DADOS" sheetId="23" state="hidden" r:id="rId25"/>
    <sheet name="RELATÓRIO COBRANÇA - TABELA" sheetId="54" r:id="rId26"/>
    <sheet name="Relátório de cobrança" sheetId="6" state="hidden" r:id="rId27"/>
    <sheet name="TABELA - RELATÓRIO DE COBRANÇA" sheetId="53" state="hidden" r:id="rId28"/>
    <sheet name="DINÂMICA" sheetId="14" state="hidden" r:id="rId29"/>
    <sheet name="GRÁFICO" sheetId="22" state="hidden" r:id="rId30"/>
    <sheet name="cob." sheetId="4" state="hidden" r:id="rId31"/>
  </sheets>
  <definedNames>
    <definedName name="_xlnm._FilterDatabase" localSheetId="1" hidden="1">'DADOS FINANCEIROS'!$A$7:$Y$82</definedName>
    <definedName name="_xlnm.Print_Area" localSheetId="20">DASHBOARD!$B$2:$R$275</definedName>
    <definedName name="_xlnm.Print_Area" localSheetId="21">PAINEL!$A$1:$AY$118</definedName>
    <definedName name="SegmentaçãodeDados_ANO_EMISSOR1">#N/A</definedName>
    <definedName name="SegmentaçãodeDados_CARTEIRA1">#N/A</definedName>
    <definedName name="SegmentaçãodeDados_Cobrança">#N/A</definedName>
    <definedName name="SegmentaçãodeDados_Cobrança1">#N/A</definedName>
    <definedName name="SegmentaçãodeDados_EMPRESA">#N/A</definedName>
    <definedName name="SegmentaçãodeDados_EMPRESA2">#N/A</definedName>
    <definedName name="SegmentaçãodeDados_GRUPO2">#N/A</definedName>
    <definedName name="SegmentaçãodeDados_MÊS_EMISSOR1">#N/A</definedName>
    <definedName name="SegmentaçãodeDados_Status_de_Cobrança">#N/A</definedName>
    <definedName name="SegmentaçãodeDados_Status_de_Pagamento">#N/A</definedName>
    <definedName name="SegmentaçãodeDados_UNIDADE2">#N/A</definedName>
    <definedName name="SegmentaçãodeDados_VENDEDORES1">#N/A</definedName>
    <definedName name="_xlnm.Print_Titles" localSheetId="20">DASHBOARD!$2:$2</definedName>
  </definedNames>
  <calcPr calcId="191029"/>
  <pivotCaches>
    <pivotCache cacheId="0" r:id="rId32"/>
    <pivotCache cacheId="1" r:id="rId33"/>
    <pivotCache cacheId="2" r:id="rId34"/>
    <pivotCache cacheId="3" r:id="rId35"/>
    <pivotCache cacheId="4" r:id="rId36"/>
  </pivotCaches>
  <extLst>
    <ext xmlns:x14="http://schemas.microsoft.com/office/spreadsheetml/2009/9/main" uri="{BBE1A952-AA13-448e-AADC-164F8A28A991}">
      <x14:slicerCaches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  <x14:slicerCache r:id="rId4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44" l="1"/>
  <c r="L10" i="44"/>
  <c r="AH29" i="49"/>
  <c r="B3" i="1"/>
  <c r="C3" i="1" s="1"/>
  <c r="B5" i="52"/>
  <c r="B8" i="52"/>
  <c r="CO3" i="52"/>
  <c r="CO8" i="52"/>
  <c r="CO5" i="52"/>
  <c r="AL3" i="52"/>
  <c r="AC3" i="52"/>
  <c r="T3" i="52"/>
  <c r="K3" i="52"/>
  <c r="AM78" i="49"/>
  <c r="AM79" i="49"/>
  <c r="AM80" i="49"/>
  <c r="AM81" i="49"/>
  <c r="AM82" i="49"/>
  <c r="AM83" i="49"/>
  <c r="AM84" i="49"/>
  <c r="AM85" i="49"/>
  <c r="AM86" i="49"/>
  <c r="AM87" i="49"/>
  <c r="AM88" i="49"/>
  <c r="AM89" i="49"/>
  <c r="AM90" i="49"/>
  <c r="AM91" i="49"/>
  <c r="AM92" i="49"/>
  <c r="AM93" i="49"/>
  <c r="AM94" i="49"/>
  <c r="AM95" i="49"/>
  <c r="AM96" i="49"/>
  <c r="AM97" i="49"/>
  <c r="AM98" i="49"/>
  <c r="AM99" i="49"/>
  <c r="AM100" i="49"/>
  <c r="AM101" i="49"/>
  <c r="AM102" i="49"/>
  <c r="AM103" i="49"/>
  <c r="AM104" i="49"/>
  <c r="AM105" i="49"/>
  <c r="AM106" i="49"/>
  <c r="AM107" i="49"/>
  <c r="AM108" i="49"/>
  <c r="AM109" i="49"/>
  <c r="AM110" i="49"/>
  <c r="AM111" i="49"/>
  <c r="AM112" i="49"/>
  <c r="AM113" i="49"/>
  <c r="AM114" i="49"/>
  <c r="AM115" i="49"/>
  <c r="AM116" i="49"/>
  <c r="AM117" i="49"/>
  <c r="AM3" i="49"/>
  <c r="AL117" i="49"/>
  <c r="AK117" i="49"/>
  <c r="AJ117" i="49"/>
  <c r="AI117" i="49"/>
  <c r="AH117" i="49"/>
  <c r="AG117" i="49"/>
  <c r="AF117" i="49"/>
  <c r="AE117" i="49"/>
  <c r="AD117" i="49"/>
  <c r="AC117" i="49"/>
  <c r="AB117" i="49"/>
  <c r="AA117" i="49"/>
  <c r="Z117" i="49"/>
  <c r="Y117" i="49"/>
  <c r="X117" i="49"/>
  <c r="W117" i="49"/>
  <c r="V117" i="49"/>
  <c r="U117" i="49"/>
  <c r="T117" i="49"/>
  <c r="S117" i="49"/>
  <c r="R117" i="49"/>
  <c r="Q117" i="49"/>
  <c r="P117" i="49"/>
  <c r="O117" i="49"/>
  <c r="N117" i="49"/>
  <c r="M117" i="49"/>
  <c r="L117" i="49"/>
  <c r="K117" i="49"/>
  <c r="J117" i="49"/>
  <c r="I117" i="49"/>
  <c r="H117" i="49"/>
  <c r="G117" i="49"/>
  <c r="F117" i="49"/>
  <c r="E117" i="49"/>
  <c r="D117" i="49"/>
  <c r="C117" i="49"/>
  <c r="AL116" i="49"/>
  <c r="AK116" i="49"/>
  <c r="AJ116" i="49"/>
  <c r="AI116" i="49"/>
  <c r="AH116" i="49"/>
  <c r="AG116" i="49"/>
  <c r="AF116" i="49"/>
  <c r="AE116" i="49"/>
  <c r="AD116" i="49"/>
  <c r="AC116" i="49"/>
  <c r="AB116" i="49"/>
  <c r="AA116" i="49"/>
  <c r="Z116" i="49"/>
  <c r="Y116" i="49"/>
  <c r="X116" i="49"/>
  <c r="W116" i="49"/>
  <c r="V116" i="49"/>
  <c r="U116" i="49"/>
  <c r="T116" i="49"/>
  <c r="S116" i="49"/>
  <c r="R116" i="49"/>
  <c r="Q116" i="49"/>
  <c r="P116" i="49"/>
  <c r="O116" i="49"/>
  <c r="N116" i="49"/>
  <c r="M116" i="49"/>
  <c r="L116" i="49"/>
  <c r="K116" i="49"/>
  <c r="J116" i="49"/>
  <c r="I116" i="49"/>
  <c r="H116" i="49"/>
  <c r="G116" i="49"/>
  <c r="F116" i="49"/>
  <c r="E116" i="49"/>
  <c r="D116" i="49"/>
  <c r="C116" i="49"/>
  <c r="AL115" i="49"/>
  <c r="AK115" i="49"/>
  <c r="AJ115" i="49"/>
  <c r="AI115" i="49"/>
  <c r="AH115" i="49"/>
  <c r="AG115" i="49"/>
  <c r="AF115" i="49"/>
  <c r="AE115" i="49"/>
  <c r="AD115" i="49"/>
  <c r="AC115" i="49"/>
  <c r="AB115" i="49"/>
  <c r="AA115" i="49"/>
  <c r="Z115" i="49"/>
  <c r="Y115" i="49"/>
  <c r="X115" i="49"/>
  <c r="W115" i="49"/>
  <c r="V115" i="49"/>
  <c r="U115" i="49"/>
  <c r="T115" i="49"/>
  <c r="S115" i="49"/>
  <c r="R115" i="49"/>
  <c r="Q115" i="49"/>
  <c r="P115" i="49"/>
  <c r="O115" i="49"/>
  <c r="N115" i="49"/>
  <c r="M115" i="49"/>
  <c r="L115" i="49"/>
  <c r="K115" i="49"/>
  <c r="J115" i="49"/>
  <c r="I115" i="49"/>
  <c r="H115" i="49"/>
  <c r="G115" i="49"/>
  <c r="F115" i="49"/>
  <c r="E115" i="49"/>
  <c r="D115" i="49"/>
  <c r="C115" i="49"/>
  <c r="AL114" i="49"/>
  <c r="AK114" i="49"/>
  <c r="AJ114" i="49"/>
  <c r="AI114" i="49"/>
  <c r="AH114" i="49"/>
  <c r="AG114" i="49"/>
  <c r="AF114" i="49"/>
  <c r="AE114" i="49"/>
  <c r="AD114" i="49"/>
  <c r="AC114" i="49"/>
  <c r="AB114" i="49"/>
  <c r="AA114" i="49"/>
  <c r="Z114" i="49"/>
  <c r="Y114" i="49"/>
  <c r="X114" i="49"/>
  <c r="W114" i="49"/>
  <c r="V114" i="49"/>
  <c r="U114" i="49"/>
  <c r="T114" i="49"/>
  <c r="S114" i="49"/>
  <c r="R114" i="49"/>
  <c r="Q114" i="49"/>
  <c r="P114" i="49"/>
  <c r="O114" i="49"/>
  <c r="N114" i="49"/>
  <c r="M114" i="49"/>
  <c r="L114" i="49"/>
  <c r="K114" i="49"/>
  <c r="J114" i="49"/>
  <c r="I114" i="49"/>
  <c r="H114" i="49"/>
  <c r="G114" i="49"/>
  <c r="F114" i="49"/>
  <c r="E114" i="49"/>
  <c r="D114" i="49"/>
  <c r="C114" i="49"/>
  <c r="AL113" i="49"/>
  <c r="AK113" i="49"/>
  <c r="AJ113" i="49"/>
  <c r="AI113" i="49"/>
  <c r="AH113" i="49"/>
  <c r="AG113" i="49"/>
  <c r="AF113" i="49"/>
  <c r="AE113" i="49"/>
  <c r="AD113" i="49"/>
  <c r="AC113" i="49"/>
  <c r="AB113" i="49"/>
  <c r="AA113" i="49"/>
  <c r="Z113" i="49"/>
  <c r="Y113" i="49"/>
  <c r="X113" i="49"/>
  <c r="W113" i="49"/>
  <c r="V113" i="49"/>
  <c r="U113" i="49"/>
  <c r="T113" i="49"/>
  <c r="S113" i="49"/>
  <c r="R113" i="49"/>
  <c r="Q113" i="49"/>
  <c r="P113" i="49"/>
  <c r="O113" i="49"/>
  <c r="N113" i="49"/>
  <c r="M113" i="49"/>
  <c r="L113" i="49"/>
  <c r="K113" i="49"/>
  <c r="J113" i="49"/>
  <c r="I113" i="49"/>
  <c r="H113" i="49"/>
  <c r="G113" i="49"/>
  <c r="F113" i="49"/>
  <c r="E113" i="49"/>
  <c r="D113" i="49"/>
  <c r="C113" i="49"/>
  <c r="AL112" i="49"/>
  <c r="AK112" i="49"/>
  <c r="AJ112" i="49"/>
  <c r="AI112" i="49"/>
  <c r="AH112" i="49"/>
  <c r="AG112" i="49"/>
  <c r="AF112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E112" i="49"/>
  <c r="D112" i="49"/>
  <c r="C112" i="49"/>
  <c r="AL111" i="49"/>
  <c r="AK111" i="49"/>
  <c r="AJ111" i="49"/>
  <c r="AI111" i="49"/>
  <c r="AH111" i="49"/>
  <c r="AG111" i="49"/>
  <c r="AF111" i="49"/>
  <c r="AE111" i="49"/>
  <c r="AD111" i="49"/>
  <c r="AC111" i="49"/>
  <c r="AB111" i="49"/>
  <c r="AA111" i="49"/>
  <c r="Z111" i="49"/>
  <c r="Y111" i="49"/>
  <c r="X111" i="49"/>
  <c r="W111" i="49"/>
  <c r="V111" i="49"/>
  <c r="U111" i="49"/>
  <c r="T111" i="49"/>
  <c r="S111" i="49"/>
  <c r="R111" i="49"/>
  <c r="Q111" i="49"/>
  <c r="P111" i="49"/>
  <c r="O111" i="49"/>
  <c r="N111" i="49"/>
  <c r="M111" i="49"/>
  <c r="L111" i="49"/>
  <c r="K111" i="49"/>
  <c r="J111" i="49"/>
  <c r="I111" i="49"/>
  <c r="H111" i="49"/>
  <c r="G111" i="49"/>
  <c r="F111" i="49"/>
  <c r="E111" i="49"/>
  <c r="D111" i="49"/>
  <c r="C111" i="49"/>
  <c r="AL110" i="49"/>
  <c r="AK110" i="49"/>
  <c r="AJ110" i="49"/>
  <c r="AI110" i="49"/>
  <c r="AH110" i="49"/>
  <c r="AG110" i="49"/>
  <c r="AF110" i="49"/>
  <c r="AE110" i="49"/>
  <c r="AD110" i="49"/>
  <c r="AC110" i="49"/>
  <c r="AB110" i="49"/>
  <c r="AA110" i="49"/>
  <c r="Z110" i="49"/>
  <c r="Y110" i="49"/>
  <c r="X110" i="49"/>
  <c r="W110" i="49"/>
  <c r="V110" i="49"/>
  <c r="U110" i="49"/>
  <c r="T110" i="49"/>
  <c r="S110" i="49"/>
  <c r="R110" i="49"/>
  <c r="Q110" i="49"/>
  <c r="P110" i="49"/>
  <c r="O110" i="49"/>
  <c r="N110" i="49"/>
  <c r="M110" i="49"/>
  <c r="L110" i="49"/>
  <c r="K110" i="49"/>
  <c r="J110" i="49"/>
  <c r="I110" i="49"/>
  <c r="H110" i="49"/>
  <c r="G110" i="49"/>
  <c r="F110" i="49"/>
  <c r="E110" i="49"/>
  <c r="D110" i="49"/>
  <c r="C110" i="49"/>
  <c r="AL109" i="49"/>
  <c r="AK109" i="49"/>
  <c r="AJ109" i="49"/>
  <c r="AI109" i="49"/>
  <c r="AH109" i="49"/>
  <c r="AG109" i="49"/>
  <c r="AF109" i="49"/>
  <c r="AE109" i="49"/>
  <c r="AD109" i="49"/>
  <c r="AC109" i="49"/>
  <c r="AB109" i="49"/>
  <c r="AA109" i="49"/>
  <c r="Z109" i="49"/>
  <c r="Y109" i="49"/>
  <c r="X109" i="49"/>
  <c r="W109" i="49"/>
  <c r="V109" i="49"/>
  <c r="U109" i="49"/>
  <c r="T109" i="49"/>
  <c r="S109" i="49"/>
  <c r="R109" i="49"/>
  <c r="Q109" i="49"/>
  <c r="P109" i="49"/>
  <c r="O109" i="49"/>
  <c r="N109" i="49"/>
  <c r="M109" i="49"/>
  <c r="L109" i="49"/>
  <c r="K109" i="49"/>
  <c r="J109" i="49"/>
  <c r="I109" i="49"/>
  <c r="H109" i="49"/>
  <c r="G109" i="49"/>
  <c r="F109" i="49"/>
  <c r="E109" i="49"/>
  <c r="D109" i="49"/>
  <c r="C109" i="49"/>
  <c r="AL108" i="49"/>
  <c r="AK108" i="49"/>
  <c r="AJ108" i="49"/>
  <c r="AI108" i="49"/>
  <c r="AH108" i="49"/>
  <c r="AG108" i="49"/>
  <c r="AF108" i="49"/>
  <c r="AE108" i="49"/>
  <c r="AD108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E108" i="49"/>
  <c r="D108" i="49"/>
  <c r="C108" i="49"/>
  <c r="AL107" i="49"/>
  <c r="AK107" i="49"/>
  <c r="AJ107" i="49"/>
  <c r="AI107" i="49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AL106" i="49"/>
  <c r="AK106" i="49"/>
  <c r="AJ106" i="49"/>
  <c r="AI106" i="49"/>
  <c r="AH106" i="49"/>
  <c r="AG106" i="49"/>
  <c r="AF106" i="49"/>
  <c r="AE106" i="49"/>
  <c r="AD106" i="49"/>
  <c r="AC106" i="49"/>
  <c r="AB106" i="49"/>
  <c r="AA106" i="49"/>
  <c r="Z106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AL105" i="49"/>
  <c r="AK105" i="49"/>
  <c r="AJ105" i="49"/>
  <c r="AI105" i="49"/>
  <c r="AH105" i="49"/>
  <c r="AG105" i="49"/>
  <c r="AF105" i="49"/>
  <c r="AE105" i="49"/>
  <c r="AD105" i="49"/>
  <c r="AC105" i="49"/>
  <c r="AB105" i="49"/>
  <c r="AA105" i="49"/>
  <c r="Z105" i="49"/>
  <c r="Y105" i="49"/>
  <c r="X105" i="49"/>
  <c r="W105" i="49"/>
  <c r="V105" i="49"/>
  <c r="U105" i="49"/>
  <c r="T105" i="49"/>
  <c r="S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E105" i="49"/>
  <c r="D105" i="49"/>
  <c r="C105" i="49"/>
  <c r="AL104" i="49"/>
  <c r="AK104" i="49"/>
  <c r="AJ104" i="49"/>
  <c r="AI104" i="49"/>
  <c r="AH104" i="49"/>
  <c r="AG104" i="49"/>
  <c r="AF104" i="49"/>
  <c r="AE104" i="49"/>
  <c r="AD104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E104" i="49"/>
  <c r="D104" i="49"/>
  <c r="C104" i="49"/>
  <c r="AL103" i="49"/>
  <c r="AK103" i="49"/>
  <c r="AJ103" i="49"/>
  <c r="AI103" i="49"/>
  <c r="AH103" i="49"/>
  <c r="AG103" i="49"/>
  <c r="AF103" i="49"/>
  <c r="AE103" i="49"/>
  <c r="AD103" i="49"/>
  <c r="AC103" i="49"/>
  <c r="AB103" i="49"/>
  <c r="AA103" i="49"/>
  <c r="Z103" i="49"/>
  <c r="Y103" i="49"/>
  <c r="X103" i="49"/>
  <c r="W103" i="49"/>
  <c r="V103" i="49"/>
  <c r="U103" i="49"/>
  <c r="T103" i="49"/>
  <c r="S103" i="49"/>
  <c r="R103" i="49"/>
  <c r="Q103" i="49"/>
  <c r="P103" i="49"/>
  <c r="O103" i="49"/>
  <c r="N103" i="49"/>
  <c r="M103" i="49"/>
  <c r="L103" i="49"/>
  <c r="K103" i="49"/>
  <c r="J103" i="49"/>
  <c r="I103" i="49"/>
  <c r="H103" i="49"/>
  <c r="G103" i="49"/>
  <c r="F103" i="49"/>
  <c r="E103" i="49"/>
  <c r="D103" i="49"/>
  <c r="C103" i="49"/>
  <c r="AL102" i="49"/>
  <c r="AK102" i="49"/>
  <c r="AJ102" i="49"/>
  <c r="AI102" i="49"/>
  <c r="AH102" i="49"/>
  <c r="AG102" i="49"/>
  <c r="AF102" i="49"/>
  <c r="AE102" i="49"/>
  <c r="AD102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AL101" i="49"/>
  <c r="AK101" i="49"/>
  <c r="AJ101" i="49"/>
  <c r="AI101" i="49"/>
  <c r="AH101" i="49"/>
  <c r="AG101" i="49"/>
  <c r="AF101" i="49"/>
  <c r="AE101" i="49"/>
  <c r="AD101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AL100" i="49"/>
  <c r="AK100" i="49"/>
  <c r="AJ100" i="49"/>
  <c r="AI100" i="49"/>
  <c r="AH100" i="49"/>
  <c r="AG100" i="49"/>
  <c r="AF100" i="49"/>
  <c r="AE100" i="49"/>
  <c r="AD100" i="49"/>
  <c r="AC100" i="49"/>
  <c r="AB100" i="49"/>
  <c r="AA100" i="49"/>
  <c r="Z100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AL99" i="49"/>
  <c r="AK99" i="49"/>
  <c r="AJ99" i="49"/>
  <c r="AI99" i="49"/>
  <c r="AH99" i="49"/>
  <c r="AG99" i="49"/>
  <c r="AF99" i="49"/>
  <c r="AE99" i="49"/>
  <c r="AD99" i="49"/>
  <c r="AC99" i="49"/>
  <c r="AB99" i="49"/>
  <c r="AA99" i="49"/>
  <c r="Z99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AL98" i="49"/>
  <c r="AK98" i="49"/>
  <c r="AJ98" i="49"/>
  <c r="AI98" i="49"/>
  <c r="AH98" i="49"/>
  <c r="AG98" i="49"/>
  <c r="AF98" i="49"/>
  <c r="AE98" i="49"/>
  <c r="AD98" i="49"/>
  <c r="AC98" i="49"/>
  <c r="AB98" i="49"/>
  <c r="AA98" i="49"/>
  <c r="Z98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AL97" i="49"/>
  <c r="AK97" i="49"/>
  <c r="AJ97" i="49"/>
  <c r="AI97" i="49"/>
  <c r="AH97" i="49"/>
  <c r="AG97" i="49"/>
  <c r="AF97" i="49"/>
  <c r="AE97" i="49"/>
  <c r="AD97" i="49"/>
  <c r="AC97" i="49"/>
  <c r="AB97" i="49"/>
  <c r="AA97" i="49"/>
  <c r="Z97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AL96" i="49"/>
  <c r="AK96" i="49"/>
  <c r="AJ96" i="49"/>
  <c r="AI96" i="49"/>
  <c r="AH96" i="49"/>
  <c r="AG96" i="49"/>
  <c r="AF96" i="49"/>
  <c r="AE96" i="49"/>
  <c r="AD96" i="49"/>
  <c r="AC96" i="49"/>
  <c r="AB96" i="49"/>
  <c r="AA96" i="49"/>
  <c r="Z96" i="49"/>
  <c r="Y96" i="49"/>
  <c r="X96" i="49"/>
  <c r="W96" i="49"/>
  <c r="V96" i="49"/>
  <c r="U96" i="49"/>
  <c r="T96" i="49"/>
  <c r="S96" i="49"/>
  <c r="R96" i="49"/>
  <c r="Q96" i="49"/>
  <c r="P96" i="49"/>
  <c r="O96" i="49"/>
  <c r="N96" i="49"/>
  <c r="M96" i="49"/>
  <c r="L96" i="49"/>
  <c r="K96" i="49"/>
  <c r="J96" i="49"/>
  <c r="I96" i="49"/>
  <c r="H96" i="49"/>
  <c r="G96" i="49"/>
  <c r="F96" i="49"/>
  <c r="E96" i="49"/>
  <c r="D96" i="49"/>
  <c r="C96" i="49"/>
  <c r="AL95" i="49"/>
  <c r="AK95" i="49"/>
  <c r="AJ95" i="49"/>
  <c r="AI95" i="49"/>
  <c r="AH95" i="49"/>
  <c r="AG95" i="49"/>
  <c r="AF95" i="49"/>
  <c r="AE95" i="49"/>
  <c r="AD95" i="49"/>
  <c r="AC95" i="49"/>
  <c r="AB95" i="49"/>
  <c r="AA95" i="49"/>
  <c r="Z95" i="49"/>
  <c r="Y95" i="49"/>
  <c r="X95" i="49"/>
  <c r="W95" i="49"/>
  <c r="V95" i="49"/>
  <c r="U95" i="49"/>
  <c r="T95" i="49"/>
  <c r="S95" i="49"/>
  <c r="R95" i="49"/>
  <c r="Q95" i="49"/>
  <c r="P95" i="49"/>
  <c r="O95" i="49"/>
  <c r="N95" i="49"/>
  <c r="M95" i="49"/>
  <c r="L95" i="49"/>
  <c r="K95" i="49"/>
  <c r="J95" i="49"/>
  <c r="I95" i="49"/>
  <c r="H95" i="49"/>
  <c r="G95" i="49"/>
  <c r="F95" i="49"/>
  <c r="E95" i="49"/>
  <c r="D95" i="49"/>
  <c r="C95" i="49"/>
  <c r="AL94" i="49"/>
  <c r="AK94" i="49"/>
  <c r="AJ94" i="49"/>
  <c r="AI94" i="49"/>
  <c r="AH94" i="49"/>
  <c r="AG94" i="49"/>
  <c r="AF94" i="49"/>
  <c r="AE94" i="49"/>
  <c r="AD94" i="49"/>
  <c r="AC94" i="49"/>
  <c r="AB94" i="49"/>
  <c r="AA94" i="49"/>
  <c r="Z94" i="49"/>
  <c r="Y94" i="49"/>
  <c r="X94" i="49"/>
  <c r="W94" i="49"/>
  <c r="V94" i="49"/>
  <c r="U94" i="49"/>
  <c r="T94" i="49"/>
  <c r="S94" i="49"/>
  <c r="R94" i="49"/>
  <c r="Q94" i="49"/>
  <c r="P94" i="49"/>
  <c r="O94" i="49"/>
  <c r="N94" i="49"/>
  <c r="M94" i="49"/>
  <c r="L94" i="49"/>
  <c r="K94" i="49"/>
  <c r="J94" i="49"/>
  <c r="I94" i="49"/>
  <c r="H94" i="49"/>
  <c r="G94" i="49"/>
  <c r="F94" i="49"/>
  <c r="E94" i="49"/>
  <c r="D94" i="49"/>
  <c r="C94" i="49"/>
  <c r="AL93" i="49"/>
  <c r="AK93" i="49"/>
  <c r="AJ93" i="49"/>
  <c r="AI93" i="49"/>
  <c r="AH93" i="49"/>
  <c r="AG93" i="49"/>
  <c r="AF93" i="49"/>
  <c r="AE93" i="49"/>
  <c r="AD93" i="49"/>
  <c r="AC93" i="49"/>
  <c r="AB93" i="49"/>
  <c r="AA93" i="49"/>
  <c r="Z93" i="49"/>
  <c r="Y93" i="49"/>
  <c r="X93" i="49"/>
  <c r="W93" i="49"/>
  <c r="V93" i="49"/>
  <c r="U93" i="49"/>
  <c r="T93" i="49"/>
  <c r="S93" i="49"/>
  <c r="R93" i="49"/>
  <c r="Q93" i="49"/>
  <c r="P93" i="49"/>
  <c r="O93" i="49"/>
  <c r="N93" i="49"/>
  <c r="M93" i="49"/>
  <c r="L93" i="49"/>
  <c r="K93" i="49"/>
  <c r="J93" i="49"/>
  <c r="I93" i="49"/>
  <c r="H93" i="49"/>
  <c r="G93" i="49"/>
  <c r="F93" i="49"/>
  <c r="E93" i="49"/>
  <c r="D93" i="49"/>
  <c r="C93" i="49"/>
  <c r="AL92" i="49"/>
  <c r="AK92" i="49"/>
  <c r="AJ92" i="49"/>
  <c r="AI92" i="49"/>
  <c r="AH92" i="49"/>
  <c r="AG92" i="49"/>
  <c r="AF92" i="49"/>
  <c r="AE92" i="49"/>
  <c r="AD92" i="49"/>
  <c r="AC92" i="49"/>
  <c r="AB92" i="49"/>
  <c r="AA92" i="49"/>
  <c r="Z92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AL91" i="49"/>
  <c r="AK91" i="49"/>
  <c r="AJ91" i="49"/>
  <c r="AI91" i="49"/>
  <c r="AH91" i="49"/>
  <c r="AG91" i="49"/>
  <c r="AF91" i="49"/>
  <c r="AE91" i="49"/>
  <c r="AD91" i="49"/>
  <c r="AC91" i="49"/>
  <c r="AB91" i="49"/>
  <c r="AA91" i="49"/>
  <c r="Z91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AL90" i="49"/>
  <c r="AK90" i="49"/>
  <c r="AJ90" i="49"/>
  <c r="AI90" i="49"/>
  <c r="AH90" i="49"/>
  <c r="AG90" i="49"/>
  <c r="AF90" i="49"/>
  <c r="AE90" i="49"/>
  <c r="AD90" i="49"/>
  <c r="AC90" i="49"/>
  <c r="AB90" i="49"/>
  <c r="AA90" i="49"/>
  <c r="Z90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AL89" i="49"/>
  <c r="AK89" i="49"/>
  <c r="AJ89" i="49"/>
  <c r="AI89" i="49"/>
  <c r="AH89" i="49"/>
  <c r="AG89" i="49"/>
  <c r="AF89" i="49"/>
  <c r="AE89" i="49"/>
  <c r="AD89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AL88" i="49"/>
  <c r="AK88" i="49"/>
  <c r="AJ88" i="49"/>
  <c r="AI88" i="49"/>
  <c r="AH88" i="49"/>
  <c r="AG88" i="49"/>
  <c r="AF88" i="49"/>
  <c r="AE88" i="49"/>
  <c r="AD88" i="49"/>
  <c r="AC88" i="49"/>
  <c r="AB88" i="49"/>
  <c r="AA88" i="49"/>
  <c r="Z88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AL87" i="49"/>
  <c r="AK87" i="49"/>
  <c r="AJ87" i="49"/>
  <c r="AI87" i="49"/>
  <c r="AH87" i="49"/>
  <c r="AG87" i="49"/>
  <c r="AF87" i="49"/>
  <c r="AE87" i="49"/>
  <c r="AD87" i="49"/>
  <c r="AC87" i="49"/>
  <c r="AB87" i="49"/>
  <c r="AA87" i="49"/>
  <c r="Z87" i="49"/>
  <c r="Y87" i="49"/>
  <c r="X87" i="49"/>
  <c r="W87" i="49"/>
  <c r="V87" i="49"/>
  <c r="U87" i="49"/>
  <c r="T87" i="49"/>
  <c r="S87" i="49"/>
  <c r="R87" i="49"/>
  <c r="Q87" i="49"/>
  <c r="P87" i="49"/>
  <c r="O87" i="49"/>
  <c r="N87" i="49"/>
  <c r="M87" i="49"/>
  <c r="L87" i="49"/>
  <c r="K87" i="49"/>
  <c r="J87" i="49"/>
  <c r="I87" i="49"/>
  <c r="H87" i="49"/>
  <c r="G87" i="49"/>
  <c r="F87" i="49"/>
  <c r="E87" i="49"/>
  <c r="D87" i="49"/>
  <c r="C87" i="49"/>
  <c r="AL86" i="49"/>
  <c r="AK86" i="49"/>
  <c r="AJ86" i="49"/>
  <c r="AI86" i="49"/>
  <c r="AH86" i="49"/>
  <c r="AG86" i="49"/>
  <c r="AF86" i="49"/>
  <c r="AE86" i="49"/>
  <c r="AD86" i="49"/>
  <c r="AC86" i="49"/>
  <c r="AB86" i="49"/>
  <c r="AA86" i="49"/>
  <c r="Z86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AL85" i="49"/>
  <c r="AK85" i="49"/>
  <c r="AJ85" i="49"/>
  <c r="AI85" i="49"/>
  <c r="AH85" i="49"/>
  <c r="AG85" i="49"/>
  <c r="AF85" i="49"/>
  <c r="AE85" i="49"/>
  <c r="AD85" i="49"/>
  <c r="AC85" i="49"/>
  <c r="AB85" i="49"/>
  <c r="AA85" i="49"/>
  <c r="Z85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AL84" i="49"/>
  <c r="AK84" i="49"/>
  <c r="AJ84" i="49"/>
  <c r="AI84" i="49"/>
  <c r="AH84" i="49"/>
  <c r="AG84" i="49"/>
  <c r="AF84" i="49"/>
  <c r="AE84" i="49"/>
  <c r="AD84" i="49"/>
  <c r="AC84" i="49"/>
  <c r="AB84" i="49"/>
  <c r="AA84" i="49"/>
  <c r="Z84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AL83" i="49"/>
  <c r="AK83" i="49"/>
  <c r="AJ83" i="49"/>
  <c r="AI83" i="49"/>
  <c r="AH83" i="49"/>
  <c r="AG83" i="49"/>
  <c r="AF83" i="49"/>
  <c r="AE83" i="49"/>
  <c r="AD83" i="49"/>
  <c r="AC83" i="49"/>
  <c r="AB83" i="49"/>
  <c r="AA83" i="49"/>
  <c r="Z83" i="49"/>
  <c r="Y83" i="49"/>
  <c r="X83" i="49"/>
  <c r="W83" i="49"/>
  <c r="V83" i="49"/>
  <c r="U83" i="49"/>
  <c r="T83" i="49"/>
  <c r="S83" i="49"/>
  <c r="R83" i="49"/>
  <c r="Q83" i="49"/>
  <c r="P83" i="49"/>
  <c r="O83" i="49"/>
  <c r="N83" i="49"/>
  <c r="M83" i="49"/>
  <c r="L83" i="49"/>
  <c r="K83" i="49"/>
  <c r="J83" i="49"/>
  <c r="I83" i="49"/>
  <c r="H83" i="49"/>
  <c r="G83" i="49"/>
  <c r="F83" i="49"/>
  <c r="E83" i="49"/>
  <c r="D83" i="49"/>
  <c r="C83" i="49"/>
  <c r="AL82" i="49"/>
  <c r="AK82" i="49"/>
  <c r="AJ82" i="49"/>
  <c r="AI82" i="49"/>
  <c r="AH82" i="49"/>
  <c r="AG82" i="49"/>
  <c r="AF82" i="49"/>
  <c r="AE82" i="49"/>
  <c r="AD82" i="49"/>
  <c r="AC82" i="49"/>
  <c r="AB82" i="49"/>
  <c r="AA82" i="49"/>
  <c r="Z82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AL81" i="49"/>
  <c r="AK81" i="49"/>
  <c r="AJ81" i="49"/>
  <c r="AI81" i="49"/>
  <c r="AH81" i="49"/>
  <c r="AG81" i="49"/>
  <c r="AF81" i="49"/>
  <c r="AE81" i="49"/>
  <c r="AD81" i="49"/>
  <c r="AC81" i="49"/>
  <c r="AB81" i="49"/>
  <c r="AA81" i="49"/>
  <c r="Z81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AL80" i="49"/>
  <c r="AK80" i="49"/>
  <c r="AJ80" i="49"/>
  <c r="AI80" i="49"/>
  <c r="AH80" i="49"/>
  <c r="AG80" i="49"/>
  <c r="AF80" i="49"/>
  <c r="AE80" i="49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P80" i="49"/>
  <c r="O80" i="49"/>
  <c r="N80" i="49"/>
  <c r="M80" i="49"/>
  <c r="L80" i="49"/>
  <c r="K80" i="49"/>
  <c r="J80" i="49"/>
  <c r="I80" i="49"/>
  <c r="H80" i="49"/>
  <c r="G80" i="49"/>
  <c r="F80" i="49"/>
  <c r="E80" i="49"/>
  <c r="D80" i="49"/>
  <c r="C80" i="49"/>
  <c r="AL79" i="49"/>
  <c r="AK79" i="49"/>
  <c r="AJ79" i="49"/>
  <c r="AI79" i="49"/>
  <c r="AH79" i="49"/>
  <c r="AG79" i="49"/>
  <c r="AF79" i="49"/>
  <c r="AE79" i="49"/>
  <c r="AD79" i="49"/>
  <c r="AC79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AL78" i="49"/>
  <c r="AK78" i="49"/>
  <c r="AJ78" i="49"/>
  <c r="AI78" i="49"/>
  <c r="AH78" i="49"/>
  <c r="AG78" i="49"/>
  <c r="AF78" i="49"/>
  <c r="AE78" i="49"/>
  <c r="AD78" i="49"/>
  <c r="AC78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AL3" i="49"/>
  <c r="AK3" i="49"/>
  <c r="AJ3" i="49"/>
  <c r="AI3" i="49"/>
  <c r="AH3" i="49"/>
  <c r="AG3" i="49"/>
  <c r="AF3" i="49"/>
  <c r="AE3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AJ74" i="23"/>
  <c r="AJ75" i="23"/>
  <c r="AJ76" i="23"/>
  <c r="AJ77" i="23"/>
  <c r="AJ78" i="23"/>
  <c r="AJ79" i="23"/>
  <c r="AJ80" i="23"/>
  <c r="AJ81" i="23"/>
  <c r="AJ82" i="23"/>
  <c r="AJ83" i="23"/>
  <c r="AJ84" i="23"/>
  <c r="AJ85" i="23"/>
  <c r="AJ86" i="23"/>
  <c r="AJ87" i="23"/>
  <c r="AJ88" i="23"/>
  <c r="AJ89" i="23"/>
  <c r="AJ90" i="23"/>
  <c r="AJ91" i="23"/>
  <c r="AJ92" i="23"/>
  <c r="AJ93" i="23"/>
  <c r="AJ94" i="23"/>
  <c r="AJ95" i="23"/>
  <c r="AJ96" i="23"/>
  <c r="AJ97" i="23"/>
  <c r="AJ98" i="23"/>
  <c r="AJ99" i="23"/>
  <c r="AJ100" i="23"/>
  <c r="AJ101" i="23"/>
  <c r="AJ102" i="23"/>
  <c r="AJ103" i="23"/>
  <c r="AJ104" i="23"/>
  <c r="AJ105" i="23"/>
  <c r="AJ106" i="23"/>
  <c r="AJ107" i="23"/>
  <c r="AJ108" i="23"/>
  <c r="AJ109" i="23"/>
  <c r="AJ110" i="23"/>
  <c r="AJ111" i="23"/>
  <c r="AJ112" i="23"/>
  <c r="AJ113" i="23"/>
  <c r="AJ114" i="23"/>
  <c r="AJ115" i="23"/>
  <c r="AJ116" i="23"/>
  <c r="AJ117" i="23"/>
  <c r="AJ118" i="23"/>
  <c r="AJ119" i="23"/>
  <c r="AJ120" i="23"/>
  <c r="AJ121" i="23"/>
  <c r="AJ122" i="23"/>
  <c r="AJ123" i="23"/>
  <c r="AJ124" i="23"/>
  <c r="AJ125" i="23"/>
  <c r="AJ126" i="23"/>
  <c r="AJ127" i="23"/>
  <c r="AJ128" i="23"/>
  <c r="AJ129" i="23"/>
  <c r="AJ130" i="23"/>
  <c r="AJ131" i="23"/>
  <c r="AJ132" i="23"/>
  <c r="AJ133" i="23"/>
  <c r="AJ134" i="23"/>
  <c r="AJ135" i="23"/>
  <c r="AJ136" i="23"/>
  <c r="AJ137" i="23"/>
  <c r="AJ138" i="23"/>
  <c r="AJ139" i="23"/>
  <c r="AJ140" i="23"/>
  <c r="AJ141" i="23"/>
  <c r="AJ142" i="23"/>
  <c r="AJ143" i="23"/>
  <c r="AJ144" i="23"/>
  <c r="AJ145" i="23"/>
  <c r="AJ146" i="23"/>
  <c r="AJ147" i="23"/>
  <c r="AJ148" i="23"/>
  <c r="AJ149" i="23"/>
  <c r="AJ150" i="23"/>
  <c r="AJ151" i="23"/>
  <c r="AJ152" i="23"/>
  <c r="AJ153" i="23"/>
  <c r="AJ154" i="23"/>
  <c r="AJ155" i="23"/>
  <c r="AJ156" i="23"/>
  <c r="AJ157" i="23"/>
  <c r="AJ158" i="23"/>
  <c r="AJ159" i="23"/>
  <c r="AJ160" i="23"/>
  <c r="AJ161" i="23"/>
  <c r="AJ162" i="23"/>
  <c r="AJ163" i="23"/>
  <c r="AJ164" i="23"/>
  <c r="AJ165" i="23"/>
  <c r="AJ166" i="23"/>
  <c r="AJ167" i="23"/>
  <c r="AJ168" i="23"/>
  <c r="AJ169" i="23"/>
  <c r="AJ170" i="23"/>
  <c r="AJ171" i="23"/>
  <c r="AJ172" i="23"/>
  <c r="AJ173" i="23"/>
  <c r="AJ174" i="23"/>
  <c r="AJ175" i="23"/>
  <c r="AJ176" i="23"/>
  <c r="AJ177" i="23"/>
  <c r="AJ178" i="23"/>
  <c r="AJ179" i="23"/>
  <c r="AJ180" i="23"/>
  <c r="AJ181" i="23"/>
  <c r="AJ182" i="23"/>
  <c r="AJ183" i="23"/>
  <c r="AJ184" i="23"/>
  <c r="AJ185" i="23"/>
  <c r="AJ186" i="23"/>
  <c r="AJ187" i="23"/>
  <c r="AJ188" i="23"/>
  <c r="AJ189" i="23"/>
  <c r="AJ190" i="23"/>
  <c r="AJ191" i="23"/>
  <c r="AJ192" i="23"/>
  <c r="AJ193" i="23"/>
  <c r="AJ194" i="23"/>
  <c r="AJ195" i="23"/>
  <c r="AJ196" i="23"/>
  <c r="AJ197" i="23"/>
  <c r="AJ198" i="23"/>
  <c r="AJ199" i="23"/>
  <c r="AJ200" i="23"/>
  <c r="AJ201" i="23"/>
  <c r="AJ202" i="23"/>
  <c r="AJ203" i="23"/>
  <c r="AJ204" i="23"/>
  <c r="AJ205" i="23"/>
  <c r="AJ206" i="23"/>
  <c r="AJ207" i="23"/>
  <c r="AJ208" i="23"/>
  <c r="AJ209" i="23"/>
  <c r="AJ210" i="23"/>
  <c r="AJ211" i="23"/>
  <c r="AJ212" i="23"/>
  <c r="AJ213" i="23"/>
  <c r="AJ214" i="23"/>
  <c r="AJ215" i="23"/>
  <c r="AJ216" i="23"/>
  <c r="AJ217" i="23"/>
  <c r="AJ218" i="23"/>
  <c r="AJ219" i="23"/>
  <c r="AJ220" i="23"/>
  <c r="AJ221" i="23"/>
  <c r="AJ222" i="23"/>
  <c r="AJ223" i="23"/>
  <c r="AJ224" i="23"/>
  <c r="AJ225" i="23"/>
  <c r="AJ226" i="23"/>
  <c r="AJ227" i="23"/>
  <c r="AJ228" i="23"/>
  <c r="AJ229" i="23"/>
  <c r="AJ230" i="23"/>
  <c r="AJ231" i="23"/>
  <c r="AJ232" i="23"/>
  <c r="AJ233" i="23"/>
  <c r="AJ234" i="23"/>
  <c r="AJ235" i="23"/>
  <c r="AJ236" i="23"/>
  <c r="AJ237" i="23"/>
  <c r="AJ238" i="23"/>
  <c r="AJ239" i="23"/>
  <c r="AL117" i="46"/>
  <c r="AK117" i="46"/>
  <c r="AJ117" i="46"/>
  <c r="AI117" i="46"/>
  <c r="AH117" i="46"/>
  <c r="AG117" i="46"/>
  <c r="AF117" i="46"/>
  <c r="AE117" i="46"/>
  <c r="AD117" i="46"/>
  <c r="AC117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E117" i="46"/>
  <c r="D117" i="46"/>
  <c r="C117" i="46"/>
  <c r="AL116" i="46"/>
  <c r="AK116" i="46"/>
  <c r="AJ116" i="46"/>
  <c r="AI116" i="46"/>
  <c r="AH116" i="46"/>
  <c r="AG116" i="46"/>
  <c r="AF116" i="46"/>
  <c r="AE116" i="46"/>
  <c r="AD116" i="46"/>
  <c r="AC116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D116" i="46"/>
  <c r="C116" i="46"/>
  <c r="AL115" i="46"/>
  <c r="AK115" i="46"/>
  <c r="AJ115" i="46"/>
  <c r="AI115" i="46"/>
  <c r="AH115" i="46"/>
  <c r="AG115" i="46"/>
  <c r="AF115" i="46"/>
  <c r="AE115" i="46"/>
  <c r="AD115" i="46"/>
  <c r="AC115" i="46"/>
  <c r="AB115" i="46"/>
  <c r="AA115" i="46"/>
  <c r="Z115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E115" i="46"/>
  <c r="D115" i="46"/>
  <c r="C115" i="46"/>
  <c r="AL114" i="46"/>
  <c r="AK114" i="46"/>
  <c r="AJ114" i="46"/>
  <c r="AI114" i="46"/>
  <c r="AH114" i="46"/>
  <c r="AG114" i="46"/>
  <c r="AF114" i="46"/>
  <c r="AE114" i="46"/>
  <c r="AD114" i="46"/>
  <c r="AC114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E114" i="46"/>
  <c r="D114" i="46"/>
  <c r="C114" i="46"/>
  <c r="AL113" i="46"/>
  <c r="AK113" i="46"/>
  <c r="AJ113" i="46"/>
  <c r="AI113" i="46"/>
  <c r="AH113" i="46"/>
  <c r="AG113" i="46"/>
  <c r="AF113" i="46"/>
  <c r="AE113" i="46"/>
  <c r="AD113" i="46"/>
  <c r="AC113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G113" i="46"/>
  <c r="F113" i="46"/>
  <c r="E113" i="46"/>
  <c r="D113" i="46"/>
  <c r="C113" i="46"/>
  <c r="AL112" i="46"/>
  <c r="AK112" i="46"/>
  <c r="AJ112" i="46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E112" i="46"/>
  <c r="D112" i="46"/>
  <c r="C112" i="46"/>
  <c r="AL111" i="46"/>
  <c r="AK111" i="46"/>
  <c r="AJ111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F111" i="46"/>
  <c r="E111" i="46"/>
  <c r="D111" i="46"/>
  <c r="C111" i="46"/>
  <c r="AL110" i="46"/>
  <c r="AK110" i="46"/>
  <c r="AJ110" i="46"/>
  <c r="AI110" i="46"/>
  <c r="AH110" i="46"/>
  <c r="AG110" i="46"/>
  <c r="AF110" i="46"/>
  <c r="AE110" i="46"/>
  <c r="AD110" i="46"/>
  <c r="AC110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P110" i="46"/>
  <c r="O110" i="46"/>
  <c r="N110" i="46"/>
  <c r="M110" i="46"/>
  <c r="L110" i="46"/>
  <c r="K110" i="46"/>
  <c r="J110" i="46"/>
  <c r="I110" i="46"/>
  <c r="H110" i="46"/>
  <c r="G110" i="46"/>
  <c r="F110" i="46"/>
  <c r="E110" i="46"/>
  <c r="D110" i="46"/>
  <c r="C110" i="46"/>
  <c r="AL109" i="46"/>
  <c r="AK109" i="46"/>
  <c r="AJ109" i="46"/>
  <c r="AI109" i="46"/>
  <c r="AH109" i="46"/>
  <c r="AG109" i="46"/>
  <c r="AF109" i="46"/>
  <c r="AE109" i="46"/>
  <c r="AD109" i="46"/>
  <c r="AC109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G109" i="46"/>
  <c r="F109" i="46"/>
  <c r="E109" i="46"/>
  <c r="D109" i="46"/>
  <c r="C109" i="46"/>
  <c r="AL108" i="46"/>
  <c r="AK108" i="46"/>
  <c r="AJ108" i="46"/>
  <c r="AI108" i="46"/>
  <c r="AH108" i="46"/>
  <c r="AG108" i="46"/>
  <c r="AF108" i="46"/>
  <c r="AE108" i="46"/>
  <c r="AD108" i="46"/>
  <c r="AC108" i="46"/>
  <c r="AB108" i="46"/>
  <c r="AA108" i="46"/>
  <c r="Z108" i="46"/>
  <c r="Y108" i="46"/>
  <c r="X108" i="46"/>
  <c r="W108" i="46"/>
  <c r="V108" i="46"/>
  <c r="U108" i="46"/>
  <c r="T108" i="46"/>
  <c r="S108" i="46"/>
  <c r="R108" i="46"/>
  <c r="Q108" i="46"/>
  <c r="P108" i="46"/>
  <c r="O108" i="46"/>
  <c r="N108" i="46"/>
  <c r="M108" i="46"/>
  <c r="L108" i="46"/>
  <c r="K108" i="46"/>
  <c r="J108" i="46"/>
  <c r="I108" i="46"/>
  <c r="H108" i="46"/>
  <c r="G108" i="46"/>
  <c r="F108" i="46"/>
  <c r="E108" i="46"/>
  <c r="D108" i="46"/>
  <c r="C108" i="46"/>
  <c r="AL107" i="46"/>
  <c r="AK107" i="46"/>
  <c r="AJ107" i="46"/>
  <c r="AI107" i="46"/>
  <c r="AH107" i="46"/>
  <c r="AG107" i="46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C107" i="46"/>
  <c r="AL106" i="46"/>
  <c r="AK106" i="46"/>
  <c r="AJ106" i="46"/>
  <c r="AI106" i="46"/>
  <c r="AH106" i="46"/>
  <c r="AG106" i="46"/>
  <c r="AF106" i="46"/>
  <c r="AE106" i="46"/>
  <c r="AD106" i="46"/>
  <c r="AC106" i="46"/>
  <c r="AB106" i="46"/>
  <c r="AA106" i="46"/>
  <c r="Z106" i="46"/>
  <c r="Y106" i="46"/>
  <c r="X106" i="46"/>
  <c r="W106" i="46"/>
  <c r="V106" i="46"/>
  <c r="U106" i="46"/>
  <c r="T106" i="46"/>
  <c r="S106" i="46"/>
  <c r="R106" i="46"/>
  <c r="Q106" i="46"/>
  <c r="P106" i="46"/>
  <c r="O106" i="46"/>
  <c r="N106" i="46"/>
  <c r="M106" i="46"/>
  <c r="L106" i="46"/>
  <c r="K106" i="46"/>
  <c r="J106" i="46"/>
  <c r="I106" i="46"/>
  <c r="H106" i="46"/>
  <c r="G106" i="46"/>
  <c r="F106" i="46"/>
  <c r="E106" i="46"/>
  <c r="D106" i="46"/>
  <c r="C106" i="46"/>
  <c r="AL105" i="46"/>
  <c r="AK105" i="46"/>
  <c r="AJ105" i="46"/>
  <c r="AI105" i="46"/>
  <c r="AH105" i="46"/>
  <c r="AG105" i="46"/>
  <c r="AF105" i="46"/>
  <c r="AE105" i="46"/>
  <c r="AD105" i="46"/>
  <c r="AC105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E105" i="46"/>
  <c r="D105" i="46"/>
  <c r="C105" i="46"/>
  <c r="AL104" i="46"/>
  <c r="AK104" i="46"/>
  <c r="AJ104" i="46"/>
  <c r="AI104" i="46"/>
  <c r="AH104" i="46"/>
  <c r="AG104" i="46"/>
  <c r="AF104" i="46"/>
  <c r="AE104" i="46"/>
  <c r="AD104" i="46"/>
  <c r="AC104" i="46"/>
  <c r="AB104" i="46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E104" i="46"/>
  <c r="D104" i="46"/>
  <c r="C104" i="46"/>
  <c r="AL103" i="46"/>
  <c r="AK103" i="46"/>
  <c r="AJ103" i="46"/>
  <c r="AI103" i="46"/>
  <c r="AH103" i="46"/>
  <c r="AG103" i="46"/>
  <c r="AF103" i="46"/>
  <c r="AE103" i="46"/>
  <c r="AD103" i="46"/>
  <c r="AC103" i="46"/>
  <c r="AB103" i="46"/>
  <c r="AA103" i="46"/>
  <c r="Z103" i="46"/>
  <c r="Y103" i="46"/>
  <c r="X103" i="46"/>
  <c r="W103" i="46"/>
  <c r="V103" i="46"/>
  <c r="U103" i="46"/>
  <c r="T103" i="46"/>
  <c r="S103" i="46"/>
  <c r="R103" i="46"/>
  <c r="Q103" i="46"/>
  <c r="P103" i="46"/>
  <c r="O103" i="46"/>
  <c r="N103" i="46"/>
  <c r="M103" i="46"/>
  <c r="L103" i="46"/>
  <c r="K103" i="46"/>
  <c r="J103" i="46"/>
  <c r="I103" i="46"/>
  <c r="H103" i="46"/>
  <c r="G103" i="46"/>
  <c r="F103" i="46"/>
  <c r="E103" i="46"/>
  <c r="D103" i="46"/>
  <c r="C103" i="46"/>
  <c r="AL102" i="46"/>
  <c r="AK102" i="46"/>
  <c r="AJ102" i="46"/>
  <c r="AI102" i="46"/>
  <c r="AH102" i="46"/>
  <c r="AG102" i="46"/>
  <c r="AF102" i="46"/>
  <c r="AE102" i="46"/>
  <c r="AD102" i="46"/>
  <c r="AC102" i="46"/>
  <c r="AB102" i="46"/>
  <c r="AA102" i="46"/>
  <c r="Z102" i="46"/>
  <c r="Y102" i="46"/>
  <c r="X102" i="46"/>
  <c r="W102" i="46"/>
  <c r="V102" i="46"/>
  <c r="U102" i="46"/>
  <c r="T102" i="46"/>
  <c r="S102" i="46"/>
  <c r="R102" i="46"/>
  <c r="Q102" i="46"/>
  <c r="P102" i="46"/>
  <c r="O102" i="46"/>
  <c r="N102" i="46"/>
  <c r="M102" i="46"/>
  <c r="L102" i="46"/>
  <c r="K102" i="46"/>
  <c r="J102" i="46"/>
  <c r="I102" i="46"/>
  <c r="H102" i="46"/>
  <c r="G102" i="46"/>
  <c r="F102" i="46"/>
  <c r="E102" i="46"/>
  <c r="D102" i="46"/>
  <c r="C102" i="46"/>
  <c r="AL101" i="46"/>
  <c r="AK101" i="46"/>
  <c r="AJ101" i="46"/>
  <c r="AI101" i="46"/>
  <c r="AH101" i="46"/>
  <c r="AG101" i="46"/>
  <c r="AF101" i="46"/>
  <c r="AE101" i="46"/>
  <c r="AD101" i="46"/>
  <c r="AC101" i="46"/>
  <c r="AB101" i="46"/>
  <c r="AA101" i="46"/>
  <c r="Z101" i="46"/>
  <c r="Y101" i="46"/>
  <c r="X101" i="46"/>
  <c r="W101" i="46"/>
  <c r="V101" i="46"/>
  <c r="U101" i="46"/>
  <c r="T101" i="46"/>
  <c r="S101" i="46"/>
  <c r="R101" i="46"/>
  <c r="Q101" i="46"/>
  <c r="P101" i="46"/>
  <c r="O101" i="46"/>
  <c r="N101" i="46"/>
  <c r="M101" i="46"/>
  <c r="L101" i="46"/>
  <c r="K101" i="46"/>
  <c r="J101" i="46"/>
  <c r="I101" i="46"/>
  <c r="H101" i="46"/>
  <c r="G101" i="46"/>
  <c r="F101" i="46"/>
  <c r="E101" i="46"/>
  <c r="D101" i="46"/>
  <c r="C101" i="46"/>
  <c r="AL100" i="46"/>
  <c r="AK100" i="46"/>
  <c r="AJ100" i="46"/>
  <c r="AI100" i="46"/>
  <c r="AH100" i="46"/>
  <c r="AG100" i="46"/>
  <c r="AF100" i="46"/>
  <c r="AE100" i="46"/>
  <c r="AD100" i="46"/>
  <c r="AC100" i="46"/>
  <c r="AB100" i="46"/>
  <c r="AA100" i="46"/>
  <c r="Z100" i="46"/>
  <c r="Y100" i="46"/>
  <c r="X100" i="46"/>
  <c r="W100" i="46"/>
  <c r="V100" i="46"/>
  <c r="U100" i="46"/>
  <c r="T100" i="46"/>
  <c r="S100" i="46"/>
  <c r="R100" i="46"/>
  <c r="Q100" i="46"/>
  <c r="P100" i="46"/>
  <c r="O100" i="46"/>
  <c r="N100" i="46"/>
  <c r="M100" i="46"/>
  <c r="L100" i="46"/>
  <c r="K100" i="46"/>
  <c r="J100" i="46"/>
  <c r="I100" i="46"/>
  <c r="H100" i="46"/>
  <c r="G100" i="46"/>
  <c r="F100" i="46"/>
  <c r="E100" i="46"/>
  <c r="D100" i="46"/>
  <c r="C100" i="46"/>
  <c r="AL99" i="46"/>
  <c r="AK99" i="46"/>
  <c r="AJ99" i="46"/>
  <c r="AI99" i="46"/>
  <c r="AH99" i="46"/>
  <c r="AG99" i="46"/>
  <c r="AF99" i="46"/>
  <c r="AE99" i="46"/>
  <c r="AD99" i="46"/>
  <c r="AC99" i="46"/>
  <c r="AB99" i="46"/>
  <c r="AA99" i="46"/>
  <c r="Z99" i="46"/>
  <c r="Y99" i="46"/>
  <c r="X99" i="46"/>
  <c r="W99" i="46"/>
  <c r="V99" i="46"/>
  <c r="U99" i="46"/>
  <c r="T99" i="46"/>
  <c r="S99" i="46"/>
  <c r="R99" i="46"/>
  <c r="Q99" i="46"/>
  <c r="P99" i="46"/>
  <c r="O99" i="46"/>
  <c r="N99" i="46"/>
  <c r="M99" i="46"/>
  <c r="L99" i="46"/>
  <c r="K99" i="46"/>
  <c r="J99" i="46"/>
  <c r="I99" i="46"/>
  <c r="H99" i="46"/>
  <c r="G99" i="46"/>
  <c r="F99" i="46"/>
  <c r="E99" i="46"/>
  <c r="D99" i="46"/>
  <c r="C99" i="46"/>
  <c r="AL98" i="46"/>
  <c r="AK98" i="46"/>
  <c r="AJ98" i="46"/>
  <c r="AI98" i="46"/>
  <c r="AH98" i="46"/>
  <c r="AG98" i="46"/>
  <c r="AF98" i="46"/>
  <c r="AE98" i="46"/>
  <c r="AD98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G98" i="46"/>
  <c r="F98" i="46"/>
  <c r="E98" i="46"/>
  <c r="D98" i="46"/>
  <c r="C98" i="46"/>
  <c r="AL97" i="46"/>
  <c r="AK97" i="46"/>
  <c r="AJ97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E97" i="46"/>
  <c r="D97" i="46"/>
  <c r="C97" i="46"/>
  <c r="AL96" i="46"/>
  <c r="AK96" i="46"/>
  <c r="AJ96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E96" i="46"/>
  <c r="D96" i="46"/>
  <c r="C96" i="46"/>
  <c r="AL95" i="46"/>
  <c r="AK95" i="46"/>
  <c r="AJ95" i="46"/>
  <c r="AI95" i="46"/>
  <c r="AH95" i="46"/>
  <c r="AG95" i="46"/>
  <c r="AF95" i="46"/>
  <c r="AE95" i="46"/>
  <c r="AD95" i="46"/>
  <c r="AC95" i="46"/>
  <c r="AB95" i="46"/>
  <c r="AA95" i="46"/>
  <c r="Z95" i="46"/>
  <c r="Y95" i="46"/>
  <c r="X95" i="46"/>
  <c r="W95" i="46"/>
  <c r="V95" i="46"/>
  <c r="U95" i="46"/>
  <c r="T95" i="46"/>
  <c r="S95" i="46"/>
  <c r="R95" i="46"/>
  <c r="Q95" i="46"/>
  <c r="P95" i="46"/>
  <c r="O95" i="46"/>
  <c r="N95" i="46"/>
  <c r="M95" i="46"/>
  <c r="L95" i="46"/>
  <c r="K95" i="46"/>
  <c r="J95" i="46"/>
  <c r="I95" i="46"/>
  <c r="H95" i="46"/>
  <c r="G95" i="46"/>
  <c r="F95" i="46"/>
  <c r="E95" i="46"/>
  <c r="D95" i="46"/>
  <c r="C95" i="46"/>
  <c r="AL94" i="46"/>
  <c r="AK94" i="46"/>
  <c r="AJ94" i="46"/>
  <c r="AI94" i="46"/>
  <c r="AH94" i="46"/>
  <c r="AG94" i="46"/>
  <c r="AF94" i="46"/>
  <c r="AE94" i="46"/>
  <c r="AD94" i="46"/>
  <c r="AC94" i="46"/>
  <c r="AB94" i="46"/>
  <c r="AA94" i="46"/>
  <c r="Z94" i="46"/>
  <c r="Y94" i="46"/>
  <c r="X94" i="46"/>
  <c r="W94" i="46"/>
  <c r="V94" i="46"/>
  <c r="U94" i="46"/>
  <c r="T94" i="46"/>
  <c r="S94" i="46"/>
  <c r="R94" i="46"/>
  <c r="Q94" i="46"/>
  <c r="P94" i="46"/>
  <c r="O94" i="46"/>
  <c r="N94" i="46"/>
  <c r="M94" i="46"/>
  <c r="L94" i="46"/>
  <c r="K94" i="46"/>
  <c r="J94" i="46"/>
  <c r="I94" i="46"/>
  <c r="H94" i="46"/>
  <c r="G94" i="46"/>
  <c r="F94" i="46"/>
  <c r="E94" i="46"/>
  <c r="D94" i="46"/>
  <c r="C94" i="46"/>
  <c r="AL93" i="46"/>
  <c r="AK93" i="46"/>
  <c r="AJ93" i="46"/>
  <c r="AI93" i="46"/>
  <c r="AH93" i="46"/>
  <c r="AG93" i="46"/>
  <c r="AF93" i="46"/>
  <c r="AE93" i="46"/>
  <c r="AD93" i="46"/>
  <c r="AC93" i="46"/>
  <c r="AB93" i="46"/>
  <c r="AA93" i="46"/>
  <c r="Z93" i="46"/>
  <c r="Y93" i="46"/>
  <c r="X93" i="46"/>
  <c r="W93" i="46"/>
  <c r="V93" i="46"/>
  <c r="U93" i="46"/>
  <c r="T93" i="46"/>
  <c r="S93" i="46"/>
  <c r="R93" i="46"/>
  <c r="Q93" i="46"/>
  <c r="P93" i="46"/>
  <c r="O93" i="46"/>
  <c r="N93" i="46"/>
  <c r="M93" i="46"/>
  <c r="L93" i="46"/>
  <c r="K93" i="46"/>
  <c r="J93" i="46"/>
  <c r="I93" i="46"/>
  <c r="H93" i="46"/>
  <c r="G93" i="46"/>
  <c r="F93" i="46"/>
  <c r="E93" i="46"/>
  <c r="D93" i="46"/>
  <c r="C93" i="46"/>
  <c r="AL92" i="46"/>
  <c r="AK92" i="46"/>
  <c r="AJ92" i="46"/>
  <c r="AI92" i="46"/>
  <c r="AH92" i="46"/>
  <c r="AG92" i="46"/>
  <c r="AF92" i="46"/>
  <c r="AE92" i="46"/>
  <c r="AD92" i="46"/>
  <c r="AC92" i="46"/>
  <c r="AB92" i="46"/>
  <c r="AA92" i="46"/>
  <c r="Z92" i="46"/>
  <c r="Y92" i="46"/>
  <c r="X92" i="46"/>
  <c r="W92" i="46"/>
  <c r="V92" i="46"/>
  <c r="U92" i="46"/>
  <c r="T92" i="46"/>
  <c r="S92" i="46"/>
  <c r="R92" i="46"/>
  <c r="Q92" i="46"/>
  <c r="P92" i="46"/>
  <c r="O92" i="46"/>
  <c r="N92" i="46"/>
  <c r="M92" i="46"/>
  <c r="L92" i="46"/>
  <c r="K92" i="46"/>
  <c r="J92" i="46"/>
  <c r="I92" i="46"/>
  <c r="H92" i="46"/>
  <c r="G92" i="46"/>
  <c r="F92" i="46"/>
  <c r="E92" i="46"/>
  <c r="D92" i="46"/>
  <c r="C92" i="46"/>
  <c r="AL91" i="46"/>
  <c r="AK91" i="46"/>
  <c r="AJ91" i="46"/>
  <c r="AI91" i="46"/>
  <c r="AH91" i="46"/>
  <c r="AG91" i="46"/>
  <c r="AF91" i="46"/>
  <c r="AE91" i="46"/>
  <c r="AD91" i="46"/>
  <c r="AC91" i="46"/>
  <c r="AB91" i="46"/>
  <c r="AA91" i="46"/>
  <c r="Z91" i="46"/>
  <c r="Y91" i="46"/>
  <c r="X91" i="46"/>
  <c r="W91" i="46"/>
  <c r="V91" i="46"/>
  <c r="U91" i="46"/>
  <c r="T91" i="46"/>
  <c r="S91" i="46"/>
  <c r="R91" i="46"/>
  <c r="Q91" i="46"/>
  <c r="P91" i="46"/>
  <c r="O91" i="46"/>
  <c r="N91" i="46"/>
  <c r="M91" i="46"/>
  <c r="L91" i="46"/>
  <c r="K91" i="46"/>
  <c r="J91" i="46"/>
  <c r="I91" i="46"/>
  <c r="H91" i="46"/>
  <c r="G91" i="46"/>
  <c r="F91" i="46"/>
  <c r="E91" i="46"/>
  <c r="D91" i="46"/>
  <c r="C91" i="46"/>
  <c r="AL90" i="46"/>
  <c r="AK90" i="46"/>
  <c r="AJ90" i="46"/>
  <c r="AI90" i="46"/>
  <c r="AH90" i="46"/>
  <c r="AG90" i="46"/>
  <c r="AF90" i="46"/>
  <c r="AE90" i="46"/>
  <c r="AD90" i="46"/>
  <c r="AC90" i="46"/>
  <c r="AB90" i="46"/>
  <c r="AA90" i="46"/>
  <c r="Z90" i="46"/>
  <c r="Y90" i="46"/>
  <c r="X90" i="46"/>
  <c r="W90" i="46"/>
  <c r="V90" i="46"/>
  <c r="U90" i="46"/>
  <c r="T90" i="46"/>
  <c r="S90" i="46"/>
  <c r="R90" i="46"/>
  <c r="Q90" i="46"/>
  <c r="P90" i="46"/>
  <c r="O90" i="46"/>
  <c r="N90" i="46"/>
  <c r="M90" i="46"/>
  <c r="L90" i="46"/>
  <c r="K90" i="46"/>
  <c r="J90" i="46"/>
  <c r="I90" i="46"/>
  <c r="H90" i="46"/>
  <c r="G90" i="46"/>
  <c r="F90" i="46"/>
  <c r="E90" i="46"/>
  <c r="D90" i="46"/>
  <c r="C90" i="46"/>
  <c r="AL89" i="46"/>
  <c r="AK89" i="46"/>
  <c r="AJ89" i="46"/>
  <c r="AI89" i="46"/>
  <c r="AH89" i="46"/>
  <c r="AG89" i="46"/>
  <c r="AF89" i="46"/>
  <c r="AE89" i="46"/>
  <c r="AD89" i="46"/>
  <c r="AC89" i="46"/>
  <c r="AB89" i="46"/>
  <c r="AA89" i="46"/>
  <c r="Z89" i="46"/>
  <c r="Y89" i="46"/>
  <c r="X89" i="46"/>
  <c r="W89" i="46"/>
  <c r="V89" i="46"/>
  <c r="U89" i="46"/>
  <c r="T89" i="46"/>
  <c r="S89" i="46"/>
  <c r="R89" i="46"/>
  <c r="Q89" i="46"/>
  <c r="P89" i="46"/>
  <c r="O89" i="46"/>
  <c r="N89" i="46"/>
  <c r="M89" i="46"/>
  <c r="L89" i="46"/>
  <c r="K89" i="46"/>
  <c r="J89" i="46"/>
  <c r="I89" i="46"/>
  <c r="H89" i="46"/>
  <c r="G89" i="46"/>
  <c r="F89" i="46"/>
  <c r="E89" i="46"/>
  <c r="D89" i="46"/>
  <c r="C89" i="46"/>
  <c r="AL88" i="46"/>
  <c r="AK88" i="46"/>
  <c r="AJ88" i="46"/>
  <c r="AI88" i="46"/>
  <c r="AH88" i="46"/>
  <c r="AG88" i="46"/>
  <c r="AF88" i="46"/>
  <c r="AE88" i="46"/>
  <c r="AD88" i="46"/>
  <c r="AC88" i="46"/>
  <c r="AB88" i="46"/>
  <c r="AA88" i="46"/>
  <c r="Z88" i="46"/>
  <c r="Y88" i="46"/>
  <c r="X88" i="46"/>
  <c r="W88" i="46"/>
  <c r="V88" i="46"/>
  <c r="U88" i="46"/>
  <c r="T88" i="46"/>
  <c r="S88" i="46"/>
  <c r="R88" i="46"/>
  <c r="Q88" i="46"/>
  <c r="P88" i="46"/>
  <c r="O88" i="46"/>
  <c r="N88" i="46"/>
  <c r="M88" i="46"/>
  <c r="L88" i="46"/>
  <c r="K88" i="46"/>
  <c r="J88" i="46"/>
  <c r="I88" i="46"/>
  <c r="H88" i="46"/>
  <c r="G88" i="46"/>
  <c r="F88" i="46"/>
  <c r="E88" i="46"/>
  <c r="D88" i="46"/>
  <c r="C88" i="46"/>
  <c r="AL87" i="46"/>
  <c r="AK87" i="46"/>
  <c r="AJ87" i="46"/>
  <c r="AI87" i="46"/>
  <c r="AH87" i="46"/>
  <c r="AG87" i="46"/>
  <c r="AF87" i="46"/>
  <c r="AE87" i="46"/>
  <c r="AD87" i="46"/>
  <c r="AC87" i="46"/>
  <c r="AB87" i="46"/>
  <c r="AA87" i="46"/>
  <c r="Z87" i="46"/>
  <c r="Y87" i="46"/>
  <c r="X87" i="46"/>
  <c r="W87" i="46"/>
  <c r="V87" i="46"/>
  <c r="U87" i="46"/>
  <c r="T87" i="46"/>
  <c r="S87" i="46"/>
  <c r="R87" i="46"/>
  <c r="Q87" i="46"/>
  <c r="P87" i="46"/>
  <c r="O87" i="46"/>
  <c r="N87" i="46"/>
  <c r="M87" i="46"/>
  <c r="L87" i="46"/>
  <c r="K87" i="46"/>
  <c r="J87" i="46"/>
  <c r="I87" i="46"/>
  <c r="H87" i="46"/>
  <c r="G87" i="46"/>
  <c r="F87" i="46"/>
  <c r="E87" i="46"/>
  <c r="D87" i="46"/>
  <c r="C87" i="46"/>
  <c r="AL86" i="46"/>
  <c r="AK86" i="46"/>
  <c r="AJ86" i="46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E86" i="46"/>
  <c r="D86" i="46"/>
  <c r="C86" i="46"/>
  <c r="AL85" i="46"/>
  <c r="AK85" i="46"/>
  <c r="AJ85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E85" i="46"/>
  <c r="D85" i="46"/>
  <c r="C85" i="46"/>
  <c r="AL84" i="46"/>
  <c r="AK84" i="46"/>
  <c r="AJ84" i="46"/>
  <c r="AI84" i="46"/>
  <c r="AH84" i="46"/>
  <c r="AG84" i="46"/>
  <c r="AF84" i="46"/>
  <c r="AE84" i="46"/>
  <c r="AD84" i="46"/>
  <c r="AC84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G84" i="46"/>
  <c r="F84" i="46"/>
  <c r="E84" i="46"/>
  <c r="D84" i="46"/>
  <c r="C84" i="46"/>
  <c r="AL83" i="46"/>
  <c r="AK83" i="46"/>
  <c r="AJ83" i="46"/>
  <c r="AI83" i="46"/>
  <c r="AH83" i="46"/>
  <c r="AG83" i="46"/>
  <c r="AF83" i="46"/>
  <c r="AE83" i="46"/>
  <c r="AD83" i="46"/>
  <c r="AC83" i="46"/>
  <c r="AB83" i="46"/>
  <c r="AA83" i="46"/>
  <c r="Z83" i="46"/>
  <c r="Y83" i="46"/>
  <c r="X83" i="46"/>
  <c r="W83" i="46"/>
  <c r="V83" i="46"/>
  <c r="U83" i="46"/>
  <c r="T83" i="46"/>
  <c r="S83" i="46"/>
  <c r="R83" i="46"/>
  <c r="Q83" i="46"/>
  <c r="P83" i="46"/>
  <c r="O83" i="46"/>
  <c r="N83" i="46"/>
  <c r="M83" i="46"/>
  <c r="L83" i="46"/>
  <c r="K83" i="46"/>
  <c r="J83" i="46"/>
  <c r="I83" i="46"/>
  <c r="H83" i="46"/>
  <c r="G83" i="46"/>
  <c r="F83" i="46"/>
  <c r="E83" i="46"/>
  <c r="D83" i="46"/>
  <c r="C83" i="46"/>
  <c r="AL82" i="46"/>
  <c r="AK82" i="46"/>
  <c r="AJ82" i="46"/>
  <c r="AI82" i="46"/>
  <c r="AH82" i="46"/>
  <c r="AG82" i="46"/>
  <c r="AF82" i="46"/>
  <c r="AE82" i="46"/>
  <c r="AD82" i="46"/>
  <c r="AC82" i="46"/>
  <c r="AB82" i="46"/>
  <c r="AA82" i="46"/>
  <c r="Z82" i="46"/>
  <c r="Y82" i="46"/>
  <c r="X82" i="46"/>
  <c r="W82" i="46"/>
  <c r="V82" i="46"/>
  <c r="U82" i="46"/>
  <c r="T82" i="46"/>
  <c r="S82" i="46"/>
  <c r="R82" i="46"/>
  <c r="Q82" i="46"/>
  <c r="P82" i="46"/>
  <c r="O82" i="46"/>
  <c r="N82" i="46"/>
  <c r="M82" i="46"/>
  <c r="L82" i="46"/>
  <c r="K82" i="46"/>
  <c r="J82" i="46"/>
  <c r="I82" i="46"/>
  <c r="H82" i="46"/>
  <c r="G82" i="46"/>
  <c r="F82" i="46"/>
  <c r="E82" i="46"/>
  <c r="D82" i="46"/>
  <c r="C82" i="46"/>
  <c r="AL81" i="46"/>
  <c r="AK81" i="46"/>
  <c r="AJ81" i="46"/>
  <c r="AI81" i="46"/>
  <c r="AH81" i="46"/>
  <c r="AG81" i="46"/>
  <c r="AF81" i="46"/>
  <c r="AE81" i="46"/>
  <c r="AD81" i="46"/>
  <c r="AC81" i="46"/>
  <c r="AB81" i="46"/>
  <c r="AA81" i="46"/>
  <c r="Z81" i="46"/>
  <c r="Y81" i="46"/>
  <c r="X81" i="46"/>
  <c r="W81" i="46"/>
  <c r="V81" i="46"/>
  <c r="U81" i="46"/>
  <c r="T81" i="46"/>
  <c r="S81" i="46"/>
  <c r="R81" i="46"/>
  <c r="Q81" i="46"/>
  <c r="P81" i="46"/>
  <c r="O81" i="46"/>
  <c r="N81" i="46"/>
  <c r="M81" i="46"/>
  <c r="L81" i="46"/>
  <c r="K81" i="46"/>
  <c r="J81" i="46"/>
  <c r="I81" i="46"/>
  <c r="H81" i="46"/>
  <c r="G81" i="46"/>
  <c r="F81" i="46"/>
  <c r="E81" i="46"/>
  <c r="D81" i="46"/>
  <c r="C81" i="46"/>
  <c r="AL80" i="46"/>
  <c r="AK80" i="46"/>
  <c r="AJ80" i="46"/>
  <c r="AI80" i="46"/>
  <c r="AH80" i="46"/>
  <c r="AG80" i="46"/>
  <c r="AF80" i="46"/>
  <c r="AE80" i="46"/>
  <c r="AD80" i="46"/>
  <c r="AC80" i="46"/>
  <c r="AB80" i="46"/>
  <c r="AA80" i="46"/>
  <c r="Z80" i="46"/>
  <c r="Y80" i="46"/>
  <c r="X80" i="46"/>
  <c r="W80" i="46"/>
  <c r="V80" i="46"/>
  <c r="U80" i="46"/>
  <c r="T80" i="46"/>
  <c r="S80" i="46"/>
  <c r="R80" i="46"/>
  <c r="Q80" i="46"/>
  <c r="P80" i="46"/>
  <c r="O80" i="46"/>
  <c r="N80" i="46"/>
  <c r="M80" i="46"/>
  <c r="L80" i="46"/>
  <c r="K80" i="46"/>
  <c r="J80" i="46"/>
  <c r="I80" i="46"/>
  <c r="H80" i="46"/>
  <c r="G80" i="46"/>
  <c r="F80" i="46"/>
  <c r="E80" i="46"/>
  <c r="D80" i="46"/>
  <c r="C80" i="46"/>
  <c r="AL79" i="46"/>
  <c r="AK79" i="46"/>
  <c r="AJ79" i="46"/>
  <c r="AI79" i="46"/>
  <c r="AH79" i="46"/>
  <c r="AG79" i="46"/>
  <c r="AF79" i="46"/>
  <c r="AE79" i="46"/>
  <c r="AD79" i="46"/>
  <c r="AC79" i="46"/>
  <c r="AB79" i="46"/>
  <c r="AA79" i="46"/>
  <c r="Z79" i="46"/>
  <c r="Y79" i="46"/>
  <c r="X79" i="46"/>
  <c r="W79" i="46"/>
  <c r="V79" i="46"/>
  <c r="U79" i="46"/>
  <c r="T79" i="46"/>
  <c r="S79" i="46"/>
  <c r="R79" i="46"/>
  <c r="Q79" i="46"/>
  <c r="P79" i="46"/>
  <c r="O79" i="46"/>
  <c r="N79" i="46"/>
  <c r="M79" i="46"/>
  <c r="L79" i="46"/>
  <c r="K79" i="46"/>
  <c r="J79" i="46"/>
  <c r="I79" i="46"/>
  <c r="H79" i="46"/>
  <c r="G79" i="46"/>
  <c r="F79" i="46"/>
  <c r="E79" i="46"/>
  <c r="D79" i="46"/>
  <c r="C79" i="46"/>
  <c r="AL78" i="46"/>
  <c r="AK78" i="46"/>
  <c r="AJ78" i="46"/>
  <c r="AI78" i="46"/>
  <c r="AH78" i="46"/>
  <c r="AG78" i="46"/>
  <c r="AF78" i="46"/>
  <c r="AE78" i="46"/>
  <c r="AD78" i="46"/>
  <c r="AC78" i="46"/>
  <c r="AB78" i="46"/>
  <c r="AA78" i="46"/>
  <c r="Z78" i="46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AL3" i="46"/>
  <c r="AK3" i="46"/>
  <c r="AJ3" i="46"/>
  <c r="AI3" i="46"/>
  <c r="AH3" i="46"/>
  <c r="AG3" i="46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C3" i="46"/>
  <c r="AC78" i="44"/>
  <c r="AC79" i="44"/>
  <c r="AC80" i="44"/>
  <c r="AC81" i="44"/>
  <c r="AC82" i="44"/>
  <c r="AC83" i="44"/>
  <c r="AC84" i="44"/>
  <c r="AC85" i="44"/>
  <c r="AC86" i="44"/>
  <c r="AC87" i="44"/>
  <c r="AC88" i="44"/>
  <c r="AC89" i="44"/>
  <c r="AC90" i="44"/>
  <c r="AC91" i="44"/>
  <c r="AC92" i="44"/>
  <c r="AC93" i="44"/>
  <c r="AC94" i="44"/>
  <c r="AC95" i="44"/>
  <c r="AC96" i="44"/>
  <c r="AC97" i="44"/>
  <c r="AC98" i="44"/>
  <c r="AC99" i="44"/>
  <c r="AC100" i="44"/>
  <c r="AC101" i="44"/>
  <c r="AC102" i="44"/>
  <c r="AC103" i="44"/>
  <c r="AC104" i="44"/>
  <c r="AC105" i="44"/>
  <c r="AC106" i="44"/>
  <c r="AC107" i="44"/>
  <c r="AC108" i="44"/>
  <c r="AC109" i="44"/>
  <c r="AC110" i="44"/>
  <c r="AC111" i="44"/>
  <c r="AC112" i="44"/>
  <c r="AC113" i="44"/>
  <c r="AC114" i="44"/>
  <c r="AC115" i="44"/>
  <c r="AC116" i="44"/>
  <c r="AC117" i="44"/>
  <c r="Z78" i="44"/>
  <c r="Z79" i="44"/>
  <c r="Z80" i="44"/>
  <c r="Z81" i="44"/>
  <c r="Z82" i="44"/>
  <c r="Z83" i="44"/>
  <c r="Z84" i="44"/>
  <c r="Z85" i="44"/>
  <c r="Z86" i="44"/>
  <c r="Z87" i="44"/>
  <c r="Z88" i="44"/>
  <c r="Z89" i="44"/>
  <c r="Z90" i="44"/>
  <c r="Z91" i="44"/>
  <c r="Z92" i="44"/>
  <c r="Z93" i="44"/>
  <c r="Z94" i="44"/>
  <c r="Z95" i="44"/>
  <c r="Z96" i="44"/>
  <c r="Z97" i="44"/>
  <c r="Z98" i="44"/>
  <c r="Z99" i="44"/>
  <c r="Z100" i="44"/>
  <c r="Z101" i="44"/>
  <c r="Z102" i="44"/>
  <c r="Z103" i="44"/>
  <c r="Z104" i="44"/>
  <c r="Z105" i="44"/>
  <c r="Z106" i="44"/>
  <c r="Z107" i="44"/>
  <c r="Z108" i="44"/>
  <c r="Z109" i="44"/>
  <c r="Z110" i="44"/>
  <c r="Z111" i="44"/>
  <c r="Z112" i="44"/>
  <c r="Z113" i="44"/>
  <c r="Z114" i="44"/>
  <c r="Z115" i="44"/>
  <c r="Z116" i="44"/>
  <c r="Z11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C78" i="44"/>
  <c r="E78" i="44"/>
  <c r="F78" i="44"/>
  <c r="G78" i="44"/>
  <c r="H78" i="44"/>
  <c r="I78" i="44"/>
  <c r="J78" i="44"/>
  <c r="K78" i="44"/>
  <c r="L78" i="44"/>
  <c r="M78" i="44"/>
  <c r="N78" i="44"/>
  <c r="O78" i="44"/>
  <c r="P78" i="44"/>
  <c r="Q78" i="44"/>
  <c r="R78" i="44"/>
  <c r="S78" i="44"/>
  <c r="T78" i="44"/>
  <c r="U78" i="44"/>
  <c r="V78" i="44"/>
  <c r="W78" i="44"/>
  <c r="X78" i="44"/>
  <c r="Y78" i="44"/>
  <c r="AA78" i="44"/>
  <c r="AB78" i="44"/>
  <c r="AD78" i="44"/>
  <c r="AE78" i="44"/>
  <c r="AF78" i="44"/>
  <c r="AG78" i="44"/>
  <c r="AH78" i="44"/>
  <c r="AI78" i="44"/>
  <c r="AJ78" i="44"/>
  <c r="AK78" i="44"/>
  <c r="AL78" i="44"/>
  <c r="C79" i="44"/>
  <c r="E79" i="44"/>
  <c r="F79" i="44"/>
  <c r="G79" i="44"/>
  <c r="H79" i="44"/>
  <c r="I79" i="44"/>
  <c r="J79" i="44"/>
  <c r="K79" i="44"/>
  <c r="L79" i="44"/>
  <c r="M79" i="44"/>
  <c r="N79" i="44"/>
  <c r="O79" i="44"/>
  <c r="P79" i="44"/>
  <c r="Q79" i="44"/>
  <c r="R79" i="44"/>
  <c r="S79" i="44"/>
  <c r="T79" i="44"/>
  <c r="U79" i="44"/>
  <c r="V79" i="44"/>
  <c r="W79" i="44"/>
  <c r="X79" i="44"/>
  <c r="Y79" i="44"/>
  <c r="AA79" i="44"/>
  <c r="AB79" i="44"/>
  <c r="AD79" i="44"/>
  <c r="AE79" i="44"/>
  <c r="AF79" i="44"/>
  <c r="AG79" i="44"/>
  <c r="AH79" i="44"/>
  <c r="AI79" i="44"/>
  <c r="AJ79" i="44"/>
  <c r="AK79" i="44"/>
  <c r="AL79" i="44"/>
  <c r="C80" i="44"/>
  <c r="E80" i="44"/>
  <c r="F80" i="44"/>
  <c r="G80" i="44"/>
  <c r="H80" i="44"/>
  <c r="I80" i="44"/>
  <c r="J80" i="44"/>
  <c r="K80" i="44"/>
  <c r="L80" i="44"/>
  <c r="M80" i="44"/>
  <c r="N80" i="44"/>
  <c r="O80" i="44"/>
  <c r="P80" i="44"/>
  <c r="Q80" i="44"/>
  <c r="R80" i="44"/>
  <c r="S80" i="44"/>
  <c r="T80" i="44"/>
  <c r="U80" i="44"/>
  <c r="V80" i="44"/>
  <c r="W80" i="44"/>
  <c r="X80" i="44"/>
  <c r="Y80" i="44"/>
  <c r="AA80" i="44"/>
  <c r="AB80" i="44"/>
  <c r="AD80" i="44"/>
  <c r="AE80" i="44"/>
  <c r="AF80" i="44"/>
  <c r="AG80" i="44"/>
  <c r="AH80" i="44"/>
  <c r="AI80" i="44"/>
  <c r="AJ80" i="44"/>
  <c r="AK80" i="44"/>
  <c r="AL80" i="44"/>
  <c r="C81" i="44"/>
  <c r="E81" i="44"/>
  <c r="F81" i="44"/>
  <c r="G81" i="44"/>
  <c r="H81" i="44"/>
  <c r="I81" i="44"/>
  <c r="J81" i="44"/>
  <c r="K81" i="44"/>
  <c r="L81" i="44"/>
  <c r="M81" i="44"/>
  <c r="N81" i="44"/>
  <c r="O81" i="44"/>
  <c r="P81" i="44"/>
  <c r="Q81" i="44"/>
  <c r="R81" i="44"/>
  <c r="S81" i="44"/>
  <c r="T81" i="44"/>
  <c r="U81" i="44"/>
  <c r="V81" i="44"/>
  <c r="W81" i="44"/>
  <c r="X81" i="44"/>
  <c r="Y81" i="44"/>
  <c r="AA81" i="44"/>
  <c r="AB81" i="44"/>
  <c r="AD81" i="44"/>
  <c r="AE81" i="44"/>
  <c r="AF81" i="44"/>
  <c r="AG81" i="44"/>
  <c r="AH81" i="44"/>
  <c r="AI81" i="44"/>
  <c r="AJ81" i="44"/>
  <c r="AK81" i="44"/>
  <c r="AL81" i="44"/>
  <c r="C82" i="44"/>
  <c r="E82" i="44"/>
  <c r="F82" i="44"/>
  <c r="G82" i="44"/>
  <c r="H82" i="44"/>
  <c r="I82" i="44"/>
  <c r="J82" i="44"/>
  <c r="K82" i="44"/>
  <c r="L82" i="44"/>
  <c r="M82" i="44"/>
  <c r="N82" i="44"/>
  <c r="O82" i="44"/>
  <c r="P82" i="44"/>
  <c r="Q82" i="44"/>
  <c r="R82" i="44"/>
  <c r="S82" i="44"/>
  <c r="T82" i="44"/>
  <c r="U82" i="44"/>
  <c r="V82" i="44"/>
  <c r="W82" i="44"/>
  <c r="X82" i="44"/>
  <c r="Y82" i="44"/>
  <c r="AA82" i="44"/>
  <c r="AB82" i="44"/>
  <c r="AD82" i="44"/>
  <c r="AE82" i="44"/>
  <c r="AF82" i="44"/>
  <c r="AG82" i="44"/>
  <c r="AH82" i="44"/>
  <c r="AI82" i="44"/>
  <c r="AJ82" i="44"/>
  <c r="AK82" i="44"/>
  <c r="AL82" i="44"/>
  <c r="C83" i="44"/>
  <c r="E83" i="44"/>
  <c r="F83" i="44"/>
  <c r="G83" i="44"/>
  <c r="H83" i="44"/>
  <c r="I83" i="44"/>
  <c r="J83" i="44"/>
  <c r="K83" i="44"/>
  <c r="L83" i="44"/>
  <c r="M83" i="44"/>
  <c r="N83" i="44"/>
  <c r="O83" i="44"/>
  <c r="P83" i="44"/>
  <c r="Q83" i="44"/>
  <c r="R83" i="44"/>
  <c r="S83" i="44"/>
  <c r="T83" i="44"/>
  <c r="U83" i="44"/>
  <c r="V83" i="44"/>
  <c r="W83" i="44"/>
  <c r="X83" i="44"/>
  <c r="Y83" i="44"/>
  <c r="AA83" i="44"/>
  <c r="AB83" i="44"/>
  <c r="AD83" i="44"/>
  <c r="AE83" i="44"/>
  <c r="AF83" i="44"/>
  <c r="AG83" i="44"/>
  <c r="AH83" i="44"/>
  <c r="AI83" i="44"/>
  <c r="AJ83" i="44"/>
  <c r="AK83" i="44"/>
  <c r="AL83" i="44"/>
  <c r="C84" i="44"/>
  <c r="E84" i="44"/>
  <c r="F84" i="44"/>
  <c r="G84" i="44"/>
  <c r="H84" i="44"/>
  <c r="I84" i="44"/>
  <c r="J84" i="44"/>
  <c r="K84" i="44"/>
  <c r="L84" i="44"/>
  <c r="M84" i="44"/>
  <c r="N84" i="44"/>
  <c r="O84" i="44"/>
  <c r="P84" i="44"/>
  <c r="Q84" i="44"/>
  <c r="R84" i="44"/>
  <c r="S84" i="44"/>
  <c r="T84" i="44"/>
  <c r="U84" i="44"/>
  <c r="V84" i="44"/>
  <c r="W84" i="44"/>
  <c r="X84" i="44"/>
  <c r="Y84" i="44"/>
  <c r="AA84" i="44"/>
  <c r="AB84" i="44"/>
  <c r="AD84" i="44"/>
  <c r="AE84" i="44"/>
  <c r="AF84" i="44"/>
  <c r="AG84" i="44"/>
  <c r="AH84" i="44"/>
  <c r="AI84" i="44"/>
  <c r="AJ84" i="44"/>
  <c r="AK84" i="44"/>
  <c r="AL84" i="44"/>
  <c r="C85" i="44"/>
  <c r="E85" i="44"/>
  <c r="F85" i="44"/>
  <c r="G85" i="44"/>
  <c r="H85" i="44"/>
  <c r="I85" i="44"/>
  <c r="J85" i="44"/>
  <c r="K85" i="44"/>
  <c r="L85" i="44"/>
  <c r="M85" i="44"/>
  <c r="N85" i="44"/>
  <c r="O85" i="44"/>
  <c r="P85" i="44"/>
  <c r="Q85" i="44"/>
  <c r="R85" i="44"/>
  <c r="S85" i="44"/>
  <c r="T85" i="44"/>
  <c r="U85" i="44"/>
  <c r="V85" i="44"/>
  <c r="W85" i="44"/>
  <c r="X85" i="44"/>
  <c r="Y85" i="44"/>
  <c r="AA85" i="44"/>
  <c r="AB85" i="44"/>
  <c r="AD85" i="44"/>
  <c r="AE85" i="44"/>
  <c r="AF85" i="44"/>
  <c r="AG85" i="44"/>
  <c r="AH85" i="44"/>
  <c r="AI85" i="44"/>
  <c r="AJ85" i="44"/>
  <c r="AK85" i="44"/>
  <c r="AL85" i="44"/>
  <c r="C86" i="44"/>
  <c r="E86" i="44"/>
  <c r="F86" i="44"/>
  <c r="G86" i="44"/>
  <c r="H86" i="44"/>
  <c r="I86" i="44"/>
  <c r="J86" i="44"/>
  <c r="K86" i="44"/>
  <c r="L86" i="44"/>
  <c r="M86" i="44"/>
  <c r="N86" i="44"/>
  <c r="O86" i="44"/>
  <c r="P86" i="44"/>
  <c r="Q86" i="44"/>
  <c r="R86" i="44"/>
  <c r="S86" i="44"/>
  <c r="T86" i="44"/>
  <c r="U86" i="44"/>
  <c r="V86" i="44"/>
  <c r="W86" i="44"/>
  <c r="X86" i="44"/>
  <c r="Y86" i="44"/>
  <c r="AA86" i="44"/>
  <c r="AB86" i="44"/>
  <c r="AD86" i="44"/>
  <c r="AE86" i="44"/>
  <c r="AF86" i="44"/>
  <c r="AG86" i="44"/>
  <c r="AH86" i="44"/>
  <c r="AI86" i="44"/>
  <c r="AJ86" i="44"/>
  <c r="AK86" i="44"/>
  <c r="AL86" i="44"/>
  <c r="C87" i="44"/>
  <c r="E87" i="44"/>
  <c r="F87" i="44"/>
  <c r="G87" i="44"/>
  <c r="H87" i="44"/>
  <c r="I87" i="44"/>
  <c r="J87" i="44"/>
  <c r="K87" i="44"/>
  <c r="L87" i="44"/>
  <c r="M87" i="44"/>
  <c r="N87" i="44"/>
  <c r="O87" i="44"/>
  <c r="P87" i="44"/>
  <c r="Q87" i="44"/>
  <c r="R87" i="44"/>
  <c r="S87" i="44"/>
  <c r="T87" i="44"/>
  <c r="U87" i="44"/>
  <c r="V87" i="44"/>
  <c r="W87" i="44"/>
  <c r="X87" i="44"/>
  <c r="Y87" i="44"/>
  <c r="AA87" i="44"/>
  <c r="AB87" i="44"/>
  <c r="AD87" i="44"/>
  <c r="AE87" i="44"/>
  <c r="AF87" i="44"/>
  <c r="AG87" i="44"/>
  <c r="AH87" i="44"/>
  <c r="AI87" i="44"/>
  <c r="AJ87" i="44"/>
  <c r="AK87" i="44"/>
  <c r="AL87" i="44"/>
  <c r="C88" i="44"/>
  <c r="E88" i="44"/>
  <c r="F88" i="44"/>
  <c r="G88" i="44"/>
  <c r="H88" i="44"/>
  <c r="I88" i="44"/>
  <c r="J88" i="44"/>
  <c r="K88" i="44"/>
  <c r="L88" i="44"/>
  <c r="M88" i="44"/>
  <c r="N88" i="44"/>
  <c r="O88" i="44"/>
  <c r="P88" i="44"/>
  <c r="Q88" i="44"/>
  <c r="R88" i="44"/>
  <c r="S88" i="44"/>
  <c r="T88" i="44"/>
  <c r="U88" i="44"/>
  <c r="V88" i="44"/>
  <c r="W88" i="44"/>
  <c r="X88" i="44"/>
  <c r="Y88" i="44"/>
  <c r="AA88" i="44"/>
  <c r="AB88" i="44"/>
  <c r="AD88" i="44"/>
  <c r="AE88" i="44"/>
  <c r="AF88" i="44"/>
  <c r="AG88" i="44"/>
  <c r="AH88" i="44"/>
  <c r="AI88" i="44"/>
  <c r="AJ88" i="44"/>
  <c r="AK88" i="44"/>
  <c r="AL88" i="44"/>
  <c r="C89" i="44"/>
  <c r="E89" i="44"/>
  <c r="F89" i="44"/>
  <c r="G89" i="44"/>
  <c r="H89" i="44"/>
  <c r="I89" i="44"/>
  <c r="J89" i="44"/>
  <c r="K89" i="44"/>
  <c r="L89" i="44"/>
  <c r="M89" i="44"/>
  <c r="N89" i="44"/>
  <c r="O89" i="44"/>
  <c r="P89" i="44"/>
  <c r="Q89" i="44"/>
  <c r="R89" i="44"/>
  <c r="S89" i="44"/>
  <c r="T89" i="44"/>
  <c r="U89" i="44"/>
  <c r="V89" i="44"/>
  <c r="W89" i="44"/>
  <c r="X89" i="44"/>
  <c r="Y89" i="44"/>
  <c r="AA89" i="44"/>
  <c r="AB89" i="44"/>
  <c r="AD89" i="44"/>
  <c r="AE89" i="44"/>
  <c r="AF89" i="44"/>
  <c r="AG89" i="44"/>
  <c r="AH89" i="44"/>
  <c r="AI89" i="44"/>
  <c r="AJ89" i="44"/>
  <c r="AK89" i="44"/>
  <c r="AL89" i="44"/>
  <c r="C90" i="44"/>
  <c r="E90" i="44"/>
  <c r="F90" i="44"/>
  <c r="G90" i="44"/>
  <c r="H90" i="44"/>
  <c r="I90" i="44"/>
  <c r="J90" i="44"/>
  <c r="K90" i="44"/>
  <c r="L90" i="44"/>
  <c r="M90" i="44"/>
  <c r="N90" i="44"/>
  <c r="O90" i="44"/>
  <c r="P90" i="44"/>
  <c r="Q90" i="44"/>
  <c r="R90" i="44"/>
  <c r="S90" i="44"/>
  <c r="T90" i="44"/>
  <c r="U90" i="44"/>
  <c r="V90" i="44"/>
  <c r="W90" i="44"/>
  <c r="X90" i="44"/>
  <c r="Y90" i="44"/>
  <c r="AA90" i="44"/>
  <c r="AB90" i="44"/>
  <c r="AD90" i="44"/>
  <c r="AE90" i="44"/>
  <c r="AF90" i="44"/>
  <c r="AG90" i="44"/>
  <c r="AH90" i="44"/>
  <c r="AI90" i="44"/>
  <c r="AJ90" i="44"/>
  <c r="AK90" i="44"/>
  <c r="AL90" i="44"/>
  <c r="C91" i="44"/>
  <c r="E91" i="44"/>
  <c r="F91" i="44"/>
  <c r="G91" i="44"/>
  <c r="H91" i="44"/>
  <c r="I91" i="44"/>
  <c r="J91" i="44"/>
  <c r="K91" i="44"/>
  <c r="L91" i="44"/>
  <c r="M91" i="44"/>
  <c r="N91" i="44"/>
  <c r="O91" i="44"/>
  <c r="P91" i="44"/>
  <c r="Q91" i="44"/>
  <c r="R91" i="44"/>
  <c r="S91" i="44"/>
  <c r="T91" i="44"/>
  <c r="U91" i="44"/>
  <c r="V91" i="44"/>
  <c r="W91" i="44"/>
  <c r="X91" i="44"/>
  <c r="Y91" i="44"/>
  <c r="AA91" i="44"/>
  <c r="AB91" i="44"/>
  <c r="AD91" i="44"/>
  <c r="AE91" i="44"/>
  <c r="AF91" i="44"/>
  <c r="AG91" i="44"/>
  <c r="AH91" i="44"/>
  <c r="AI91" i="44"/>
  <c r="AJ91" i="44"/>
  <c r="AK91" i="44"/>
  <c r="AL91" i="44"/>
  <c r="C92" i="44"/>
  <c r="E92" i="44"/>
  <c r="F92" i="44"/>
  <c r="G92" i="44"/>
  <c r="H92" i="44"/>
  <c r="I92" i="44"/>
  <c r="J92" i="44"/>
  <c r="K92" i="44"/>
  <c r="L92" i="44"/>
  <c r="M92" i="44"/>
  <c r="N92" i="44"/>
  <c r="O92" i="44"/>
  <c r="P92" i="44"/>
  <c r="Q92" i="44"/>
  <c r="R92" i="44"/>
  <c r="S92" i="44"/>
  <c r="T92" i="44"/>
  <c r="U92" i="44"/>
  <c r="V92" i="44"/>
  <c r="W92" i="44"/>
  <c r="X92" i="44"/>
  <c r="Y92" i="44"/>
  <c r="AA92" i="44"/>
  <c r="AB92" i="44"/>
  <c r="AD92" i="44"/>
  <c r="AE92" i="44"/>
  <c r="AF92" i="44"/>
  <c r="AG92" i="44"/>
  <c r="AH92" i="44"/>
  <c r="AI92" i="44"/>
  <c r="AJ92" i="44"/>
  <c r="AK92" i="44"/>
  <c r="AL92" i="44"/>
  <c r="C93" i="44"/>
  <c r="E93" i="44"/>
  <c r="F93" i="44"/>
  <c r="G93" i="44"/>
  <c r="H93" i="44"/>
  <c r="I93" i="44"/>
  <c r="J93" i="44"/>
  <c r="K93" i="44"/>
  <c r="L93" i="44"/>
  <c r="M93" i="44"/>
  <c r="N93" i="44"/>
  <c r="O93" i="44"/>
  <c r="P93" i="44"/>
  <c r="Q93" i="44"/>
  <c r="R93" i="44"/>
  <c r="S93" i="44"/>
  <c r="T93" i="44"/>
  <c r="U93" i="44"/>
  <c r="V93" i="44"/>
  <c r="W93" i="44"/>
  <c r="X93" i="44"/>
  <c r="Y93" i="44"/>
  <c r="AA93" i="44"/>
  <c r="AB93" i="44"/>
  <c r="AD93" i="44"/>
  <c r="AE93" i="44"/>
  <c r="AF93" i="44"/>
  <c r="AG93" i="44"/>
  <c r="AH93" i="44"/>
  <c r="AI93" i="44"/>
  <c r="AJ93" i="44"/>
  <c r="AK93" i="44"/>
  <c r="AL93" i="44"/>
  <c r="C94" i="44"/>
  <c r="E94" i="44"/>
  <c r="F94" i="44"/>
  <c r="G94" i="44"/>
  <c r="H94" i="44"/>
  <c r="I94" i="44"/>
  <c r="J94" i="44"/>
  <c r="K94" i="44"/>
  <c r="L94" i="44"/>
  <c r="M94" i="44"/>
  <c r="N94" i="44"/>
  <c r="O94" i="44"/>
  <c r="P94" i="44"/>
  <c r="Q94" i="44"/>
  <c r="R94" i="44"/>
  <c r="S94" i="44"/>
  <c r="T94" i="44"/>
  <c r="U94" i="44"/>
  <c r="V94" i="44"/>
  <c r="W94" i="44"/>
  <c r="X94" i="44"/>
  <c r="Y94" i="44"/>
  <c r="AA94" i="44"/>
  <c r="AB94" i="44"/>
  <c r="AD94" i="44"/>
  <c r="AE94" i="44"/>
  <c r="AF94" i="44"/>
  <c r="AG94" i="44"/>
  <c r="AH94" i="44"/>
  <c r="AI94" i="44"/>
  <c r="AJ94" i="44"/>
  <c r="AK94" i="44"/>
  <c r="AL94" i="44"/>
  <c r="C95" i="44"/>
  <c r="E95" i="44"/>
  <c r="F95" i="44"/>
  <c r="G95" i="44"/>
  <c r="H95" i="44"/>
  <c r="I95" i="44"/>
  <c r="J95" i="44"/>
  <c r="K95" i="44"/>
  <c r="L95" i="44"/>
  <c r="M95" i="44"/>
  <c r="N95" i="44"/>
  <c r="O95" i="44"/>
  <c r="P95" i="44"/>
  <c r="Q95" i="44"/>
  <c r="R95" i="44"/>
  <c r="S95" i="44"/>
  <c r="T95" i="44"/>
  <c r="U95" i="44"/>
  <c r="V95" i="44"/>
  <c r="W95" i="44"/>
  <c r="X95" i="44"/>
  <c r="Y95" i="44"/>
  <c r="AA95" i="44"/>
  <c r="AB95" i="44"/>
  <c r="AD95" i="44"/>
  <c r="AE95" i="44"/>
  <c r="AF95" i="44"/>
  <c r="AG95" i="44"/>
  <c r="AH95" i="44"/>
  <c r="AI95" i="44"/>
  <c r="AJ95" i="44"/>
  <c r="AK95" i="44"/>
  <c r="AL95" i="44"/>
  <c r="C96" i="44"/>
  <c r="E96" i="44"/>
  <c r="F96" i="44"/>
  <c r="G96" i="44"/>
  <c r="H96" i="44"/>
  <c r="I96" i="44"/>
  <c r="J96" i="44"/>
  <c r="K96" i="44"/>
  <c r="L96" i="44"/>
  <c r="M96" i="44"/>
  <c r="N96" i="44"/>
  <c r="O96" i="44"/>
  <c r="P96" i="44"/>
  <c r="Q96" i="44"/>
  <c r="R96" i="44"/>
  <c r="S96" i="44"/>
  <c r="T96" i="44"/>
  <c r="U96" i="44"/>
  <c r="V96" i="44"/>
  <c r="W96" i="44"/>
  <c r="X96" i="44"/>
  <c r="Y96" i="44"/>
  <c r="AA96" i="44"/>
  <c r="AB96" i="44"/>
  <c r="AD96" i="44"/>
  <c r="AE96" i="44"/>
  <c r="AF96" i="44"/>
  <c r="AG96" i="44"/>
  <c r="AH96" i="44"/>
  <c r="AI96" i="44"/>
  <c r="AJ96" i="44"/>
  <c r="AK96" i="44"/>
  <c r="AL96" i="44"/>
  <c r="C97" i="44"/>
  <c r="E97" i="44"/>
  <c r="F97" i="44"/>
  <c r="G97" i="44"/>
  <c r="H97" i="44"/>
  <c r="I97" i="44"/>
  <c r="J97" i="44"/>
  <c r="K97" i="44"/>
  <c r="L97" i="44"/>
  <c r="M97" i="44"/>
  <c r="N97" i="44"/>
  <c r="O97" i="44"/>
  <c r="P97" i="44"/>
  <c r="Q97" i="44"/>
  <c r="R97" i="44"/>
  <c r="S97" i="44"/>
  <c r="T97" i="44"/>
  <c r="U97" i="44"/>
  <c r="V97" i="44"/>
  <c r="W97" i="44"/>
  <c r="X97" i="44"/>
  <c r="Y97" i="44"/>
  <c r="AA97" i="44"/>
  <c r="AB97" i="44"/>
  <c r="AD97" i="44"/>
  <c r="AE97" i="44"/>
  <c r="AF97" i="44"/>
  <c r="AG97" i="44"/>
  <c r="AH97" i="44"/>
  <c r="AI97" i="44"/>
  <c r="AJ97" i="44"/>
  <c r="AK97" i="44"/>
  <c r="AL97" i="44"/>
  <c r="C98" i="44"/>
  <c r="E98" i="44"/>
  <c r="F98" i="44"/>
  <c r="G98" i="44"/>
  <c r="H98" i="44"/>
  <c r="I98" i="44"/>
  <c r="J98" i="44"/>
  <c r="K98" i="44"/>
  <c r="L98" i="44"/>
  <c r="M98" i="44"/>
  <c r="N98" i="44"/>
  <c r="O98" i="44"/>
  <c r="P98" i="44"/>
  <c r="Q98" i="44"/>
  <c r="R98" i="44"/>
  <c r="S98" i="44"/>
  <c r="T98" i="44"/>
  <c r="U98" i="44"/>
  <c r="V98" i="44"/>
  <c r="W98" i="44"/>
  <c r="X98" i="44"/>
  <c r="Y98" i="44"/>
  <c r="AA98" i="44"/>
  <c r="AB98" i="44"/>
  <c r="AD98" i="44"/>
  <c r="AE98" i="44"/>
  <c r="AF98" i="44"/>
  <c r="AG98" i="44"/>
  <c r="AH98" i="44"/>
  <c r="AI98" i="44"/>
  <c r="AJ98" i="44"/>
  <c r="AK98" i="44"/>
  <c r="AL98" i="44"/>
  <c r="C99" i="44"/>
  <c r="E99" i="44"/>
  <c r="F99" i="44"/>
  <c r="G99" i="44"/>
  <c r="H99" i="44"/>
  <c r="I99" i="44"/>
  <c r="J99" i="44"/>
  <c r="K99" i="44"/>
  <c r="L99" i="44"/>
  <c r="M99" i="44"/>
  <c r="N99" i="44"/>
  <c r="O99" i="44"/>
  <c r="P99" i="44"/>
  <c r="Q99" i="44"/>
  <c r="R99" i="44"/>
  <c r="S99" i="44"/>
  <c r="T99" i="44"/>
  <c r="U99" i="44"/>
  <c r="V99" i="44"/>
  <c r="W99" i="44"/>
  <c r="X99" i="44"/>
  <c r="Y99" i="44"/>
  <c r="AA99" i="44"/>
  <c r="AB99" i="44"/>
  <c r="AD99" i="44"/>
  <c r="AE99" i="44"/>
  <c r="AF99" i="44"/>
  <c r="AG99" i="44"/>
  <c r="AH99" i="44"/>
  <c r="AI99" i="44"/>
  <c r="AJ99" i="44"/>
  <c r="AK99" i="44"/>
  <c r="AL99" i="44"/>
  <c r="C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AA100" i="44"/>
  <c r="AB100" i="44"/>
  <c r="AD100" i="44"/>
  <c r="AE100" i="44"/>
  <c r="AF100" i="44"/>
  <c r="AG100" i="44"/>
  <c r="AH100" i="44"/>
  <c r="AI100" i="44"/>
  <c r="AJ100" i="44"/>
  <c r="AK100" i="44"/>
  <c r="AL100" i="44"/>
  <c r="C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AA101" i="44"/>
  <c r="AB101" i="44"/>
  <c r="AD101" i="44"/>
  <c r="AE101" i="44"/>
  <c r="AF101" i="44"/>
  <c r="AG101" i="44"/>
  <c r="AH101" i="44"/>
  <c r="AI101" i="44"/>
  <c r="AJ101" i="44"/>
  <c r="AK101" i="44"/>
  <c r="AL101" i="44"/>
  <c r="C102" i="44"/>
  <c r="E102" i="44"/>
  <c r="F102" i="44"/>
  <c r="G102" i="44"/>
  <c r="H102" i="44"/>
  <c r="I102" i="44"/>
  <c r="J102" i="44"/>
  <c r="K102" i="44"/>
  <c r="L102" i="44"/>
  <c r="M102" i="44"/>
  <c r="N102" i="44"/>
  <c r="O102" i="44"/>
  <c r="P102" i="44"/>
  <c r="Q102" i="44"/>
  <c r="R102" i="44"/>
  <c r="S102" i="44"/>
  <c r="T102" i="44"/>
  <c r="U102" i="44"/>
  <c r="V102" i="44"/>
  <c r="W102" i="44"/>
  <c r="X102" i="44"/>
  <c r="Y102" i="44"/>
  <c r="AA102" i="44"/>
  <c r="AB102" i="44"/>
  <c r="AD102" i="44"/>
  <c r="AE102" i="44"/>
  <c r="AF102" i="44"/>
  <c r="AG102" i="44"/>
  <c r="AH102" i="44"/>
  <c r="AI102" i="44"/>
  <c r="AJ102" i="44"/>
  <c r="AK102" i="44"/>
  <c r="AL102" i="44"/>
  <c r="C103" i="44"/>
  <c r="E103" i="44"/>
  <c r="F103" i="44"/>
  <c r="G103" i="44"/>
  <c r="H103" i="44"/>
  <c r="I103" i="44"/>
  <c r="J103" i="44"/>
  <c r="K103" i="44"/>
  <c r="L103" i="44"/>
  <c r="M103" i="44"/>
  <c r="N103" i="44"/>
  <c r="O103" i="44"/>
  <c r="P103" i="44"/>
  <c r="Q103" i="44"/>
  <c r="R103" i="44"/>
  <c r="S103" i="44"/>
  <c r="T103" i="44"/>
  <c r="U103" i="44"/>
  <c r="V103" i="44"/>
  <c r="W103" i="44"/>
  <c r="X103" i="44"/>
  <c r="Y103" i="44"/>
  <c r="AA103" i="44"/>
  <c r="AB103" i="44"/>
  <c r="AD103" i="44"/>
  <c r="AE103" i="44"/>
  <c r="AF103" i="44"/>
  <c r="AG103" i="44"/>
  <c r="AH103" i="44"/>
  <c r="AI103" i="44"/>
  <c r="AJ103" i="44"/>
  <c r="AK103" i="44"/>
  <c r="AL103" i="44"/>
  <c r="C104" i="44"/>
  <c r="E104" i="44"/>
  <c r="F104" i="44"/>
  <c r="G104" i="44"/>
  <c r="H104" i="44"/>
  <c r="I104" i="44"/>
  <c r="J104" i="44"/>
  <c r="K104" i="44"/>
  <c r="L104" i="44"/>
  <c r="M104" i="44"/>
  <c r="N104" i="44"/>
  <c r="O104" i="44"/>
  <c r="P104" i="44"/>
  <c r="Q104" i="44"/>
  <c r="R104" i="44"/>
  <c r="S104" i="44"/>
  <c r="T104" i="44"/>
  <c r="U104" i="44"/>
  <c r="V104" i="44"/>
  <c r="W104" i="44"/>
  <c r="X104" i="44"/>
  <c r="Y104" i="44"/>
  <c r="AA104" i="44"/>
  <c r="AB104" i="44"/>
  <c r="AD104" i="44"/>
  <c r="AE104" i="44"/>
  <c r="AF104" i="44"/>
  <c r="AG104" i="44"/>
  <c r="AH104" i="44"/>
  <c r="AI104" i="44"/>
  <c r="AJ104" i="44"/>
  <c r="AK104" i="44"/>
  <c r="AL104" i="44"/>
  <c r="C105" i="44"/>
  <c r="E105" i="44"/>
  <c r="F105" i="44"/>
  <c r="G105" i="44"/>
  <c r="H105" i="44"/>
  <c r="I105" i="44"/>
  <c r="J105" i="44"/>
  <c r="K105" i="44"/>
  <c r="L105" i="44"/>
  <c r="M105" i="44"/>
  <c r="N105" i="44"/>
  <c r="O105" i="44"/>
  <c r="P105" i="44"/>
  <c r="Q105" i="44"/>
  <c r="R105" i="44"/>
  <c r="S105" i="44"/>
  <c r="T105" i="44"/>
  <c r="U105" i="44"/>
  <c r="V105" i="44"/>
  <c r="W105" i="44"/>
  <c r="X105" i="44"/>
  <c r="Y105" i="44"/>
  <c r="AA105" i="44"/>
  <c r="AB105" i="44"/>
  <c r="AD105" i="44"/>
  <c r="AE105" i="44"/>
  <c r="AF105" i="44"/>
  <c r="AG105" i="44"/>
  <c r="AH105" i="44"/>
  <c r="AI105" i="44"/>
  <c r="AJ105" i="44"/>
  <c r="AK105" i="44"/>
  <c r="AL105" i="44"/>
  <c r="C106" i="44"/>
  <c r="E106" i="44"/>
  <c r="F106" i="44"/>
  <c r="G106" i="44"/>
  <c r="H106" i="44"/>
  <c r="I106" i="44"/>
  <c r="J106" i="44"/>
  <c r="K106" i="44"/>
  <c r="L106" i="44"/>
  <c r="M106" i="44"/>
  <c r="N106" i="44"/>
  <c r="O106" i="44"/>
  <c r="P106" i="44"/>
  <c r="Q106" i="44"/>
  <c r="R106" i="44"/>
  <c r="S106" i="44"/>
  <c r="T106" i="44"/>
  <c r="U106" i="44"/>
  <c r="V106" i="44"/>
  <c r="W106" i="44"/>
  <c r="X106" i="44"/>
  <c r="Y106" i="44"/>
  <c r="AA106" i="44"/>
  <c r="AB106" i="44"/>
  <c r="AD106" i="44"/>
  <c r="AE106" i="44"/>
  <c r="AF106" i="44"/>
  <c r="AG106" i="44"/>
  <c r="AH106" i="44"/>
  <c r="AI106" i="44"/>
  <c r="AJ106" i="44"/>
  <c r="AK106" i="44"/>
  <c r="AL106" i="44"/>
  <c r="C107" i="44"/>
  <c r="E107" i="44"/>
  <c r="F107" i="44"/>
  <c r="G107" i="44"/>
  <c r="H107" i="44"/>
  <c r="I107" i="44"/>
  <c r="J107" i="44"/>
  <c r="K107" i="44"/>
  <c r="L107" i="44"/>
  <c r="M107" i="44"/>
  <c r="N107" i="44"/>
  <c r="O107" i="44"/>
  <c r="P107" i="44"/>
  <c r="Q107" i="44"/>
  <c r="R107" i="44"/>
  <c r="S107" i="44"/>
  <c r="T107" i="44"/>
  <c r="U107" i="44"/>
  <c r="V107" i="44"/>
  <c r="W107" i="44"/>
  <c r="X107" i="44"/>
  <c r="Y107" i="44"/>
  <c r="AA107" i="44"/>
  <c r="AB107" i="44"/>
  <c r="AD107" i="44"/>
  <c r="AE107" i="44"/>
  <c r="AF107" i="44"/>
  <c r="AG107" i="44"/>
  <c r="AH107" i="44"/>
  <c r="AI107" i="44"/>
  <c r="AJ107" i="44"/>
  <c r="AK107" i="44"/>
  <c r="AL107" i="44"/>
  <c r="C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AA108" i="44"/>
  <c r="AB108" i="44"/>
  <c r="AD108" i="44"/>
  <c r="AE108" i="44"/>
  <c r="AF108" i="44"/>
  <c r="AG108" i="44"/>
  <c r="AH108" i="44"/>
  <c r="AI108" i="44"/>
  <c r="AJ108" i="44"/>
  <c r="AK108" i="44"/>
  <c r="AL108" i="44"/>
  <c r="C109" i="44"/>
  <c r="E109" i="44"/>
  <c r="F109" i="44"/>
  <c r="G109" i="44"/>
  <c r="H109" i="44"/>
  <c r="I109" i="44"/>
  <c r="J109" i="44"/>
  <c r="K109" i="44"/>
  <c r="L109" i="44"/>
  <c r="M109" i="44"/>
  <c r="N109" i="44"/>
  <c r="O109" i="44"/>
  <c r="P109" i="44"/>
  <c r="Q109" i="44"/>
  <c r="R109" i="44"/>
  <c r="S109" i="44"/>
  <c r="T109" i="44"/>
  <c r="U109" i="44"/>
  <c r="V109" i="44"/>
  <c r="W109" i="44"/>
  <c r="X109" i="44"/>
  <c r="Y109" i="44"/>
  <c r="AA109" i="44"/>
  <c r="AB109" i="44"/>
  <c r="AD109" i="44"/>
  <c r="AE109" i="44"/>
  <c r="AF109" i="44"/>
  <c r="AG109" i="44"/>
  <c r="AH109" i="44"/>
  <c r="AI109" i="44"/>
  <c r="AJ109" i="44"/>
  <c r="AK109" i="44"/>
  <c r="AL109" i="44"/>
  <c r="C110" i="44"/>
  <c r="E110" i="44"/>
  <c r="F110" i="44"/>
  <c r="G110" i="44"/>
  <c r="H110" i="44"/>
  <c r="I110" i="44"/>
  <c r="J110" i="44"/>
  <c r="K110" i="44"/>
  <c r="L110" i="44"/>
  <c r="M110" i="44"/>
  <c r="N110" i="44"/>
  <c r="O110" i="44"/>
  <c r="P110" i="44"/>
  <c r="Q110" i="44"/>
  <c r="R110" i="44"/>
  <c r="S110" i="44"/>
  <c r="T110" i="44"/>
  <c r="U110" i="44"/>
  <c r="V110" i="44"/>
  <c r="W110" i="44"/>
  <c r="X110" i="44"/>
  <c r="Y110" i="44"/>
  <c r="AA110" i="44"/>
  <c r="AB110" i="44"/>
  <c r="AD110" i="44"/>
  <c r="AE110" i="44"/>
  <c r="AF110" i="44"/>
  <c r="AG110" i="44"/>
  <c r="AH110" i="44"/>
  <c r="AI110" i="44"/>
  <c r="AJ110" i="44"/>
  <c r="AK110" i="44"/>
  <c r="AL110" i="44"/>
  <c r="C111" i="44"/>
  <c r="E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R111" i="44"/>
  <c r="S111" i="44"/>
  <c r="T111" i="44"/>
  <c r="U111" i="44"/>
  <c r="V111" i="44"/>
  <c r="W111" i="44"/>
  <c r="X111" i="44"/>
  <c r="Y111" i="44"/>
  <c r="AA111" i="44"/>
  <c r="AB111" i="44"/>
  <c r="AD111" i="44"/>
  <c r="AE111" i="44"/>
  <c r="AF111" i="44"/>
  <c r="AG111" i="44"/>
  <c r="AH111" i="44"/>
  <c r="AI111" i="44"/>
  <c r="AJ111" i="44"/>
  <c r="AK111" i="44"/>
  <c r="AL111" i="44"/>
  <c r="C112" i="44"/>
  <c r="E112" i="44"/>
  <c r="F112" i="44"/>
  <c r="G112" i="44"/>
  <c r="H112" i="44"/>
  <c r="I112" i="44"/>
  <c r="J112" i="44"/>
  <c r="K112" i="44"/>
  <c r="L112" i="44"/>
  <c r="M112" i="44"/>
  <c r="N112" i="44"/>
  <c r="O112" i="44"/>
  <c r="P112" i="44"/>
  <c r="Q112" i="44"/>
  <c r="R112" i="44"/>
  <c r="S112" i="44"/>
  <c r="T112" i="44"/>
  <c r="U112" i="44"/>
  <c r="V112" i="44"/>
  <c r="W112" i="44"/>
  <c r="X112" i="44"/>
  <c r="Y112" i="44"/>
  <c r="AA112" i="44"/>
  <c r="AB112" i="44"/>
  <c r="AD112" i="44"/>
  <c r="AE112" i="44"/>
  <c r="AF112" i="44"/>
  <c r="AG112" i="44"/>
  <c r="AH112" i="44"/>
  <c r="AI112" i="44"/>
  <c r="AJ112" i="44"/>
  <c r="AK112" i="44"/>
  <c r="AL112" i="44"/>
  <c r="C113" i="44"/>
  <c r="E113" i="44"/>
  <c r="F113" i="44"/>
  <c r="G113" i="44"/>
  <c r="H113" i="44"/>
  <c r="I113" i="44"/>
  <c r="J113" i="44"/>
  <c r="K113" i="44"/>
  <c r="L113" i="44"/>
  <c r="M113" i="44"/>
  <c r="N113" i="44"/>
  <c r="O113" i="44"/>
  <c r="P113" i="44"/>
  <c r="Q113" i="44"/>
  <c r="R113" i="44"/>
  <c r="S113" i="44"/>
  <c r="T113" i="44"/>
  <c r="U113" i="44"/>
  <c r="V113" i="44"/>
  <c r="W113" i="44"/>
  <c r="X113" i="44"/>
  <c r="Y113" i="44"/>
  <c r="AA113" i="44"/>
  <c r="AB113" i="44"/>
  <c r="AD113" i="44"/>
  <c r="AE113" i="44"/>
  <c r="AF113" i="44"/>
  <c r="AG113" i="44"/>
  <c r="AH113" i="44"/>
  <c r="AI113" i="44"/>
  <c r="AJ113" i="44"/>
  <c r="AK113" i="44"/>
  <c r="AL113" i="44"/>
  <c r="C114" i="44"/>
  <c r="E114" i="44"/>
  <c r="F114" i="44"/>
  <c r="G114" i="44"/>
  <c r="H114" i="44"/>
  <c r="I114" i="44"/>
  <c r="J114" i="44"/>
  <c r="K114" i="44"/>
  <c r="L114" i="44"/>
  <c r="M114" i="44"/>
  <c r="N114" i="44"/>
  <c r="O114" i="44"/>
  <c r="P114" i="44"/>
  <c r="Q114" i="44"/>
  <c r="R114" i="44"/>
  <c r="S114" i="44"/>
  <c r="T114" i="44"/>
  <c r="U114" i="44"/>
  <c r="V114" i="44"/>
  <c r="W114" i="44"/>
  <c r="X114" i="44"/>
  <c r="Y114" i="44"/>
  <c r="AA114" i="44"/>
  <c r="AB114" i="44"/>
  <c r="AD114" i="44"/>
  <c r="AE114" i="44"/>
  <c r="AF114" i="44"/>
  <c r="AG114" i="44"/>
  <c r="AH114" i="44"/>
  <c r="AI114" i="44"/>
  <c r="AJ114" i="44"/>
  <c r="AK114" i="44"/>
  <c r="AL114" i="44"/>
  <c r="C115" i="44"/>
  <c r="E115" i="44"/>
  <c r="F115" i="44"/>
  <c r="G115" i="44"/>
  <c r="H115" i="44"/>
  <c r="I115" i="44"/>
  <c r="J115" i="44"/>
  <c r="K115" i="44"/>
  <c r="L115" i="44"/>
  <c r="M115" i="44"/>
  <c r="N115" i="44"/>
  <c r="O115" i="44"/>
  <c r="P115" i="44"/>
  <c r="Q115" i="44"/>
  <c r="R115" i="44"/>
  <c r="S115" i="44"/>
  <c r="T115" i="44"/>
  <c r="U115" i="44"/>
  <c r="V115" i="44"/>
  <c r="W115" i="44"/>
  <c r="X115" i="44"/>
  <c r="Y115" i="44"/>
  <c r="AA115" i="44"/>
  <c r="AB115" i="44"/>
  <c r="AD115" i="44"/>
  <c r="AE115" i="44"/>
  <c r="AF115" i="44"/>
  <c r="AG115" i="44"/>
  <c r="AH115" i="44"/>
  <c r="AI115" i="44"/>
  <c r="AJ115" i="44"/>
  <c r="AK115" i="44"/>
  <c r="AL115" i="44"/>
  <c r="C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AA116" i="44"/>
  <c r="AB116" i="44"/>
  <c r="AD116" i="44"/>
  <c r="AE116" i="44"/>
  <c r="AF116" i="44"/>
  <c r="AG116" i="44"/>
  <c r="AH116" i="44"/>
  <c r="AI116" i="44"/>
  <c r="AJ116" i="44"/>
  <c r="AK116" i="44"/>
  <c r="AL116" i="44"/>
  <c r="C117" i="44"/>
  <c r="E117" i="44"/>
  <c r="F117" i="44"/>
  <c r="G117" i="44"/>
  <c r="H117" i="44"/>
  <c r="I117" i="44"/>
  <c r="J117" i="44"/>
  <c r="K117" i="44"/>
  <c r="L117" i="44"/>
  <c r="M117" i="44"/>
  <c r="N117" i="44"/>
  <c r="O117" i="44"/>
  <c r="P117" i="44"/>
  <c r="Q117" i="44"/>
  <c r="R117" i="44"/>
  <c r="S117" i="44"/>
  <c r="T117" i="44"/>
  <c r="U117" i="44"/>
  <c r="V117" i="44"/>
  <c r="W117" i="44"/>
  <c r="X117" i="44"/>
  <c r="Y117" i="44"/>
  <c r="AA117" i="44"/>
  <c r="AB117" i="44"/>
  <c r="AD117" i="44"/>
  <c r="AE117" i="44"/>
  <c r="AF117" i="44"/>
  <c r="AG117" i="44"/>
  <c r="AH117" i="44"/>
  <c r="AI117" i="44"/>
  <c r="AJ117" i="44"/>
  <c r="AK117" i="44"/>
  <c r="AL117" i="44"/>
  <c r="D3" i="44"/>
  <c r="E3" i="44"/>
  <c r="F3" i="44"/>
  <c r="G3" i="44"/>
  <c r="H3" i="44"/>
  <c r="I3" i="44"/>
  <c r="J3" i="44"/>
  <c r="K3" i="44"/>
  <c r="L3" i="44"/>
  <c r="M3" i="44"/>
  <c r="N3" i="44"/>
  <c r="O3" i="44"/>
  <c r="P3" i="44"/>
  <c r="Q3" i="44"/>
  <c r="R3" i="44"/>
  <c r="S3" i="44"/>
  <c r="T3" i="44"/>
  <c r="U3" i="44"/>
  <c r="V3" i="44"/>
  <c r="W3" i="44"/>
  <c r="X3" i="44"/>
  <c r="Y3" i="44"/>
  <c r="Z3" i="44"/>
  <c r="AA3" i="44"/>
  <c r="AB3" i="44"/>
  <c r="AC3" i="44"/>
  <c r="AD3" i="44"/>
  <c r="AE3" i="44"/>
  <c r="AF3" i="44"/>
  <c r="AG3" i="44"/>
  <c r="AH3" i="44"/>
  <c r="AI3" i="44"/>
  <c r="AJ3" i="44"/>
  <c r="AK3" i="44"/>
  <c r="AL3" i="44"/>
  <c r="C3" i="44"/>
  <c r="AI74" i="23"/>
  <c r="AI75" i="23"/>
  <c r="AI76" i="23"/>
  <c r="AI77" i="23"/>
  <c r="AI78" i="23"/>
  <c r="AI79" i="23"/>
  <c r="AI80" i="23"/>
  <c r="AI81" i="23"/>
  <c r="AI82" i="23"/>
  <c r="AI83" i="23"/>
  <c r="AI84" i="23"/>
  <c r="AI85" i="23"/>
  <c r="AI86" i="23"/>
  <c r="AI87" i="23"/>
  <c r="AI88" i="23"/>
  <c r="AI89" i="23"/>
  <c r="AI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113" i="23"/>
  <c r="AI114" i="23"/>
  <c r="AI115" i="23"/>
  <c r="AI116" i="23"/>
  <c r="AI117" i="23"/>
  <c r="AI118" i="23"/>
  <c r="AI119" i="23"/>
  <c r="AI120" i="23"/>
  <c r="AI121" i="23"/>
  <c r="AI122" i="23"/>
  <c r="AI123" i="23"/>
  <c r="AI124" i="23"/>
  <c r="AI125" i="23"/>
  <c r="AI126" i="23"/>
  <c r="AI127" i="23"/>
  <c r="AI128" i="23"/>
  <c r="AI129" i="23"/>
  <c r="AI130" i="23"/>
  <c r="AI131" i="23"/>
  <c r="AI132" i="23"/>
  <c r="AI133" i="23"/>
  <c r="AI134" i="23"/>
  <c r="AI135" i="23"/>
  <c r="AI136" i="23"/>
  <c r="AI137" i="23"/>
  <c r="AI138" i="23"/>
  <c r="AI139" i="23"/>
  <c r="AI140" i="23"/>
  <c r="AI141" i="23"/>
  <c r="AI142" i="23"/>
  <c r="AI143" i="23"/>
  <c r="AI144" i="23"/>
  <c r="AI145" i="23"/>
  <c r="AI146" i="23"/>
  <c r="AI147" i="23"/>
  <c r="AI148" i="23"/>
  <c r="AI149" i="23"/>
  <c r="AI150" i="23"/>
  <c r="AI151" i="23"/>
  <c r="AI152" i="23"/>
  <c r="AI153" i="23"/>
  <c r="AI154" i="23"/>
  <c r="AI155" i="23"/>
  <c r="AI156" i="23"/>
  <c r="AI157" i="23"/>
  <c r="AI158" i="23"/>
  <c r="AI159" i="23"/>
  <c r="AI160" i="23"/>
  <c r="AI161" i="23"/>
  <c r="AI162" i="23"/>
  <c r="AI163" i="23"/>
  <c r="AI164" i="23"/>
  <c r="AI165" i="23"/>
  <c r="AI166" i="23"/>
  <c r="AI167" i="23"/>
  <c r="AI168" i="23"/>
  <c r="AI169" i="23"/>
  <c r="AI170" i="23"/>
  <c r="AI171" i="23"/>
  <c r="AI172" i="23"/>
  <c r="AI173" i="23"/>
  <c r="AI174" i="23"/>
  <c r="AI175" i="23"/>
  <c r="AI176" i="23"/>
  <c r="AI177" i="23"/>
  <c r="AI178" i="23"/>
  <c r="AI179" i="23"/>
  <c r="AI180" i="23"/>
  <c r="AI181" i="23"/>
  <c r="AI182" i="23"/>
  <c r="AI183" i="23"/>
  <c r="AI184" i="23"/>
  <c r="AI185" i="23"/>
  <c r="AI186" i="23"/>
  <c r="AI187" i="23"/>
  <c r="AI188" i="23"/>
  <c r="AI189" i="23"/>
  <c r="AI190" i="23"/>
  <c r="AI191" i="23"/>
  <c r="AI192" i="23"/>
  <c r="AI193" i="23"/>
  <c r="AI194" i="23"/>
  <c r="AI195" i="23"/>
  <c r="AI196" i="23"/>
  <c r="AI197" i="23"/>
  <c r="AI198" i="23"/>
  <c r="AI199" i="23"/>
  <c r="AI200" i="23"/>
  <c r="AI201" i="23"/>
  <c r="AI202" i="23"/>
  <c r="AI203" i="23"/>
  <c r="AI204" i="23"/>
  <c r="AI205" i="23"/>
  <c r="AI206" i="23"/>
  <c r="AI207" i="23"/>
  <c r="AI208" i="23"/>
  <c r="AI209" i="23"/>
  <c r="AI210" i="23"/>
  <c r="AI211" i="23"/>
  <c r="AI212" i="23"/>
  <c r="AI213" i="23"/>
  <c r="AI214" i="23"/>
  <c r="AI215" i="23"/>
  <c r="AI216" i="23"/>
  <c r="AI217" i="23"/>
  <c r="AI218" i="23"/>
  <c r="AI219" i="23"/>
  <c r="AI220" i="23"/>
  <c r="AI221" i="23"/>
  <c r="AI222" i="23"/>
  <c r="AI223" i="23"/>
  <c r="AI224" i="23"/>
  <c r="AI225" i="23"/>
  <c r="AI226" i="23"/>
  <c r="AI227" i="23"/>
  <c r="AI228" i="23"/>
  <c r="AI229" i="23"/>
  <c r="AI230" i="23"/>
  <c r="AI231" i="23"/>
  <c r="AI232" i="23"/>
  <c r="AI233" i="23"/>
  <c r="AI234" i="23"/>
  <c r="AI235" i="23"/>
  <c r="AI236" i="23"/>
  <c r="AI237" i="23"/>
  <c r="AI238" i="23"/>
  <c r="AI239" i="23"/>
  <c r="Q2" i="32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B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1" i="23"/>
  <c r="T112" i="23"/>
  <c r="T113" i="23"/>
  <c r="T114" i="23"/>
  <c r="T115" i="23"/>
  <c r="T116" i="23"/>
  <c r="T117" i="23"/>
  <c r="T118" i="23"/>
  <c r="T119" i="23"/>
  <c r="T120" i="23"/>
  <c r="T121" i="23"/>
  <c r="T122" i="23"/>
  <c r="T123" i="23"/>
  <c r="T124" i="23"/>
  <c r="T125" i="23"/>
  <c r="T126" i="23"/>
  <c r="T127" i="23"/>
  <c r="T128" i="23"/>
  <c r="T129" i="23"/>
  <c r="T130" i="23"/>
  <c r="T131" i="23"/>
  <c r="T132" i="23"/>
  <c r="T133" i="23"/>
  <c r="T134" i="23"/>
  <c r="T135" i="23"/>
  <c r="T136" i="23"/>
  <c r="T137" i="23"/>
  <c r="T138" i="23"/>
  <c r="T139" i="23"/>
  <c r="T140" i="23"/>
  <c r="T141" i="23"/>
  <c r="T142" i="23"/>
  <c r="T143" i="23"/>
  <c r="T144" i="23"/>
  <c r="T145" i="23"/>
  <c r="T146" i="23"/>
  <c r="T147" i="23"/>
  <c r="T148" i="23"/>
  <c r="T149" i="23"/>
  <c r="T150" i="23"/>
  <c r="T151" i="23"/>
  <c r="T152" i="23"/>
  <c r="T153" i="23"/>
  <c r="T154" i="23"/>
  <c r="T155" i="23"/>
  <c r="T156" i="23"/>
  <c r="T157" i="23"/>
  <c r="T158" i="23"/>
  <c r="T159" i="23"/>
  <c r="T160" i="23"/>
  <c r="T161" i="23"/>
  <c r="T162" i="23"/>
  <c r="T163" i="23"/>
  <c r="T164" i="23"/>
  <c r="T165" i="23"/>
  <c r="T166" i="23"/>
  <c r="T167" i="23"/>
  <c r="T168" i="23"/>
  <c r="T169" i="23"/>
  <c r="T170" i="23"/>
  <c r="T171" i="23"/>
  <c r="T172" i="23"/>
  <c r="T173" i="23"/>
  <c r="T174" i="23"/>
  <c r="T175" i="23"/>
  <c r="T176" i="23"/>
  <c r="T177" i="23"/>
  <c r="T178" i="23"/>
  <c r="T179" i="23"/>
  <c r="T180" i="23"/>
  <c r="T181" i="23"/>
  <c r="T182" i="23"/>
  <c r="T183" i="23"/>
  <c r="T184" i="23"/>
  <c r="T185" i="23"/>
  <c r="T186" i="23"/>
  <c r="T187" i="23"/>
  <c r="T188" i="23"/>
  <c r="T189" i="23"/>
  <c r="T190" i="23"/>
  <c r="T191" i="23"/>
  <c r="T192" i="23"/>
  <c r="T193" i="23"/>
  <c r="T194" i="23"/>
  <c r="T195" i="23"/>
  <c r="T196" i="23"/>
  <c r="T197" i="23"/>
  <c r="T198" i="23"/>
  <c r="T199" i="23"/>
  <c r="T200" i="23"/>
  <c r="T201" i="23"/>
  <c r="T202" i="23"/>
  <c r="T203" i="23"/>
  <c r="T204" i="23"/>
  <c r="T205" i="23"/>
  <c r="T206" i="23"/>
  <c r="T207" i="23"/>
  <c r="T208" i="23"/>
  <c r="T209" i="23"/>
  <c r="T210" i="23"/>
  <c r="T211" i="23"/>
  <c r="T212" i="23"/>
  <c r="T213" i="23"/>
  <c r="T214" i="23"/>
  <c r="T215" i="23"/>
  <c r="T216" i="23"/>
  <c r="T217" i="23"/>
  <c r="T218" i="23"/>
  <c r="T219" i="23"/>
  <c r="T220" i="23"/>
  <c r="T221" i="23"/>
  <c r="T222" i="23"/>
  <c r="T223" i="23"/>
  <c r="T224" i="23"/>
  <c r="T225" i="23"/>
  <c r="T226" i="23"/>
  <c r="T227" i="23"/>
  <c r="T228" i="23"/>
  <c r="T229" i="23"/>
  <c r="T230" i="23"/>
  <c r="T231" i="23"/>
  <c r="T232" i="23"/>
  <c r="T233" i="23"/>
  <c r="T234" i="23"/>
  <c r="T235" i="23"/>
  <c r="T236" i="23"/>
  <c r="T237" i="23"/>
  <c r="T238" i="23"/>
  <c r="T239" i="23"/>
  <c r="A22" i="23"/>
  <c r="E22" i="23"/>
  <c r="G22" i="23" s="1"/>
  <c r="H22" i="23"/>
  <c r="I22" i="23" s="1"/>
  <c r="K22" i="23"/>
  <c r="L22" i="23" s="1"/>
  <c r="N22" i="23"/>
  <c r="O22" i="23"/>
  <c r="P22" i="23"/>
  <c r="Q22" i="23"/>
  <c r="R22" i="23"/>
  <c r="W22" i="23"/>
  <c r="X22" i="23"/>
  <c r="Y22" i="23"/>
  <c r="Z22" i="23"/>
  <c r="AA22" i="23"/>
  <c r="AB22" i="23"/>
  <c r="AC22" i="23" s="1"/>
  <c r="AE22" i="23"/>
  <c r="AF22" i="23" s="1"/>
  <c r="AH22" i="23"/>
  <c r="A23" i="23"/>
  <c r="E23" i="23"/>
  <c r="F23" i="23" s="1"/>
  <c r="H23" i="23"/>
  <c r="I23" i="23" s="1"/>
  <c r="K23" i="23"/>
  <c r="L23" i="23" s="1"/>
  <c r="N23" i="23"/>
  <c r="O23" i="23"/>
  <c r="P23" i="23"/>
  <c r="Q23" i="23"/>
  <c r="R23" i="23"/>
  <c r="W23" i="23"/>
  <c r="X23" i="23"/>
  <c r="Y23" i="23"/>
  <c r="Z23" i="23"/>
  <c r="AA23" i="23"/>
  <c r="AB23" i="23"/>
  <c r="AC23" i="23" s="1"/>
  <c r="AE23" i="23"/>
  <c r="AF23" i="23" s="1"/>
  <c r="AH23" i="23"/>
  <c r="A24" i="23"/>
  <c r="E24" i="23"/>
  <c r="F24" i="23" s="1"/>
  <c r="H24" i="23"/>
  <c r="I24" i="23" s="1"/>
  <c r="K24" i="23"/>
  <c r="L24" i="23" s="1"/>
  <c r="N24" i="23"/>
  <c r="O24" i="23"/>
  <c r="P24" i="23"/>
  <c r="Q24" i="23"/>
  <c r="R24" i="23"/>
  <c r="W24" i="23"/>
  <c r="X24" i="23"/>
  <c r="Y24" i="23"/>
  <c r="Z24" i="23"/>
  <c r="AA24" i="23"/>
  <c r="AB24" i="23"/>
  <c r="AC24" i="23" s="1"/>
  <c r="AE24" i="23"/>
  <c r="AF24" i="23" s="1"/>
  <c r="AH24" i="23"/>
  <c r="A25" i="23"/>
  <c r="E25" i="23"/>
  <c r="F25" i="23" s="1"/>
  <c r="H25" i="23"/>
  <c r="I25" i="23" s="1"/>
  <c r="K25" i="23"/>
  <c r="L25" i="23" s="1"/>
  <c r="N25" i="23"/>
  <c r="O25" i="23"/>
  <c r="P25" i="23"/>
  <c r="Q25" i="23"/>
  <c r="R25" i="23"/>
  <c r="W25" i="23"/>
  <c r="X25" i="23"/>
  <c r="Y25" i="23"/>
  <c r="Z25" i="23"/>
  <c r="AA25" i="23"/>
  <c r="AB25" i="23"/>
  <c r="AC25" i="23" s="1"/>
  <c r="AE25" i="23"/>
  <c r="AF25" i="23" s="1"/>
  <c r="AH25" i="23"/>
  <c r="A26" i="23"/>
  <c r="E26" i="23"/>
  <c r="G26" i="23" s="1"/>
  <c r="H26" i="23"/>
  <c r="J26" i="23" s="1"/>
  <c r="K26" i="23"/>
  <c r="L26" i="23" s="1"/>
  <c r="N26" i="23"/>
  <c r="O26" i="23"/>
  <c r="P26" i="23"/>
  <c r="Q26" i="23"/>
  <c r="R26" i="23"/>
  <c r="W26" i="23"/>
  <c r="X26" i="23"/>
  <c r="Y26" i="23"/>
  <c r="Z26" i="23"/>
  <c r="AA26" i="23"/>
  <c r="AB26" i="23"/>
  <c r="AD26" i="23" s="1"/>
  <c r="AE26" i="23"/>
  <c r="AG26" i="23" s="1"/>
  <c r="AH26" i="23"/>
  <c r="A27" i="23"/>
  <c r="E27" i="23"/>
  <c r="G27" i="23" s="1"/>
  <c r="H27" i="23"/>
  <c r="J27" i="23" s="1"/>
  <c r="K27" i="23"/>
  <c r="M27" i="23" s="1"/>
  <c r="N27" i="23"/>
  <c r="O27" i="23"/>
  <c r="P27" i="23"/>
  <c r="Q27" i="23"/>
  <c r="R27" i="23"/>
  <c r="W27" i="23"/>
  <c r="X27" i="23"/>
  <c r="Y27" i="23"/>
  <c r="Z27" i="23"/>
  <c r="AA27" i="23"/>
  <c r="AB27" i="23"/>
  <c r="AD27" i="23" s="1"/>
  <c r="AE27" i="23"/>
  <c r="AF27" i="23" s="1"/>
  <c r="AH27" i="23"/>
  <c r="A28" i="23"/>
  <c r="E28" i="23"/>
  <c r="F28" i="23" s="1"/>
  <c r="H28" i="23"/>
  <c r="I28" i="23" s="1"/>
  <c r="K28" i="23"/>
  <c r="M28" i="23" s="1"/>
  <c r="N28" i="23"/>
  <c r="O28" i="23"/>
  <c r="P28" i="23"/>
  <c r="Q28" i="23"/>
  <c r="R28" i="23"/>
  <c r="W28" i="23"/>
  <c r="X28" i="23"/>
  <c r="Y28" i="23"/>
  <c r="Z28" i="23"/>
  <c r="AA28" i="23"/>
  <c r="AB28" i="23"/>
  <c r="AC28" i="23" s="1"/>
  <c r="AE28" i="23"/>
  <c r="AF28" i="23" s="1"/>
  <c r="AH28" i="23"/>
  <c r="A29" i="23"/>
  <c r="E29" i="23"/>
  <c r="F29" i="23" s="1"/>
  <c r="H29" i="23"/>
  <c r="I29" i="23" s="1"/>
  <c r="K29" i="23"/>
  <c r="L29" i="23" s="1"/>
  <c r="N29" i="23"/>
  <c r="O29" i="23"/>
  <c r="P29" i="23"/>
  <c r="Q29" i="23"/>
  <c r="R29" i="23"/>
  <c r="W29" i="23"/>
  <c r="X29" i="23"/>
  <c r="Y29" i="23"/>
  <c r="Z29" i="23"/>
  <c r="AA29" i="23"/>
  <c r="AB29" i="23"/>
  <c r="AC29" i="23" s="1"/>
  <c r="AE29" i="23"/>
  <c r="AG29" i="23" s="1"/>
  <c r="AH29" i="23"/>
  <c r="A30" i="23"/>
  <c r="E30" i="23"/>
  <c r="G30" i="23" s="1"/>
  <c r="H30" i="23"/>
  <c r="I30" i="23" s="1"/>
  <c r="K30" i="23"/>
  <c r="L30" i="23" s="1"/>
  <c r="N30" i="23"/>
  <c r="O30" i="23"/>
  <c r="P30" i="23"/>
  <c r="Q30" i="23"/>
  <c r="R30" i="23"/>
  <c r="W30" i="23"/>
  <c r="X30" i="23"/>
  <c r="Y30" i="23"/>
  <c r="Z30" i="23"/>
  <c r="AA30" i="23"/>
  <c r="AB30" i="23"/>
  <c r="AC30" i="23" s="1"/>
  <c r="AE30" i="23"/>
  <c r="AF30" i="23" s="1"/>
  <c r="AH30" i="23"/>
  <c r="A31" i="23"/>
  <c r="E31" i="23"/>
  <c r="F31" i="23" s="1"/>
  <c r="H31" i="23"/>
  <c r="I31" i="23" s="1"/>
  <c r="K31" i="23"/>
  <c r="L31" i="23" s="1"/>
  <c r="N31" i="23"/>
  <c r="O31" i="23"/>
  <c r="P31" i="23"/>
  <c r="Q31" i="23"/>
  <c r="R31" i="23"/>
  <c r="W31" i="23"/>
  <c r="X31" i="23"/>
  <c r="Y31" i="23"/>
  <c r="Z31" i="23"/>
  <c r="AA31" i="23"/>
  <c r="AB31" i="23"/>
  <c r="AC31" i="23" s="1"/>
  <c r="AE31" i="23"/>
  <c r="AF31" i="23" s="1"/>
  <c r="AH31" i="23"/>
  <c r="A32" i="23"/>
  <c r="E32" i="23"/>
  <c r="F32" i="23" s="1"/>
  <c r="H32" i="23"/>
  <c r="I32" i="23" s="1"/>
  <c r="K32" i="23"/>
  <c r="L32" i="23" s="1"/>
  <c r="N32" i="23"/>
  <c r="O32" i="23"/>
  <c r="P32" i="23"/>
  <c r="Q32" i="23"/>
  <c r="R32" i="23"/>
  <c r="W32" i="23"/>
  <c r="X32" i="23"/>
  <c r="Y32" i="23"/>
  <c r="Z32" i="23"/>
  <c r="AA32" i="23"/>
  <c r="AB32" i="23"/>
  <c r="AC32" i="23" s="1"/>
  <c r="AE32" i="23"/>
  <c r="AF32" i="23" s="1"/>
  <c r="AH32" i="23"/>
  <c r="A33" i="23"/>
  <c r="E33" i="23"/>
  <c r="F33" i="23" s="1"/>
  <c r="H33" i="23"/>
  <c r="I33" i="23" s="1"/>
  <c r="K33" i="23"/>
  <c r="L33" i="23" s="1"/>
  <c r="N33" i="23"/>
  <c r="O33" i="23"/>
  <c r="P33" i="23"/>
  <c r="Q33" i="23"/>
  <c r="R33" i="23"/>
  <c r="W33" i="23"/>
  <c r="X33" i="23"/>
  <c r="Y33" i="23"/>
  <c r="Z33" i="23"/>
  <c r="AA33" i="23"/>
  <c r="AB33" i="23"/>
  <c r="AD33" i="23" s="1"/>
  <c r="AE33" i="23"/>
  <c r="AF33" i="23" s="1"/>
  <c r="AH33" i="23"/>
  <c r="A34" i="23"/>
  <c r="E34" i="23"/>
  <c r="G34" i="23" s="1"/>
  <c r="H34" i="23"/>
  <c r="J34" i="23" s="1"/>
  <c r="K34" i="23"/>
  <c r="L34" i="23" s="1"/>
  <c r="N34" i="23"/>
  <c r="O34" i="23"/>
  <c r="P34" i="23"/>
  <c r="Q34" i="23"/>
  <c r="R34" i="23"/>
  <c r="W34" i="23"/>
  <c r="X34" i="23"/>
  <c r="Y34" i="23"/>
  <c r="Z34" i="23"/>
  <c r="AA34" i="23"/>
  <c r="AB34" i="23"/>
  <c r="AD34" i="23" s="1"/>
  <c r="AE34" i="23"/>
  <c r="AG34" i="23" s="1"/>
  <c r="AH34" i="23"/>
  <c r="A35" i="23"/>
  <c r="E35" i="23"/>
  <c r="G35" i="23" s="1"/>
  <c r="H35" i="23"/>
  <c r="J35" i="23" s="1"/>
  <c r="K35" i="23"/>
  <c r="M35" i="23" s="1"/>
  <c r="N35" i="23"/>
  <c r="O35" i="23"/>
  <c r="P35" i="23"/>
  <c r="Q35" i="23"/>
  <c r="R35" i="23"/>
  <c r="W35" i="23"/>
  <c r="X35" i="23"/>
  <c r="Y35" i="23"/>
  <c r="Z35" i="23"/>
  <c r="AA35" i="23"/>
  <c r="AB35" i="23"/>
  <c r="AD35" i="23" s="1"/>
  <c r="AE35" i="23"/>
  <c r="AF35" i="23" s="1"/>
  <c r="AH35" i="23"/>
  <c r="A36" i="23"/>
  <c r="E36" i="23"/>
  <c r="F36" i="23" s="1"/>
  <c r="H36" i="23"/>
  <c r="I36" i="23" s="1"/>
  <c r="K36" i="23"/>
  <c r="M36" i="23" s="1"/>
  <c r="N36" i="23"/>
  <c r="O36" i="23"/>
  <c r="P36" i="23"/>
  <c r="Q36" i="23"/>
  <c r="R36" i="23"/>
  <c r="W36" i="23"/>
  <c r="X36" i="23"/>
  <c r="Y36" i="23"/>
  <c r="Z36" i="23"/>
  <c r="AA36" i="23"/>
  <c r="AB36" i="23"/>
  <c r="AC36" i="23" s="1"/>
  <c r="AE36" i="23"/>
  <c r="AF36" i="23" s="1"/>
  <c r="AH36" i="23"/>
  <c r="A37" i="23"/>
  <c r="E37" i="23"/>
  <c r="F37" i="23" s="1"/>
  <c r="H37" i="23"/>
  <c r="I37" i="23" s="1"/>
  <c r="K37" i="23"/>
  <c r="L37" i="23" s="1"/>
  <c r="N37" i="23"/>
  <c r="O37" i="23"/>
  <c r="P37" i="23"/>
  <c r="Q37" i="23"/>
  <c r="R37" i="23"/>
  <c r="W37" i="23"/>
  <c r="X37" i="23"/>
  <c r="Y37" i="23"/>
  <c r="Z37" i="23"/>
  <c r="AA37" i="23"/>
  <c r="AB37" i="23"/>
  <c r="AC37" i="23" s="1"/>
  <c r="AE37" i="23"/>
  <c r="AG37" i="23" s="1"/>
  <c r="AH37" i="23"/>
  <c r="A38" i="23"/>
  <c r="E38" i="23"/>
  <c r="G38" i="23" s="1"/>
  <c r="H38" i="23"/>
  <c r="I38" i="23" s="1"/>
  <c r="K38" i="23"/>
  <c r="L38" i="23" s="1"/>
  <c r="N38" i="23"/>
  <c r="O38" i="23"/>
  <c r="P38" i="23"/>
  <c r="Q38" i="23"/>
  <c r="R38" i="23"/>
  <c r="W38" i="23"/>
  <c r="X38" i="23"/>
  <c r="Y38" i="23"/>
  <c r="Z38" i="23"/>
  <c r="AA38" i="23"/>
  <c r="AB38" i="23"/>
  <c r="AC38" i="23" s="1"/>
  <c r="AE38" i="23"/>
  <c r="AF38" i="23" s="1"/>
  <c r="AH38" i="23"/>
  <c r="A39" i="23"/>
  <c r="E39" i="23"/>
  <c r="F39" i="23" s="1"/>
  <c r="H39" i="23"/>
  <c r="I39" i="23" s="1"/>
  <c r="K39" i="23"/>
  <c r="L39" i="23" s="1"/>
  <c r="N39" i="23"/>
  <c r="O39" i="23"/>
  <c r="P39" i="23"/>
  <c r="Q39" i="23"/>
  <c r="R39" i="23"/>
  <c r="W39" i="23"/>
  <c r="X39" i="23"/>
  <c r="Y39" i="23"/>
  <c r="Z39" i="23"/>
  <c r="AA39" i="23"/>
  <c r="AB39" i="23"/>
  <c r="AC39" i="23" s="1"/>
  <c r="AE39" i="23"/>
  <c r="AF39" i="23" s="1"/>
  <c r="AH39" i="23"/>
  <c r="A40" i="23"/>
  <c r="E40" i="23"/>
  <c r="F40" i="23" s="1"/>
  <c r="H40" i="23"/>
  <c r="I40" i="23" s="1"/>
  <c r="K40" i="23"/>
  <c r="L40" i="23" s="1"/>
  <c r="N40" i="23"/>
  <c r="O40" i="23"/>
  <c r="P40" i="23"/>
  <c r="Q40" i="23"/>
  <c r="R40" i="23"/>
  <c r="W40" i="23"/>
  <c r="X40" i="23"/>
  <c r="Y40" i="23"/>
  <c r="Z40" i="23"/>
  <c r="AA40" i="23"/>
  <c r="AB40" i="23"/>
  <c r="AC40" i="23" s="1"/>
  <c r="AE40" i="23"/>
  <c r="AF40" i="23" s="1"/>
  <c r="AH40" i="23"/>
  <c r="A41" i="23"/>
  <c r="E41" i="23"/>
  <c r="G41" i="23" s="1"/>
  <c r="H41" i="23"/>
  <c r="I41" i="23" s="1"/>
  <c r="K41" i="23"/>
  <c r="L41" i="23" s="1"/>
  <c r="N41" i="23"/>
  <c r="O41" i="23"/>
  <c r="P41" i="23"/>
  <c r="Q41" i="23"/>
  <c r="R41" i="23"/>
  <c r="W41" i="23"/>
  <c r="X41" i="23"/>
  <c r="Y41" i="23"/>
  <c r="Z41" i="23"/>
  <c r="AA41" i="23"/>
  <c r="AB41" i="23"/>
  <c r="AC41" i="23" s="1"/>
  <c r="AE41" i="23"/>
  <c r="AF41" i="23" s="1"/>
  <c r="AH41" i="23"/>
  <c r="A42" i="23"/>
  <c r="E42" i="23"/>
  <c r="G42" i="23" s="1"/>
  <c r="H42" i="23"/>
  <c r="J42" i="23" s="1"/>
  <c r="K42" i="23"/>
  <c r="L42" i="23" s="1"/>
  <c r="N42" i="23"/>
  <c r="O42" i="23"/>
  <c r="P42" i="23"/>
  <c r="Q42" i="23"/>
  <c r="R42" i="23"/>
  <c r="W42" i="23"/>
  <c r="X42" i="23"/>
  <c r="Y42" i="23"/>
  <c r="Z42" i="23"/>
  <c r="AA42" i="23"/>
  <c r="AB42" i="23"/>
  <c r="AD42" i="23" s="1"/>
  <c r="AE42" i="23"/>
  <c r="AG42" i="23" s="1"/>
  <c r="AH42" i="23"/>
  <c r="A43" i="23"/>
  <c r="E43" i="23"/>
  <c r="G43" i="23" s="1"/>
  <c r="H43" i="23"/>
  <c r="J43" i="23" s="1"/>
  <c r="K43" i="23"/>
  <c r="M43" i="23" s="1"/>
  <c r="N43" i="23"/>
  <c r="O43" i="23"/>
  <c r="P43" i="23"/>
  <c r="Q43" i="23"/>
  <c r="R43" i="23"/>
  <c r="W43" i="23"/>
  <c r="X43" i="23"/>
  <c r="Y43" i="23"/>
  <c r="Z43" i="23"/>
  <c r="AA43" i="23"/>
  <c r="AB43" i="23"/>
  <c r="AD43" i="23" s="1"/>
  <c r="AE43" i="23"/>
  <c r="AF43" i="23" s="1"/>
  <c r="AH43" i="23"/>
  <c r="A44" i="23"/>
  <c r="E44" i="23"/>
  <c r="F44" i="23" s="1"/>
  <c r="H44" i="23"/>
  <c r="I44" i="23" s="1"/>
  <c r="K44" i="23"/>
  <c r="M44" i="23" s="1"/>
  <c r="N44" i="23"/>
  <c r="O44" i="23"/>
  <c r="P44" i="23"/>
  <c r="Q44" i="23"/>
  <c r="R44" i="23"/>
  <c r="W44" i="23"/>
  <c r="X44" i="23"/>
  <c r="Y44" i="23"/>
  <c r="Z44" i="23"/>
  <c r="AA44" i="23"/>
  <c r="AB44" i="23"/>
  <c r="AC44" i="23" s="1"/>
  <c r="AE44" i="23"/>
  <c r="AF44" i="23" s="1"/>
  <c r="AH44" i="23"/>
  <c r="A45" i="23"/>
  <c r="E45" i="23"/>
  <c r="F45" i="23" s="1"/>
  <c r="H45" i="23"/>
  <c r="I45" i="23" s="1"/>
  <c r="K45" i="23"/>
  <c r="L45" i="23" s="1"/>
  <c r="N45" i="23"/>
  <c r="O45" i="23"/>
  <c r="P45" i="23"/>
  <c r="Q45" i="23"/>
  <c r="R45" i="23"/>
  <c r="W45" i="23"/>
  <c r="X45" i="23"/>
  <c r="Y45" i="23"/>
  <c r="Z45" i="23"/>
  <c r="AA45" i="23"/>
  <c r="AB45" i="23"/>
  <c r="AC45" i="23" s="1"/>
  <c r="AE45" i="23"/>
  <c r="AG45" i="23" s="1"/>
  <c r="AH45" i="23"/>
  <c r="A46" i="23"/>
  <c r="E46" i="23"/>
  <c r="G46" i="23" s="1"/>
  <c r="H46" i="23"/>
  <c r="I46" i="23" s="1"/>
  <c r="K46" i="23"/>
  <c r="L46" i="23" s="1"/>
  <c r="N46" i="23"/>
  <c r="O46" i="23"/>
  <c r="P46" i="23"/>
  <c r="Q46" i="23"/>
  <c r="R46" i="23"/>
  <c r="W46" i="23"/>
  <c r="X46" i="23"/>
  <c r="Y46" i="23"/>
  <c r="Z46" i="23"/>
  <c r="AA46" i="23"/>
  <c r="AB46" i="23"/>
  <c r="AC46" i="23" s="1"/>
  <c r="AE46" i="23"/>
  <c r="AF46" i="23" s="1"/>
  <c r="AH46" i="23"/>
  <c r="A47" i="23"/>
  <c r="E47" i="23"/>
  <c r="F47" i="23" s="1"/>
  <c r="H47" i="23"/>
  <c r="I47" i="23" s="1"/>
  <c r="K47" i="23"/>
  <c r="L47" i="23" s="1"/>
  <c r="N47" i="23"/>
  <c r="O47" i="23"/>
  <c r="P47" i="23"/>
  <c r="Q47" i="23"/>
  <c r="R47" i="23"/>
  <c r="W47" i="23"/>
  <c r="X47" i="23"/>
  <c r="Y47" i="23"/>
  <c r="Z47" i="23"/>
  <c r="AA47" i="23"/>
  <c r="AB47" i="23"/>
  <c r="AC47" i="23" s="1"/>
  <c r="AE47" i="23"/>
  <c r="AF47" i="23" s="1"/>
  <c r="AH47" i="23"/>
  <c r="A48" i="23"/>
  <c r="E48" i="23"/>
  <c r="F48" i="23" s="1"/>
  <c r="H48" i="23"/>
  <c r="I48" i="23" s="1"/>
  <c r="K48" i="23"/>
  <c r="L48" i="23" s="1"/>
  <c r="N48" i="23"/>
  <c r="O48" i="23"/>
  <c r="P48" i="23"/>
  <c r="Q48" i="23"/>
  <c r="R48" i="23"/>
  <c r="W48" i="23"/>
  <c r="X48" i="23"/>
  <c r="Y48" i="23"/>
  <c r="Z48" i="23"/>
  <c r="AA48" i="23"/>
  <c r="AB48" i="23"/>
  <c r="AC48" i="23" s="1"/>
  <c r="AE48" i="23"/>
  <c r="AF48" i="23" s="1"/>
  <c r="AH48" i="23"/>
  <c r="A49" i="23"/>
  <c r="E49" i="23"/>
  <c r="F49" i="23" s="1"/>
  <c r="H49" i="23"/>
  <c r="I49" i="23" s="1"/>
  <c r="K49" i="23"/>
  <c r="L49" i="23" s="1"/>
  <c r="N49" i="23"/>
  <c r="O49" i="23"/>
  <c r="P49" i="23"/>
  <c r="Q49" i="23"/>
  <c r="R49" i="23"/>
  <c r="W49" i="23"/>
  <c r="X49" i="23"/>
  <c r="Y49" i="23"/>
  <c r="Z49" i="23"/>
  <c r="AA49" i="23"/>
  <c r="AB49" i="23"/>
  <c r="AC49" i="23" s="1"/>
  <c r="AE49" i="23"/>
  <c r="AG49" i="23" s="1"/>
  <c r="AH49" i="23"/>
  <c r="A50" i="23"/>
  <c r="E50" i="23"/>
  <c r="G50" i="23" s="1"/>
  <c r="H50" i="23"/>
  <c r="J50" i="23" s="1"/>
  <c r="K50" i="23"/>
  <c r="L50" i="23" s="1"/>
  <c r="N50" i="23"/>
  <c r="O50" i="23"/>
  <c r="P50" i="23"/>
  <c r="Q50" i="23"/>
  <c r="R50" i="23"/>
  <c r="W50" i="23"/>
  <c r="X50" i="23"/>
  <c r="Y50" i="23"/>
  <c r="Z50" i="23"/>
  <c r="AA50" i="23"/>
  <c r="AB50" i="23"/>
  <c r="AD50" i="23" s="1"/>
  <c r="AE50" i="23"/>
  <c r="AG50" i="23" s="1"/>
  <c r="AH50" i="23"/>
  <c r="A51" i="23"/>
  <c r="E51" i="23"/>
  <c r="G51" i="23" s="1"/>
  <c r="H51" i="23"/>
  <c r="J51" i="23" s="1"/>
  <c r="K51" i="23"/>
  <c r="M51" i="23" s="1"/>
  <c r="N51" i="23"/>
  <c r="O51" i="23"/>
  <c r="P51" i="23"/>
  <c r="Q51" i="23"/>
  <c r="R51" i="23"/>
  <c r="W51" i="23"/>
  <c r="X51" i="23"/>
  <c r="Y51" i="23"/>
  <c r="Z51" i="23"/>
  <c r="AA51" i="23"/>
  <c r="AB51" i="23"/>
  <c r="AD51" i="23" s="1"/>
  <c r="AE51" i="23"/>
  <c r="AF51" i="23" s="1"/>
  <c r="AH51" i="23"/>
  <c r="A52" i="23"/>
  <c r="E52" i="23"/>
  <c r="F52" i="23" s="1"/>
  <c r="H52" i="23"/>
  <c r="I52" i="23" s="1"/>
  <c r="K52" i="23"/>
  <c r="M52" i="23" s="1"/>
  <c r="N52" i="23"/>
  <c r="O52" i="23"/>
  <c r="P52" i="23"/>
  <c r="Q52" i="23"/>
  <c r="R52" i="23"/>
  <c r="W52" i="23"/>
  <c r="X52" i="23"/>
  <c r="Y52" i="23"/>
  <c r="Z52" i="23"/>
  <c r="AA52" i="23"/>
  <c r="AB52" i="23"/>
  <c r="AC52" i="23" s="1"/>
  <c r="AE52" i="23"/>
  <c r="AF52" i="23" s="1"/>
  <c r="AH52" i="23"/>
  <c r="A53" i="23"/>
  <c r="E53" i="23"/>
  <c r="F53" i="23" s="1"/>
  <c r="H53" i="23"/>
  <c r="I53" i="23" s="1"/>
  <c r="K53" i="23"/>
  <c r="L53" i="23" s="1"/>
  <c r="N53" i="23"/>
  <c r="O53" i="23"/>
  <c r="P53" i="23"/>
  <c r="Q53" i="23"/>
  <c r="R53" i="23"/>
  <c r="W53" i="23"/>
  <c r="X53" i="23"/>
  <c r="Y53" i="23"/>
  <c r="Z53" i="23"/>
  <c r="AA53" i="23"/>
  <c r="AB53" i="23"/>
  <c r="AC53" i="23" s="1"/>
  <c r="AE53" i="23"/>
  <c r="AF53" i="23" s="1"/>
  <c r="AH53" i="23"/>
  <c r="A54" i="23"/>
  <c r="E54" i="23"/>
  <c r="F54" i="23" s="1"/>
  <c r="H54" i="23"/>
  <c r="I54" i="23" s="1"/>
  <c r="K54" i="23"/>
  <c r="L54" i="23" s="1"/>
  <c r="N54" i="23"/>
  <c r="O54" i="23"/>
  <c r="P54" i="23"/>
  <c r="Q54" i="23"/>
  <c r="R54" i="23"/>
  <c r="W54" i="23"/>
  <c r="X54" i="23"/>
  <c r="Y54" i="23"/>
  <c r="Z54" i="23"/>
  <c r="AA54" i="23"/>
  <c r="AB54" i="23"/>
  <c r="AC54" i="23" s="1"/>
  <c r="AE54" i="23"/>
  <c r="AF54" i="23" s="1"/>
  <c r="AH54" i="23"/>
  <c r="A55" i="23"/>
  <c r="E55" i="23"/>
  <c r="F55" i="23" s="1"/>
  <c r="H55" i="23"/>
  <c r="I55" i="23" s="1"/>
  <c r="K55" i="23"/>
  <c r="L55" i="23" s="1"/>
  <c r="N55" i="23"/>
  <c r="O55" i="23"/>
  <c r="P55" i="23"/>
  <c r="Q55" i="23"/>
  <c r="R55" i="23"/>
  <c r="W55" i="23"/>
  <c r="X55" i="23"/>
  <c r="Y55" i="23"/>
  <c r="Z55" i="23"/>
  <c r="AA55" i="23"/>
  <c r="AB55" i="23"/>
  <c r="AC55" i="23" s="1"/>
  <c r="AE55" i="23"/>
  <c r="AF55" i="23" s="1"/>
  <c r="AH55" i="23"/>
  <c r="A56" i="23"/>
  <c r="E56" i="23"/>
  <c r="F56" i="23" s="1"/>
  <c r="H56" i="23"/>
  <c r="I56" i="23" s="1"/>
  <c r="K56" i="23"/>
  <c r="L56" i="23" s="1"/>
  <c r="N56" i="23"/>
  <c r="O56" i="23"/>
  <c r="P56" i="23"/>
  <c r="Q56" i="23"/>
  <c r="R56" i="23"/>
  <c r="W56" i="23"/>
  <c r="X56" i="23"/>
  <c r="Y56" i="23"/>
  <c r="Z56" i="23"/>
  <c r="AA56" i="23"/>
  <c r="AB56" i="23"/>
  <c r="AC56" i="23" s="1"/>
  <c r="AE56" i="23"/>
  <c r="AF56" i="23" s="1"/>
  <c r="AH56" i="23"/>
  <c r="A57" i="23"/>
  <c r="E57" i="23"/>
  <c r="F57" i="23" s="1"/>
  <c r="H57" i="23"/>
  <c r="I57" i="23" s="1"/>
  <c r="K57" i="23"/>
  <c r="L57" i="23" s="1"/>
  <c r="N57" i="23"/>
  <c r="O57" i="23"/>
  <c r="P57" i="23"/>
  <c r="Q57" i="23"/>
  <c r="R57" i="23"/>
  <c r="W57" i="23"/>
  <c r="X57" i="23"/>
  <c r="Y57" i="23"/>
  <c r="Z57" i="23"/>
  <c r="AA57" i="23"/>
  <c r="AB57" i="23"/>
  <c r="AC57" i="23" s="1"/>
  <c r="AE57" i="23"/>
  <c r="AG57" i="23" s="1"/>
  <c r="AH57" i="23"/>
  <c r="A58" i="23"/>
  <c r="E58" i="23"/>
  <c r="G58" i="23" s="1"/>
  <c r="H58" i="23"/>
  <c r="J58" i="23" s="1"/>
  <c r="K58" i="23"/>
  <c r="L58" i="23" s="1"/>
  <c r="N58" i="23"/>
  <c r="O58" i="23"/>
  <c r="P58" i="23"/>
  <c r="Q58" i="23"/>
  <c r="R58" i="23"/>
  <c r="W58" i="23"/>
  <c r="X58" i="23"/>
  <c r="Y58" i="23"/>
  <c r="Z58" i="23"/>
  <c r="AA58" i="23"/>
  <c r="AB58" i="23"/>
  <c r="AD58" i="23" s="1"/>
  <c r="AE58" i="23"/>
  <c r="AG58" i="23" s="1"/>
  <c r="AH58" i="23"/>
  <c r="A59" i="23"/>
  <c r="E59" i="23"/>
  <c r="G59" i="23" s="1"/>
  <c r="H59" i="23"/>
  <c r="J59" i="23" s="1"/>
  <c r="K59" i="23"/>
  <c r="M59" i="23" s="1"/>
  <c r="N59" i="23"/>
  <c r="O59" i="23"/>
  <c r="P59" i="23"/>
  <c r="Q59" i="23"/>
  <c r="R59" i="23"/>
  <c r="W59" i="23"/>
  <c r="X59" i="23"/>
  <c r="Y59" i="23"/>
  <c r="Z59" i="23"/>
  <c r="AA59" i="23"/>
  <c r="AB59" i="23"/>
  <c r="AD59" i="23" s="1"/>
  <c r="AE59" i="23"/>
  <c r="AF59" i="23" s="1"/>
  <c r="AH59" i="23"/>
  <c r="A60" i="23"/>
  <c r="E60" i="23"/>
  <c r="F60" i="23" s="1"/>
  <c r="H60" i="23"/>
  <c r="I60" i="23" s="1"/>
  <c r="K60" i="23"/>
  <c r="M60" i="23" s="1"/>
  <c r="N60" i="23"/>
  <c r="O60" i="23"/>
  <c r="P60" i="23"/>
  <c r="Q60" i="23"/>
  <c r="R60" i="23"/>
  <c r="W60" i="23"/>
  <c r="X60" i="23"/>
  <c r="Y60" i="23"/>
  <c r="Z60" i="23"/>
  <c r="AA60" i="23"/>
  <c r="AB60" i="23"/>
  <c r="AC60" i="23" s="1"/>
  <c r="AE60" i="23"/>
  <c r="AF60" i="23" s="1"/>
  <c r="AH60" i="23"/>
  <c r="A61" i="23"/>
  <c r="E61" i="23"/>
  <c r="F61" i="23" s="1"/>
  <c r="H61" i="23"/>
  <c r="I61" i="23" s="1"/>
  <c r="K61" i="23"/>
  <c r="L61" i="23" s="1"/>
  <c r="N61" i="23"/>
  <c r="O61" i="23"/>
  <c r="P61" i="23"/>
  <c r="Q61" i="23"/>
  <c r="R61" i="23"/>
  <c r="W61" i="23"/>
  <c r="X61" i="23"/>
  <c r="Y61" i="23"/>
  <c r="Z61" i="23"/>
  <c r="AA61" i="23"/>
  <c r="AB61" i="23"/>
  <c r="AC61" i="23" s="1"/>
  <c r="AE61" i="23"/>
  <c r="AF61" i="23" s="1"/>
  <c r="AH61" i="23"/>
  <c r="A62" i="23"/>
  <c r="E62" i="23"/>
  <c r="F62" i="23" s="1"/>
  <c r="H62" i="23"/>
  <c r="I62" i="23" s="1"/>
  <c r="K62" i="23"/>
  <c r="L62" i="23" s="1"/>
  <c r="N62" i="23"/>
  <c r="O62" i="23"/>
  <c r="P62" i="23"/>
  <c r="Q62" i="23"/>
  <c r="R62" i="23"/>
  <c r="W62" i="23"/>
  <c r="X62" i="23"/>
  <c r="Y62" i="23"/>
  <c r="Z62" i="23"/>
  <c r="AA62" i="23"/>
  <c r="AB62" i="23"/>
  <c r="AC62" i="23" s="1"/>
  <c r="AE62" i="23"/>
  <c r="AF62" i="23" s="1"/>
  <c r="AH62" i="23"/>
  <c r="A63" i="23"/>
  <c r="E63" i="23"/>
  <c r="F63" i="23" s="1"/>
  <c r="H63" i="23"/>
  <c r="I63" i="23" s="1"/>
  <c r="K63" i="23"/>
  <c r="L63" i="23" s="1"/>
  <c r="N63" i="23"/>
  <c r="O63" i="23"/>
  <c r="P63" i="23"/>
  <c r="Q63" i="23"/>
  <c r="R63" i="23"/>
  <c r="W63" i="23"/>
  <c r="X63" i="23"/>
  <c r="Y63" i="23"/>
  <c r="Z63" i="23"/>
  <c r="AA63" i="23"/>
  <c r="AB63" i="23"/>
  <c r="AC63" i="23" s="1"/>
  <c r="AE63" i="23"/>
  <c r="AF63" i="23" s="1"/>
  <c r="AH63" i="23"/>
  <c r="A64" i="23"/>
  <c r="E64" i="23"/>
  <c r="F64" i="23" s="1"/>
  <c r="H64" i="23"/>
  <c r="I64" i="23" s="1"/>
  <c r="K64" i="23"/>
  <c r="L64" i="23" s="1"/>
  <c r="N64" i="23"/>
  <c r="O64" i="23"/>
  <c r="P64" i="23"/>
  <c r="Q64" i="23"/>
  <c r="R64" i="23"/>
  <c r="W64" i="23"/>
  <c r="X64" i="23"/>
  <c r="Y64" i="23"/>
  <c r="Z64" i="23"/>
  <c r="AA64" i="23"/>
  <c r="AB64" i="23"/>
  <c r="AC64" i="23" s="1"/>
  <c r="AE64" i="23"/>
  <c r="AF64" i="23" s="1"/>
  <c r="AH64" i="23"/>
  <c r="A65" i="23"/>
  <c r="E65" i="23"/>
  <c r="F65" i="23" s="1"/>
  <c r="H65" i="23"/>
  <c r="I65" i="23" s="1"/>
  <c r="K65" i="23"/>
  <c r="L65" i="23" s="1"/>
  <c r="N65" i="23"/>
  <c r="O65" i="23"/>
  <c r="P65" i="23"/>
  <c r="Q65" i="23"/>
  <c r="R65" i="23"/>
  <c r="W65" i="23"/>
  <c r="X65" i="23"/>
  <c r="Y65" i="23"/>
  <c r="Z65" i="23"/>
  <c r="AA65" i="23"/>
  <c r="AB65" i="23"/>
  <c r="AC65" i="23" s="1"/>
  <c r="AE65" i="23"/>
  <c r="AG65" i="23" s="1"/>
  <c r="AH65" i="23"/>
  <c r="A66" i="23"/>
  <c r="E66" i="23"/>
  <c r="G66" i="23" s="1"/>
  <c r="H66" i="23"/>
  <c r="J66" i="23" s="1"/>
  <c r="K66" i="23"/>
  <c r="L66" i="23" s="1"/>
  <c r="N66" i="23"/>
  <c r="O66" i="23"/>
  <c r="P66" i="23"/>
  <c r="Q66" i="23"/>
  <c r="R66" i="23"/>
  <c r="W66" i="23"/>
  <c r="X66" i="23"/>
  <c r="Y66" i="23"/>
  <c r="Z66" i="23"/>
  <c r="AA66" i="23"/>
  <c r="AB66" i="23"/>
  <c r="AD66" i="23" s="1"/>
  <c r="AE66" i="23"/>
  <c r="AG66" i="23" s="1"/>
  <c r="AH66" i="23"/>
  <c r="A67" i="23"/>
  <c r="E67" i="23"/>
  <c r="G67" i="23" s="1"/>
  <c r="H67" i="23"/>
  <c r="J67" i="23" s="1"/>
  <c r="K67" i="23"/>
  <c r="M67" i="23" s="1"/>
  <c r="N67" i="23"/>
  <c r="O67" i="23"/>
  <c r="P67" i="23"/>
  <c r="Q67" i="23"/>
  <c r="R67" i="23"/>
  <c r="W67" i="23"/>
  <c r="X67" i="23"/>
  <c r="Y67" i="23"/>
  <c r="Z67" i="23"/>
  <c r="AA67" i="23"/>
  <c r="AB67" i="23"/>
  <c r="AD67" i="23" s="1"/>
  <c r="AE67" i="23"/>
  <c r="AF67" i="23" s="1"/>
  <c r="AH67" i="23"/>
  <c r="A68" i="23"/>
  <c r="E68" i="23"/>
  <c r="F68" i="23" s="1"/>
  <c r="H68" i="23"/>
  <c r="I68" i="23" s="1"/>
  <c r="K68" i="23"/>
  <c r="M68" i="23" s="1"/>
  <c r="N68" i="23"/>
  <c r="O68" i="23"/>
  <c r="P68" i="23"/>
  <c r="Q68" i="23"/>
  <c r="R68" i="23"/>
  <c r="W68" i="23"/>
  <c r="X68" i="23"/>
  <c r="Y68" i="23"/>
  <c r="Z68" i="23"/>
  <c r="AA68" i="23"/>
  <c r="AB68" i="23"/>
  <c r="AC68" i="23" s="1"/>
  <c r="AE68" i="23"/>
  <c r="AF68" i="23" s="1"/>
  <c r="AH68" i="23"/>
  <c r="A69" i="23"/>
  <c r="E69" i="23"/>
  <c r="F69" i="23" s="1"/>
  <c r="H69" i="23"/>
  <c r="I69" i="23" s="1"/>
  <c r="K69" i="23"/>
  <c r="L69" i="23" s="1"/>
  <c r="N69" i="23"/>
  <c r="O69" i="23"/>
  <c r="P69" i="23"/>
  <c r="Q69" i="23"/>
  <c r="R69" i="23"/>
  <c r="W69" i="23"/>
  <c r="X69" i="23"/>
  <c r="Y69" i="23"/>
  <c r="Z69" i="23"/>
  <c r="AA69" i="23"/>
  <c r="AB69" i="23"/>
  <c r="AC69" i="23" s="1"/>
  <c r="AE69" i="23"/>
  <c r="AF69" i="23" s="1"/>
  <c r="AH69" i="23"/>
  <c r="A70" i="23"/>
  <c r="E70" i="23"/>
  <c r="F70" i="23" s="1"/>
  <c r="H70" i="23"/>
  <c r="I70" i="23" s="1"/>
  <c r="K70" i="23"/>
  <c r="L70" i="23" s="1"/>
  <c r="N70" i="23"/>
  <c r="O70" i="23"/>
  <c r="P70" i="23"/>
  <c r="Q70" i="23"/>
  <c r="R70" i="23"/>
  <c r="W70" i="23"/>
  <c r="X70" i="23"/>
  <c r="Y70" i="23"/>
  <c r="Z70" i="23"/>
  <c r="AA70" i="23"/>
  <c r="AB70" i="23"/>
  <c r="AC70" i="23" s="1"/>
  <c r="AE70" i="23"/>
  <c r="AF70" i="23" s="1"/>
  <c r="AH70" i="23"/>
  <c r="A71" i="23"/>
  <c r="E71" i="23"/>
  <c r="F71" i="23" s="1"/>
  <c r="H71" i="23"/>
  <c r="I71" i="23" s="1"/>
  <c r="K71" i="23"/>
  <c r="L71" i="23" s="1"/>
  <c r="N71" i="23"/>
  <c r="O71" i="23"/>
  <c r="P71" i="23"/>
  <c r="Q71" i="23"/>
  <c r="R71" i="23"/>
  <c r="W71" i="23"/>
  <c r="X71" i="23"/>
  <c r="Y71" i="23"/>
  <c r="Z71" i="23"/>
  <c r="AA71" i="23"/>
  <c r="AB71" i="23"/>
  <c r="AC71" i="23" s="1"/>
  <c r="AE71" i="23"/>
  <c r="AF71" i="23" s="1"/>
  <c r="AH71" i="23"/>
  <c r="A72" i="23"/>
  <c r="E72" i="23"/>
  <c r="F72" i="23" s="1"/>
  <c r="H72" i="23"/>
  <c r="I72" i="23" s="1"/>
  <c r="K72" i="23"/>
  <c r="L72" i="23" s="1"/>
  <c r="N72" i="23"/>
  <c r="O72" i="23"/>
  <c r="P72" i="23"/>
  <c r="Q72" i="23"/>
  <c r="R72" i="23"/>
  <c r="W72" i="23"/>
  <c r="X72" i="23"/>
  <c r="Y72" i="23"/>
  <c r="Z72" i="23"/>
  <c r="AA72" i="23"/>
  <c r="AB72" i="23"/>
  <c r="AC72" i="23" s="1"/>
  <c r="AE72" i="23"/>
  <c r="AF72" i="23" s="1"/>
  <c r="AH72" i="23"/>
  <c r="A73" i="23"/>
  <c r="E73" i="23"/>
  <c r="F73" i="23" s="1"/>
  <c r="H73" i="23"/>
  <c r="I73" i="23" s="1"/>
  <c r="K73" i="23"/>
  <c r="L73" i="23" s="1"/>
  <c r="N73" i="23"/>
  <c r="O73" i="23"/>
  <c r="P73" i="23"/>
  <c r="Q73" i="23"/>
  <c r="R73" i="23"/>
  <c r="W73" i="23"/>
  <c r="X73" i="23"/>
  <c r="Y73" i="23"/>
  <c r="Z73" i="23"/>
  <c r="AA73" i="23"/>
  <c r="AB73" i="23"/>
  <c r="AC73" i="23" s="1"/>
  <c r="AE73" i="23"/>
  <c r="AG73" i="23" s="1"/>
  <c r="AH73" i="23"/>
  <c r="A74" i="23"/>
  <c r="AK74" i="23" s="1"/>
  <c r="E74" i="23"/>
  <c r="G74" i="23" s="1"/>
  <c r="H74" i="23"/>
  <c r="J74" i="23" s="1"/>
  <c r="K74" i="23"/>
  <c r="L74" i="23" s="1"/>
  <c r="N74" i="23"/>
  <c r="O74" i="23"/>
  <c r="P74" i="23"/>
  <c r="Q74" i="23"/>
  <c r="R74" i="23"/>
  <c r="S74" i="23"/>
  <c r="U74" i="23"/>
  <c r="V74" i="23"/>
  <c r="W74" i="23"/>
  <c r="X74" i="23"/>
  <c r="Y74" i="23"/>
  <c r="Z74" i="23"/>
  <c r="AA74" i="23"/>
  <c r="AB74" i="23"/>
  <c r="AD74" i="23" s="1"/>
  <c r="AE74" i="23"/>
  <c r="AG74" i="23" s="1"/>
  <c r="AH74" i="23"/>
  <c r="A75" i="23"/>
  <c r="AK75" i="23" s="1"/>
  <c r="E75" i="23"/>
  <c r="G75" i="23" s="1"/>
  <c r="H75" i="23"/>
  <c r="J75" i="23" s="1"/>
  <c r="K75" i="23"/>
  <c r="M75" i="23" s="1"/>
  <c r="O75" i="23"/>
  <c r="P75" i="23"/>
  <c r="Q75" i="23"/>
  <c r="R75" i="23"/>
  <c r="S75" i="23"/>
  <c r="U75" i="23"/>
  <c r="V75" i="23"/>
  <c r="W75" i="23"/>
  <c r="X75" i="23"/>
  <c r="Y75" i="23"/>
  <c r="Z75" i="23"/>
  <c r="AA75" i="23"/>
  <c r="AB75" i="23"/>
  <c r="AD75" i="23" s="1"/>
  <c r="AE75" i="23"/>
  <c r="AF75" i="23" s="1"/>
  <c r="AH75" i="23"/>
  <c r="A76" i="23"/>
  <c r="AK76" i="23" s="1"/>
  <c r="E76" i="23"/>
  <c r="F76" i="23" s="1"/>
  <c r="H76" i="23"/>
  <c r="I76" i="23" s="1"/>
  <c r="K76" i="23"/>
  <c r="M76" i="23" s="1"/>
  <c r="N76" i="23"/>
  <c r="O76" i="23"/>
  <c r="P76" i="23"/>
  <c r="Q76" i="23"/>
  <c r="R76" i="23"/>
  <c r="S76" i="23"/>
  <c r="U76" i="23"/>
  <c r="V76" i="23"/>
  <c r="W76" i="23"/>
  <c r="X76" i="23"/>
  <c r="Y76" i="23"/>
  <c r="Z76" i="23"/>
  <c r="AA76" i="23"/>
  <c r="AB76" i="23"/>
  <c r="AC76" i="23" s="1"/>
  <c r="AE76" i="23"/>
  <c r="AF76" i="23" s="1"/>
  <c r="AH76" i="23"/>
  <c r="A77" i="23"/>
  <c r="AK77" i="23" s="1"/>
  <c r="E77" i="23"/>
  <c r="F77" i="23" s="1"/>
  <c r="H77" i="23"/>
  <c r="I77" i="23" s="1"/>
  <c r="K77" i="23"/>
  <c r="L77" i="23" s="1"/>
  <c r="N77" i="23"/>
  <c r="O77" i="23"/>
  <c r="P77" i="23"/>
  <c r="Q77" i="23"/>
  <c r="R77" i="23"/>
  <c r="S77" i="23"/>
  <c r="U77" i="23"/>
  <c r="V77" i="23"/>
  <c r="W77" i="23"/>
  <c r="X77" i="23"/>
  <c r="Y77" i="23"/>
  <c r="Z77" i="23"/>
  <c r="AA77" i="23"/>
  <c r="AB77" i="23"/>
  <c r="AC77" i="23" s="1"/>
  <c r="AE77" i="23"/>
  <c r="AG77" i="23" s="1"/>
  <c r="AH77" i="23"/>
  <c r="A78" i="23"/>
  <c r="AK78" i="23" s="1"/>
  <c r="E78" i="23"/>
  <c r="F78" i="23" s="1"/>
  <c r="H78" i="23"/>
  <c r="I78" i="23" s="1"/>
  <c r="K78" i="23"/>
  <c r="L78" i="23" s="1"/>
  <c r="N78" i="23"/>
  <c r="O78" i="23"/>
  <c r="P78" i="23"/>
  <c r="Q78" i="23"/>
  <c r="R78" i="23"/>
  <c r="S78" i="23"/>
  <c r="U78" i="23"/>
  <c r="V78" i="23"/>
  <c r="W78" i="23"/>
  <c r="X78" i="23"/>
  <c r="Y78" i="23"/>
  <c r="Z78" i="23"/>
  <c r="AA78" i="23"/>
  <c r="AB78" i="23"/>
  <c r="AC78" i="23" s="1"/>
  <c r="AE78" i="23"/>
  <c r="AF78" i="23" s="1"/>
  <c r="AH78" i="23"/>
  <c r="A79" i="23"/>
  <c r="AK79" i="23" s="1"/>
  <c r="E79" i="23"/>
  <c r="F79" i="23" s="1"/>
  <c r="H79" i="23"/>
  <c r="I79" i="23" s="1"/>
  <c r="K79" i="23"/>
  <c r="L79" i="23" s="1"/>
  <c r="N79" i="23"/>
  <c r="O79" i="23"/>
  <c r="P79" i="23"/>
  <c r="Q79" i="23"/>
  <c r="R79" i="23"/>
  <c r="S79" i="23"/>
  <c r="U79" i="23"/>
  <c r="V79" i="23"/>
  <c r="W79" i="23"/>
  <c r="X79" i="23"/>
  <c r="Y79" i="23"/>
  <c r="Z79" i="23"/>
  <c r="AA79" i="23"/>
  <c r="AB79" i="23"/>
  <c r="AC79" i="23" s="1"/>
  <c r="AE79" i="23"/>
  <c r="AF79" i="23" s="1"/>
  <c r="AH79" i="23"/>
  <c r="A80" i="23"/>
  <c r="AK80" i="23" s="1"/>
  <c r="E80" i="23"/>
  <c r="G80" i="23" s="1"/>
  <c r="H80" i="23"/>
  <c r="I80" i="23" s="1"/>
  <c r="K80" i="23"/>
  <c r="L80" i="23" s="1"/>
  <c r="N80" i="23"/>
  <c r="O80" i="23"/>
  <c r="P80" i="23"/>
  <c r="Q80" i="23"/>
  <c r="R80" i="23"/>
  <c r="S80" i="23"/>
  <c r="U80" i="23"/>
  <c r="V80" i="23"/>
  <c r="W80" i="23"/>
  <c r="X80" i="23"/>
  <c r="Y80" i="23"/>
  <c r="Z80" i="23"/>
  <c r="AA80" i="23"/>
  <c r="AB80" i="23"/>
  <c r="AC80" i="23" s="1"/>
  <c r="AE80" i="23"/>
  <c r="AF80" i="23" s="1"/>
  <c r="AH80" i="23"/>
  <c r="A81" i="23"/>
  <c r="AK81" i="23" s="1"/>
  <c r="E81" i="23"/>
  <c r="G81" i="23" s="1"/>
  <c r="H81" i="23"/>
  <c r="I81" i="23" s="1"/>
  <c r="K81" i="23"/>
  <c r="L81" i="23" s="1"/>
  <c r="N81" i="23"/>
  <c r="O81" i="23"/>
  <c r="P81" i="23"/>
  <c r="Q81" i="23"/>
  <c r="R81" i="23"/>
  <c r="S81" i="23"/>
  <c r="U81" i="23"/>
  <c r="V81" i="23"/>
  <c r="W81" i="23"/>
  <c r="X81" i="23"/>
  <c r="Y81" i="23"/>
  <c r="Z81" i="23"/>
  <c r="AA81" i="23"/>
  <c r="AB81" i="23"/>
  <c r="AC81" i="23" s="1"/>
  <c r="AE81" i="23"/>
  <c r="AF81" i="23" s="1"/>
  <c r="AH81" i="23"/>
  <c r="A82" i="23"/>
  <c r="AK82" i="23" s="1"/>
  <c r="E82" i="23"/>
  <c r="G82" i="23" s="1"/>
  <c r="H82" i="23"/>
  <c r="J82" i="23" s="1"/>
  <c r="K82" i="23"/>
  <c r="L82" i="23" s="1"/>
  <c r="N82" i="23"/>
  <c r="O82" i="23"/>
  <c r="P82" i="23"/>
  <c r="Q82" i="23"/>
  <c r="R82" i="23"/>
  <c r="S82" i="23"/>
  <c r="U82" i="23"/>
  <c r="V82" i="23"/>
  <c r="W82" i="23"/>
  <c r="X82" i="23"/>
  <c r="Y82" i="23"/>
  <c r="Z82" i="23"/>
  <c r="AA82" i="23"/>
  <c r="AB82" i="23"/>
  <c r="AD82" i="23" s="1"/>
  <c r="AE82" i="23"/>
  <c r="AG82" i="23" s="1"/>
  <c r="AH82" i="23"/>
  <c r="A83" i="23"/>
  <c r="AK83" i="23" s="1"/>
  <c r="E83" i="23"/>
  <c r="G83" i="23" s="1"/>
  <c r="H83" i="23"/>
  <c r="J83" i="23" s="1"/>
  <c r="K83" i="23"/>
  <c r="M83" i="23" s="1"/>
  <c r="N83" i="23"/>
  <c r="O83" i="23"/>
  <c r="P83" i="23"/>
  <c r="Q83" i="23"/>
  <c r="R83" i="23"/>
  <c r="S83" i="23"/>
  <c r="U83" i="23"/>
  <c r="V83" i="23"/>
  <c r="W83" i="23"/>
  <c r="X83" i="23"/>
  <c r="Y83" i="23"/>
  <c r="Z83" i="23"/>
  <c r="AA83" i="23"/>
  <c r="AB83" i="23"/>
  <c r="AD83" i="23" s="1"/>
  <c r="AE83" i="23"/>
  <c r="AF83" i="23" s="1"/>
  <c r="AH83" i="23"/>
  <c r="A84" i="23"/>
  <c r="AK84" i="23" s="1"/>
  <c r="E84" i="23"/>
  <c r="F84" i="23" s="1"/>
  <c r="H84" i="23"/>
  <c r="I84" i="23" s="1"/>
  <c r="K84" i="23"/>
  <c r="M84" i="23" s="1"/>
  <c r="N84" i="23"/>
  <c r="O84" i="23"/>
  <c r="P84" i="23"/>
  <c r="Q84" i="23"/>
  <c r="R84" i="23"/>
  <c r="S84" i="23"/>
  <c r="U84" i="23"/>
  <c r="V84" i="23"/>
  <c r="W84" i="23"/>
  <c r="X84" i="23"/>
  <c r="Y84" i="23"/>
  <c r="Z84" i="23"/>
  <c r="AA84" i="23"/>
  <c r="AB84" i="23"/>
  <c r="AC84" i="23" s="1"/>
  <c r="AE84" i="23"/>
  <c r="AF84" i="23" s="1"/>
  <c r="AH84" i="23"/>
  <c r="A85" i="23"/>
  <c r="AK85" i="23" s="1"/>
  <c r="E85" i="23"/>
  <c r="F85" i="23" s="1"/>
  <c r="H85" i="23"/>
  <c r="I85" i="23" s="1"/>
  <c r="K85" i="23"/>
  <c r="L85" i="23" s="1"/>
  <c r="N85" i="23"/>
  <c r="O85" i="23"/>
  <c r="P85" i="23"/>
  <c r="Q85" i="23"/>
  <c r="R85" i="23"/>
  <c r="S85" i="23"/>
  <c r="U85" i="23"/>
  <c r="V85" i="23"/>
  <c r="W85" i="23"/>
  <c r="X85" i="23"/>
  <c r="Y85" i="23"/>
  <c r="Z85" i="23"/>
  <c r="AA85" i="23"/>
  <c r="AB85" i="23"/>
  <c r="AC85" i="23" s="1"/>
  <c r="AE85" i="23"/>
  <c r="AG85" i="23" s="1"/>
  <c r="AH85" i="23"/>
  <c r="A86" i="23"/>
  <c r="AK86" i="23" s="1"/>
  <c r="E86" i="23"/>
  <c r="F86" i="23" s="1"/>
  <c r="H86" i="23"/>
  <c r="I86" i="23" s="1"/>
  <c r="K86" i="23"/>
  <c r="L86" i="23" s="1"/>
  <c r="N86" i="23"/>
  <c r="O86" i="23"/>
  <c r="P86" i="23"/>
  <c r="Q86" i="23"/>
  <c r="R86" i="23"/>
  <c r="S86" i="23"/>
  <c r="U86" i="23"/>
  <c r="V86" i="23"/>
  <c r="W86" i="23"/>
  <c r="X86" i="23"/>
  <c r="Y86" i="23"/>
  <c r="Z86" i="23"/>
  <c r="AA86" i="23"/>
  <c r="AB86" i="23"/>
  <c r="AC86" i="23" s="1"/>
  <c r="AE86" i="23"/>
  <c r="AF86" i="23" s="1"/>
  <c r="AH86" i="23"/>
  <c r="A87" i="23"/>
  <c r="AK87" i="23" s="1"/>
  <c r="E87" i="23"/>
  <c r="F87" i="23" s="1"/>
  <c r="H87" i="23"/>
  <c r="I87" i="23" s="1"/>
  <c r="K87" i="23"/>
  <c r="L87" i="23" s="1"/>
  <c r="N87" i="23"/>
  <c r="O87" i="23"/>
  <c r="P87" i="23"/>
  <c r="Q87" i="23"/>
  <c r="R87" i="23"/>
  <c r="S87" i="23"/>
  <c r="U87" i="23"/>
  <c r="V87" i="23"/>
  <c r="W87" i="23"/>
  <c r="X87" i="23"/>
  <c r="Y87" i="23"/>
  <c r="Z87" i="23"/>
  <c r="AA87" i="23"/>
  <c r="AB87" i="23"/>
  <c r="AC87" i="23" s="1"/>
  <c r="AE87" i="23"/>
  <c r="AF87" i="23" s="1"/>
  <c r="AH87" i="23"/>
  <c r="A88" i="23"/>
  <c r="AK88" i="23" s="1"/>
  <c r="E88" i="23"/>
  <c r="G88" i="23" s="1"/>
  <c r="H88" i="23"/>
  <c r="I88" i="23" s="1"/>
  <c r="K88" i="23"/>
  <c r="L88" i="23" s="1"/>
  <c r="N88" i="23"/>
  <c r="O88" i="23"/>
  <c r="P88" i="23"/>
  <c r="Q88" i="23"/>
  <c r="R88" i="23"/>
  <c r="S88" i="23"/>
  <c r="U88" i="23"/>
  <c r="V88" i="23"/>
  <c r="W88" i="23"/>
  <c r="X88" i="23"/>
  <c r="Y88" i="23"/>
  <c r="Z88" i="23"/>
  <c r="AA88" i="23"/>
  <c r="AB88" i="23"/>
  <c r="AC88" i="23" s="1"/>
  <c r="AE88" i="23"/>
  <c r="AF88" i="23" s="1"/>
  <c r="AH88" i="23"/>
  <c r="A89" i="23"/>
  <c r="AK89" i="23" s="1"/>
  <c r="E89" i="23"/>
  <c r="F89" i="23" s="1"/>
  <c r="H89" i="23"/>
  <c r="I89" i="23" s="1"/>
  <c r="K89" i="23"/>
  <c r="L89" i="23" s="1"/>
  <c r="N89" i="23"/>
  <c r="O89" i="23"/>
  <c r="P89" i="23"/>
  <c r="Q89" i="23"/>
  <c r="R89" i="23"/>
  <c r="S89" i="23"/>
  <c r="U89" i="23"/>
  <c r="V89" i="23"/>
  <c r="W89" i="23"/>
  <c r="X89" i="23"/>
  <c r="Y89" i="23"/>
  <c r="Z89" i="23"/>
  <c r="AA89" i="23"/>
  <c r="AB89" i="23"/>
  <c r="AC89" i="23" s="1"/>
  <c r="AE89" i="23"/>
  <c r="AF89" i="23" s="1"/>
  <c r="AH89" i="23"/>
  <c r="A90" i="23"/>
  <c r="AK90" i="23" s="1"/>
  <c r="E90" i="23"/>
  <c r="G90" i="23" s="1"/>
  <c r="H90" i="23"/>
  <c r="J90" i="23" s="1"/>
  <c r="K90" i="23"/>
  <c r="L90" i="23" s="1"/>
  <c r="N90" i="23"/>
  <c r="O90" i="23"/>
  <c r="P90" i="23"/>
  <c r="Q90" i="23"/>
  <c r="R90" i="23"/>
  <c r="S90" i="23"/>
  <c r="U90" i="23"/>
  <c r="V90" i="23"/>
  <c r="W90" i="23"/>
  <c r="X90" i="23"/>
  <c r="Y90" i="23"/>
  <c r="Z90" i="23"/>
  <c r="AA90" i="23"/>
  <c r="AB90" i="23"/>
  <c r="AD90" i="23" s="1"/>
  <c r="AE90" i="23"/>
  <c r="AG90" i="23" s="1"/>
  <c r="AH90" i="23"/>
  <c r="A91" i="23"/>
  <c r="AK91" i="23" s="1"/>
  <c r="E91" i="23"/>
  <c r="G91" i="23" s="1"/>
  <c r="H91" i="23"/>
  <c r="J91" i="23" s="1"/>
  <c r="K91" i="23"/>
  <c r="M91" i="23" s="1"/>
  <c r="N91" i="23"/>
  <c r="O91" i="23"/>
  <c r="P91" i="23"/>
  <c r="Q91" i="23"/>
  <c r="R91" i="23"/>
  <c r="S91" i="23"/>
  <c r="U91" i="23"/>
  <c r="V91" i="23"/>
  <c r="W91" i="23"/>
  <c r="X91" i="23"/>
  <c r="Y91" i="23"/>
  <c r="Z91" i="23"/>
  <c r="AA91" i="23"/>
  <c r="AB91" i="23"/>
  <c r="AD91" i="23" s="1"/>
  <c r="AE91" i="23"/>
  <c r="AF91" i="23" s="1"/>
  <c r="AH91" i="23"/>
  <c r="A92" i="23"/>
  <c r="AK92" i="23" s="1"/>
  <c r="E92" i="23"/>
  <c r="F92" i="23" s="1"/>
  <c r="H92" i="23"/>
  <c r="I92" i="23" s="1"/>
  <c r="K92" i="23"/>
  <c r="M92" i="23" s="1"/>
  <c r="N92" i="23"/>
  <c r="O92" i="23"/>
  <c r="P92" i="23"/>
  <c r="Q92" i="23"/>
  <c r="R92" i="23"/>
  <c r="S92" i="23"/>
  <c r="U92" i="23"/>
  <c r="V92" i="23"/>
  <c r="W92" i="23"/>
  <c r="X92" i="23"/>
  <c r="Y92" i="23"/>
  <c r="Z92" i="23"/>
  <c r="AA92" i="23"/>
  <c r="AB92" i="23"/>
  <c r="AC92" i="23" s="1"/>
  <c r="AE92" i="23"/>
  <c r="AF92" i="23" s="1"/>
  <c r="AH92" i="23"/>
  <c r="A93" i="23"/>
  <c r="AK93" i="23" s="1"/>
  <c r="E93" i="23"/>
  <c r="F93" i="23" s="1"/>
  <c r="H93" i="23"/>
  <c r="I93" i="23" s="1"/>
  <c r="K93" i="23"/>
  <c r="L93" i="23" s="1"/>
  <c r="N93" i="23"/>
  <c r="O93" i="23"/>
  <c r="P93" i="23"/>
  <c r="Q93" i="23"/>
  <c r="R93" i="23"/>
  <c r="S93" i="23"/>
  <c r="U93" i="23"/>
  <c r="V93" i="23"/>
  <c r="W93" i="23"/>
  <c r="X93" i="23"/>
  <c r="Y93" i="23"/>
  <c r="Z93" i="23"/>
  <c r="AA93" i="23"/>
  <c r="AB93" i="23"/>
  <c r="AC93" i="23" s="1"/>
  <c r="AE93" i="23"/>
  <c r="AG93" i="23" s="1"/>
  <c r="AH93" i="23"/>
  <c r="A94" i="23"/>
  <c r="AK94" i="23" s="1"/>
  <c r="E94" i="23"/>
  <c r="F94" i="23" s="1"/>
  <c r="H94" i="23"/>
  <c r="I94" i="23" s="1"/>
  <c r="K94" i="23"/>
  <c r="L94" i="23" s="1"/>
  <c r="N94" i="23"/>
  <c r="O94" i="23"/>
  <c r="P94" i="23"/>
  <c r="Q94" i="23"/>
  <c r="R94" i="23"/>
  <c r="S94" i="23"/>
  <c r="U94" i="23"/>
  <c r="V94" i="23"/>
  <c r="W94" i="23"/>
  <c r="X94" i="23"/>
  <c r="Y94" i="23"/>
  <c r="Z94" i="23"/>
  <c r="AA94" i="23"/>
  <c r="AB94" i="23"/>
  <c r="AC94" i="23" s="1"/>
  <c r="AE94" i="23"/>
  <c r="AF94" i="23" s="1"/>
  <c r="AH94" i="23"/>
  <c r="A95" i="23"/>
  <c r="AK95" i="23" s="1"/>
  <c r="E95" i="23"/>
  <c r="F95" i="23" s="1"/>
  <c r="H95" i="23"/>
  <c r="I95" i="23" s="1"/>
  <c r="K95" i="23"/>
  <c r="L95" i="23" s="1"/>
  <c r="N95" i="23"/>
  <c r="O95" i="23"/>
  <c r="P95" i="23"/>
  <c r="Q95" i="23"/>
  <c r="R95" i="23"/>
  <c r="S95" i="23"/>
  <c r="U95" i="23"/>
  <c r="V95" i="23"/>
  <c r="W95" i="23"/>
  <c r="X95" i="23"/>
  <c r="Y95" i="23"/>
  <c r="Z95" i="23"/>
  <c r="AA95" i="23"/>
  <c r="AB95" i="23"/>
  <c r="AC95" i="23" s="1"/>
  <c r="AE95" i="23"/>
  <c r="AF95" i="23" s="1"/>
  <c r="AH95" i="23"/>
  <c r="A96" i="23"/>
  <c r="AK96" i="23" s="1"/>
  <c r="E96" i="23"/>
  <c r="G96" i="23" s="1"/>
  <c r="H96" i="23"/>
  <c r="I96" i="23" s="1"/>
  <c r="K96" i="23"/>
  <c r="L96" i="23" s="1"/>
  <c r="N96" i="23"/>
  <c r="O96" i="23"/>
  <c r="P96" i="23"/>
  <c r="Q96" i="23"/>
  <c r="R96" i="23"/>
  <c r="S96" i="23"/>
  <c r="U96" i="23"/>
  <c r="V96" i="23"/>
  <c r="W96" i="23"/>
  <c r="X96" i="23"/>
  <c r="Y96" i="23"/>
  <c r="Z96" i="23"/>
  <c r="AA96" i="23"/>
  <c r="AB96" i="23"/>
  <c r="AC96" i="23" s="1"/>
  <c r="AE96" i="23"/>
  <c r="AF96" i="23" s="1"/>
  <c r="AH96" i="23"/>
  <c r="A97" i="23"/>
  <c r="AK97" i="23" s="1"/>
  <c r="E97" i="23"/>
  <c r="G97" i="23" s="1"/>
  <c r="H97" i="23"/>
  <c r="I97" i="23" s="1"/>
  <c r="K97" i="23"/>
  <c r="L97" i="23" s="1"/>
  <c r="N97" i="23"/>
  <c r="O97" i="23"/>
  <c r="P97" i="23"/>
  <c r="Q97" i="23"/>
  <c r="R97" i="23"/>
  <c r="S97" i="23"/>
  <c r="U97" i="23"/>
  <c r="V97" i="23"/>
  <c r="W97" i="23"/>
  <c r="X97" i="23"/>
  <c r="Y97" i="23"/>
  <c r="Z97" i="23"/>
  <c r="AA97" i="23"/>
  <c r="AB97" i="23"/>
  <c r="AC97" i="23" s="1"/>
  <c r="AE97" i="23"/>
  <c r="AF97" i="23" s="1"/>
  <c r="AH97" i="23"/>
  <c r="A98" i="23"/>
  <c r="AK98" i="23" s="1"/>
  <c r="E98" i="23"/>
  <c r="G98" i="23" s="1"/>
  <c r="H98" i="23"/>
  <c r="J98" i="23" s="1"/>
  <c r="K98" i="23"/>
  <c r="L98" i="23" s="1"/>
  <c r="N98" i="23"/>
  <c r="O98" i="23"/>
  <c r="P98" i="23"/>
  <c r="Q98" i="23"/>
  <c r="R98" i="23"/>
  <c r="S98" i="23"/>
  <c r="U98" i="23"/>
  <c r="V98" i="23"/>
  <c r="W98" i="23"/>
  <c r="X98" i="23"/>
  <c r="Y98" i="23"/>
  <c r="Z98" i="23"/>
  <c r="AA98" i="23"/>
  <c r="AB98" i="23"/>
  <c r="AD98" i="23" s="1"/>
  <c r="AE98" i="23"/>
  <c r="AG98" i="23" s="1"/>
  <c r="AH98" i="23"/>
  <c r="A99" i="23"/>
  <c r="AK99" i="23" s="1"/>
  <c r="E99" i="23"/>
  <c r="G99" i="23" s="1"/>
  <c r="H99" i="23"/>
  <c r="J99" i="23" s="1"/>
  <c r="K99" i="23"/>
  <c r="M99" i="23" s="1"/>
  <c r="N99" i="23"/>
  <c r="O99" i="23"/>
  <c r="P99" i="23"/>
  <c r="Q99" i="23"/>
  <c r="R99" i="23"/>
  <c r="S99" i="23"/>
  <c r="U99" i="23"/>
  <c r="V99" i="23"/>
  <c r="W99" i="23"/>
  <c r="X99" i="23"/>
  <c r="Y99" i="23"/>
  <c r="Z99" i="23"/>
  <c r="AA99" i="23"/>
  <c r="AB99" i="23"/>
  <c r="AD99" i="23" s="1"/>
  <c r="AE99" i="23"/>
  <c r="AF99" i="23" s="1"/>
  <c r="AH99" i="23"/>
  <c r="A100" i="23"/>
  <c r="AK100" i="23" s="1"/>
  <c r="E100" i="23"/>
  <c r="F100" i="23" s="1"/>
  <c r="H100" i="23"/>
  <c r="I100" i="23" s="1"/>
  <c r="K100" i="23"/>
  <c r="M100" i="23" s="1"/>
  <c r="N100" i="23"/>
  <c r="O100" i="23"/>
  <c r="P100" i="23"/>
  <c r="Q100" i="23"/>
  <c r="R100" i="23"/>
  <c r="S100" i="23"/>
  <c r="U100" i="23"/>
  <c r="V100" i="23"/>
  <c r="W100" i="23"/>
  <c r="X100" i="23"/>
  <c r="Y100" i="23"/>
  <c r="Z100" i="23"/>
  <c r="AA100" i="23"/>
  <c r="AB100" i="23"/>
  <c r="AC100" i="23" s="1"/>
  <c r="AE100" i="23"/>
  <c r="AF100" i="23" s="1"/>
  <c r="AH100" i="23"/>
  <c r="A101" i="23"/>
  <c r="AK101" i="23" s="1"/>
  <c r="E101" i="23"/>
  <c r="F101" i="23" s="1"/>
  <c r="H101" i="23"/>
  <c r="I101" i="23" s="1"/>
  <c r="K101" i="23"/>
  <c r="L101" i="23" s="1"/>
  <c r="N101" i="23"/>
  <c r="O101" i="23"/>
  <c r="P101" i="23"/>
  <c r="Q101" i="23"/>
  <c r="R101" i="23"/>
  <c r="S101" i="23"/>
  <c r="U101" i="23"/>
  <c r="V101" i="23"/>
  <c r="W101" i="23"/>
  <c r="X101" i="23"/>
  <c r="Y101" i="23"/>
  <c r="Z101" i="23"/>
  <c r="AA101" i="23"/>
  <c r="AB101" i="23"/>
  <c r="AC101" i="23" s="1"/>
  <c r="AE101" i="23"/>
  <c r="AG101" i="23" s="1"/>
  <c r="AH101" i="23"/>
  <c r="A102" i="23"/>
  <c r="AK102" i="23" s="1"/>
  <c r="E102" i="23"/>
  <c r="F102" i="23" s="1"/>
  <c r="H102" i="23"/>
  <c r="I102" i="23" s="1"/>
  <c r="K102" i="23"/>
  <c r="L102" i="23" s="1"/>
  <c r="N102" i="23"/>
  <c r="O102" i="23"/>
  <c r="P102" i="23"/>
  <c r="Q102" i="23"/>
  <c r="R102" i="23"/>
  <c r="S102" i="23"/>
  <c r="U102" i="23"/>
  <c r="V102" i="23"/>
  <c r="W102" i="23"/>
  <c r="X102" i="23"/>
  <c r="Y102" i="23"/>
  <c r="Z102" i="23"/>
  <c r="AA102" i="23"/>
  <c r="AB102" i="23"/>
  <c r="AC102" i="23" s="1"/>
  <c r="AE102" i="23"/>
  <c r="AF102" i="23" s="1"/>
  <c r="AH102" i="23"/>
  <c r="A103" i="23"/>
  <c r="AK103" i="23" s="1"/>
  <c r="E103" i="23"/>
  <c r="F103" i="23" s="1"/>
  <c r="H103" i="23"/>
  <c r="I103" i="23" s="1"/>
  <c r="K103" i="23"/>
  <c r="L103" i="23" s="1"/>
  <c r="N103" i="23"/>
  <c r="O103" i="23"/>
  <c r="P103" i="23"/>
  <c r="Q103" i="23"/>
  <c r="R103" i="23"/>
  <c r="S103" i="23"/>
  <c r="U103" i="23"/>
  <c r="V103" i="23"/>
  <c r="W103" i="23"/>
  <c r="X103" i="23"/>
  <c r="Y103" i="23"/>
  <c r="Z103" i="23"/>
  <c r="AA103" i="23"/>
  <c r="AB103" i="23"/>
  <c r="AC103" i="23" s="1"/>
  <c r="AE103" i="23"/>
  <c r="AF103" i="23" s="1"/>
  <c r="AH103" i="23"/>
  <c r="A104" i="23"/>
  <c r="AK104" i="23" s="1"/>
  <c r="E104" i="23"/>
  <c r="G104" i="23" s="1"/>
  <c r="H104" i="23"/>
  <c r="I104" i="23" s="1"/>
  <c r="K104" i="23"/>
  <c r="L104" i="23" s="1"/>
  <c r="N104" i="23"/>
  <c r="O104" i="23"/>
  <c r="P104" i="23"/>
  <c r="Q104" i="23"/>
  <c r="R104" i="23"/>
  <c r="S104" i="23"/>
  <c r="U104" i="23"/>
  <c r="V104" i="23"/>
  <c r="W104" i="23"/>
  <c r="X104" i="23"/>
  <c r="Y104" i="23"/>
  <c r="Z104" i="23"/>
  <c r="AA104" i="23"/>
  <c r="AB104" i="23"/>
  <c r="AC104" i="23" s="1"/>
  <c r="AE104" i="23"/>
  <c r="AF104" i="23" s="1"/>
  <c r="AH104" i="23"/>
  <c r="A105" i="23"/>
  <c r="AK105" i="23" s="1"/>
  <c r="E105" i="23"/>
  <c r="F105" i="23" s="1"/>
  <c r="H105" i="23"/>
  <c r="I105" i="23" s="1"/>
  <c r="K105" i="23"/>
  <c r="L105" i="23" s="1"/>
  <c r="N105" i="23"/>
  <c r="O105" i="23"/>
  <c r="P105" i="23"/>
  <c r="Q105" i="23"/>
  <c r="R105" i="23"/>
  <c r="S105" i="23"/>
  <c r="U105" i="23"/>
  <c r="V105" i="23"/>
  <c r="W105" i="23"/>
  <c r="X105" i="23"/>
  <c r="Y105" i="23"/>
  <c r="Z105" i="23"/>
  <c r="AA105" i="23"/>
  <c r="AB105" i="23"/>
  <c r="AC105" i="23" s="1"/>
  <c r="AE105" i="23"/>
  <c r="AF105" i="23" s="1"/>
  <c r="AH105" i="23"/>
  <c r="A106" i="23"/>
  <c r="AK106" i="23" s="1"/>
  <c r="E106" i="23"/>
  <c r="G106" i="23" s="1"/>
  <c r="H106" i="23"/>
  <c r="J106" i="23" s="1"/>
  <c r="K106" i="23"/>
  <c r="L106" i="23" s="1"/>
  <c r="N106" i="23"/>
  <c r="O106" i="23"/>
  <c r="P106" i="23"/>
  <c r="Q106" i="23"/>
  <c r="R106" i="23"/>
  <c r="S106" i="23"/>
  <c r="U106" i="23"/>
  <c r="V106" i="23"/>
  <c r="W106" i="23"/>
  <c r="X106" i="23"/>
  <c r="Y106" i="23"/>
  <c r="Z106" i="23"/>
  <c r="AA106" i="23"/>
  <c r="AB106" i="23"/>
  <c r="AD106" i="23" s="1"/>
  <c r="AE106" i="23"/>
  <c r="AG106" i="23" s="1"/>
  <c r="AH106" i="23"/>
  <c r="A107" i="23"/>
  <c r="AK107" i="23" s="1"/>
  <c r="E107" i="23"/>
  <c r="G107" i="23" s="1"/>
  <c r="H107" i="23"/>
  <c r="J107" i="23" s="1"/>
  <c r="K107" i="23"/>
  <c r="M107" i="23" s="1"/>
  <c r="N107" i="23"/>
  <c r="O107" i="23"/>
  <c r="P107" i="23"/>
  <c r="Q107" i="23"/>
  <c r="R107" i="23"/>
  <c r="S107" i="23"/>
  <c r="U107" i="23"/>
  <c r="V107" i="23"/>
  <c r="W107" i="23"/>
  <c r="X107" i="23"/>
  <c r="Y107" i="23"/>
  <c r="Z107" i="23"/>
  <c r="AA107" i="23"/>
  <c r="AB107" i="23"/>
  <c r="AD107" i="23" s="1"/>
  <c r="AE107" i="23"/>
  <c r="AF107" i="23" s="1"/>
  <c r="AH107" i="23"/>
  <c r="A108" i="23"/>
  <c r="AK108" i="23" s="1"/>
  <c r="E108" i="23"/>
  <c r="F108" i="23" s="1"/>
  <c r="H108" i="23"/>
  <c r="I108" i="23" s="1"/>
  <c r="K108" i="23"/>
  <c r="M108" i="23" s="1"/>
  <c r="N108" i="23"/>
  <c r="O108" i="23"/>
  <c r="P108" i="23"/>
  <c r="Q108" i="23"/>
  <c r="R108" i="23"/>
  <c r="S108" i="23"/>
  <c r="U108" i="23"/>
  <c r="V108" i="23"/>
  <c r="W108" i="23"/>
  <c r="X108" i="23"/>
  <c r="Y108" i="23"/>
  <c r="Z108" i="23"/>
  <c r="AA108" i="23"/>
  <c r="AB108" i="23"/>
  <c r="AC108" i="23" s="1"/>
  <c r="AE108" i="23"/>
  <c r="AF108" i="23" s="1"/>
  <c r="AH108" i="23"/>
  <c r="A109" i="23"/>
  <c r="AK109" i="23" s="1"/>
  <c r="E109" i="23"/>
  <c r="F109" i="23" s="1"/>
  <c r="H109" i="23"/>
  <c r="I109" i="23" s="1"/>
  <c r="K109" i="23"/>
  <c r="L109" i="23" s="1"/>
  <c r="N109" i="23"/>
  <c r="O109" i="23"/>
  <c r="P109" i="23"/>
  <c r="Q109" i="23"/>
  <c r="R109" i="23"/>
  <c r="S109" i="23"/>
  <c r="U109" i="23"/>
  <c r="V109" i="23"/>
  <c r="W109" i="23"/>
  <c r="X109" i="23"/>
  <c r="Y109" i="23"/>
  <c r="Z109" i="23"/>
  <c r="AA109" i="23"/>
  <c r="AB109" i="23"/>
  <c r="AC109" i="23" s="1"/>
  <c r="AE109" i="23"/>
  <c r="AG109" i="23" s="1"/>
  <c r="AH109" i="23"/>
  <c r="A110" i="23"/>
  <c r="AK110" i="23" s="1"/>
  <c r="E110" i="23"/>
  <c r="F110" i="23" s="1"/>
  <c r="H110" i="23"/>
  <c r="I110" i="23" s="1"/>
  <c r="K110" i="23"/>
  <c r="L110" i="23" s="1"/>
  <c r="N110" i="23"/>
  <c r="O110" i="23"/>
  <c r="P110" i="23"/>
  <c r="Q110" i="23"/>
  <c r="R110" i="23"/>
  <c r="S110" i="23"/>
  <c r="U110" i="23"/>
  <c r="V110" i="23"/>
  <c r="W110" i="23"/>
  <c r="X110" i="23"/>
  <c r="Y110" i="23"/>
  <c r="Z110" i="23"/>
  <c r="AA110" i="23"/>
  <c r="AB110" i="23"/>
  <c r="AC110" i="23" s="1"/>
  <c r="AE110" i="23"/>
  <c r="AF110" i="23" s="1"/>
  <c r="AH110" i="23"/>
  <c r="A111" i="23"/>
  <c r="AK111" i="23" s="1"/>
  <c r="E111" i="23"/>
  <c r="F111" i="23" s="1"/>
  <c r="H111" i="23"/>
  <c r="I111" i="23" s="1"/>
  <c r="K111" i="23"/>
  <c r="L111" i="23" s="1"/>
  <c r="N111" i="23"/>
  <c r="O111" i="23"/>
  <c r="P111" i="23"/>
  <c r="Q111" i="23"/>
  <c r="R111" i="23"/>
  <c r="S111" i="23"/>
  <c r="U111" i="23"/>
  <c r="V111" i="23"/>
  <c r="W111" i="23"/>
  <c r="X111" i="23"/>
  <c r="Y111" i="23"/>
  <c r="Z111" i="23"/>
  <c r="AA111" i="23"/>
  <c r="AB111" i="23"/>
  <c r="AC111" i="23" s="1"/>
  <c r="AE111" i="23"/>
  <c r="AF111" i="23" s="1"/>
  <c r="AH111" i="23"/>
  <c r="A112" i="23"/>
  <c r="AK112" i="23" s="1"/>
  <c r="E112" i="23"/>
  <c r="G112" i="23" s="1"/>
  <c r="H112" i="23"/>
  <c r="I112" i="23" s="1"/>
  <c r="K112" i="23"/>
  <c r="L112" i="23" s="1"/>
  <c r="N112" i="23"/>
  <c r="O112" i="23"/>
  <c r="P112" i="23"/>
  <c r="Q112" i="23"/>
  <c r="R112" i="23"/>
  <c r="S112" i="23"/>
  <c r="U112" i="23"/>
  <c r="V112" i="23"/>
  <c r="W112" i="23"/>
  <c r="X112" i="23"/>
  <c r="Y112" i="23"/>
  <c r="Z112" i="23"/>
  <c r="AA112" i="23"/>
  <c r="AB112" i="23"/>
  <c r="AC112" i="23" s="1"/>
  <c r="AE112" i="23"/>
  <c r="AF112" i="23" s="1"/>
  <c r="AH112" i="23"/>
  <c r="A113" i="23"/>
  <c r="AK113" i="23" s="1"/>
  <c r="E113" i="23"/>
  <c r="F113" i="23" s="1"/>
  <c r="H113" i="23"/>
  <c r="I113" i="23" s="1"/>
  <c r="K113" i="23"/>
  <c r="L113" i="23" s="1"/>
  <c r="N113" i="23"/>
  <c r="O113" i="23"/>
  <c r="P113" i="23"/>
  <c r="Q113" i="23"/>
  <c r="R113" i="23"/>
  <c r="S113" i="23"/>
  <c r="U113" i="23"/>
  <c r="V113" i="23"/>
  <c r="W113" i="23"/>
  <c r="X113" i="23"/>
  <c r="Y113" i="23"/>
  <c r="Z113" i="23"/>
  <c r="AA113" i="23"/>
  <c r="AB113" i="23"/>
  <c r="AC113" i="23" s="1"/>
  <c r="AE113" i="23"/>
  <c r="AF113" i="23" s="1"/>
  <c r="AH113" i="23"/>
  <c r="A114" i="23"/>
  <c r="AK114" i="23" s="1"/>
  <c r="E114" i="23"/>
  <c r="G114" i="23" s="1"/>
  <c r="H114" i="23"/>
  <c r="J114" i="23" s="1"/>
  <c r="K114" i="23"/>
  <c r="L114" i="23" s="1"/>
  <c r="N114" i="23"/>
  <c r="O114" i="23"/>
  <c r="P114" i="23"/>
  <c r="Q114" i="23"/>
  <c r="R114" i="23"/>
  <c r="S114" i="23"/>
  <c r="U114" i="23"/>
  <c r="V114" i="23"/>
  <c r="W114" i="23"/>
  <c r="X114" i="23"/>
  <c r="Y114" i="23"/>
  <c r="Z114" i="23"/>
  <c r="AA114" i="23"/>
  <c r="AB114" i="23"/>
  <c r="AD114" i="23" s="1"/>
  <c r="AE114" i="23"/>
  <c r="AG114" i="23" s="1"/>
  <c r="AH114" i="23"/>
  <c r="A115" i="23"/>
  <c r="AK115" i="23" s="1"/>
  <c r="E115" i="23"/>
  <c r="G115" i="23" s="1"/>
  <c r="H115" i="23"/>
  <c r="J115" i="23" s="1"/>
  <c r="K115" i="23"/>
  <c r="M115" i="23" s="1"/>
  <c r="N115" i="23"/>
  <c r="O115" i="23"/>
  <c r="P115" i="23"/>
  <c r="Q115" i="23"/>
  <c r="R115" i="23"/>
  <c r="S115" i="23"/>
  <c r="U115" i="23"/>
  <c r="V115" i="23"/>
  <c r="W115" i="23"/>
  <c r="X115" i="23"/>
  <c r="Y115" i="23"/>
  <c r="Z115" i="23"/>
  <c r="AA115" i="23"/>
  <c r="AB115" i="23"/>
  <c r="AD115" i="23" s="1"/>
  <c r="AE115" i="23"/>
  <c r="AF115" i="23" s="1"/>
  <c r="AH115" i="23"/>
  <c r="A116" i="23"/>
  <c r="AK116" i="23" s="1"/>
  <c r="E116" i="23"/>
  <c r="F116" i="23" s="1"/>
  <c r="H116" i="23"/>
  <c r="I116" i="23" s="1"/>
  <c r="K116" i="23"/>
  <c r="M116" i="23" s="1"/>
  <c r="N116" i="23"/>
  <c r="O116" i="23"/>
  <c r="P116" i="23"/>
  <c r="Q116" i="23"/>
  <c r="R116" i="23"/>
  <c r="S116" i="23"/>
  <c r="U116" i="23"/>
  <c r="V116" i="23"/>
  <c r="W116" i="23"/>
  <c r="X116" i="23"/>
  <c r="Y116" i="23"/>
  <c r="Z116" i="23"/>
  <c r="AA116" i="23"/>
  <c r="AB116" i="23"/>
  <c r="AC116" i="23" s="1"/>
  <c r="AE116" i="23"/>
  <c r="AF116" i="23" s="1"/>
  <c r="AH116" i="23"/>
  <c r="A117" i="23"/>
  <c r="AK117" i="23" s="1"/>
  <c r="E117" i="23"/>
  <c r="F117" i="23" s="1"/>
  <c r="H117" i="23"/>
  <c r="I117" i="23" s="1"/>
  <c r="K117" i="23"/>
  <c r="L117" i="23" s="1"/>
  <c r="N117" i="23"/>
  <c r="O117" i="23"/>
  <c r="P117" i="23"/>
  <c r="Q117" i="23"/>
  <c r="R117" i="23"/>
  <c r="S117" i="23"/>
  <c r="U117" i="23"/>
  <c r="V117" i="23"/>
  <c r="W117" i="23"/>
  <c r="X117" i="23"/>
  <c r="Y117" i="23"/>
  <c r="Z117" i="23"/>
  <c r="AA117" i="23"/>
  <c r="AB117" i="23"/>
  <c r="AC117" i="23" s="1"/>
  <c r="AE117" i="23"/>
  <c r="AG117" i="23" s="1"/>
  <c r="AH117" i="23"/>
  <c r="A118" i="23"/>
  <c r="AK118" i="23" s="1"/>
  <c r="E118" i="23"/>
  <c r="F118" i="23" s="1"/>
  <c r="H118" i="23"/>
  <c r="I118" i="23" s="1"/>
  <c r="K118" i="23"/>
  <c r="L118" i="23" s="1"/>
  <c r="N118" i="23"/>
  <c r="O118" i="23"/>
  <c r="P118" i="23"/>
  <c r="Q118" i="23"/>
  <c r="R118" i="23"/>
  <c r="S118" i="23"/>
  <c r="U118" i="23"/>
  <c r="V118" i="23"/>
  <c r="W118" i="23"/>
  <c r="X118" i="23"/>
  <c r="Y118" i="23"/>
  <c r="Z118" i="23"/>
  <c r="AA118" i="23"/>
  <c r="AB118" i="23"/>
  <c r="AC118" i="23" s="1"/>
  <c r="AE118" i="23"/>
  <c r="AF118" i="23" s="1"/>
  <c r="AH118" i="23"/>
  <c r="A119" i="23"/>
  <c r="AK119" i="23" s="1"/>
  <c r="E119" i="23"/>
  <c r="F119" i="23" s="1"/>
  <c r="H119" i="23"/>
  <c r="I119" i="23" s="1"/>
  <c r="K119" i="23"/>
  <c r="L119" i="23" s="1"/>
  <c r="N119" i="23"/>
  <c r="O119" i="23"/>
  <c r="P119" i="23"/>
  <c r="Q119" i="23"/>
  <c r="R119" i="23"/>
  <c r="S119" i="23"/>
  <c r="U119" i="23"/>
  <c r="V119" i="23"/>
  <c r="W119" i="23"/>
  <c r="X119" i="23"/>
  <c r="Y119" i="23"/>
  <c r="Z119" i="23"/>
  <c r="AA119" i="23"/>
  <c r="AB119" i="23"/>
  <c r="AC119" i="23" s="1"/>
  <c r="AE119" i="23"/>
  <c r="AF119" i="23" s="1"/>
  <c r="AH119" i="23"/>
  <c r="A120" i="23"/>
  <c r="AK120" i="23" s="1"/>
  <c r="E120" i="23"/>
  <c r="G120" i="23" s="1"/>
  <c r="H120" i="23"/>
  <c r="I120" i="23" s="1"/>
  <c r="K120" i="23"/>
  <c r="L120" i="23" s="1"/>
  <c r="N120" i="23"/>
  <c r="O120" i="23"/>
  <c r="P120" i="23"/>
  <c r="Q120" i="23"/>
  <c r="R120" i="23"/>
  <c r="S120" i="23"/>
  <c r="U120" i="23"/>
  <c r="V120" i="23"/>
  <c r="W120" i="23"/>
  <c r="X120" i="23"/>
  <c r="Y120" i="23"/>
  <c r="Z120" i="23"/>
  <c r="AA120" i="23"/>
  <c r="AB120" i="23"/>
  <c r="AC120" i="23" s="1"/>
  <c r="AE120" i="23"/>
  <c r="AF120" i="23" s="1"/>
  <c r="AH120" i="23"/>
  <c r="A121" i="23"/>
  <c r="AK121" i="23" s="1"/>
  <c r="E121" i="23"/>
  <c r="G121" i="23" s="1"/>
  <c r="H121" i="23"/>
  <c r="I121" i="23" s="1"/>
  <c r="K121" i="23"/>
  <c r="L121" i="23" s="1"/>
  <c r="N121" i="23"/>
  <c r="O121" i="23"/>
  <c r="P121" i="23"/>
  <c r="Q121" i="23"/>
  <c r="R121" i="23"/>
  <c r="S121" i="23"/>
  <c r="U121" i="23"/>
  <c r="V121" i="23"/>
  <c r="W121" i="23"/>
  <c r="X121" i="23"/>
  <c r="Y121" i="23"/>
  <c r="Z121" i="23"/>
  <c r="AA121" i="23"/>
  <c r="AB121" i="23"/>
  <c r="AC121" i="23" s="1"/>
  <c r="AE121" i="23"/>
  <c r="AF121" i="23" s="1"/>
  <c r="AH121" i="23"/>
  <c r="A122" i="23"/>
  <c r="AK122" i="23" s="1"/>
  <c r="E122" i="23"/>
  <c r="G122" i="23" s="1"/>
  <c r="H122" i="23"/>
  <c r="J122" i="23" s="1"/>
  <c r="K122" i="23"/>
  <c r="L122" i="23" s="1"/>
  <c r="N122" i="23"/>
  <c r="O122" i="23"/>
  <c r="P122" i="23"/>
  <c r="Q122" i="23"/>
  <c r="R122" i="23"/>
  <c r="S122" i="23"/>
  <c r="U122" i="23"/>
  <c r="V122" i="23"/>
  <c r="W122" i="23"/>
  <c r="X122" i="23"/>
  <c r="Y122" i="23"/>
  <c r="Z122" i="23"/>
  <c r="AA122" i="23"/>
  <c r="AB122" i="23"/>
  <c r="AD122" i="23" s="1"/>
  <c r="AE122" i="23"/>
  <c r="AG122" i="23" s="1"/>
  <c r="AH122" i="23"/>
  <c r="A123" i="23"/>
  <c r="AK123" i="23" s="1"/>
  <c r="E123" i="23"/>
  <c r="G123" i="23" s="1"/>
  <c r="H123" i="23"/>
  <c r="J123" i="23" s="1"/>
  <c r="K123" i="23"/>
  <c r="M123" i="23" s="1"/>
  <c r="N123" i="23"/>
  <c r="O123" i="23"/>
  <c r="P123" i="23"/>
  <c r="Q123" i="23"/>
  <c r="R123" i="23"/>
  <c r="S123" i="23"/>
  <c r="U123" i="23"/>
  <c r="V123" i="23"/>
  <c r="W123" i="23"/>
  <c r="X123" i="23"/>
  <c r="Y123" i="23"/>
  <c r="Z123" i="23"/>
  <c r="AA123" i="23"/>
  <c r="AB123" i="23"/>
  <c r="AD123" i="23" s="1"/>
  <c r="AE123" i="23"/>
  <c r="AF123" i="23" s="1"/>
  <c r="AH123" i="23"/>
  <c r="A124" i="23"/>
  <c r="AK124" i="23" s="1"/>
  <c r="E124" i="23"/>
  <c r="F124" i="23" s="1"/>
  <c r="H124" i="23"/>
  <c r="I124" i="23" s="1"/>
  <c r="K124" i="23"/>
  <c r="M124" i="23" s="1"/>
  <c r="N124" i="23"/>
  <c r="O124" i="23"/>
  <c r="P124" i="23"/>
  <c r="Q124" i="23"/>
  <c r="R124" i="23"/>
  <c r="S124" i="23"/>
  <c r="U124" i="23"/>
  <c r="V124" i="23"/>
  <c r="W124" i="23"/>
  <c r="X124" i="23"/>
  <c r="Y124" i="23"/>
  <c r="Z124" i="23"/>
  <c r="AA124" i="23"/>
  <c r="AB124" i="23"/>
  <c r="AC124" i="23" s="1"/>
  <c r="AE124" i="23"/>
  <c r="AF124" i="23" s="1"/>
  <c r="AH124" i="23"/>
  <c r="A125" i="23"/>
  <c r="AK125" i="23" s="1"/>
  <c r="E125" i="23"/>
  <c r="F125" i="23" s="1"/>
  <c r="H125" i="23"/>
  <c r="I125" i="23" s="1"/>
  <c r="K125" i="23"/>
  <c r="L125" i="23" s="1"/>
  <c r="N125" i="23"/>
  <c r="O125" i="23"/>
  <c r="P125" i="23"/>
  <c r="Q125" i="23"/>
  <c r="R125" i="23"/>
  <c r="S125" i="23"/>
  <c r="U125" i="23"/>
  <c r="V125" i="23"/>
  <c r="W125" i="23"/>
  <c r="X125" i="23"/>
  <c r="Y125" i="23"/>
  <c r="Z125" i="23"/>
  <c r="AA125" i="23"/>
  <c r="AB125" i="23"/>
  <c r="AC125" i="23" s="1"/>
  <c r="AE125" i="23"/>
  <c r="AG125" i="23" s="1"/>
  <c r="AH125" i="23"/>
  <c r="A126" i="23"/>
  <c r="AK126" i="23" s="1"/>
  <c r="E126" i="23"/>
  <c r="F126" i="23" s="1"/>
  <c r="H126" i="23"/>
  <c r="I126" i="23" s="1"/>
  <c r="K126" i="23"/>
  <c r="L126" i="23" s="1"/>
  <c r="N126" i="23"/>
  <c r="O126" i="23"/>
  <c r="P126" i="23"/>
  <c r="Q126" i="23"/>
  <c r="R126" i="23"/>
  <c r="S126" i="23"/>
  <c r="U126" i="23"/>
  <c r="V126" i="23"/>
  <c r="W126" i="23"/>
  <c r="X126" i="23"/>
  <c r="Y126" i="23"/>
  <c r="Z126" i="23"/>
  <c r="AA126" i="23"/>
  <c r="AB126" i="23"/>
  <c r="AC126" i="23" s="1"/>
  <c r="AE126" i="23"/>
  <c r="AF126" i="23" s="1"/>
  <c r="AH126" i="23"/>
  <c r="A127" i="23"/>
  <c r="AK127" i="23" s="1"/>
  <c r="E127" i="23"/>
  <c r="F127" i="23" s="1"/>
  <c r="H127" i="23"/>
  <c r="I127" i="23" s="1"/>
  <c r="K127" i="23"/>
  <c r="L127" i="23" s="1"/>
  <c r="N127" i="23"/>
  <c r="O127" i="23"/>
  <c r="P127" i="23"/>
  <c r="Q127" i="23"/>
  <c r="R127" i="23"/>
  <c r="S127" i="23"/>
  <c r="U127" i="23"/>
  <c r="V127" i="23"/>
  <c r="W127" i="23"/>
  <c r="X127" i="23"/>
  <c r="Y127" i="23"/>
  <c r="Z127" i="23"/>
  <c r="AA127" i="23"/>
  <c r="AB127" i="23"/>
  <c r="AC127" i="23" s="1"/>
  <c r="AE127" i="23"/>
  <c r="AF127" i="23" s="1"/>
  <c r="AH127" i="23"/>
  <c r="A128" i="23"/>
  <c r="AK128" i="23" s="1"/>
  <c r="E128" i="23"/>
  <c r="G128" i="23" s="1"/>
  <c r="H128" i="23"/>
  <c r="I128" i="23" s="1"/>
  <c r="K128" i="23"/>
  <c r="L128" i="23" s="1"/>
  <c r="N128" i="23"/>
  <c r="O128" i="23"/>
  <c r="P128" i="23"/>
  <c r="Q128" i="23"/>
  <c r="R128" i="23"/>
  <c r="S128" i="23"/>
  <c r="U128" i="23"/>
  <c r="V128" i="23"/>
  <c r="W128" i="23"/>
  <c r="X128" i="23"/>
  <c r="Y128" i="23"/>
  <c r="Z128" i="23"/>
  <c r="AA128" i="23"/>
  <c r="AB128" i="23"/>
  <c r="AC128" i="23" s="1"/>
  <c r="AE128" i="23"/>
  <c r="AF128" i="23" s="1"/>
  <c r="AH128" i="23"/>
  <c r="A129" i="23"/>
  <c r="AK129" i="23" s="1"/>
  <c r="E129" i="23"/>
  <c r="F129" i="23" s="1"/>
  <c r="H129" i="23"/>
  <c r="I129" i="23" s="1"/>
  <c r="K129" i="23"/>
  <c r="L129" i="23" s="1"/>
  <c r="N129" i="23"/>
  <c r="O129" i="23"/>
  <c r="P129" i="23"/>
  <c r="Q129" i="23"/>
  <c r="R129" i="23"/>
  <c r="S129" i="23"/>
  <c r="U129" i="23"/>
  <c r="V129" i="23"/>
  <c r="W129" i="23"/>
  <c r="X129" i="23"/>
  <c r="Y129" i="23"/>
  <c r="Z129" i="23"/>
  <c r="AA129" i="23"/>
  <c r="AB129" i="23"/>
  <c r="AC129" i="23" s="1"/>
  <c r="AE129" i="23"/>
  <c r="AF129" i="23" s="1"/>
  <c r="AH129" i="23"/>
  <c r="A130" i="23"/>
  <c r="AK130" i="23" s="1"/>
  <c r="E130" i="23"/>
  <c r="G130" i="23" s="1"/>
  <c r="H130" i="23"/>
  <c r="J130" i="23" s="1"/>
  <c r="K130" i="23"/>
  <c r="L130" i="23" s="1"/>
  <c r="N130" i="23"/>
  <c r="O130" i="23"/>
  <c r="P130" i="23"/>
  <c r="Q130" i="23"/>
  <c r="R130" i="23"/>
  <c r="S130" i="23"/>
  <c r="U130" i="23"/>
  <c r="V130" i="23"/>
  <c r="W130" i="23"/>
  <c r="X130" i="23"/>
  <c r="Y130" i="23"/>
  <c r="Z130" i="23"/>
  <c r="AA130" i="23"/>
  <c r="AB130" i="23"/>
  <c r="AD130" i="23" s="1"/>
  <c r="AE130" i="23"/>
  <c r="AG130" i="23" s="1"/>
  <c r="AH130" i="23"/>
  <c r="A131" i="23"/>
  <c r="AK131" i="23" s="1"/>
  <c r="E131" i="23"/>
  <c r="G131" i="23" s="1"/>
  <c r="H131" i="23"/>
  <c r="J131" i="23" s="1"/>
  <c r="K131" i="23"/>
  <c r="M131" i="23" s="1"/>
  <c r="N131" i="23"/>
  <c r="O131" i="23"/>
  <c r="P131" i="23"/>
  <c r="Q131" i="23"/>
  <c r="R131" i="23"/>
  <c r="S131" i="23"/>
  <c r="U131" i="23"/>
  <c r="V131" i="23"/>
  <c r="W131" i="23"/>
  <c r="X131" i="23"/>
  <c r="Y131" i="23"/>
  <c r="Z131" i="23"/>
  <c r="AA131" i="23"/>
  <c r="AB131" i="23"/>
  <c r="AD131" i="23" s="1"/>
  <c r="AE131" i="23"/>
  <c r="AF131" i="23" s="1"/>
  <c r="AH131" i="23"/>
  <c r="A132" i="23"/>
  <c r="AK132" i="23" s="1"/>
  <c r="E132" i="23"/>
  <c r="F132" i="23" s="1"/>
  <c r="H132" i="23"/>
  <c r="I132" i="23" s="1"/>
  <c r="K132" i="23"/>
  <c r="M132" i="23" s="1"/>
  <c r="N132" i="23"/>
  <c r="O132" i="23"/>
  <c r="P132" i="23"/>
  <c r="Q132" i="23"/>
  <c r="R132" i="23"/>
  <c r="S132" i="23"/>
  <c r="U132" i="23"/>
  <c r="V132" i="23"/>
  <c r="W132" i="23"/>
  <c r="X132" i="23"/>
  <c r="Y132" i="23"/>
  <c r="Z132" i="23"/>
  <c r="AA132" i="23"/>
  <c r="AB132" i="23"/>
  <c r="AC132" i="23" s="1"/>
  <c r="AE132" i="23"/>
  <c r="AF132" i="23" s="1"/>
  <c r="AH132" i="23"/>
  <c r="A133" i="23"/>
  <c r="AK133" i="23" s="1"/>
  <c r="E133" i="23"/>
  <c r="F133" i="23" s="1"/>
  <c r="H133" i="23"/>
  <c r="I133" i="23" s="1"/>
  <c r="K133" i="23"/>
  <c r="L133" i="23" s="1"/>
  <c r="N133" i="23"/>
  <c r="O133" i="23"/>
  <c r="P133" i="23"/>
  <c r="Q133" i="23"/>
  <c r="R133" i="23"/>
  <c r="S133" i="23"/>
  <c r="U133" i="23"/>
  <c r="V133" i="23"/>
  <c r="W133" i="23"/>
  <c r="X133" i="23"/>
  <c r="Y133" i="23"/>
  <c r="Z133" i="23"/>
  <c r="AA133" i="23"/>
  <c r="AB133" i="23"/>
  <c r="AC133" i="23" s="1"/>
  <c r="AE133" i="23"/>
  <c r="AG133" i="23" s="1"/>
  <c r="AH133" i="23"/>
  <c r="A134" i="23"/>
  <c r="AK134" i="23" s="1"/>
  <c r="E134" i="23"/>
  <c r="F134" i="23" s="1"/>
  <c r="H134" i="23"/>
  <c r="I134" i="23" s="1"/>
  <c r="K134" i="23"/>
  <c r="L134" i="23" s="1"/>
  <c r="N134" i="23"/>
  <c r="O134" i="23"/>
  <c r="P134" i="23"/>
  <c r="Q134" i="23"/>
  <c r="R134" i="23"/>
  <c r="S134" i="23"/>
  <c r="U134" i="23"/>
  <c r="V134" i="23"/>
  <c r="W134" i="23"/>
  <c r="X134" i="23"/>
  <c r="Y134" i="23"/>
  <c r="Z134" i="23"/>
  <c r="AA134" i="23"/>
  <c r="AB134" i="23"/>
  <c r="AC134" i="23" s="1"/>
  <c r="AE134" i="23"/>
  <c r="AF134" i="23" s="1"/>
  <c r="AH134" i="23"/>
  <c r="A135" i="23"/>
  <c r="AK135" i="23" s="1"/>
  <c r="E135" i="23"/>
  <c r="F135" i="23" s="1"/>
  <c r="H135" i="23"/>
  <c r="I135" i="23" s="1"/>
  <c r="K135" i="23"/>
  <c r="L135" i="23" s="1"/>
  <c r="N135" i="23"/>
  <c r="O135" i="23"/>
  <c r="P135" i="23"/>
  <c r="Q135" i="23"/>
  <c r="R135" i="23"/>
  <c r="S135" i="23"/>
  <c r="U135" i="23"/>
  <c r="V135" i="23"/>
  <c r="W135" i="23"/>
  <c r="X135" i="23"/>
  <c r="Y135" i="23"/>
  <c r="Z135" i="23"/>
  <c r="AA135" i="23"/>
  <c r="AB135" i="23"/>
  <c r="AC135" i="23" s="1"/>
  <c r="AE135" i="23"/>
  <c r="AF135" i="23" s="1"/>
  <c r="AH135" i="23"/>
  <c r="A136" i="23"/>
  <c r="AK136" i="23" s="1"/>
  <c r="E136" i="23"/>
  <c r="G136" i="23" s="1"/>
  <c r="H136" i="23"/>
  <c r="I136" i="23" s="1"/>
  <c r="K136" i="23"/>
  <c r="L136" i="23" s="1"/>
  <c r="N136" i="23"/>
  <c r="O136" i="23"/>
  <c r="P136" i="23"/>
  <c r="Q136" i="23"/>
  <c r="R136" i="23"/>
  <c r="S136" i="23"/>
  <c r="U136" i="23"/>
  <c r="V136" i="23"/>
  <c r="W136" i="23"/>
  <c r="X136" i="23"/>
  <c r="Y136" i="23"/>
  <c r="Z136" i="23"/>
  <c r="AA136" i="23"/>
  <c r="AB136" i="23"/>
  <c r="AC136" i="23" s="1"/>
  <c r="AE136" i="23"/>
  <c r="AF136" i="23" s="1"/>
  <c r="AH136" i="23"/>
  <c r="A137" i="23"/>
  <c r="AK137" i="23" s="1"/>
  <c r="E137" i="23"/>
  <c r="G137" i="23" s="1"/>
  <c r="H137" i="23"/>
  <c r="I137" i="23" s="1"/>
  <c r="K137" i="23"/>
  <c r="L137" i="23" s="1"/>
  <c r="N137" i="23"/>
  <c r="O137" i="23"/>
  <c r="P137" i="23"/>
  <c r="Q137" i="23"/>
  <c r="R137" i="23"/>
  <c r="S137" i="23"/>
  <c r="U137" i="23"/>
  <c r="V137" i="23"/>
  <c r="W137" i="23"/>
  <c r="X137" i="23"/>
  <c r="Y137" i="23"/>
  <c r="Z137" i="23"/>
  <c r="AA137" i="23"/>
  <c r="AB137" i="23"/>
  <c r="AC137" i="23" s="1"/>
  <c r="AE137" i="23"/>
  <c r="AF137" i="23" s="1"/>
  <c r="AH137" i="23"/>
  <c r="A138" i="23"/>
  <c r="AK138" i="23" s="1"/>
  <c r="E138" i="23"/>
  <c r="G138" i="23" s="1"/>
  <c r="H138" i="23"/>
  <c r="J138" i="23" s="1"/>
  <c r="K138" i="23"/>
  <c r="L138" i="23" s="1"/>
  <c r="N138" i="23"/>
  <c r="O138" i="23"/>
  <c r="P138" i="23"/>
  <c r="Q138" i="23"/>
  <c r="R138" i="23"/>
  <c r="S138" i="23"/>
  <c r="U138" i="23"/>
  <c r="V138" i="23"/>
  <c r="W138" i="23"/>
  <c r="X138" i="23"/>
  <c r="Y138" i="23"/>
  <c r="Z138" i="23"/>
  <c r="AA138" i="23"/>
  <c r="AB138" i="23"/>
  <c r="AD138" i="23" s="1"/>
  <c r="AE138" i="23"/>
  <c r="AG138" i="23" s="1"/>
  <c r="AH138" i="23"/>
  <c r="A139" i="23"/>
  <c r="AK139" i="23" s="1"/>
  <c r="E139" i="23"/>
  <c r="G139" i="23" s="1"/>
  <c r="H139" i="23"/>
  <c r="J139" i="23" s="1"/>
  <c r="K139" i="23"/>
  <c r="M139" i="23" s="1"/>
  <c r="N139" i="23"/>
  <c r="O139" i="23"/>
  <c r="P139" i="23"/>
  <c r="Q139" i="23"/>
  <c r="R139" i="23"/>
  <c r="S139" i="23"/>
  <c r="U139" i="23"/>
  <c r="V139" i="23"/>
  <c r="W139" i="23"/>
  <c r="X139" i="23"/>
  <c r="Y139" i="23"/>
  <c r="Z139" i="23"/>
  <c r="AA139" i="23"/>
  <c r="AB139" i="23"/>
  <c r="AD139" i="23" s="1"/>
  <c r="AE139" i="23"/>
  <c r="AF139" i="23" s="1"/>
  <c r="AH139" i="23"/>
  <c r="A140" i="23"/>
  <c r="AK140" i="23" s="1"/>
  <c r="E140" i="23"/>
  <c r="F140" i="23" s="1"/>
  <c r="H140" i="23"/>
  <c r="I140" i="23" s="1"/>
  <c r="K140" i="23"/>
  <c r="M140" i="23" s="1"/>
  <c r="N140" i="23"/>
  <c r="O140" i="23"/>
  <c r="P140" i="23"/>
  <c r="Q140" i="23"/>
  <c r="R140" i="23"/>
  <c r="S140" i="23"/>
  <c r="U140" i="23"/>
  <c r="V140" i="23"/>
  <c r="W140" i="23"/>
  <c r="X140" i="23"/>
  <c r="Y140" i="23"/>
  <c r="Z140" i="23"/>
  <c r="AA140" i="23"/>
  <c r="AB140" i="23"/>
  <c r="AC140" i="23" s="1"/>
  <c r="AE140" i="23"/>
  <c r="AF140" i="23" s="1"/>
  <c r="AH140" i="23"/>
  <c r="A141" i="23"/>
  <c r="AK141" i="23" s="1"/>
  <c r="E141" i="23"/>
  <c r="F141" i="23" s="1"/>
  <c r="H141" i="23"/>
  <c r="I141" i="23" s="1"/>
  <c r="K141" i="23"/>
  <c r="L141" i="23" s="1"/>
  <c r="N141" i="23"/>
  <c r="O141" i="23"/>
  <c r="P141" i="23"/>
  <c r="Q141" i="23"/>
  <c r="R141" i="23"/>
  <c r="S141" i="23"/>
  <c r="U141" i="23"/>
  <c r="V141" i="23"/>
  <c r="W141" i="23"/>
  <c r="X141" i="23"/>
  <c r="Y141" i="23"/>
  <c r="Z141" i="23"/>
  <c r="AA141" i="23"/>
  <c r="AB141" i="23"/>
  <c r="AC141" i="23" s="1"/>
  <c r="AE141" i="23"/>
  <c r="AG141" i="23" s="1"/>
  <c r="AH141" i="23"/>
  <c r="A142" i="23"/>
  <c r="AK142" i="23" s="1"/>
  <c r="E142" i="23"/>
  <c r="F142" i="23" s="1"/>
  <c r="H142" i="23"/>
  <c r="I142" i="23" s="1"/>
  <c r="K142" i="23"/>
  <c r="L142" i="23" s="1"/>
  <c r="N142" i="23"/>
  <c r="O142" i="23"/>
  <c r="P142" i="23"/>
  <c r="Q142" i="23"/>
  <c r="R142" i="23"/>
  <c r="S142" i="23"/>
  <c r="U142" i="23"/>
  <c r="V142" i="23"/>
  <c r="W142" i="23"/>
  <c r="X142" i="23"/>
  <c r="Y142" i="23"/>
  <c r="Z142" i="23"/>
  <c r="AA142" i="23"/>
  <c r="AB142" i="23"/>
  <c r="AC142" i="23" s="1"/>
  <c r="AE142" i="23"/>
  <c r="AF142" i="23" s="1"/>
  <c r="AH142" i="23"/>
  <c r="A143" i="23"/>
  <c r="AK143" i="23" s="1"/>
  <c r="E143" i="23"/>
  <c r="F143" i="23" s="1"/>
  <c r="H143" i="23"/>
  <c r="I143" i="23" s="1"/>
  <c r="K143" i="23"/>
  <c r="L143" i="23" s="1"/>
  <c r="N143" i="23"/>
  <c r="O143" i="23"/>
  <c r="P143" i="23"/>
  <c r="Q143" i="23"/>
  <c r="R143" i="23"/>
  <c r="S143" i="23"/>
  <c r="U143" i="23"/>
  <c r="V143" i="23"/>
  <c r="W143" i="23"/>
  <c r="X143" i="23"/>
  <c r="Y143" i="23"/>
  <c r="Z143" i="23"/>
  <c r="AA143" i="23"/>
  <c r="AB143" i="23"/>
  <c r="AC143" i="23" s="1"/>
  <c r="AE143" i="23"/>
  <c r="AF143" i="23" s="1"/>
  <c r="AH143" i="23"/>
  <c r="A144" i="23"/>
  <c r="AK144" i="23" s="1"/>
  <c r="E144" i="23"/>
  <c r="G144" i="23" s="1"/>
  <c r="H144" i="23"/>
  <c r="I144" i="23" s="1"/>
  <c r="K144" i="23"/>
  <c r="L144" i="23" s="1"/>
  <c r="N144" i="23"/>
  <c r="O144" i="23"/>
  <c r="P144" i="23"/>
  <c r="Q144" i="23"/>
  <c r="R144" i="23"/>
  <c r="S144" i="23"/>
  <c r="U144" i="23"/>
  <c r="V144" i="23"/>
  <c r="W144" i="23"/>
  <c r="X144" i="23"/>
  <c r="Y144" i="23"/>
  <c r="Z144" i="23"/>
  <c r="AA144" i="23"/>
  <c r="AB144" i="23"/>
  <c r="AC144" i="23" s="1"/>
  <c r="AE144" i="23"/>
  <c r="AF144" i="23" s="1"/>
  <c r="AH144" i="23"/>
  <c r="A145" i="23"/>
  <c r="AK145" i="23" s="1"/>
  <c r="E145" i="23"/>
  <c r="G145" i="23" s="1"/>
  <c r="H145" i="23"/>
  <c r="I145" i="23" s="1"/>
  <c r="K145" i="23"/>
  <c r="L145" i="23" s="1"/>
  <c r="N145" i="23"/>
  <c r="O145" i="23"/>
  <c r="P145" i="23"/>
  <c r="Q145" i="23"/>
  <c r="R145" i="23"/>
  <c r="S145" i="23"/>
  <c r="U145" i="23"/>
  <c r="V145" i="23"/>
  <c r="W145" i="23"/>
  <c r="X145" i="23"/>
  <c r="Y145" i="23"/>
  <c r="Z145" i="23"/>
  <c r="AA145" i="23"/>
  <c r="AB145" i="23"/>
  <c r="AC145" i="23" s="1"/>
  <c r="AE145" i="23"/>
  <c r="AF145" i="23" s="1"/>
  <c r="AH145" i="23"/>
  <c r="A146" i="23"/>
  <c r="AK146" i="23" s="1"/>
  <c r="E146" i="23"/>
  <c r="G146" i="23" s="1"/>
  <c r="H146" i="23"/>
  <c r="J146" i="23" s="1"/>
  <c r="K146" i="23"/>
  <c r="L146" i="23" s="1"/>
  <c r="N146" i="23"/>
  <c r="O146" i="23"/>
  <c r="P146" i="23"/>
  <c r="Q146" i="23"/>
  <c r="R146" i="23"/>
  <c r="S146" i="23"/>
  <c r="U146" i="23"/>
  <c r="V146" i="23"/>
  <c r="W146" i="23"/>
  <c r="X146" i="23"/>
  <c r="Y146" i="23"/>
  <c r="Z146" i="23"/>
  <c r="AA146" i="23"/>
  <c r="AB146" i="23"/>
  <c r="AD146" i="23" s="1"/>
  <c r="AE146" i="23"/>
  <c r="AG146" i="23" s="1"/>
  <c r="AH146" i="23"/>
  <c r="A147" i="23"/>
  <c r="AK147" i="23" s="1"/>
  <c r="E147" i="23"/>
  <c r="G147" i="23" s="1"/>
  <c r="H147" i="23"/>
  <c r="J147" i="23" s="1"/>
  <c r="K147" i="23"/>
  <c r="M147" i="23" s="1"/>
  <c r="N147" i="23"/>
  <c r="O147" i="23"/>
  <c r="P147" i="23"/>
  <c r="Q147" i="23"/>
  <c r="R147" i="23"/>
  <c r="S147" i="23"/>
  <c r="U147" i="23"/>
  <c r="V147" i="23"/>
  <c r="W147" i="23"/>
  <c r="X147" i="23"/>
  <c r="Y147" i="23"/>
  <c r="Z147" i="23"/>
  <c r="AA147" i="23"/>
  <c r="AB147" i="23"/>
  <c r="AD147" i="23" s="1"/>
  <c r="AE147" i="23"/>
  <c r="AF147" i="23" s="1"/>
  <c r="AH147" i="23"/>
  <c r="A148" i="23"/>
  <c r="AK148" i="23" s="1"/>
  <c r="E148" i="23"/>
  <c r="F148" i="23" s="1"/>
  <c r="H148" i="23"/>
  <c r="I148" i="23" s="1"/>
  <c r="K148" i="23"/>
  <c r="M148" i="23" s="1"/>
  <c r="N148" i="23"/>
  <c r="O148" i="23"/>
  <c r="P148" i="23"/>
  <c r="Q148" i="23"/>
  <c r="R148" i="23"/>
  <c r="S148" i="23"/>
  <c r="U148" i="23"/>
  <c r="V148" i="23"/>
  <c r="W148" i="23"/>
  <c r="X148" i="23"/>
  <c r="Y148" i="23"/>
  <c r="Z148" i="23"/>
  <c r="AA148" i="23"/>
  <c r="AB148" i="23"/>
  <c r="AC148" i="23" s="1"/>
  <c r="AE148" i="23"/>
  <c r="AF148" i="23" s="1"/>
  <c r="AH148" i="23"/>
  <c r="A149" i="23"/>
  <c r="AK149" i="23" s="1"/>
  <c r="E149" i="23"/>
  <c r="F149" i="23" s="1"/>
  <c r="H149" i="23"/>
  <c r="I149" i="23" s="1"/>
  <c r="K149" i="23"/>
  <c r="L149" i="23" s="1"/>
  <c r="N149" i="23"/>
  <c r="O149" i="23"/>
  <c r="P149" i="23"/>
  <c r="Q149" i="23"/>
  <c r="R149" i="23"/>
  <c r="S149" i="23"/>
  <c r="U149" i="23"/>
  <c r="V149" i="23"/>
  <c r="W149" i="23"/>
  <c r="X149" i="23"/>
  <c r="Y149" i="23"/>
  <c r="Z149" i="23"/>
  <c r="AA149" i="23"/>
  <c r="AB149" i="23"/>
  <c r="AC149" i="23" s="1"/>
  <c r="AE149" i="23"/>
  <c r="AG149" i="23" s="1"/>
  <c r="AH149" i="23"/>
  <c r="A150" i="23"/>
  <c r="AK150" i="23" s="1"/>
  <c r="E150" i="23"/>
  <c r="F150" i="23" s="1"/>
  <c r="H150" i="23"/>
  <c r="I150" i="23" s="1"/>
  <c r="K150" i="23"/>
  <c r="L150" i="23" s="1"/>
  <c r="N150" i="23"/>
  <c r="O150" i="23"/>
  <c r="P150" i="23"/>
  <c r="Q150" i="23"/>
  <c r="R150" i="23"/>
  <c r="S150" i="23"/>
  <c r="U150" i="23"/>
  <c r="V150" i="23"/>
  <c r="W150" i="23"/>
  <c r="X150" i="23"/>
  <c r="Y150" i="23"/>
  <c r="Z150" i="23"/>
  <c r="AA150" i="23"/>
  <c r="AB150" i="23"/>
  <c r="AC150" i="23" s="1"/>
  <c r="AE150" i="23"/>
  <c r="AF150" i="23" s="1"/>
  <c r="AH150" i="23"/>
  <c r="A151" i="23"/>
  <c r="AK151" i="23" s="1"/>
  <c r="E151" i="23"/>
  <c r="F151" i="23" s="1"/>
  <c r="H151" i="23"/>
  <c r="I151" i="23" s="1"/>
  <c r="K151" i="23"/>
  <c r="L151" i="23" s="1"/>
  <c r="N151" i="23"/>
  <c r="O151" i="23"/>
  <c r="P151" i="23"/>
  <c r="Q151" i="23"/>
  <c r="R151" i="23"/>
  <c r="S151" i="23"/>
  <c r="U151" i="23"/>
  <c r="V151" i="23"/>
  <c r="W151" i="23"/>
  <c r="X151" i="23"/>
  <c r="Y151" i="23"/>
  <c r="Z151" i="23"/>
  <c r="AA151" i="23"/>
  <c r="AB151" i="23"/>
  <c r="AC151" i="23" s="1"/>
  <c r="AE151" i="23"/>
  <c r="AF151" i="23" s="1"/>
  <c r="AH151" i="23"/>
  <c r="A152" i="23"/>
  <c r="AK152" i="23" s="1"/>
  <c r="E152" i="23"/>
  <c r="G152" i="23" s="1"/>
  <c r="H152" i="23"/>
  <c r="I152" i="23" s="1"/>
  <c r="K152" i="23"/>
  <c r="L152" i="23" s="1"/>
  <c r="N152" i="23"/>
  <c r="O152" i="23"/>
  <c r="P152" i="23"/>
  <c r="Q152" i="23"/>
  <c r="R152" i="23"/>
  <c r="S152" i="23"/>
  <c r="U152" i="23"/>
  <c r="V152" i="23"/>
  <c r="W152" i="23"/>
  <c r="X152" i="23"/>
  <c r="Y152" i="23"/>
  <c r="Z152" i="23"/>
  <c r="AA152" i="23"/>
  <c r="AB152" i="23"/>
  <c r="AC152" i="23" s="1"/>
  <c r="AE152" i="23"/>
  <c r="AF152" i="23" s="1"/>
  <c r="AH152" i="23"/>
  <c r="A153" i="23"/>
  <c r="AK153" i="23" s="1"/>
  <c r="E153" i="23"/>
  <c r="F153" i="23" s="1"/>
  <c r="H153" i="23"/>
  <c r="I153" i="23" s="1"/>
  <c r="K153" i="23"/>
  <c r="L153" i="23" s="1"/>
  <c r="N153" i="23"/>
  <c r="O153" i="23"/>
  <c r="P153" i="23"/>
  <c r="Q153" i="23"/>
  <c r="R153" i="23"/>
  <c r="S153" i="23"/>
  <c r="U153" i="23"/>
  <c r="V153" i="23"/>
  <c r="W153" i="23"/>
  <c r="X153" i="23"/>
  <c r="Y153" i="23"/>
  <c r="Z153" i="23"/>
  <c r="AA153" i="23"/>
  <c r="AB153" i="23"/>
  <c r="AC153" i="23" s="1"/>
  <c r="AE153" i="23"/>
  <c r="AF153" i="23" s="1"/>
  <c r="AH153" i="23"/>
  <c r="A154" i="23"/>
  <c r="AK154" i="23" s="1"/>
  <c r="E154" i="23"/>
  <c r="G154" i="23" s="1"/>
  <c r="H154" i="23"/>
  <c r="J154" i="23" s="1"/>
  <c r="K154" i="23"/>
  <c r="L154" i="23" s="1"/>
  <c r="N154" i="23"/>
  <c r="O154" i="23"/>
  <c r="P154" i="23"/>
  <c r="Q154" i="23"/>
  <c r="R154" i="23"/>
  <c r="S154" i="23"/>
  <c r="U154" i="23"/>
  <c r="V154" i="23"/>
  <c r="W154" i="23"/>
  <c r="X154" i="23"/>
  <c r="Y154" i="23"/>
  <c r="Z154" i="23"/>
  <c r="AA154" i="23"/>
  <c r="AB154" i="23"/>
  <c r="AD154" i="23" s="1"/>
  <c r="AE154" i="23"/>
  <c r="AG154" i="23" s="1"/>
  <c r="AH154" i="23"/>
  <c r="A155" i="23"/>
  <c r="AK155" i="23" s="1"/>
  <c r="E155" i="23"/>
  <c r="G155" i="23" s="1"/>
  <c r="H155" i="23"/>
  <c r="J155" i="23" s="1"/>
  <c r="K155" i="23"/>
  <c r="M155" i="23" s="1"/>
  <c r="N155" i="23"/>
  <c r="O155" i="23"/>
  <c r="P155" i="23"/>
  <c r="Q155" i="23"/>
  <c r="R155" i="23"/>
  <c r="S155" i="23"/>
  <c r="U155" i="23"/>
  <c r="V155" i="23"/>
  <c r="W155" i="23"/>
  <c r="X155" i="23"/>
  <c r="Y155" i="23"/>
  <c r="Z155" i="23"/>
  <c r="AA155" i="23"/>
  <c r="AB155" i="23"/>
  <c r="AD155" i="23" s="1"/>
  <c r="AE155" i="23"/>
  <c r="AF155" i="23" s="1"/>
  <c r="AH155" i="23"/>
  <c r="A156" i="23"/>
  <c r="AK156" i="23" s="1"/>
  <c r="E156" i="23"/>
  <c r="F156" i="23" s="1"/>
  <c r="H156" i="23"/>
  <c r="I156" i="23" s="1"/>
  <c r="K156" i="23"/>
  <c r="M156" i="23" s="1"/>
  <c r="N156" i="23"/>
  <c r="O156" i="23"/>
  <c r="P156" i="23"/>
  <c r="Q156" i="23"/>
  <c r="R156" i="23"/>
  <c r="S156" i="23"/>
  <c r="U156" i="23"/>
  <c r="V156" i="23"/>
  <c r="W156" i="23"/>
  <c r="X156" i="23"/>
  <c r="Y156" i="23"/>
  <c r="Z156" i="23"/>
  <c r="AA156" i="23"/>
  <c r="AB156" i="23"/>
  <c r="AC156" i="23" s="1"/>
  <c r="AE156" i="23"/>
  <c r="AF156" i="23" s="1"/>
  <c r="AH156" i="23"/>
  <c r="A157" i="23"/>
  <c r="AK157" i="23" s="1"/>
  <c r="E157" i="23"/>
  <c r="F157" i="23" s="1"/>
  <c r="H157" i="23"/>
  <c r="I157" i="23" s="1"/>
  <c r="K157" i="23"/>
  <c r="L157" i="23" s="1"/>
  <c r="N157" i="23"/>
  <c r="O157" i="23"/>
  <c r="P157" i="23"/>
  <c r="Q157" i="23"/>
  <c r="R157" i="23"/>
  <c r="S157" i="23"/>
  <c r="U157" i="23"/>
  <c r="V157" i="23"/>
  <c r="W157" i="23"/>
  <c r="X157" i="23"/>
  <c r="Y157" i="23"/>
  <c r="Z157" i="23"/>
  <c r="AA157" i="23"/>
  <c r="AB157" i="23"/>
  <c r="AC157" i="23" s="1"/>
  <c r="AE157" i="23"/>
  <c r="AG157" i="23" s="1"/>
  <c r="AH157" i="23"/>
  <c r="A158" i="23"/>
  <c r="AK158" i="23" s="1"/>
  <c r="E158" i="23"/>
  <c r="F158" i="23" s="1"/>
  <c r="H158" i="23"/>
  <c r="I158" i="23" s="1"/>
  <c r="K158" i="23"/>
  <c r="L158" i="23" s="1"/>
  <c r="N158" i="23"/>
  <c r="O158" i="23"/>
  <c r="P158" i="23"/>
  <c r="Q158" i="23"/>
  <c r="R158" i="23"/>
  <c r="S158" i="23"/>
  <c r="U158" i="23"/>
  <c r="V158" i="23"/>
  <c r="W158" i="23"/>
  <c r="X158" i="23"/>
  <c r="Y158" i="23"/>
  <c r="Z158" i="23"/>
  <c r="AA158" i="23"/>
  <c r="AB158" i="23"/>
  <c r="AC158" i="23" s="1"/>
  <c r="AE158" i="23"/>
  <c r="AF158" i="23" s="1"/>
  <c r="AH158" i="23"/>
  <c r="A159" i="23"/>
  <c r="AK159" i="23" s="1"/>
  <c r="E159" i="23"/>
  <c r="F159" i="23" s="1"/>
  <c r="H159" i="23"/>
  <c r="I159" i="23" s="1"/>
  <c r="K159" i="23"/>
  <c r="L159" i="23" s="1"/>
  <c r="N159" i="23"/>
  <c r="O159" i="23"/>
  <c r="P159" i="23"/>
  <c r="Q159" i="23"/>
  <c r="R159" i="23"/>
  <c r="S159" i="23"/>
  <c r="U159" i="23"/>
  <c r="V159" i="23"/>
  <c r="W159" i="23"/>
  <c r="X159" i="23"/>
  <c r="Y159" i="23"/>
  <c r="Z159" i="23"/>
  <c r="AA159" i="23"/>
  <c r="AB159" i="23"/>
  <c r="AC159" i="23" s="1"/>
  <c r="AE159" i="23"/>
  <c r="AF159" i="23" s="1"/>
  <c r="AH159" i="23"/>
  <c r="A160" i="23"/>
  <c r="AK160" i="23" s="1"/>
  <c r="E160" i="23"/>
  <c r="G160" i="23" s="1"/>
  <c r="H160" i="23"/>
  <c r="I160" i="23" s="1"/>
  <c r="K160" i="23"/>
  <c r="L160" i="23" s="1"/>
  <c r="N160" i="23"/>
  <c r="O160" i="23"/>
  <c r="P160" i="23"/>
  <c r="Q160" i="23"/>
  <c r="R160" i="23"/>
  <c r="S160" i="23"/>
  <c r="U160" i="23"/>
  <c r="V160" i="23"/>
  <c r="W160" i="23"/>
  <c r="X160" i="23"/>
  <c r="Y160" i="23"/>
  <c r="Z160" i="23"/>
  <c r="AA160" i="23"/>
  <c r="AB160" i="23"/>
  <c r="AC160" i="23" s="1"/>
  <c r="AE160" i="23"/>
  <c r="AF160" i="23" s="1"/>
  <c r="AH160" i="23"/>
  <c r="A161" i="23"/>
  <c r="AK161" i="23" s="1"/>
  <c r="E161" i="23"/>
  <c r="G161" i="23" s="1"/>
  <c r="H161" i="23"/>
  <c r="I161" i="23" s="1"/>
  <c r="K161" i="23"/>
  <c r="L161" i="23" s="1"/>
  <c r="N161" i="23"/>
  <c r="O161" i="23"/>
  <c r="P161" i="23"/>
  <c r="Q161" i="23"/>
  <c r="R161" i="23"/>
  <c r="S161" i="23"/>
  <c r="U161" i="23"/>
  <c r="V161" i="23"/>
  <c r="W161" i="23"/>
  <c r="X161" i="23"/>
  <c r="Y161" i="23"/>
  <c r="Z161" i="23"/>
  <c r="AA161" i="23"/>
  <c r="AB161" i="23"/>
  <c r="AC161" i="23" s="1"/>
  <c r="AE161" i="23"/>
  <c r="AF161" i="23" s="1"/>
  <c r="AH161" i="23"/>
  <c r="A162" i="23"/>
  <c r="AK162" i="23" s="1"/>
  <c r="E162" i="23"/>
  <c r="G162" i="23" s="1"/>
  <c r="H162" i="23"/>
  <c r="J162" i="23" s="1"/>
  <c r="K162" i="23"/>
  <c r="L162" i="23" s="1"/>
  <c r="N162" i="23"/>
  <c r="O162" i="23"/>
  <c r="P162" i="23"/>
  <c r="Q162" i="23"/>
  <c r="R162" i="23"/>
  <c r="S162" i="23"/>
  <c r="U162" i="23"/>
  <c r="V162" i="23"/>
  <c r="W162" i="23"/>
  <c r="X162" i="23"/>
  <c r="Y162" i="23"/>
  <c r="Z162" i="23"/>
  <c r="AA162" i="23"/>
  <c r="AB162" i="23"/>
  <c r="AD162" i="23" s="1"/>
  <c r="AE162" i="23"/>
  <c r="AG162" i="23" s="1"/>
  <c r="AH162" i="23"/>
  <c r="A163" i="23"/>
  <c r="AK163" i="23" s="1"/>
  <c r="E163" i="23"/>
  <c r="G163" i="23" s="1"/>
  <c r="H163" i="23"/>
  <c r="J163" i="23" s="1"/>
  <c r="K163" i="23"/>
  <c r="M163" i="23" s="1"/>
  <c r="N163" i="23"/>
  <c r="O163" i="23"/>
  <c r="P163" i="23"/>
  <c r="Q163" i="23"/>
  <c r="R163" i="23"/>
  <c r="S163" i="23"/>
  <c r="U163" i="23"/>
  <c r="V163" i="23"/>
  <c r="W163" i="23"/>
  <c r="X163" i="23"/>
  <c r="Y163" i="23"/>
  <c r="Z163" i="23"/>
  <c r="AA163" i="23"/>
  <c r="AB163" i="23"/>
  <c r="AD163" i="23" s="1"/>
  <c r="AE163" i="23"/>
  <c r="AF163" i="23" s="1"/>
  <c r="AH163" i="23"/>
  <c r="A164" i="23"/>
  <c r="AK164" i="23" s="1"/>
  <c r="E164" i="23"/>
  <c r="F164" i="23" s="1"/>
  <c r="H164" i="23"/>
  <c r="I164" i="23" s="1"/>
  <c r="K164" i="23"/>
  <c r="M164" i="23" s="1"/>
  <c r="N164" i="23"/>
  <c r="O164" i="23"/>
  <c r="P164" i="23"/>
  <c r="Q164" i="23"/>
  <c r="R164" i="23"/>
  <c r="S164" i="23"/>
  <c r="U164" i="23"/>
  <c r="V164" i="23"/>
  <c r="W164" i="23"/>
  <c r="X164" i="23"/>
  <c r="Y164" i="23"/>
  <c r="Z164" i="23"/>
  <c r="AA164" i="23"/>
  <c r="AB164" i="23"/>
  <c r="AC164" i="23" s="1"/>
  <c r="AE164" i="23"/>
  <c r="AF164" i="23" s="1"/>
  <c r="AH164" i="23"/>
  <c r="A165" i="23"/>
  <c r="AK165" i="23" s="1"/>
  <c r="E165" i="23"/>
  <c r="F165" i="23" s="1"/>
  <c r="H165" i="23"/>
  <c r="I165" i="23" s="1"/>
  <c r="K165" i="23"/>
  <c r="L165" i="23" s="1"/>
  <c r="N165" i="23"/>
  <c r="O165" i="23"/>
  <c r="P165" i="23"/>
  <c r="Q165" i="23"/>
  <c r="R165" i="23"/>
  <c r="S165" i="23"/>
  <c r="U165" i="23"/>
  <c r="V165" i="23"/>
  <c r="W165" i="23"/>
  <c r="X165" i="23"/>
  <c r="Y165" i="23"/>
  <c r="Z165" i="23"/>
  <c r="AA165" i="23"/>
  <c r="AB165" i="23"/>
  <c r="AC165" i="23" s="1"/>
  <c r="AE165" i="23"/>
  <c r="AG165" i="23" s="1"/>
  <c r="AH165" i="23"/>
  <c r="A166" i="23"/>
  <c r="AK166" i="23" s="1"/>
  <c r="E166" i="23"/>
  <c r="F166" i="23" s="1"/>
  <c r="H166" i="23"/>
  <c r="I166" i="23" s="1"/>
  <c r="K166" i="23"/>
  <c r="L166" i="23" s="1"/>
  <c r="N166" i="23"/>
  <c r="O166" i="23"/>
  <c r="P166" i="23"/>
  <c r="Q166" i="23"/>
  <c r="R166" i="23"/>
  <c r="S166" i="23"/>
  <c r="U166" i="23"/>
  <c r="V166" i="23"/>
  <c r="W166" i="23"/>
  <c r="X166" i="23"/>
  <c r="Y166" i="23"/>
  <c r="Z166" i="23"/>
  <c r="AA166" i="23"/>
  <c r="AB166" i="23"/>
  <c r="AC166" i="23" s="1"/>
  <c r="AE166" i="23"/>
  <c r="AF166" i="23" s="1"/>
  <c r="AH166" i="23"/>
  <c r="A167" i="23"/>
  <c r="AK167" i="23" s="1"/>
  <c r="E167" i="23"/>
  <c r="F167" i="23" s="1"/>
  <c r="H167" i="23"/>
  <c r="I167" i="23" s="1"/>
  <c r="K167" i="23"/>
  <c r="L167" i="23" s="1"/>
  <c r="N167" i="23"/>
  <c r="O167" i="23"/>
  <c r="P167" i="23"/>
  <c r="Q167" i="23"/>
  <c r="R167" i="23"/>
  <c r="S167" i="23"/>
  <c r="U167" i="23"/>
  <c r="V167" i="23"/>
  <c r="W167" i="23"/>
  <c r="X167" i="23"/>
  <c r="Y167" i="23"/>
  <c r="Z167" i="23"/>
  <c r="AA167" i="23"/>
  <c r="AB167" i="23"/>
  <c r="AC167" i="23" s="1"/>
  <c r="AE167" i="23"/>
  <c r="AF167" i="23" s="1"/>
  <c r="AH167" i="23"/>
  <c r="A168" i="23"/>
  <c r="AK168" i="23" s="1"/>
  <c r="E168" i="23"/>
  <c r="G168" i="23" s="1"/>
  <c r="H168" i="23"/>
  <c r="I168" i="23" s="1"/>
  <c r="K168" i="23"/>
  <c r="L168" i="23" s="1"/>
  <c r="N168" i="23"/>
  <c r="O168" i="23"/>
  <c r="P168" i="23"/>
  <c r="Q168" i="23"/>
  <c r="R168" i="23"/>
  <c r="S168" i="23"/>
  <c r="U168" i="23"/>
  <c r="V168" i="23"/>
  <c r="W168" i="23"/>
  <c r="X168" i="23"/>
  <c r="Y168" i="23"/>
  <c r="Z168" i="23"/>
  <c r="AA168" i="23"/>
  <c r="AB168" i="23"/>
  <c r="AC168" i="23" s="1"/>
  <c r="AE168" i="23"/>
  <c r="AF168" i="23" s="1"/>
  <c r="AH168" i="23"/>
  <c r="A169" i="23"/>
  <c r="AK169" i="23" s="1"/>
  <c r="E169" i="23"/>
  <c r="F169" i="23" s="1"/>
  <c r="H169" i="23"/>
  <c r="I169" i="23" s="1"/>
  <c r="K169" i="23"/>
  <c r="L169" i="23" s="1"/>
  <c r="N169" i="23"/>
  <c r="O169" i="23"/>
  <c r="P169" i="23"/>
  <c r="Q169" i="23"/>
  <c r="R169" i="23"/>
  <c r="S169" i="23"/>
  <c r="U169" i="23"/>
  <c r="V169" i="23"/>
  <c r="W169" i="23"/>
  <c r="X169" i="23"/>
  <c r="Y169" i="23"/>
  <c r="Z169" i="23"/>
  <c r="AA169" i="23"/>
  <c r="AB169" i="23"/>
  <c r="AC169" i="23" s="1"/>
  <c r="AE169" i="23"/>
  <c r="AF169" i="23" s="1"/>
  <c r="AH169" i="23"/>
  <c r="A170" i="23"/>
  <c r="AK170" i="23" s="1"/>
  <c r="E170" i="23"/>
  <c r="G170" i="23" s="1"/>
  <c r="H170" i="23"/>
  <c r="J170" i="23" s="1"/>
  <c r="K170" i="23"/>
  <c r="L170" i="23" s="1"/>
  <c r="N170" i="23"/>
  <c r="O170" i="23"/>
  <c r="P170" i="23"/>
  <c r="Q170" i="23"/>
  <c r="R170" i="23"/>
  <c r="S170" i="23"/>
  <c r="U170" i="23"/>
  <c r="V170" i="23"/>
  <c r="W170" i="23"/>
  <c r="X170" i="23"/>
  <c r="Y170" i="23"/>
  <c r="Z170" i="23"/>
  <c r="AA170" i="23"/>
  <c r="AB170" i="23"/>
  <c r="AD170" i="23" s="1"/>
  <c r="AE170" i="23"/>
  <c r="AG170" i="23" s="1"/>
  <c r="AH170" i="23"/>
  <c r="A171" i="23"/>
  <c r="AK171" i="23" s="1"/>
  <c r="E171" i="23"/>
  <c r="G171" i="23" s="1"/>
  <c r="H171" i="23"/>
  <c r="J171" i="23" s="1"/>
  <c r="K171" i="23"/>
  <c r="M171" i="23" s="1"/>
  <c r="N171" i="23"/>
  <c r="O171" i="23"/>
  <c r="P171" i="23"/>
  <c r="Q171" i="23"/>
  <c r="R171" i="23"/>
  <c r="S171" i="23"/>
  <c r="U171" i="23"/>
  <c r="V171" i="23"/>
  <c r="W171" i="23"/>
  <c r="X171" i="23"/>
  <c r="Y171" i="23"/>
  <c r="Z171" i="23"/>
  <c r="AA171" i="23"/>
  <c r="AB171" i="23"/>
  <c r="AD171" i="23" s="1"/>
  <c r="AE171" i="23"/>
  <c r="AF171" i="23" s="1"/>
  <c r="AH171" i="23"/>
  <c r="A172" i="23"/>
  <c r="AK172" i="23" s="1"/>
  <c r="E172" i="23"/>
  <c r="F172" i="23" s="1"/>
  <c r="H172" i="23"/>
  <c r="I172" i="23" s="1"/>
  <c r="K172" i="23"/>
  <c r="M172" i="23" s="1"/>
  <c r="N172" i="23"/>
  <c r="O172" i="23"/>
  <c r="P172" i="23"/>
  <c r="Q172" i="23"/>
  <c r="R172" i="23"/>
  <c r="S172" i="23"/>
  <c r="U172" i="23"/>
  <c r="V172" i="23"/>
  <c r="W172" i="23"/>
  <c r="X172" i="23"/>
  <c r="Y172" i="23"/>
  <c r="Z172" i="23"/>
  <c r="AA172" i="23"/>
  <c r="AB172" i="23"/>
  <c r="AC172" i="23" s="1"/>
  <c r="AE172" i="23"/>
  <c r="AF172" i="23" s="1"/>
  <c r="AH172" i="23"/>
  <c r="A173" i="23"/>
  <c r="AK173" i="23" s="1"/>
  <c r="E173" i="23"/>
  <c r="F173" i="23" s="1"/>
  <c r="H173" i="23"/>
  <c r="I173" i="23" s="1"/>
  <c r="K173" i="23"/>
  <c r="L173" i="23" s="1"/>
  <c r="N173" i="23"/>
  <c r="O173" i="23"/>
  <c r="P173" i="23"/>
  <c r="Q173" i="23"/>
  <c r="R173" i="23"/>
  <c r="S173" i="23"/>
  <c r="U173" i="23"/>
  <c r="V173" i="23"/>
  <c r="W173" i="23"/>
  <c r="X173" i="23"/>
  <c r="Y173" i="23"/>
  <c r="Z173" i="23"/>
  <c r="AA173" i="23"/>
  <c r="AB173" i="23"/>
  <c r="AC173" i="23" s="1"/>
  <c r="AE173" i="23"/>
  <c r="AG173" i="23" s="1"/>
  <c r="AH173" i="23"/>
  <c r="A174" i="23"/>
  <c r="AK174" i="23" s="1"/>
  <c r="E174" i="23"/>
  <c r="F174" i="23" s="1"/>
  <c r="H174" i="23"/>
  <c r="I174" i="23" s="1"/>
  <c r="K174" i="23"/>
  <c r="L174" i="23" s="1"/>
  <c r="N174" i="23"/>
  <c r="O174" i="23"/>
  <c r="P174" i="23"/>
  <c r="Q174" i="23"/>
  <c r="R174" i="23"/>
  <c r="S174" i="23"/>
  <c r="U174" i="23"/>
  <c r="V174" i="23"/>
  <c r="W174" i="23"/>
  <c r="X174" i="23"/>
  <c r="Y174" i="23"/>
  <c r="Z174" i="23"/>
  <c r="AA174" i="23"/>
  <c r="AB174" i="23"/>
  <c r="AC174" i="23" s="1"/>
  <c r="AE174" i="23"/>
  <c r="AF174" i="23" s="1"/>
  <c r="AH174" i="23"/>
  <c r="A175" i="23"/>
  <c r="AK175" i="23" s="1"/>
  <c r="E175" i="23"/>
  <c r="F175" i="23" s="1"/>
  <c r="H175" i="23"/>
  <c r="I175" i="23" s="1"/>
  <c r="K175" i="23"/>
  <c r="L175" i="23" s="1"/>
  <c r="N175" i="23"/>
  <c r="O175" i="23"/>
  <c r="P175" i="23"/>
  <c r="Q175" i="23"/>
  <c r="R175" i="23"/>
  <c r="S175" i="23"/>
  <c r="U175" i="23"/>
  <c r="V175" i="23"/>
  <c r="W175" i="23"/>
  <c r="X175" i="23"/>
  <c r="Y175" i="23"/>
  <c r="Z175" i="23"/>
  <c r="AA175" i="23"/>
  <c r="AB175" i="23"/>
  <c r="AC175" i="23" s="1"/>
  <c r="AE175" i="23"/>
  <c r="AF175" i="23" s="1"/>
  <c r="AH175" i="23"/>
  <c r="A176" i="23"/>
  <c r="AK176" i="23" s="1"/>
  <c r="E176" i="23"/>
  <c r="G176" i="23" s="1"/>
  <c r="H176" i="23"/>
  <c r="I176" i="23" s="1"/>
  <c r="K176" i="23"/>
  <c r="L176" i="23" s="1"/>
  <c r="N176" i="23"/>
  <c r="O176" i="23"/>
  <c r="P176" i="23"/>
  <c r="Q176" i="23"/>
  <c r="R176" i="23"/>
  <c r="S176" i="23"/>
  <c r="U176" i="23"/>
  <c r="V176" i="23"/>
  <c r="W176" i="23"/>
  <c r="X176" i="23"/>
  <c r="Y176" i="23"/>
  <c r="Z176" i="23"/>
  <c r="AA176" i="23"/>
  <c r="AB176" i="23"/>
  <c r="AC176" i="23" s="1"/>
  <c r="AE176" i="23"/>
  <c r="AF176" i="23" s="1"/>
  <c r="AH176" i="23"/>
  <c r="A177" i="23"/>
  <c r="AK177" i="23" s="1"/>
  <c r="E177" i="23"/>
  <c r="F177" i="23" s="1"/>
  <c r="H177" i="23"/>
  <c r="I177" i="23" s="1"/>
  <c r="K177" i="23"/>
  <c r="L177" i="23" s="1"/>
  <c r="N177" i="23"/>
  <c r="O177" i="23"/>
  <c r="P177" i="23"/>
  <c r="Q177" i="23"/>
  <c r="R177" i="23"/>
  <c r="S177" i="23"/>
  <c r="U177" i="23"/>
  <c r="V177" i="23"/>
  <c r="W177" i="23"/>
  <c r="X177" i="23"/>
  <c r="Y177" i="23"/>
  <c r="Z177" i="23"/>
  <c r="AA177" i="23"/>
  <c r="AB177" i="23"/>
  <c r="AC177" i="23" s="1"/>
  <c r="AE177" i="23"/>
  <c r="AF177" i="23" s="1"/>
  <c r="AH177" i="23"/>
  <c r="A178" i="23"/>
  <c r="AK178" i="23" s="1"/>
  <c r="E178" i="23"/>
  <c r="G178" i="23" s="1"/>
  <c r="H178" i="23"/>
  <c r="J178" i="23" s="1"/>
  <c r="K178" i="23"/>
  <c r="L178" i="23" s="1"/>
  <c r="N178" i="23"/>
  <c r="O178" i="23"/>
  <c r="P178" i="23"/>
  <c r="Q178" i="23"/>
  <c r="R178" i="23"/>
  <c r="S178" i="23"/>
  <c r="U178" i="23"/>
  <c r="V178" i="23"/>
  <c r="W178" i="23"/>
  <c r="X178" i="23"/>
  <c r="Y178" i="23"/>
  <c r="Z178" i="23"/>
  <c r="AA178" i="23"/>
  <c r="AB178" i="23"/>
  <c r="AD178" i="23" s="1"/>
  <c r="AE178" i="23"/>
  <c r="AG178" i="23" s="1"/>
  <c r="AH178" i="23"/>
  <c r="A179" i="23"/>
  <c r="AK179" i="23" s="1"/>
  <c r="E179" i="23"/>
  <c r="G179" i="23" s="1"/>
  <c r="H179" i="23"/>
  <c r="J179" i="23" s="1"/>
  <c r="K179" i="23"/>
  <c r="M179" i="23" s="1"/>
  <c r="N179" i="23"/>
  <c r="O179" i="23"/>
  <c r="P179" i="23"/>
  <c r="Q179" i="23"/>
  <c r="R179" i="23"/>
  <c r="S179" i="23"/>
  <c r="U179" i="23"/>
  <c r="V179" i="23"/>
  <c r="W179" i="23"/>
  <c r="X179" i="23"/>
  <c r="Y179" i="23"/>
  <c r="Z179" i="23"/>
  <c r="AA179" i="23"/>
  <c r="AB179" i="23"/>
  <c r="AD179" i="23" s="1"/>
  <c r="AE179" i="23"/>
  <c r="AF179" i="23" s="1"/>
  <c r="AH179" i="23"/>
  <c r="A180" i="23"/>
  <c r="AK180" i="23" s="1"/>
  <c r="E180" i="23"/>
  <c r="F180" i="23" s="1"/>
  <c r="H180" i="23"/>
  <c r="I180" i="23" s="1"/>
  <c r="K180" i="23"/>
  <c r="M180" i="23" s="1"/>
  <c r="N180" i="23"/>
  <c r="O180" i="23"/>
  <c r="P180" i="23"/>
  <c r="Q180" i="23"/>
  <c r="R180" i="23"/>
  <c r="S180" i="23"/>
  <c r="U180" i="23"/>
  <c r="V180" i="23"/>
  <c r="W180" i="23"/>
  <c r="X180" i="23"/>
  <c r="Y180" i="23"/>
  <c r="Z180" i="23"/>
  <c r="AA180" i="23"/>
  <c r="AB180" i="23"/>
  <c r="AC180" i="23" s="1"/>
  <c r="AE180" i="23"/>
  <c r="AF180" i="23" s="1"/>
  <c r="AH180" i="23"/>
  <c r="A181" i="23"/>
  <c r="AK181" i="23" s="1"/>
  <c r="E181" i="23"/>
  <c r="F181" i="23" s="1"/>
  <c r="H181" i="23"/>
  <c r="I181" i="23" s="1"/>
  <c r="K181" i="23"/>
  <c r="L181" i="23" s="1"/>
  <c r="N181" i="23"/>
  <c r="O181" i="23"/>
  <c r="P181" i="23"/>
  <c r="Q181" i="23"/>
  <c r="R181" i="23"/>
  <c r="S181" i="23"/>
  <c r="U181" i="23"/>
  <c r="V181" i="23"/>
  <c r="W181" i="23"/>
  <c r="X181" i="23"/>
  <c r="Y181" i="23"/>
  <c r="Z181" i="23"/>
  <c r="AA181" i="23"/>
  <c r="AB181" i="23"/>
  <c r="AC181" i="23" s="1"/>
  <c r="AE181" i="23"/>
  <c r="AG181" i="23" s="1"/>
  <c r="AH181" i="23"/>
  <c r="A182" i="23"/>
  <c r="AK182" i="23" s="1"/>
  <c r="E182" i="23"/>
  <c r="F182" i="23" s="1"/>
  <c r="H182" i="23"/>
  <c r="I182" i="23" s="1"/>
  <c r="K182" i="23"/>
  <c r="L182" i="23" s="1"/>
  <c r="N182" i="23"/>
  <c r="O182" i="23"/>
  <c r="P182" i="23"/>
  <c r="Q182" i="23"/>
  <c r="R182" i="23"/>
  <c r="S182" i="23"/>
  <c r="U182" i="23"/>
  <c r="V182" i="23"/>
  <c r="W182" i="23"/>
  <c r="X182" i="23"/>
  <c r="Y182" i="23"/>
  <c r="Z182" i="23"/>
  <c r="AA182" i="23"/>
  <c r="AB182" i="23"/>
  <c r="AC182" i="23" s="1"/>
  <c r="AE182" i="23"/>
  <c r="AF182" i="23" s="1"/>
  <c r="AH182" i="23"/>
  <c r="A183" i="23"/>
  <c r="AK183" i="23" s="1"/>
  <c r="E183" i="23"/>
  <c r="F183" i="23" s="1"/>
  <c r="H183" i="23"/>
  <c r="I183" i="23" s="1"/>
  <c r="K183" i="23"/>
  <c r="L183" i="23" s="1"/>
  <c r="N183" i="23"/>
  <c r="O183" i="23"/>
  <c r="P183" i="23"/>
  <c r="Q183" i="23"/>
  <c r="R183" i="23"/>
  <c r="S183" i="23"/>
  <c r="U183" i="23"/>
  <c r="V183" i="23"/>
  <c r="W183" i="23"/>
  <c r="X183" i="23"/>
  <c r="Y183" i="23"/>
  <c r="Z183" i="23"/>
  <c r="AA183" i="23"/>
  <c r="AB183" i="23"/>
  <c r="AC183" i="23" s="1"/>
  <c r="AE183" i="23"/>
  <c r="AF183" i="23" s="1"/>
  <c r="AH183" i="23"/>
  <c r="A184" i="23"/>
  <c r="AK184" i="23" s="1"/>
  <c r="E184" i="23"/>
  <c r="G184" i="23" s="1"/>
  <c r="H184" i="23"/>
  <c r="I184" i="23" s="1"/>
  <c r="K184" i="23"/>
  <c r="L184" i="23" s="1"/>
  <c r="N184" i="23"/>
  <c r="O184" i="23"/>
  <c r="P184" i="23"/>
  <c r="Q184" i="23"/>
  <c r="R184" i="23"/>
  <c r="S184" i="23"/>
  <c r="U184" i="23"/>
  <c r="V184" i="23"/>
  <c r="W184" i="23"/>
  <c r="X184" i="23"/>
  <c r="Y184" i="23"/>
  <c r="Z184" i="23"/>
  <c r="AA184" i="23"/>
  <c r="AB184" i="23"/>
  <c r="AC184" i="23" s="1"/>
  <c r="AE184" i="23"/>
  <c r="AF184" i="23" s="1"/>
  <c r="AH184" i="23"/>
  <c r="A185" i="23"/>
  <c r="AK185" i="23" s="1"/>
  <c r="E185" i="23"/>
  <c r="G185" i="23" s="1"/>
  <c r="H185" i="23"/>
  <c r="I185" i="23" s="1"/>
  <c r="K185" i="23"/>
  <c r="L185" i="23" s="1"/>
  <c r="N185" i="23"/>
  <c r="O185" i="23"/>
  <c r="P185" i="23"/>
  <c r="Q185" i="23"/>
  <c r="R185" i="23"/>
  <c r="S185" i="23"/>
  <c r="U185" i="23"/>
  <c r="V185" i="23"/>
  <c r="W185" i="23"/>
  <c r="X185" i="23"/>
  <c r="Y185" i="23"/>
  <c r="Z185" i="23"/>
  <c r="AA185" i="23"/>
  <c r="AB185" i="23"/>
  <c r="AC185" i="23" s="1"/>
  <c r="AE185" i="23"/>
  <c r="AF185" i="23" s="1"/>
  <c r="AH185" i="23"/>
  <c r="A186" i="23"/>
  <c r="AK186" i="23" s="1"/>
  <c r="E186" i="23"/>
  <c r="G186" i="23" s="1"/>
  <c r="H186" i="23"/>
  <c r="J186" i="23" s="1"/>
  <c r="K186" i="23"/>
  <c r="L186" i="23" s="1"/>
  <c r="N186" i="23"/>
  <c r="O186" i="23"/>
  <c r="P186" i="23"/>
  <c r="Q186" i="23"/>
  <c r="R186" i="23"/>
  <c r="S186" i="23"/>
  <c r="U186" i="23"/>
  <c r="V186" i="23"/>
  <c r="W186" i="23"/>
  <c r="X186" i="23"/>
  <c r="Y186" i="23"/>
  <c r="Z186" i="23"/>
  <c r="AA186" i="23"/>
  <c r="AB186" i="23"/>
  <c r="AD186" i="23" s="1"/>
  <c r="AE186" i="23"/>
  <c r="AG186" i="23" s="1"/>
  <c r="AH186" i="23"/>
  <c r="A187" i="23"/>
  <c r="AK187" i="23" s="1"/>
  <c r="E187" i="23"/>
  <c r="G187" i="23" s="1"/>
  <c r="H187" i="23"/>
  <c r="J187" i="23" s="1"/>
  <c r="K187" i="23"/>
  <c r="M187" i="23" s="1"/>
  <c r="N187" i="23"/>
  <c r="O187" i="23"/>
  <c r="P187" i="23"/>
  <c r="Q187" i="23"/>
  <c r="R187" i="23"/>
  <c r="S187" i="23"/>
  <c r="U187" i="23"/>
  <c r="V187" i="23"/>
  <c r="W187" i="23"/>
  <c r="X187" i="23"/>
  <c r="Y187" i="23"/>
  <c r="Z187" i="23"/>
  <c r="AA187" i="23"/>
  <c r="AB187" i="23"/>
  <c r="AD187" i="23" s="1"/>
  <c r="AE187" i="23"/>
  <c r="AF187" i="23" s="1"/>
  <c r="AH187" i="23"/>
  <c r="A188" i="23"/>
  <c r="AK188" i="23" s="1"/>
  <c r="E188" i="23"/>
  <c r="F188" i="23" s="1"/>
  <c r="H188" i="23"/>
  <c r="I188" i="23" s="1"/>
  <c r="K188" i="23"/>
  <c r="M188" i="23" s="1"/>
  <c r="N188" i="23"/>
  <c r="O188" i="23"/>
  <c r="P188" i="23"/>
  <c r="Q188" i="23"/>
  <c r="R188" i="23"/>
  <c r="S188" i="23"/>
  <c r="U188" i="23"/>
  <c r="V188" i="23"/>
  <c r="W188" i="23"/>
  <c r="X188" i="23"/>
  <c r="Y188" i="23"/>
  <c r="Z188" i="23"/>
  <c r="AA188" i="23"/>
  <c r="AB188" i="23"/>
  <c r="AC188" i="23" s="1"/>
  <c r="AE188" i="23"/>
  <c r="AF188" i="23" s="1"/>
  <c r="AH188" i="23"/>
  <c r="A189" i="23"/>
  <c r="AK189" i="23" s="1"/>
  <c r="E189" i="23"/>
  <c r="F189" i="23" s="1"/>
  <c r="H189" i="23"/>
  <c r="I189" i="23" s="1"/>
  <c r="K189" i="23"/>
  <c r="L189" i="23" s="1"/>
  <c r="N189" i="23"/>
  <c r="O189" i="23"/>
  <c r="P189" i="23"/>
  <c r="Q189" i="23"/>
  <c r="R189" i="23"/>
  <c r="S189" i="23"/>
  <c r="U189" i="23"/>
  <c r="V189" i="23"/>
  <c r="W189" i="23"/>
  <c r="X189" i="23"/>
  <c r="Y189" i="23"/>
  <c r="Z189" i="23"/>
  <c r="AA189" i="23"/>
  <c r="AB189" i="23"/>
  <c r="AC189" i="23" s="1"/>
  <c r="AE189" i="23"/>
  <c r="AG189" i="23" s="1"/>
  <c r="AH189" i="23"/>
  <c r="A190" i="23"/>
  <c r="AK190" i="23" s="1"/>
  <c r="E190" i="23"/>
  <c r="F190" i="23" s="1"/>
  <c r="H190" i="23"/>
  <c r="I190" i="23" s="1"/>
  <c r="K190" i="23"/>
  <c r="L190" i="23" s="1"/>
  <c r="N190" i="23"/>
  <c r="O190" i="23"/>
  <c r="P190" i="23"/>
  <c r="Q190" i="23"/>
  <c r="R190" i="23"/>
  <c r="S190" i="23"/>
  <c r="U190" i="23"/>
  <c r="V190" i="23"/>
  <c r="W190" i="23"/>
  <c r="X190" i="23"/>
  <c r="Y190" i="23"/>
  <c r="Z190" i="23"/>
  <c r="AA190" i="23"/>
  <c r="AB190" i="23"/>
  <c r="AC190" i="23" s="1"/>
  <c r="AE190" i="23"/>
  <c r="AF190" i="23" s="1"/>
  <c r="AH190" i="23"/>
  <c r="A191" i="23"/>
  <c r="AK191" i="23" s="1"/>
  <c r="E191" i="23"/>
  <c r="F191" i="23" s="1"/>
  <c r="H191" i="23"/>
  <c r="I191" i="23" s="1"/>
  <c r="K191" i="23"/>
  <c r="L191" i="23" s="1"/>
  <c r="N191" i="23"/>
  <c r="O191" i="23"/>
  <c r="P191" i="23"/>
  <c r="Q191" i="23"/>
  <c r="R191" i="23"/>
  <c r="S191" i="23"/>
  <c r="U191" i="23"/>
  <c r="V191" i="23"/>
  <c r="W191" i="23"/>
  <c r="X191" i="23"/>
  <c r="Y191" i="23"/>
  <c r="Z191" i="23"/>
  <c r="AA191" i="23"/>
  <c r="AB191" i="23"/>
  <c r="AC191" i="23" s="1"/>
  <c r="AE191" i="23"/>
  <c r="AF191" i="23" s="1"/>
  <c r="AH191" i="23"/>
  <c r="A192" i="23"/>
  <c r="AK192" i="23" s="1"/>
  <c r="E192" i="23"/>
  <c r="G192" i="23" s="1"/>
  <c r="H192" i="23"/>
  <c r="I192" i="23" s="1"/>
  <c r="K192" i="23"/>
  <c r="L192" i="23" s="1"/>
  <c r="N192" i="23"/>
  <c r="O192" i="23"/>
  <c r="P192" i="23"/>
  <c r="Q192" i="23"/>
  <c r="R192" i="23"/>
  <c r="S192" i="23"/>
  <c r="U192" i="23"/>
  <c r="V192" i="23"/>
  <c r="W192" i="23"/>
  <c r="X192" i="23"/>
  <c r="Y192" i="23"/>
  <c r="Z192" i="23"/>
  <c r="AA192" i="23"/>
  <c r="AB192" i="23"/>
  <c r="AC192" i="23" s="1"/>
  <c r="AE192" i="23"/>
  <c r="AF192" i="23" s="1"/>
  <c r="AH192" i="23"/>
  <c r="A193" i="23"/>
  <c r="AK193" i="23" s="1"/>
  <c r="E193" i="23"/>
  <c r="F193" i="23" s="1"/>
  <c r="H193" i="23"/>
  <c r="I193" i="23" s="1"/>
  <c r="K193" i="23"/>
  <c r="L193" i="23" s="1"/>
  <c r="N193" i="23"/>
  <c r="O193" i="23"/>
  <c r="P193" i="23"/>
  <c r="Q193" i="23"/>
  <c r="R193" i="23"/>
  <c r="S193" i="23"/>
  <c r="U193" i="23"/>
  <c r="V193" i="23"/>
  <c r="W193" i="23"/>
  <c r="X193" i="23"/>
  <c r="Y193" i="23"/>
  <c r="Z193" i="23"/>
  <c r="AA193" i="23"/>
  <c r="AB193" i="23"/>
  <c r="AC193" i="23" s="1"/>
  <c r="AE193" i="23"/>
  <c r="AF193" i="23" s="1"/>
  <c r="AH193" i="23"/>
  <c r="A194" i="23"/>
  <c r="AK194" i="23" s="1"/>
  <c r="E194" i="23"/>
  <c r="G194" i="23" s="1"/>
  <c r="H194" i="23"/>
  <c r="J194" i="23" s="1"/>
  <c r="K194" i="23"/>
  <c r="L194" i="23" s="1"/>
  <c r="N194" i="23"/>
  <c r="O194" i="23"/>
  <c r="P194" i="23"/>
  <c r="Q194" i="23"/>
  <c r="R194" i="23"/>
  <c r="S194" i="23"/>
  <c r="U194" i="23"/>
  <c r="V194" i="23"/>
  <c r="W194" i="23"/>
  <c r="X194" i="23"/>
  <c r="Y194" i="23"/>
  <c r="Z194" i="23"/>
  <c r="AA194" i="23"/>
  <c r="AB194" i="23"/>
  <c r="AD194" i="23" s="1"/>
  <c r="AE194" i="23"/>
  <c r="AG194" i="23" s="1"/>
  <c r="AH194" i="23"/>
  <c r="A195" i="23"/>
  <c r="AK195" i="23" s="1"/>
  <c r="E195" i="23"/>
  <c r="G195" i="23" s="1"/>
  <c r="H195" i="23"/>
  <c r="J195" i="23" s="1"/>
  <c r="K195" i="23"/>
  <c r="M195" i="23" s="1"/>
  <c r="N195" i="23"/>
  <c r="O195" i="23"/>
  <c r="P195" i="23"/>
  <c r="Q195" i="23"/>
  <c r="R195" i="23"/>
  <c r="S195" i="23"/>
  <c r="U195" i="23"/>
  <c r="V195" i="23"/>
  <c r="W195" i="23"/>
  <c r="X195" i="23"/>
  <c r="Y195" i="23"/>
  <c r="Z195" i="23"/>
  <c r="AA195" i="23"/>
  <c r="AB195" i="23"/>
  <c r="AD195" i="23" s="1"/>
  <c r="AE195" i="23"/>
  <c r="AF195" i="23" s="1"/>
  <c r="AH195" i="23"/>
  <c r="A196" i="23"/>
  <c r="AK196" i="23" s="1"/>
  <c r="E196" i="23"/>
  <c r="F196" i="23" s="1"/>
  <c r="H196" i="23"/>
  <c r="I196" i="23" s="1"/>
  <c r="K196" i="23"/>
  <c r="M196" i="23" s="1"/>
  <c r="N196" i="23"/>
  <c r="O196" i="23"/>
  <c r="P196" i="23"/>
  <c r="Q196" i="23"/>
  <c r="R196" i="23"/>
  <c r="S196" i="23"/>
  <c r="U196" i="23"/>
  <c r="V196" i="23"/>
  <c r="W196" i="23"/>
  <c r="X196" i="23"/>
  <c r="Y196" i="23"/>
  <c r="Z196" i="23"/>
  <c r="AA196" i="23"/>
  <c r="AB196" i="23"/>
  <c r="AC196" i="23" s="1"/>
  <c r="AE196" i="23"/>
  <c r="AF196" i="23" s="1"/>
  <c r="AH196" i="23"/>
  <c r="A197" i="23"/>
  <c r="AK197" i="23" s="1"/>
  <c r="E197" i="23"/>
  <c r="F197" i="23" s="1"/>
  <c r="H197" i="23"/>
  <c r="I197" i="23" s="1"/>
  <c r="K197" i="23"/>
  <c r="L197" i="23" s="1"/>
  <c r="N197" i="23"/>
  <c r="O197" i="23"/>
  <c r="P197" i="23"/>
  <c r="Q197" i="23"/>
  <c r="R197" i="23"/>
  <c r="S197" i="23"/>
  <c r="U197" i="23"/>
  <c r="V197" i="23"/>
  <c r="W197" i="23"/>
  <c r="X197" i="23"/>
  <c r="Y197" i="23"/>
  <c r="Z197" i="23"/>
  <c r="AA197" i="23"/>
  <c r="AB197" i="23"/>
  <c r="AC197" i="23" s="1"/>
  <c r="AE197" i="23"/>
  <c r="AG197" i="23" s="1"/>
  <c r="AH197" i="23"/>
  <c r="A198" i="23"/>
  <c r="AK198" i="23" s="1"/>
  <c r="E198" i="23"/>
  <c r="F198" i="23" s="1"/>
  <c r="H198" i="23"/>
  <c r="I198" i="23" s="1"/>
  <c r="K198" i="23"/>
  <c r="L198" i="23" s="1"/>
  <c r="N198" i="23"/>
  <c r="O198" i="23"/>
  <c r="P198" i="23"/>
  <c r="Q198" i="23"/>
  <c r="R198" i="23"/>
  <c r="S198" i="23"/>
  <c r="U198" i="23"/>
  <c r="V198" i="23"/>
  <c r="W198" i="23"/>
  <c r="X198" i="23"/>
  <c r="Y198" i="23"/>
  <c r="Z198" i="23"/>
  <c r="AA198" i="23"/>
  <c r="AB198" i="23"/>
  <c r="AC198" i="23" s="1"/>
  <c r="AE198" i="23"/>
  <c r="AF198" i="23" s="1"/>
  <c r="AH198" i="23"/>
  <c r="A199" i="23"/>
  <c r="AK199" i="23" s="1"/>
  <c r="E199" i="23"/>
  <c r="F199" i="23" s="1"/>
  <c r="H199" i="23"/>
  <c r="I199" i="23" s="1"/>
  <c r="K199" i="23"/>
  <c r="L199" i="23" s="1"/>
  <c r="N199" i="23"/>
  <c r="O199" i="23"/>
  <c r="P199" i="23"/>
  <c r="Q199" i="23"/>
  <c r="R199" i="23"/>
  <c r="S199" i="23"/>
  <c r="U199" i="23"/>
  <c r="V199" i="23"/>
  <c r="W199" i="23"/>
  <c r="X199" i="23"/>
  <c r="Y199" i="23"/>
  <c r="Z199" i="23"/>
  <c r="AA199" i="23"/>
  <c r="AB199" i="23"/>
  <c r="AC199" i="23" s="1"/>
  <c r="AE199" i="23"/>
  <c r="AF199" i="23" s="1"/>
  <c r="AH199" i="23"/>
  <c r="A200" i="23"/>
  <c r="AK200" i="23" s="1"/>
  <c r="E200" i="23"/>
  <c r="G200" i="23" s="1"/>
  <c r="H200" i="23"/>
  <c r="I200" i="23" s="1"/>
  <c r="K200" i="23"/>
  <c r="L200" i="23" s="1"/>
  <c r="N200" i="23"/>
  <c r="O200" i="23"/>
  <c r="P200" i="23"/>
  <c r="Q200" i="23"/>
  <c r="R200" i="23"/>
  <c r="S200" i="23"/>
  <c r="U200" i="23"/>
  <c r="V200" i="23"/>
  <c r="W200" i="23"/>
  <c r="X200" i="23"/>
  <c r="Y200" i="23"/>
  <c r="Z200" i="23"/>
  <c r="AA200" i="23"/>
  <c r="AB200" i="23"/>
  <c r="AC200" i="23" s="1"/>
  <c r="AE200" i="23"/>
  <c r="AF200" i="23" s="1"/>
  <c r="AH200" i="23"/>
  <c r="A201" i="23"/>
  <c r="AK201" i="23" s="1"/>
  <c r="E201" i="23"/>
  <c r="G201" i="23" s="1"/>
  <c r="H201" i="23"/>
  <c r="I201" i="23" s="1"/>
  <c r="K201" i="23"/>
  <c r="L201" i="23" s="1"/>
  <c r="N201" i="23"/>
  <c r="O201" i="23"/>
  <c r="P201" i="23"/>
  <c r="Q201" i="23"/>
  <c r="R201" i="23"/>
  <c r="S201" i="23"/>
  <c r="U201" i="23"/>
  <c r="V201" i="23"/>
  <c r="W201" i="23"/>
  <c r="X201" i="23"/>
  <c r="Y201" i="23"/>
  <c r="Z201" i="23"/>
  <c r="AA201" i="23"/>
  <c r="AB201" i="23"/>
  <c r="AC201" i="23" s="1"/>
  <c r="AE201" i="23"/>
  <c r="AF201" i="23" s="1"/>
  <c r="AH201" i="23"/>
  <c r="A202" i="23"/>
  <c r="AK202" i="23" s="1"/>
  <c r="E202" i="23"/>
  <c r="G202" i="23" s="1"/>
  <c r="H202" i="23"/>
  <c r="J202" i="23" s="1"/>
  <c r="K202" i="23"/>
  <c r="L202" i="23" s="1"/>
  <c r="N202" i="23"/>
  <c r="O202" i="23"/>
  <c r="P202" i="23"/>
  <c r="Q202" i="23"/>
  <c r="R202" i="23"/>
  <c r="S202" i="23"/>
  <c r="U202" i="23"/>
  <c r="V202" i="23"/>
  <c r="W202" i="23"/>
  <c r="X202" i="23"/>
  <c r="Y202" i="23"/>
  <c r="Z202" i="23"/>
  <c r="AA202" i="23"/>
  <c r="AB202" i="23"/>
  <c r="AD202" i="23" s="1"/>
  <c r="AE202" i="23"/>
  <c r="AG202" i="23" s="1"/>
  <c r="AH202" i="23"/>
  <c r="A203" i="23"/>
  <c r="AK203" i="23" s="1"/>
  <c r="E203" i="23"/>
  <c r="G203" i="23" s="1"/>
  <c r="H203" i="23"/>
  <c r="J203" i="23" s="1"/>
  <c r="K203" i="23"/>
  <c r="M203" i="23" s="1"/>
  <c r="N203" i="23"/>
  <c r="O203" i="23"/>
  <c r="P203" i="23"/>
  <c r="Q203" i="23"/>
  <c r="R203" i="23"/>
  <c r="S203" i="23"/>
  <c r="U203" i="23"/>
  <c r="V203" i="23"/>
  <c r="W203" i="23"/>
  <c r="X203" i="23"/>
  <c r="Y203" i="23"/>
  <c r="Z203" i="23"/>
  <c r="AA203" i="23"/>
  <c r="AB203" i="23"/>
  <c r="AD203" i="23" s="1"/>
  <c r="AE203" i="23"/>
  <c r="AF203" i="23" s="1"/>
  <c r="AH203" i="23"/>
  <c r="A204" i="23"/>
  <c r="AK204" i="23" s="1"/>
  <c r="E204" i="23"/>
  <c r="F204" i="23" s="1"/>
  <c r="H204" i="23"/>
  <c r="I204" i="23" s="1"/>
  <c r="K204" i="23"/>
  <c r="M204" i="23" s="1"/>
  <c r="N204" i="23"/>
  <c r="O204" i="23"/>
  <c r="P204" i="23"/>
  <c r="Q204" i="23"/>
  <c r="R204" i="23"/>
  <c r="S204" i="23"/>
  <c r="U204" i="23"/>
  <c r="V204" i="23"/>
  <c r="W204" i="23"/>
  <c r="X204" i="23"/>
  <c r="Y204" i="23"/>
  <c r="Z204" i="23"/>
  <c r="AA204" i="23"/>
  <c r="AB204" i="23"/>
  <c r="AC204" i="23" s="1"/>
  <c r="AE204" i="23"/>
  <c r="AF204" i="23" s="1"/>
  <c r="AH204" i="23"/>
  <c r="A205" i="23"/>
  <c r="AK205" i="23" s="1"/>
  <c r="E205" i="23"/>
  <c r="F205" i="23" s="1"/>
  <c r="H205" i="23"/>
  <c r="I205" i="23" s="1"/>
  <c r="K205" i="23"/>
  <c r="L205" i="23" s="1"/>
  <c r="N205" i="23"/>
  <c r="O205" i="23"/>
  <c r="P205" i="23"/>
  <c r="Q205" i="23"/>
  <c r="R205" i="23"/>
  <c r="S205" i="23"/>
  <c r="U205" i="23"/>
  <c r="V205" i="23"/>
  <c r="W205" i="23"/>
  <c r="X205" i="23"/>
  <c r="Y205" i="23"/>
  <c r="Z205" i="23"/>
  <c r="AA205" i="23"/>
  <c r="AB205" i="23"/>
  <c r="AC205" i="23" s="1"/>
  <c r="AE205" i="23"/>
  <c r="AG205" i="23" s="1"/>
  <c r="AH205" i="23"/>
  <c r="A206" i="23"/>
  <c r="AK206" i="23" s="1"/>
  <c r="E206" i="23"/>
  <c r="F206" i="23" s="1"/>
  <c r="H206" i="23"/>
  <c r="I206" i="23" s="1"/>
  <c r="K206" i="23"/>
  <c r="L206" i="23" s="1"/>
  <c r="N206" i="23"/>
  <c r="O206" i="23"/>
  <c r="P206" i="23"/>
  <c r="Q206" i="23"/>
  <c r="R206" i="23"/>
  <c r="S206" i="23"/>
  <c r="U206" i="23"/>
  <c r="V206" i="23"/>
  <c r="W206" i="23"/>
  <c r="X206" i="23"/>
  <c r="Y206" i="23"/>
  <c r="Z206" i="23"/>
  <c r="AA206" i="23"/>
  <c r="AB206" i="23"/>
  <c r="AC206" i="23" s="1"/>
  <c r="AE206" i="23"/>
  <c r="AF206" i="23" s="1"/>
  <c r="AH206" i="23"/>
  <c r="A207" i="23"/>
  <c r="AK207" i="23" s="1"/>
  <c r="E207" i="23"/>
  <c r="F207" i="23" s="1"/>
  <c r="H207" i="23"/>
  <c r="I207" i="23" s="1"/>
  <c r="K207" i="23"/>
  <c r="L207" i="23" s="1"/>
  <c r="N207" i="23"/>
  <c r="O207" i="23"/>
  <c r="P207" i="23"/>
  <c r="Q207" i="23"/>
  <c r="R207" i="23"/>
  <c r="S207" i="23"/>
  <c r="U207" i="23"/>
  <c r="V207" i="23"/>
  <c r="W207" i="23"/>
  <c r="X207" i="23"/>
  <c r="Y207" i="23"/>
  <c r="Z207" i="23"/>
  <c r="AA207" i="23"/>
  <c r="AB207" i="23"/>
  <c r="AC207" i="23" s="1"/>
  <c r="AE207" i="23"/>
  <c r="AF207" i="23" s="1"/>
  <c r="AH207" i="23"/>
  <c r="A208" i="23"/>
  <c r="AK208" i="23" s="1"/>
  <c r="E208" i="23"/>
  <c r="G208" i="23" s="1"/>
  <c r="H208" i="23"/>
  <c r="I208" i="23" s="1"/>
  <c r="K208" i="23"/>
  <c r="L208" i="23" s="1"/>
  <c r="N208" i="23"/>
  <c r="O208" i="23"/>
  <c r="P208" i="23"/>
  <c r="Q208" i="23"/>
  <c r="R208" i="23"/>
  <c r="S208" i="23"/>
  <c r="U208" i="23"/>
  <c r="V208" i="23"/>
  <c r="W208" i="23"/>
  <c r="X208" i="23"/>
  <c r="Y208" i="23"/>
  <c r="Z208" i="23"/>
  <c r="AA208" i="23"/>
  <c r="AB208" i="23"/>
  <c r="AC208" i="23" s="1"/>
  <c r="AE208" i="23"/>
  <c r="AF208" i="23" s="1"/>
  <c r="AH208" i="23"/>
  <c r="A209" i="23"/>
  <c r="AK209" i="23" s="1"/>
  <c r="E209" i="23"/>
  <c r="G209" i="23" s="1"/>
  <c r="H209" i="23"/>
  <c r="I209" i="23" s="1"/>
  <c r="K209" i="23"/>
  <c r="L209" i="23" s="1"/>
  <c r="N209" i="23"/>
  <c r="O209" i="23"/>
  <c r="P209" i="23"/>
  <c r="Q209" i="23"/>
  <c r="R209" i="23"/>
  <c r="S209" i="23"/>
  <c r="U209" i="23"/>
  <c r="V209" i="23"/>
  <c r="W209" i="23"/>
  <c r="X209" i="23"/>
  <c r="Y209" i="23"/>
  <c r="Z209" i="23"/>
  <c r="AA209" i="23"/>
  <c r="AB209" i="23"/>
  <c r="AC209" i="23" s="1"/>
  <c r="AE209" i="23"/>
  <c r="AF209" i="23" s="1"/>
  <c r="AH209" i="23"/>
  <c r="A210" i="23"/>
  <c r="AK210" i="23" s="1"/>
  <c r="E210" i="23"/>
  <c r="G210" i="23" s="1"/>
  <c r="H210" i="23"/>
  <c r="J210" i="23" s="1"/>
  <c r="K210" i="23"/>
  <c r="L210" i="23" s="1"/>
  <c r="N210" i="23"/>
  <c r="O210" i="23"/>
  <c r="P210" i="23"/>
  <c r="Q210" i="23"/>
  <c r="R210" i="23"/>
  <c r="S210" i="23"/>
  <c r="U210" i="23"/>
  <c r="V210" i="23"/>
  <c r="W210" i="23"/>
  <c r="X210" i="23"/>
  <c r="Y210" i="23"/>
  <c r="Z210" i="23"/>
  <c r="AA210" i="23"/>
  <c r="AB210" i="23"/>
  <c r="AD210" i="23" s="1"/>
  <c r="AE210" i="23"/>
  <c r="AG210" i="23" s="1"/>
  <c r="AH210" i="23"/>
  <c r="A211" i="23"/>
  <c r="AK211" i="23" s="1"/>
  <c r="E211" i="23"/>
  <c r="G211" i="23" s="1"/>
  <c r="H211" i="23"/>
  <c r="J211" i="23" s="1"/>
  <c r="K211" i="23"/>
  <c r="M211" i="23" s="1"/>
  <c r="N211" i="23"/>
  <c r="O211" i="23"/>
  <c r="P211" i="23"/>
  <c r="Q211" i="23"/>
  <c r="R211" i="23"/>
  <c r="S211" i="23"/>
  <c r="U211" i="23"/>
  <c r="V211" i="23"/>
  <c r="W211" i="23"/>
  <c r="X211" i="23"/>
  <c r="Y211" i="23"/>
  <c r="Z211" i="23"/>
  <c r="AA211" i="23"/>
  <c r="AB211" i="23"/>
  <c r="AD211" i="23" s="1"/>
  <c r="AE211" i="23"/>
  <c r="AF211" i="23" s="1"/>
  <c r="AH211" i="23"/>
  <c r="A212" i="23"/>
  <c r="AK212" i="23" s="1"/>
  <c r="E212" i="23"/>
  <c r="F212" i="23" s="1"/>
  <c r="H212" i="23"/>
  <c r="I212" i="23" s="1"/>
  <c r="K212" i="23"/>
  <c r="M212" i="23" s="1"/>
  <c r="N212" i="23"/>
  <c r="O212" i="23"/>
  <c r="P212" i="23"/>
  <c r="Q212" i="23"/>
  <c r="R212" i="23"/>
  <c r="S212" i="23"/>
  <c r="U212" i="23"/>
  <c r="V212" i="23"/>
  <c r="W212" i="23"/>
  <c r="X212" i="23"/>
  <c r="Y212" i="23"/>
  <c r="Z212" i="23"/>
  <c r="AA212" i="23"/>
  <c r="AB212" i="23"/>
  <c r="AC212" i="23" s="1"/>
  <c r="AE212" i="23"/>
  <c r="AF212" i="23" s="1"/>
  <c r="AH212" i="23"/>
  <c r="A213" i="23"/>
  <c r="AK213" i="23" s="1"/>
  <c r="E213" i="23"/>
  <c r="F213" i="23" s="1"/>
  <c r="H213" i="23"/>
  <c r="I213" i="23" s="1"/>
  <c r="K213" i="23"/>
  <c r="L213" i="23" s="1"/>
  <c r="N213" i="23"/>
  <c r="O213" i="23"/>
  <c r="P213" i="23"/>
  <c r="Q213" i="23"/>
  <c r="R213" i="23"/>
  <c r="S213" i="23"/>
  <c r="U213" i="23"/>
  <c r="V213" i="23"/>
  <c r="W213" i="23"/>
  <c r="X213" i="23"/>
  <c r="Y213" i="23"/>
  <c r="Z213" i="23"/>
  <c r="AA213" i="23"/>
  <c r="AB213" i="23"/>
  <c r="AC213" i="23" s="1"/>
  <c r="AE213" i="23"/>
  <c r="AG213" i="23" s="1"/>
  <c r="AH213" i="23"/>
  <c r="A214" i="23"/>
  <c r="AK214" i="23" s="1"/>
  <c r="E214" i="23"/>
  <c r="F214" i="23" s="1"/>
  <c r="H214" i="23"/>
  <c r="I214" i="23" s="1"/>
  <c r="K214" i="23"/>
  <c r="L214" i="23" s="1"/>
  <c r="N214" i="23"/>
  <c r="O214" i="23"/>
  <c r="P214" i="23"/>
  <c r="Q214" i="23"/>
  <c r="R214" i="23"/>
  <c r="S214" i="23"/>
  <c r="U214" i="23"/>
  <c r="V214" i="23"/>
  <c r="W214" i="23"/>
  <c r="X214" i="23"/>
  <c r="Y214" i="23"/>
  <c r="Z214" i="23"/>
  <c r="AA214" i="23"/>
  <c r="AB214" i="23"/>
  <c r="AC214" i="23" s="1"/>
  <c r="AE214" i="23"/>
  <c r="AF214" i="23" s="1"/>
  <c r="AH214" i="23"/>
  <c r="A215" i="23"/>
  <c r="AK215" i="23" s="1"/>
  <c r="E215" i="23"/>
  <c r="F215" i="23" s="1"/>
  <c r="H215" i="23"/>
  <c r="I215" i="23" s="1"/>
  <c r="K215" i="23"/>
  <c r="L215" i="23" s="1"/>
  <c r="N215" i="23"/>
  <c r="O215" i="23"/>
  <c r="P215" i="23"/>
  <c r="Q215" i="23"/>
  <c r="R215" i="23"/>
  <c r="S215" i="23"/>
  <c r="U215" i="23"/>
  <c r="V215" i="23"/>
  <c r="W215" i="23"/>
  <c r="X215" i="23"/>
  <c r="Y215" i="23"/>
  <c r="Z215" i="23"/>
  <c r="AA215" i="23"/>
  <c r="AB215" i="23"/>
  <c r="AC215" i="23" s="1"/>
  <c r="AE215" i="23"/>
  <c r="AF215" i="23" s="1"/>
  <c r="AH215" i="23"/>
  <c r="A216" i="23"/>
  <c r="AK216" i="23" s="1"/>
  <c r="E216" i="23"/>
  <c r="G216" i="23" s="1"/>
  <c r="H216" i="23"/>
  <c r="I216" i="23" s="1"/>
  <c r="K216" i="23"/>
  <c r="L216" i="23" s="1"/>
  <c r="N216" i="23"/>
  <c r="O216" i="23"/>
  <c r="P216" i="23"/>
  <c r="Q216" i="23"/>
  <c r="R216" i="23"/>
  <c r="S216" i="23"/>
  <c r="U216" i="23"/>
  <c r="V216" i="23"/>
  <c r="W216" i="23"/>
  <c r="X216" i="23"/>
  <c r="Y216" i="23"/>
  <c r="Z216" i="23"/>
  <c r="AA216" i="23"/>
  <c r="AB216" i="23"/>
  <c r="AC216" i="23" s="1"/>
  <c r="AE216" i="23"/>
  <c r="AF216" i="23" s="1"/>
  <c r="AH216" i="23"/>
  <c r="A217" i="23"/>
  <c r="AK217" i="23" s="1"/>
  <c r="E217" i="23"/>
  <c r="F217" i="23" s="1"/>
  <c r="H217" i="23"/>
  <c r="I217" i="23" s="1"/>
  <c r="K217" i="23"/>
  <c r="L217" i="23" s="1"/>
  <c r="N217" i="23"/>
  <c r="O217" i="23"/>
  <c r="P217" i="23"/>
  <c r="Q217" i="23"/>
  <c r="R217" i="23"/>
  <c r="S217" i="23"/>
  <c r="U217" i="23"/>
  <c r="V217" i="23"/>
  <c r="W217" i="23"/>
  <c r="X217" i="23"/>
  <c r="Y217" i="23"/>
  <c r="Z217" i="23"/>
  <c r="AA217" i="23"/>
  <c r="AB217" i="23"/>
  <c r="AC217" i="23" s="1"/>
  <c r="AE217" i="23"/>
  <c r="AF217" i="23" s="1"/>
  <c r="AH217" i="23"/>
  <c r="A218" i="23"/>
  <c r="AK218" i="23" s="1"/>
  <c r="E218" i="23"/>
  <c r="G218" i="23" s="1"/>
  <c r="H218" i="23"/>
  <c r="J218" i="23" s="1"/>
  <c r="K218" i="23"/>
  <c r="L218" i="23" s="1"/>
  <c r="N218" i="23"/>
  <c r="O218" i="23"/>
  <c r="P218" i="23"/>
  <c r="Q218" i="23"/>
  <c r="R218" i="23"/>
  <c r="S218" i="23"/>
  <c r="U218" i="23"/>
  <c r="V218" i="23"/>
  <c r="W218" i="23"/>
  <c r="X218" i="23"/>
  <c r="Y218" i="23"/>
  <c r="Z218" i="23"/>
  <c r="AA218" i="23"/>
  <c r="AB218" i="23"/>
  <c r="AD218" i="23" s="1"/>
  <c r="AE218" i="23"/>
  <c r="AG218" i="23" s="1"/>
  <c r="AH218" i="23"/>
  <c r="A219" i="23"/>
  <c r="AK219" i="23" s="1"/>
  <c r="E219" i="23"/>
  <c r="G219" i="23" s="1"/>
  <c r="H219" i="23"/>
  <c r="J219" i="23" s="1"/>
  <c r="K219" i="23"/>
  <c r="M219" i="23" s="1"/>
  <c r="N219" i="23"/>
  <c r="O219" i="23"/>
  <c r="P219" i="23"/>
  <c r="Q219" i="23"/>
  <c r="R219" i="23"/>
  <c r="S219" i="23"/>
  <c r="U219" i="23"/>
  <c r="V219" i="23"/>
  <c r="W219" i="23"/>
  <c r="X219" i="23"/>
  <c r="Y219" i="23"/>
  <c r="Z219" i="23"/>
  <c r="AA219" i="23"/>
  <c r="AB219" i="23"/>
  <c r="AD219" i="23" s="1"/>
  <c r="AE219" i="23"/>
  <c r="AF219" i="23" s="1"/>
  <c r="AH219" i="23"/>
  <c r="A220" i="23"/>
  <c r="AK220" i="23" s="1"/>
  <c r="E220" i="23"/>
  <c r="F220" i="23" s="1"/>
  <c r="H220" i="23"/>
  <c r="I220" i="23" s="1"/>
  <c r="K220" i="23"/>
  <c r="M220" i="23" s="1"/>
  <c r="N220" i="23"/>
  <c r="O220" i="23"/>
  <c r="P220" i="23"/>
  <c r="Q220" i="23"/>
  <c r="R220" i="23"/>
  <c r="S220" i="23"/>
  <c r="U220" i="23"/>
  <c r="V220" i="23"/>
  <c r="W220" i="23"/>
  <c r="X220" i="23"/>
  <c r="Y220" i="23"/>
  <c r="Z220" i="23"/>
  <c r="AA220" i="23"/>
  <c r="AB220" i="23"/>
  <c r="AC220" i="23" s="1"/>
  <c r="AE220" i="23"/>
  <c r="AF220" i="23" s="1"/>
  <c r="AH220" i="23"/>
  <c r="A221" i="23"/>
  <c r="AK221" i="23" s="1"/>
  <c r="E221" i="23"/>
  <c r="F221" i="23" s="1"/>
  <c r="H221" i="23"/>
  <c r="I221" i="23" s="1"/>
  <c r="K221" i="23"/>
  <c r="L221" i="23" s="1"/>
  <c r="N221" i="23"/>
  <c r="O221" i="23"/>
  <c r="P221" i="23"/>
  <c r="Q221" i="23"/>
  <c r="R221" i="23"/>
  <c r="S221" i="23"/>
  <c r="U221" i="23"/>
  <c r="V221" i="23"/>
  <c r="W221" i="23"/>
  <c r="X221" i="23"/>
  <c r="Y221" i="23"/>
  <c r="Z221" i="23"/>
  <c r="AA221" i="23"/>
  <c r="AB221" i="23"/>
  <c r="AC221" i="23" s="1"/>
  <c r="AE221" i="23"/>
  <c r="AG221" i="23" s="1"/>
  <c r="AH221" i="23"/>
  <c r="A222" i="23"/>
  <c r="AK222" i="23" s="1"/>
  <c r="E222" i="23"/>
  <c r="F222" i="23" s="1"/>
  <c r="H222" i="23"/>
  <c r="I222" i="23" s="1"/>
  <c r="K222" i="23"/>
  <c r="L222" i="23" s="1"/>
  <c r="N222" i="23"/>
  <c r="O222" i="23"/>
  <c r="P222" i="23"/>
  <c r="Q222" i="23"/>
  <c r="R222" i="23"/>
  <c r="S222" i="23"/>
  <c r="U222" i="23"/>
  <c r="V222" i="23"/>
  <c r="W222" i="23"/>
  <c r="X222" i="23"/>
  <c r="Y222" i="23"/>
  <c r="Z222" i="23"/>
  <c r="AA222" i="23"/>
  <c r="AB222" i="23"/>
  <c r="AC222" i="23" s="1"/>
  <c r="AE222" i="23"/>
  <c r="AF222" i="23" s="1"/>
  <c r="AH222" i="23"/>
  <c r="A223" i="23"/>
  <c r="AK223" i="23" s="1"/>
  <c r="E223" i="23"/>
  <c r="F223" i="23" s="1"/>
  <c r="H223" i="23"/>
  <c r="I223" i="23" s="1"/>
  <c r="K223" i="23"/>
  <c r="L223" i="23" s="1"/>
  <c r="N223" i="23"/>
  <c r="O223" i="23"/>
  <c r="P223" i="23"/>
  <c r="Q223" i="23"/>
  <c r="R223" i="23"/>
  <c r="S223" i="23"/>
  <c r="U223" i="23"/>
  <c r="V223" i="23"/>
  <c r="W223" i="23"/>
  <c r="X223" i="23"/>
  <c r="Y223" i="23"/>
  <c r="Z223" i="23"/>
  <c r="AA223" i="23"/>
  <c r="AB223" i="23"/>
  <c r="AC223" i="23" s="1"/>
  <c r="AE223" i="23"/>
  <c r="AF223" i="23" s="1"/>
  <c r="AH223" i="23"/>
  <c r="A224" i="23"/>
  <c r="AK224" i="23" s="1"/>
  <c r="E224" i="23"/>
  <c r="G224" i="23" s="1"/>
  <c r="H224" i="23"/>
  <c r="I224" i="23" s="1"/>
  <c r="K224" i="23"/>
  <c r="L224" i="23" s="1"/>
  <c r="N224" i="23"/>
  <c r="O224" i="23"/>
  <c r="P224" i="23"/>
  <c r="Q224" i="23"/>
  <c r="R224" i="23"/>
  <c r="S224" i="23"/>
  <c r="U224" i="23"/>
  <c r="V224" i="23"/>
  <c r="W224" i="23"/>
  <c r="X224" i="23"/>
  <c r="Y224" i="23"/>
  <c r="Z224" i="23"/>
  <c r="AA224" i="23"/>
  <c r="AB224" i="23"/>
  <c r="AC224" i="23" s="1"/>
  <c r="AE224" i="23"/>
  <c r="AF224" i="23" s="1"/>
  <c r="AH224" i="23"/>
  <c r="A225" i="23"/>
  <c r="AK225" i="23" s="1"/>
  <c r="E225" i="23"/>
  <c r="G225" i="23" s="1"/>
  <c r="H225" i="23"/>
  <c r="I225" i="23" s="1"/>
  <c r="K225" i="23"/>
  <c r="L225" i="23" s="1"/>
  <c r="N225" i="23"/>
  <c r="O225" i="23"/>
  <c r="P225" i="23"/>
  <c r="Q225" i="23"/>
  <c r="R225" i="23"/>
  <c r="S225" i="23"/>
  <c r="U225" i="23"/>
  <c r="V225" i="23"/>
  <c r="W225" i="23"/>
  <c r="X225" i="23"/>
  <c r="Y225" i="23"/>
  <c r="Z225" i="23"/>
  <c r="AA225" i="23"/>
  <c r="AB225" i="23"/>
  <c r="AC225" i="23" s="1"/>
  <c r="AE225" i="23"/>
  <c r="AF225" i="23" s="1"/>
  <c r="AH225" i="23"/>
  <c r="A226" i="23"/>
  <c r="AK226" i="23" s="1"/>
  <c r="E226" i="23"/>
  <c r="G226" i="23" s="1"/>
  <c r="H226" i="23"/>
  <c r="J226" i="23" s="1"/>
  <c r="K226" i="23"/>
  <c r="L226" i="23" s="1"/>
  <c r="N226" i="23"/>
  <c r="O226" i="23"/>
  <c r="P226" i="23"/>
  <c r="Q226" i="23"/>
  <c r="R226" i="23"/>
  <c r="S226" i="23"/>
  <c r="U226" i="23"/>
  <c r="V226" i="23"/>
  <c r="W226" i="23"/>
  <c r="X226" i="23"/>
  <c r="Y226" i="23"/>
  <c r="Z226" i="23"/>
  <c r="AA226" i="23"/>
  <c r="AB226" i="23"/>
  <c r="AD226" i="23" s="1"/>
  <c r="AE226" i="23"/>
  <c r="AG226" i="23" s="1"/>
  <c r="AH226" i="23"/>
  <c r="A227" i="23"/>
  <c r="AK227" i="23" s="1"/>
  <c r="E227" i="23"/>
  <c r="G227" i="23" s="1"/>
  <c r="H227" i="23"/>
  <c r="J227" i="23" s="1"/>
  <c r="K227" i="23"/>
  <c r="M227" i="23" s="1"/>
  <c r="N227" i="23"/>
  <c r="O227" i="23"/>
  <c r="P227" i="23"/>
  <c r="Q227" i="23"/>
  <c r="R227" i="23"/>
  <c r="S227" i="23"/>
  <c r="U227" i="23"/>
  <c r="V227" i="23"/>
  <c r="W227" i="23"/>
  <c r="X227" i="23"/>
  <c r="Y227" i="23"/>
  <c r="Z227" i="23"/>
  <c r="AA227" i="23"/>
  <c r="AB227" i="23"/>
  <c r="AD227" i="23" s="1"/>
  <c r="AE227" i="23"/>
  <c r="AF227" i="23" s="1"/>
  <c r="AH227" i="23"/>
  <c r="A228" i="23"/>
  <c r="AK228" i="23" s="1"/>
  <c r="E228" i="23"/>
  <c r="F228" i="23" s="1"/>
  <c r="H228" i="23"/>
  <c r="I228" i="23" s="1"/>
  <c r="K228" i="23"/>
  <c r="M228" i="23" s="1"/>
  <c r="N228" i="23"/>
  <c r="O228" i="23"/>
  <c r="P228" i="23"/>
  <c r="Q228" i="23"/>
  <c r="R228" i="23"/>
  <c r="S228" i="23"/>
  <c r="U228" i="23"/>
  <c r="V228" i="23"/>
  <c r="W228" i="23"/>
  <c r="X228" i="23"/>
  <c r="Y228" i="23"/>
  <c r="Z228" i="23"/>
  <c r="AA228" i="23"/>
  <c r="AB228" i="23"/>
  <c r="AC228" i="23" s="1"/>
  <c r="AE228" i="23"/>
  <c r="AF228" i="23" s="1"/>
  <c r="AH228" i="23"/>
  <c r="A229" i="23"/>
  <c r="AK229" i="23" s="1"/>
  <c r="E229" i="23"/>
  <c r="F229" i="23" s="1"/>
  <c r="H229" i="23"/>
  <c r="I229" i="23" s="1"/>
  <c r="K229" i="23"/>
  <c r="L229" i="23" s="1"/>
  <c r="N229" i="23"/>
  <c r="O229" i="23"/>
  <c r="P229" i="23"/>
  <c r="Q229" i="23"/>
  <c r="R229" i="23"/>
  <c r="S229" i="23"/>
  <c r="U229" i="23"/>
  <c r="V229" i="23"/>
  <c r="W229" i="23"/>
  <c r="X229" i="23"/>
  <c r="Y229" i="23"/>
  <c r="Z229" i="23"/>
  <c r="AA229" i="23"/>
  <c r="AB229" i="23"/>
  <c r="AC229" i="23" s="1"/>
  <c r="AE229" i="23"/>
  <c r="AG229" i="23" s="1"/>
  <c r="AH229" i="23"/>
  <c r="A230" i="23"/>
  <c r="AK230" i="23" s="1"/>
  <c r="E230" i="23"/>
  <c r="F230" i="23" s="1"/>
  <c r="H230" i="23"/>
  <c r="I230" i="23" s="1"/>
  <c r="K230" i="23"/>
  <c r="L230" i="23" s="1"/>
  <c r="N230" i="23"/>
  <c r="O230" i="23"/>
  <c r="P230" i="23"/>
  <c r="Q230" i="23"/>
  <c r="R230" i="23"/>
  <c r="S230" i="23"/>
  <c r="U230" i="23"/>
  <c r="V230" i="23"/>
  <c r="W230" i="23"/>
  <c r="X230" i="23"/>
  <c r="Y230" i="23"/>
  <c r="Z230" i="23"/>
  <c r="AA230" i="23"/>
  <c r="AB230" i="23"/>
  <c r="AC230" i="23" s="1"/>
  <c r="AE230" i="23"/>
  <c r="AF230" i="23" s="1"/>
  <c r="AH230" i="23"/>
  <c r="A231" i="23"/>
  <c r="AK231" i="23" s="1"/>
  <c r="E231" i="23"/>
  <c r="F231" i="23" s="1"/>
  <c r="H231" i="23"/>
  <c r="I231" i="23" s="1"/>
  <c r="K231" i="23"/>
  <c r="L231" i="23" s="1"/>
  <c r="N231" i="23"/>
  <c r="O231" i="23"/>
  <c r="P231" i="23"/>
  <c r="Q231" i="23"/>
  <c r="R231" i="23"/>
  <c r="S231" i="23"/>
  <c r="U231" i="23"/>
  <c r="V231" i="23"/>
  <c r="W231" i="23"/>
  <c r="X231" i="23"/>
  <c r="Y231" i="23"/>
  <c r="Z231" i="23"/>
  <c r="AA231" i="23"/>
  <c r="AB231" i="23"/>
  <c r="AC231" i="23" s="1"/>
  <c r="AE231" i="23"/>
  <c r="AF231" i="23" s="1"/>
  <c r="AH231" i="23"/>
  <c r="A232" i="23"/>
  <c r="AK232" i="23" s="1"/>
  <c r="E232" i="23"/>
  <c r="G232" i="23" s="1"/>
  <c r="H232" i="23"/>
  <c r="I232" i="23" s="1"/>
  <c r="K232" i="23"/>
  <c r="L232" i="23" s="1"/>
  <c r="N232" i="23"/>
  <c r="O232" i="23"/>
  <c r="P232" i="23"/>
  <c r="Q232" i="23"/>
  <c r="R232" i="23"/>
  <c r="S232" i="23"/>
  <c r="U232" i="23"/>
  <c r="V232" i="23"/>
  <c r="W232" i="23"/>
  <c r="X232" i="23"/>
  <c r="Y232" i="23"/>
  <c r="Z232" i="23"/>
  <c r="AA232" i="23"/>
  <c r="AB232" i="23"/>
  <c r="AC232" i="23" s="1"/>
  <c r="AE232" i="23"/>
  <c r="AF232" i="23" s="1"/>
  <c r="AH232" i="23"/>
  <c r="A233" i="23"/>
  <c r="AK233" i="23" s="1"/>
  <c r="E233" i="23"/>
  <c r="F233" i="23" s="1"/>
  <c r="H233" i="23"/>
  <c r="I233" i="23" s="1"/>
  <c r="K233" i="23"/>
  <c r="L233" i="23" s="1"/>
  <c r="N233" i="23"/>
  <c r="O233" i="23"/>
  <c r="P233" i="23"/>
  <c r="Q233" i="23"/>
  <c r="R233" i="23"/>
  <c r="S233" i="23"/>
  <c r="U233" i="23"/>
  <c r="V233" i="23"/>
  <c r="W233" i="23"/>
  <c r="X233" i="23"/>
  <c r="Y233" i="23"/>
  <c r="Z233" i="23"/>
  <c r="AA233" i="23"/>
  <c r="AB233" i="23"/>
  <c r="AC233" i="23" s="1"/>
  <c r="AE233" i="23"/>
  <c r="AF233" i="23" s="1"/>
  <c r="AH233" i="23"/>
  <c r="A234" i="23"/>
  <c r="AK234" i="23" s="1"/>
  <c r="E234" i="23"/>
  <c r="G234" i="23" s="1"/>
  <c r="H234" i="23"/>
  <c r="J234" i="23" s="1"/>
  <c r="K234" i="23"/>
  <c r="L234" i="23" s="1"/>
  <c r="N234" i="23"/>
  <c r="O234" i="23"/>
  <c r="P234" i="23"/>
  <c r="Q234" i="23"/>
  <c r="R234" i="23"/>
  <c r="S234" i="23"/>
  <c r="U234" i="23"/>
  <c r="V234" i="23"/>
  <c r="W234" i="23"/>
  <c r="X234" i="23"/>
  <c r="Y234" i="23"/>
  <c r="Z234" i="23"/>
  <c r="AA234" i="23"/>
  <c r="AB234" i="23"/>
  <c r="AD234" i="23" s="1"/>
  <c r="AE234" i="23"/>
  <c r="AG234" i="23" s="1"/>
  <c r="AH234" i="23"/>
  <c r="A235" i="23"/>
  <c r="AK235" i="23" s="1"/>
  <c r="E235" i="23"/>
  <c r="G235" i="23" s="1"/>
  <c r="H235" i="23"/>
  <c r="J235" i="23" s="1"/>
  <c r="K235" i="23"/>
  <c r="M235" i="23" s="1"/>
  <c r="N235" i="23"/>
  <c r="O235" i="23"/>
  <c r="P235" i="23"/>
  <c r="Q235" i="23"/>
  <c r="R235" i="23"/>
  <c r="S235" i="23"/>
  <c r="U235" i="23"/>
  <c r="V235" i="23"/>
  <c r="W235" i="23"/>
  <c r="X235" i="23"/>
  <c r="Y235" i="23"/>
  <c r="Z235" i="23"/>
  <c r="AA235" i="23"/>
  <c r="AB235" i="23"/>
  <c r="AD235" i="23" s="1"/>
  <c r="AE235" i="23"/>
  <c r="AF235" i="23" s="1"/>
  <c r="AH235" i="23"/>
  <c r="A236" i="23"/>
  <c r="AK236" i="23" s="1"/>
  <c r="E236" i="23"/>
  <c r="F236" i="23" s="1"/>
  <c r="H236" i="23"/>
  <c r="I236" i="23" s="1"/>
  <c r="K236" i="23"/>
  <c r="M236" i="23" s="1"/>
  <c r="N236" i="23"/>
  <c r="O236" i="23"/>
  <c r="P236" i="23"/>
  <c r="Q236" i="23"/>
  <c r="R236" i="23"/>
  <c r="S236" i="23"/>
  <c r="U236" i="23"/>
  <c r="V236" i="23"/>
  <c r="W236" i="23"/>
  <c r="X236" i="23"/>
  <c r="Y236" i="23"/>
  <c r="Z236" i="23"/>
  <c r="AA236" i="23"/>
  <c r="AB236" i="23"/>
  <c r="AC236" i="23" s="1"/>
  <c r="AE236" i="23"/>
  <c r="AF236" i="23" s="1"/>
  <c r="AH236" i="23"/>
  <c r="A237" i="23"/>
  <c r="AK237" i="23" s="1"/>
  <c r="E237" i="23"/>
  <c r="F237" i="23" s="1"/>
  <c r="H237" i="23"/>
  <c r="I237" i="23" s="1"/>
  <c r="K237" i="23"/>
  <c r="L237" i="23" s="1"/>
  <c r="N237" i="23"/>
  <c r="O237" i="23"/>
  <c r="P237" i="23"/>
  <c r="Q237" i="23"/>
  <c r="R237" i="23"/>
  <c r="S237" i="23"/>
  <c r="U237" i="23"/>
  <c r="V237" i="23"/>
  <c r="W237" i="23"/>
  <c r="X237" i="23"/>
  <c r="Y237" i="23"/>
  <c r="Z237" i="23"/>
  <c r="AA237" i="23"/>
  <c r="AB237" i="23"/>
  <c r="AC237" i="23" s="1"/>
  <c r="AE237" i="23"/>
  <c r="AG237" i="23" s="1"/>
  <c r="AH237" i="23"/>
  <c r="A238" i="23"/>
  <c r="AK238" i="23" s="1"/>
  <c r="E238" i="23"/>
  <c r="F238" i="23" s="1"/>
  <c r="H238" i="23"/>
  <c r="I238" i="23" s="1"/>
  <c r="K238" i="23"/>
  <c r="L238" i="23" s="1"/>
  <c r="N238" i="23"/>
  <c r="O238" i="23"/>
  <c r="P238" i="23"/>
  <c r="Q238" i="23"/>
  <c r="R238" i="23"/>
  <c r="S238" i="23"/>
  <c r="U238" i="23"/>
  <c r="V238" i="23"/>
  <c r="W238" i="23"/>
  <c r="X238" i="23"/>
  <c r="Y238" i="23"/>
  <c r="Z238" i="23"/>
  <c r="AA238" i="23"/>
  <c r="AB238" i="23"/>
  <c r="AC238" i="23" s="1"/>
  <c r="AE238" i="23"/>
  <c r="AF238" i="23" s="1"/>
  <c r="AH238" i="23"/>
  <c r="A239" i="23"/>
  <c r="AK239" i="23" s="1"/>
  <c r="E239" i="23"/>
  <c r="F239" i="23" s="1"/>
  <c r="H239" i="23"/>
  <c r="I239" i="23" s="1"/>
  <c r="K239" i="23"/>
  <c r="L239" i="23" s="1"/>
  <c r="N239" i="23"/>
  <c r="O239" i="23"/>
  <c r="P239" i="23"/>
  <c r="Q239" i="23"/>
  <c r="R239" i="23"/>
  <c r="S239" i="23"/>
  <c r="U239" i="23"/>
  <c r="V239" i="23"/>
  <c r="W239" i="23"/>
  <c r="X239" i="23"/>
  <c r="Y239" i="23"/>
  <c r="Z239" i="23"/>
  <c r="AA239" i="23"/>
  <c r="AB239" i="23"/>
  <c r="AC239" i="23" s="1"/>
  <c r="AE239" i="23"/>
  <c r="AF239" i="23" s="1"/>
  <c r="AH239" i="23"/>
  <c r="A3" i="23"/>
  <c r="E3" i="23"/>
  <c r="G3" i="23" s="1"/>
  <c r="H3" i="23"/>
  <c r="J3" i="23" s="1"/>
  <c r="K3" i="23"/>
  <c r="M3" i="23" s="1"/>
  <c r="N3" i="23"/>
  <c r="O3" i="23"/>
  <c r="P3" i="23"/>
  <c r="Q3" i="23"/>
  <c r="R3" i="23"/>
  <c r="W3" i="23"/>
  <c r="X3" i="23"/>
  <c r="Y3" i="23"/>
  <c r="Z3" i="23"/>
  <c r="AA3" i="23"/>
  <c r="AB3" i="23"/>
  <c r="AD3" i="23" s="1"/>
  <c r="AE3" i="23"/>
  <c r="AG3" i="23" s="1"/>
  <c r="AH3" i="23"/>
  <c r="A4" i="23"/>
  <c r="E4" i="23"/>
  <c r="F4" i="23" s="1"/>
  <c r="H4" i="23"/>
  <c r="I4" i="23" s="1"/>
  <c r="K4" i="23"/>
  <c r="M4" i="23" s="1"/>
  <c r="N4" i="23"/>
  <c r="O4" i="23"/>
  <c r="P4" i="23"/>
  <c r="Q4" i="23"/>
  <c r="R4" i="23"/>
  <c r="W4" i="23"/>
  <c r="X4" i="23"/>
  <c r="Y4" i="23"/>
  <c r="Z4" i="23"/>
  <c r="AA4" i="23"/>
  <c r="AB4" i="23"/>
  <c r="AC4" i="23" s="1"/>
  <c r="AE4" i="23"/>
  <c r="AF4" i="23" s="1"/>
  <c r="AH4" i="23"/>
  <c r="A5" i="23"/>
  <c r="E5" i="23"/>
  <c r="F5" i="23" s="1"/>
  <c r="H5" i="23"/>
  <c r="I5" i="23" s="1"/>
  <c r="K5" i="23"/>
  <c r="L5" i="23" s="1"/>
  <c r="N5" i="23"/>
  <c r="O5" i="23"/>
  <c r="P5" i="23"/>
  <c r="Q5" i="23"/>
  <c r="R5" i="23"/>
  <c r="W5" i="23"/>
  <c r="X5" i="23"/>
  <c r="Y5" i="23"/>
  <c r="Z5" i="23"/>
  <c r="AA5" i="23"/>
  <c r="AB5" i="23"/>
  <c r="AC5" i="23" s="1"/>
  <c r="AE5" i="23"/>
  <c r="AG5" i="23" s="1"/>
  <c r="AH5" i="23"/>
  <c r="A6" i="23"/>
  <c r="E6" i="23"/>
  <c r="F6" i="23" s="1"/>
  <c r="H6" i="23"/>
  <c r="I6" i="23" s="1"/>
  <c r="K6" i="23"/>
  <c r="L6" i="23" s="1"/>
  <c r="N6" i="23"/>
  <c r="O6" i="23"/>
  <c r="P6" i="23"/>
  <c r="Q6" i="23"/>
  <c r="R6" i="23"/>
  <c r="W6" i="23"/>
  <c r="X6" i="23"/>
  <c r="Y6" i="23"/>
  <c r="Z6" i="23"/>
  <c r="AA6" i="23"/>
  <c r="AB6" i="23"/>
  <c r="AC6" i="23" s="1"/>
  <c r="AE6" i="23"/>
  <c r="AF6" i="23" s="1"/>
  <c r="AH6" i="23"/>
  <c r="A7" i="23"/>
  <c r="E7" i="23"/>
  <c r="F7" i="23" s="1"/>
  <c r="H7" i="23"/>
  <c r="I7" i="23" s="1"/>
  <c r="K7" i="23"/>
  <c r="L7" i="23" s="1"/>
  <c r="N7" i="23"/>
  <c r="O7" i="23"/>
  <c r="P7" i="23"/>
  <c r="Q7" i="23"/>
  <c r="R7" i="23"/>
  <c r="W7" i="23"/>
  <c r="X7" i="23"/>
  <c r="Y7" i="23"/>
  <c r="Z7" i="23"/>
  <c r="AA7" i="23"/>
  <c r="AB7" i="23"/>
  <c r="AC7" i="23" s="1"/>
  <c r="AE7" i="23"/>
  <c r="AF7" i="23" s="1"/>
  <c r="AH7" i="23"/>
  <c r="A8" i="23"/>
  <c r="E8" i="23"/>
  <c r="F8" i="23" s="1"/>
  <c r="H8" i="23"/>
  <c r="I8" i="23" s="1"/>
  <c r="K8" i="23"/>
  <c r="L8" i="23" s="1"/>
  <c r="N8" i="23"/>
  <c r="O8" i="23"/>
  <c r="P8" i="23"/>
  <c r="Q8" i="23"/>
  <c r="R8" i="23"/>
  <c r="W8" i="23"/>
  <c r="X8" i="23"/>
  <c r="Y8" i="23"/>
  <c r="Z8" i="23"/>
  <c r="AA8" i="23"/>
  <c r="AB8" i="23"/>
  <c r="AC8" i="23" s="1"/>
  <c r="AE8" i="23"/>
  <c r="AF8" i="23" s="1"/>
  <c r="AH8" i="23"/>
  <c r="A9" i="23"/>
  <c r="E9" i="23"/>
  <c r="F9" i="23" s="1"/>
  <c r="H9" i="23"/>
  <c r="I9" i="23" s="1"/>
  <c r="K9" i="23"/>
  <c r="L9" i="23" s="1"/>
  <c r="N9" i="23"/>
  <c r="O9" i="23"/>
  <c r="P9" i="23"/>
  <c r="Q9" i="23"/>
  <c r="R9" i="23"/>
  <c r="W9" i="23"/>
  <c r="X9" i="23"/>
  <c r="Y9" i="23"/>
  <c r="Z9" i="23"/>
  <c r="AA9" i="23"/>
  <c r="AB9" i="23"/>
  <c r="AD9" i="23" s="1"/>
  <c r="AE9" i="23"/>
  <c r="AF9" i="23" s="1"/>
  <c r="AH9" i="23"/>
  <c r="A10" i="23"/>
  <c r="E10" i="23"/>
  <c r="G10" i="23" s="1"/>
  <c r="H10" i="23"/>
  <c r="J10" i="23" s="1"/>
  <c r="K10" i="23"/>
  <c r="L10" i="23" s="1"/>
  <c r="N10" i="23"/>
  <c r="O10" i="23"/>
  <c r="P10" i="23"/>
  <c r="Q10" i="23"/>
  <c r="R10" i="23"/>
  <c r="W10" i="23"/>
  <c r="X10" i="23"/>
  <c r="Y10" i="23"/>
  <c r="Z10" i="23"/>
  <c r="AA10" i="23"/>
  <c r="AB10" i="23"/>
  <c r="AD10" i="23" s="1"/>
  <c r="AE10" i="23"/>
  <c r="AG10" i="23" s="1"/>
  <c r="AH10" i="23"/>
  <c r="A11" i="23"/>
  <c r="E11" i="23"/>
  <c r="G11" i="23" s="1"/>
  <c r="H11" i="23"/>
  <c r="J11" i="23" s="1"/>
  <c r="K11" i="23"/>
  <c r="M11" i="23" s="1"/>
  <c r="N11" i="23"/>
  <c r="O11" i="23"/>
  <c r="P11" i="23"/>
  <c r="Q11" i="23"/>
  <c r="R11" i="23"/>
  <c r="W11" i="23"/>
  <c r="X11" i="23"/>
  <c r="Y11" i="23"/>
  <c r="Z11" i="23"/>
  <c r="AA11" i="23"/>
  <c r="AB11" i="23"/>
  <c r="AD11" i="23" s="1"/>
  <c r="AE11" i="23"/>
  <c r="AG11" i="23" s="1"/>
  <c r="AH11" i="23"/>
  <c r="A12" i="23"/>
  <c r="E12" i="23"/>
  <c r="F12" i="23" s="1"/>
  <c r="H12" i="23"/>
  <c r="I12" i="23" s="1"/>
  <c r="K12" i="23"/>
  <c r="M12" i="23" s="1"/>
  <c r="N12" i="23"/>
  <c r="O12" i="23"/>
  <c r="P12" i="23"/>
  <c r="Q12" i="23"/>
  <c r="R12" i="23"/>
  <c r="W12" i="23"/>
  <c r="X12" i="23"/>
  <c r="Y12" i="23"/>
  <c r="Z12" i="23"/>
  <c r="AA12" i="23"/>
  <c r="AB12" i="23"/>
  <c r="AC12" i="23" s="1"/>
  <c r="AE12" i="23"/>
  <c r="AF12" i="23" s="1"/>
  <c r="AH12" i="23"/>
  <c r="A13" i="23"/>
  <c r="E13" i="23"/>
  <c r="F13" i="23" s="1"/>
  <c r="H13" i="23"/>
  <c r="I13" i="23" s="1"/>
  <c r="K13" i="23"/>
  <c r="L13" i="23" s="1"/>
  <c r="N13" i="23"/>
  <c r="O13" i="23"/>
  <c r="P13" i="23"/>
  <c r="Q13" i="23"/>
  <c r="R13" i="23"/>
  <c r="W13" i="23"/>
  <c r="X13" i="23"/>
  <c r="Y13" i="23"/>
  <c r="Z13" i="23"/>
  <c r="AA13" i="23"/>
  <c r="AB13" i="23"/>
  <c r="AC13" i="23" s="1"/>
  <c r="AE13" i="23"/>
  <c r="AG13" i="23" s="1"/>
  <c r="AH13" i="23"/>
  <c r="A14" i="23"/>
  <c r="E14" i="23"/>
  <c r="G14" i="23" s="1"/>
  <c r="H14" i="23"/>
  <c r="I14" i="23" s="1"/>
  <c r="K14" i="23"/>
  <c r="L14" i="23" s="1"/>
  <c r="N14" i="23"/>
  <c r="O14" i="23"/>
  <c r="P14" i="23"/>
  <c r="Q14" i="23"/>
  <c r="R14" i="23"/>
  <c r="W14" i="23"/>
  <c r="X14" i="23"/>
  <c r="Y14" i="23"/>
  <c r="Z14" i="23"/>
  <c r="AA14" i="23"/>
  <c r="AB14" i="23"/>
  <c r="AC14" i="23" s="1"/>
  <c r="AE14" i="23"/>
  <c r="AF14" i="23" s="1"/>
  <c r="AH14" i="23"/>
  <c r="A15" i="23"/>
  <c r="E15" i="23"/>
  <c r="F15" i="23" s="1"/>
  <c r="H15" i="23"/>
  <c r="I15" i="23" s="1"/>
  <c r="K15" i="23"/>
  <c r="L15" i="23" s="1"/>
  <c r="N15" i="23"/>
  <c r="O15" i="23"/>
  <c r="P15" i="23"/>
  <c r="Q15" i="23"/>
  <c r="R15" i="23"/>
  <c r="W15" i="23"/>
  <c r="X15" i="23"/>
  <c r="Y15" i="23"/>
  <c r="Z15" i="23"/>
  <c r="AA15" i="23"/>
  <c r="AB15" i="23"/>
  <c r="AC15" i="23" s="1"/>
  <c r="AE15" i="23"/>
  <c r="AF15" i="23" s="1"/>
  <c r="AH15" i="23"/>
  <c r="A16" i="23"/>
  <c r="E16" i="23"/>
  <c r="F16" i="23" s="1"/>
  <c r="H16" i="23"/>
  <c r="I16" i="23" s="1"/>
  <c r="K16" i="23"/>
  <c r="L16" i="23" s="1"/>
  <c r="N16" i="23"/>
  <c r="O16" i="23"/>
  <c r="P16" i="23"/>
  <c r="Q16" i="23"/>
  <c r="R16" i="23"/>
  <c r="W16" i="23"/>
  <c r="X16" i="23"/>
  <c r="Y16" i="23"/>
  <c r="Z16" i="23"/>
  <c r="AA16" i="23"/>
  <c r="AB16" i="23"/>
  <c r="AC16" i="23" s="1"/>
  <c r="AE16" i="23"/>
  <c r="AF16" i="23" s="1"/>
  <c r="AH16" i="23"/>
  <c r="A17" i="23"/>
  <c r="E17" i="23"/>
  <c r="F17" i="23" s="1"/>
  <c r="H17" i="23"/>
  <c r="I17" i="23" s="1"/>
  <c r="K17" i="23"/>
  <c r="L17" i="23" s="1"/>
  <c r="N17" i="23"/>
  <c r="O17" i="23"/>
  <c r="P17" i="23"/>
  <c r="Q17" i="23"/>
  <c r="R17" i="23"/>
  <c r="W17" i="23"/>
  <c r="X17" i="23"/>
  <c r="Y17" i="23"/>
  <c r="Z17" i="23"/>
  <c r="AA17" i="23"/>
  <c r="AB17" i="23"/>
  <c r="AD17" i="23" s="1"/>
  <c r="AE17" i="23"/>
  <c r="AF17" i="23" s="1"/>
  <c r="AH17" i="23"/>
  <c r="A18" i="23"/>
  <c r="E18" i="23"/>
  <c r="G18" i="23" s="1"/>
  <c r="H18" i="23"/>
  <c r="J18" i="23" s="1"/>
  <c r="K18" i="23"/>
  <c r="L18" i="23" s="1"/>
  <c r="N18" i="23"/>
  <c r="O18" i="23"/>
  <c r="P18" i="23"/>
  <c r="Q18" i="23"/>
  <c r="R18" i="23"/>
  <c r="W18" i="23"/>
  <c r="X18" i="23"/>
  <c r="Y18" i="23"/>
  <c r="Z18" i="23"/>
  <c r="AA18" i="23"/>
  <c r="AB18" i="23"/>
  <c r="AD18" i="23" s="1"/>
  <c r="AE18" i="23"/>
  <c r="AG18" i="23" s="1"/>
  <c r="AH18" i="23"/>
  <c r="A19" i="23"/>
  <c r="E19" i="23"/>
  <c r="G19" i="23" s="1"/>
  <c r="H19" i="23"/>
  <c r="J19" i="23" s="1"/>
  <c r="K19" i="23"/>
  <c r="M19" i="23" s="1"/>
  <c r="N19" i="23"/>
  <c r="O19" i="23"/>
  <c r="P19" i="23"/>
  <c r="Q19" i="23"/>
  <c r="R19" i="23"/>
  <c r="W19" i="23"/>
  <c r="X19" i="23"/>
  <c r="Y19" i="23"/>
  <c r="Z19" i="23"/>
  <c r="AA19" i="23"/>
  <c r="AB19" i="23"/>
  <c r="AD19" i="23" s="1"/>
  <c r="AE19" i="23"/>
  <c r="AG19" i="23" s="1"/>
  <c r="AH19" i="23"/>
  <c r="A20" i="23"/>
  <c r="E20" i="23"/>
  <c r="F20" i="23" s="1"/>
  <c r="H20" i="23"/>
  <c r="I20" i="23" s="1"/>
  <c r="K20" i="23"/>
  <c r="M20" i="23" s="1"/>
  <c r="N20" i="23"/>
  <c r="O20" i="23"/>
  <c r="P20" i="23"/>
  <c r="Q20" i="23"/>
  <c r="R20" i="23"/>
  <c r="W20" i="23"/>
  <c r="X20" i="23"/>
  <c r="Y20" i="23"/>
  <c r="Z20" i="23"/>
  <c r="AA20" i="23"/>
  <c r="AB20" i="23"/>
  <c r="AC20" i="23" s="1"/>
  <c r="AE20" i="23"/>
  <c r="AF20" i="23" s="1"/>
  <c r="AH20" i="23"/>
  <c r="A21" i="23"/>
  <c r="E21" i="23"/>
  <c r="F21" i="23" s="1"/>
  <c r="H21" i="23"/>
  <c r="I21" i="23" s="1"/>
  <c r="K21" i="23"/>
  <c r="L21" i="23" s="1"/>
  <c r="N21" i="23"/>
  <c r="O21" i="23"/>
  <c r="P21" i="23"/>
  <c r="Q21" i="23"/>
  <c r="R21" i="23"/>
  <c r="W21" i="23"/>
  <c r="X21" i="23"/>
  <c r="Y21" i="23"/>
  <c r="Z21" i="23"/>
  <c r="AA21" i="23"/>
  <c r="AB21" i="23"/>
  <c r="AC21" i="23" s="1"/>
  <c r="AE21" i="23"/>
  <c r="AG21" i="23" s="1"/>
  <c r="AH21" i="23"/>
  <c r="AH2" i="23"/>
  <c r="E2" i="23"/>
  <c r="G2" i="23" s="1"/>
  <c r="H2" i="23"/>
  <c r="J2" i="23" s="1"/>
  <c r="K2" i="23"/>
  <c r="L2" i="23" s="1"/>
  <c r="N2" i="23"/>
  <c r="O2" i="23"/>
  <c r="P2" i="23"/>
  <c r="Q2" i="23"/>
  <c r="R2" i="23"/>
  <c r="W2" i="23"/>
  <c r="X2" i="23"/>
  <c r="Y2" i="23"/>
  <c r="Z2" i="23"/>
  <c r="AA2" i="23"/>
  <c r="AB2" i="23"/>
  <c r="AD2" i="23" s="1"/>
  <c r="AE2" i="23"/>
  <c r="AG2" i="23" s="1"/>
  <c r="A2" i="23"/>
  <c r="N75" i="23"/>
  <c r="AI5" i="49" l="1"/>
  <c r="N5" i="49"/>
  <c r="Q19" i="49"/>
  <c r="P4" i="49"/>
  <c r="AB4" i="49"/>
  <c r="F5" i="49"/>
  <c r="T5" i="49"/>
  <c r="AJ5" i="49"/>
  <c r="F7" i="49"/>
  <c r="AG7" i="49"/>
  <c r="S8" i="49"/>
  <c r="Y9" i="49"/>
  <c r="AA10" i="49"/>
  <c r="AC11" i="49"/>
  <c r="AE12" i="49"/>
  <c r="AG13" i="49"/>
  <c r="C16" i="49"/>
  <c r="E17" i="49"/>
  <c r="G18" i="49"/>
  <c r="I19" i="49"/>
  <c r="C4" i="49"/>
  <c r="Q4" i="49"/>
  <c r="AC4" i="49"/>
  <c r="G5" i="49"/>
  <c r="Y5" i="49"/>
  <c r="C6" i="49"/>
  <c r="S6" i="49"/>
  <c r="AH7" i="49"/>
  <c r="AA8" i="49"/>
  <c r="AC9" i="49"/>
  <c r="AG11" i="49"/>
  <c r="C14" i="49"/>
  <c r="E15" i="49"/>
  <c r="G16" i="49"/>
  <c r="M19" i="49"/>
  <c r="D4" i="49"/>
  <c r="R4" i="49"/>
  <c r="AD4" i="49"/>
  <c r="J5" i="49"/>
  <c r="Z5" i="49"/>
  <c r="D6" i="49"/>
  <c r="T6" i="49"/>
  <c r="M7" i="49"/>
  <c r="C8" i="49"/>
  <c r="AE8" i="49"/>
  <c r="AG9" i="49"/>
  <c r="AI10" i="49"/>
  <c r="C12" i="49"/>
  <c r="E13" i="49"/>
  <c r="G14" i="49"/>
  <c r="K16" i="49"/>
  <c r="M17" i="49"/>
  <c r="AH77" i="49"/>
  <c r="Z77" i="49"/>
  <c r="R77" i="49"/>
  <c r="J77" i="49"/>
  <c r="AJ76" i="49"/>
  <c r="AB76" i="49"/>
  <c r="P76" i="49"/>
  <c r="H76" i="49"/>
  <c r="AH75" i="49"/>
  <c r="Z75" i="49"/>
  <c r="N75" i="49"/>
  <c r="F75" i="49"/>
  <c r="T74" i="49"/>
  <c r="D74" i="49"/>
  <c r="AD73" i="49"/>
  <c r="R73" i="49"/>
  <c r="J73" i="49"/>
  <c r="AJ72" i="49"/>
  <c r="AB72" i="49"/>
  <c r="P72" i="49"/>
  <c r="H72" i="49"/>
  <c r="AH71" i="49"/>
  <c r="Z71" i="49"/>
  <c r="F71" i="49"/>
  <c r="AF70" i="49"/>
  <c r="T70" i="49"/>
  <c r="L70" i="49"/>
  <c r="D70" i="49"/>
  <c r="AD69" i="49"/>
  <c r="R69" i="49"/>
  <c r="J69" i="49"/>
  <c r="AJ68" i="49"/>
  <c r="AB68" i="49"/>
  <c r="P68" i="49"/>
  <c r="H68" i="49"/>
  <c r="AH67" i="49"/>
  <c r="Z67" i="49"/>
  <c r="N67" i="49"/>
  <c r="F67" i="49"/>
  <c r="T66" i="49"/>
  <c r="D66" i="49"/>
  <c r="AD65" i="49"/>
  <c r="R65" i="49"/>
  <c r="J65" i="49"/>
  <c r="AJ64" i="49"/>
  <c r="AB64" i="49"/>
  <c r="P64" i="49"/>
  <c r="H64" i="49"/>
  <c r="AH63" i="49"/>
  <c r="Z63" i="49"/>
  <c r="F63" i="49"/>
  <c r="AF62" i="49"/>
  <c r="T62" i="49"/>
  <c r="L62" i="49"/>
  <c r="D62" i="49"/>
  <c r="AD61" i="49"/>
  <c r="R61" i="49"/>
  <c r="J61" i="49"/>
  <c r="AJ60" i="49"/>
  <c r="AB60" i="49"/>
  <c r="P60" i="49"/>
  <c r="H60" i="49"/>
  <c r="AH59" i="49"/>
  <c r="Z59" i="49"/>
  <c r="N59" i="49"/>
  <c r="F59" i="49"/>
  <c r="T58" i="49"/>
  <c r="AG77" i="49"/>
  <c r="Y77" i="49"/>
  <c r="Q77" i="49"/>
  <c r="I77" i="49"/>
  <c r="AI76" i="49"/>
  <c r="AA76" i="49"/>
  <c r="G76" i="49"/>
  <c r="AG75" i="49"/>
  <c r="Y75" i="49"/>
  <c r="M75" i="49"/>
  <c r="E75" i="49"/>
  <c r="AE74" i="49"/>
  <c r="S74" i="49"/>
  <c r="K74" i="49"/>
  <c r="C74" i="49"/>
  <c r="AC73" i="49"/>
  <c r="Q73" i="49"/>
  <c r="AA72" i="49"/>
  <c r="G72" i="49"/>
  <c r="AG71" i="49"/>
  <c r="Y71" i="49"/>
  <c r="M71" i="49"/>
  <c r="E71" i="49"/>
  <c r="S70" i="49"/>
  <c r="C70" i="49"/>
  <c r="AC69" i="49"/>
  <c r="Q69" i="49"/>
  <c r="I69" i="49"/>
  <c r="AI68" i="49"/>
  <c r="AA68" i="49"/>
  <c r="G68" i="49"/>
  <c r="AG67" i="49"/>
  <c r="Y67" i="49"/>
  <c r="M67" i="49"/>
  <c r="E67" i="49"/>
  <c r="AE66" i="49"/>
  <c r="AM77" i="49"/>
  <c r="AF77" i="49"/>
  <c r="X77" i="49"/>
  <c r="P77" i="49"/>
  <c r="H77" i="49"/>
  <c r="Z76" i="49"/>
  <c r="N76" i="49"/>
  <c r="F76" i="49"/>
  <c r="T75" i="49"/>
  <c r="D75" i="49"/>
  <c r="AD74" i="49"/>
  <c r="R74" i="49"/>
  <c r="J74" i="49"/>
  <c r="AJ73" i="49"/>
  <c r="AB73" i="49"/>
  <c r="P73" i="49"/>
  <c r="H73" i="49"/>
  <c r="AH72" i="49"/>
  <c r="Z72" i="49"/>
  <c r="N72" i="49"/>
  <c r="F72" i="49"/>
  <c r="T71" i="49"/>
  <c r="D71" i="49"/>
  <c r="AD70" i="49"/>
  <c r="R70" i="49"/>
  <c r="J70" i="49"/>
  <c r="AE77" i="49"/>
  <c r="W77" i="49"/>
  <c r="O77" i="49"/>
  <c r="G77" i="49"/>
  <c r="AG76" i="49"/>
  <c r="Y76" i="49"/>
  <c r="M76" i="49"/>
  <c r="E76" i="49"/>
  <c r="AE75" i="49"/>
  <c r="S75" i="49"/>
  <c r="K75" i="49"/>
  <c r="C75" i="49"/>
  <c r="AC74" i="49"/>
  <c r="Q74" i="49"/>
  <c r="AA73" i="49"/>
  <c r="G73" i="49"/>
  <c r="AG72" i="49"/>
  <c r="Y72" i="49"/>
  <c r="M72" i="49"/>
  <c r="E72" i="49"/>
  <c r="AE71" i="49"/>
  <c r="S71" i="49"/>
  <c r="K71" i="49"/>
  <c r="C71" i="49"/>
  <c r="AC70" i="49"/>
  <c r="Q70" i="49"/>
  <c r="I70" i="49"/>
  <c r="AI69" i="49"/>
  <c r="AA69" i="49"/>
  <c r="G69" i="49"/>
  <c r="AG68" i="49"/>
  <c r="Y68" i="49"/>
  <c r="M68" i="49"/>
  <c r="E68" i="49"/>
  <c r="AE67" i="49"/>
  <c r="S67" i="49"/>
  <c r="K67" i="49"/>
  <c r="C67" i="49"/>
  <c r="AC66" i="49"/>
  <c r="Q66" i="49"/>
  <c r="AA65" i="49"/>
  <c r="G65" i="49"/>
  <c r="AG64" i="49"/>
  <c r="Y64" i="49"/>
  <c r="M64" i="49"/>
  <c r="E64" i="49"/>
  <c r="AE63" i="49"/>
  <c r="S63" i="49"/>
  <c r="K63" i="49"/>
  <c r="C63" i="49"/>
  <c r="AC62" i="49"/>
  <c r="Q62" i="49"/>
  <c r="I62" i="49"/>
  <c r="AI61" i="49"/>
  <c r="AA61" i="49"/>
  <c r="G61" i="49"/>
  <c r="AG60" i="49"/>
  <c r="Y60" i="49"/>
  <c r="M60" i="49"/>
  <c r="E60" i="49"/>
  <c r="AE59" i="49"/>
  <c r="S59" i="49"/>
  <c r="K59" i="49"/>
  <c r="C59" i="49"/>
  <c r="AC58" i="49"/>
  <c r="Q58" i="49"/>
  <c r="AA57" i="49"/>
  <c r="AL77" i="49"/>
  <c r="AD77" i="49"/>
  <c r="V77" i="49"/>
  <c r="N77" i="49"/>
  <c r="F77" i="49"/>
  <c r="T76" i="49"/>
  <c r="D76" i="49"/>
  <c r="AD75" i="49"/>
  <c r="R75" i="49"/>
  <c r="J75" i="49"/>
  <c r="AJ74" i="49"/>
  <c r="AB74" i="49"/>
  <c r="P74" i="49"/>
  <c r="H74" i="49"/>
  <c r="AH73" i="49"/>
  <c r="Z73" i="49"/>
  <c r="N73" i="49"/>
  <c r="F73" i="49"/>
  <c r="T72" i="49"/>
  <c r="D72" i="49"/>
  <c r="AD71" i="49"/>
  <c r="R71" i="49"/>
  <c r="J71" i="49"/>
  <c r="AJ70" i="49"/>
  <c r="AB70" i="49"/>
  <c r="P70" i="49"/>
  <c r="Z69" i="49"/>
  <c r="N69" i="49"/>
  <c r="F69" i="49"/>
  <c r="T68" i="49"/>
  <c r="D68" i="49"/>
  <c r="AD67" i="49"/>
  <c r="R67" i="49"/>
  <c r="J67" i="49"/>
  <c r="AJ66" i="49"/>
  <c r="AB66" i="49"/>
  <c r="P66" i="49"/>
  <c r="H66" i="49"/>
  <c r="AH65" i="49"/>
  <c r="Z65" i="49"/>
  <c r="N65" i="49"/>
  <c r="F65" i="49"/>
  <c r="T64" i="49"/>
  <c r="D64" i="49"/>
  <c r="AD63" i="49"/>
  <c r="R63" i="49"/>
  <c r="J63" i="49"/>
  <c r="AJ62" i="49"/>
  <c r="AB62" i="49"/>
  <c r="P62" i="49"/>
  <c r="AJ77" i="49"/>
  <c r="AB77" i="49"/>
  <c r="T77" i="49"/>
  <c r="L77" i="49"/>
  <c r="D77" i="49"/>
  <c r="AD76" i="49"/>
  <c r="R76" i="49"/>
  <c r="J76" i="49"/>
  <c r="AJ75" i="49"/>
  <c r="AB75" i="49"/>
  <c r="P75" i="49"/>
  <c r="H75" i="49"/>
  <c r="AH74" i="49"/>
  <c r="Z74" i="49"/>
  <c r="N74" i="49"/>
  <c r="F74" i="49"/>
  <c r="T73" i="49"/>
  <c r="D73" i="49"/>
  <c r="AD72" i="49"/>
  <c r="R72" i="49"/>
  <c r="J72" i="49"/>
  <c r="AJ71" i="49"/>
  <c r="AB71" i="49"/>
  <c r="P71" i="49"/>
  <c r="H71" i="49"/>
  <c r="AH70" i="49"/>
  <c r="Z70" i="49"/>
  <c r="F70" i="49"/>
  <c r="AF69" i="49"/>
  <c r="T69" i="49"/>
  <c r="L69" i="49"/>
  <c r="D69" i="49"/>
  <c r="AD68" i="49"/>
  <c r="R68" i="49"/>
  <c r="J68" i="49"/>
  <c r="AJ67" i="49"/>
  <c r="AB67" i="49"/>
  <c r="P67" i="49"/>
  <c r="H67" i="49"/>
  <c r="AH66" i="49"/>
  <c r="Z66" i="49"/>
  <c r="N66" i="49"/>
  <c r="F66" i="49"/>
  <c r="T65" i="49"/>
  <c r="D65" i="49"/>
  <c r="AD64" i="49"/>
  <c r="R64" i="49"/>
  <c r="J64" i="49"/>
  <c r="AJ63" i="49"/>
  <c r="AB63" i="49"/>
  <c r="P63" i="49"/>
  <c r="H63" i="49"/>
  <c r="AH62" i="49"/>
  <c r="Z62" i="49"/>
  <c r="F62" i="49"/>
  <c r="AF61" i="49"/>
  <c r="T61" i="49"/>
  <c r="L61" i="49"/>
  <c r="D61" i="49"/>
  <c r="AD60" i="49"/>
  <c r="R60" i="49"/>
  <c r="J60" i="49"/>
  <c r="AJ59" i="49"/>
  <c r="AB59" i="49"/>
  <c r="P59" i="49"/>
  <c r="H59" i="49"/>
  <c r="AH58" i="49"/>
  <c r="Z58" i="49"/>
  <c r="N58" i="49"/>
  <c r="F58" i="49"/>
  <c r="T57" i="49"/>
  <c r="AI77" i="49"/>
  <c r="AA77" i="49"/>
  <c r="S77" i="49"/>
  <c r="K77" i="49"/>
  <c r="C77" i="49"/>
  <c r="AC76" i="49"/>
  <c r="Q76" i="49"/>
  <c r="AA75" i="49"/>
  <c r="G75" i="49"/>
  <c r="AG74" i="49"/>
  <c r="Y74" i="49"/>
  <c r="M74" i="49"/>
  <c r="E74" i="49"/>
  <c r="AE73" i="49"/>
  <c r="S73" i="49"/>
  <c r="K73" i="49"/>
  <c r="C73" i="49"/>
  <c r="AC72" i="49"/>
  <c r="Q72" i="49"/>
  <c r="AA71" i="49"/>
  <c r="O71" i="49"/>
  <c r="G71" i="49"/>
  <c r="AG70" i="49"/>
  <c r="Y70" i="49"/>
  <c r="M70" i="49"/>
  <c r="E70" i="49"/>
  <c r="S69" i="49"/>
  <c r="C69" i="49"/>
  <c r="AC68" i="49"/>
  <c r="Q68" i="49"/>
  <c r="AA67" i="49"/>
  <c r="G67" i="49"/>
  <c r="AG66" i="49"/>
  <c r="Y66" i="49"/>
  <c r="M66" i="49"/>
  <c r="E66" i="49"/>
  <c r="AE65" i="49"/>
  <c r="S65" i="49"/>
  <c r="K65" i="49"/>
  <c r="C65" i="49"/>
  <c r="AC64" i="49"/>
  <c r="Q64" i="49"/>
  <c r="AA63" i="49"/>
  <c r="O63" i="49"/>
  <c r="G63" i="49"/>
  <c r="AG62" i="49"/>
  <c r="Y62" i="49"/>
  <c r="M62" i="49"/>
  <c r="AK77" i="49"/>
  <c r="C76" i="49"/>
  <c r="AG73" i="49"/>
  <c r="AC71" i="49"/>
  <c r="AG69" i="49"/>
  <c r="AE68" i="49"/>
  <c r="AC67" i="49"/>
  <c r="AA66" i="49"/>
  <c r="AJ65" i="49"/>
  <c r="S64" i="49"/>
  <c r="E63" i="49"/>
  <c r="O62" i="49"/>
  <c r="N61" i="49"/>
  <c r="AI60" i="49"/>
  <c r="S60" i="49"/>
  <c r="F60" i="49"/>
  <c r="AA59" i="49"/>
  <c r="J59" i="49"/>
  <c r="AE58" i="49"/>
  <c r="C58" i="49"/>
  <c r="Z57" i="49"/>
  <c r="D57" i="49"/>
  <c r="AD56" i="49"/>
  <c r="R56" i="49"/>
  <c r="J56" i="49"/>
  <c r="AJ55" i="49"/>
  <c r="AB55" i="49"/>
  <c r="P55" i="49"/>
  <c r="AH54" i="49"/>
  <c r="Z54" i="49"/>
  <c r="N54" i="49"/>
  <c r="F54" i="49"/>
  <c r="T53" i="49"/>
  <c r="D53" i="49"/>
  <c r="AD52" i="49"/>
  <c r="R52" i="49"/>
  <c r="J52" i="49"/>
  <c r="AJ51" i="49"/>
  <c r="AB51" i="49"/>
  <c r="P51" i="49"/>
  <c r="H51" i="49"/>
  <c r="AH50" i="49"/>
  <c r="Z50" i="49"/>
  <c r="F50" i="49"/>
  <c r="AF49" i="49"/>
  <c r="T49" i="49"/>
  <c r="L49" i="49"/>
  <c r="D49" i="49"/>
  <c r="AD48" i="49"/>
  <c r="R48" i="49"/>
  <c r="J48" i="49"/>
  <c r="AJ47" i="49"/>
  <c r="AB47" i="49"/>
  <c r="P47" i="49"/>
  <c r="H47" i="49"/>
  <c r="Z46" i="49"/>
  <c r="N46" i="49"/>
  <c r="F46" i="49"/>
  <c r="AF45" i="49"/>
  <c r="T45" i="49"/>
  <c r="L45" i="49"/>
  <c r="D45" i="49"/>
  <c r="AD44" i="49"/>
  <c r="R44" i="49"/>
  <c r="J44" i="49"/>
  <c r="AJ43" i="49"/>
  <c r="AB43" i="49"/>
  <c r="P43" i="49"/>
  <c r="AH42" i="49"/>
  <c r="Z42" i="49"/>
  <c r="N42" i="49"/>
  <c r="F42" i="49"/>
  <c r="U77" i="49"/>
  <c r="Q75" i="49"/>
  <c r="M73" i="49"/>
  <c r="Y69" i="49"/>
  <c r="S68" i="49"/>
  <c r="Q67" i="49"/>
  <c r="R66" i="49"/>
  <c r="AC65" i="49"/>
  <c r="E65" i="49"/>
  <c r="N64" i="49"/>
  <c r="Y63" i="49"/>
  <c r="J62" i="49"/>
  <c r="AB61" i="49"/>
  <c r="C60" i="49"/>
  <c r="T59" i="49"/>
  <c r="G59" i="49"/>
  <c r="AB58" i="49"/>
  <c r="K58" i="49"/>
  <c r="AH57" i="49"/>
  <c r="S57" i="49"/>
  <c r="J57" i="49"/>
  <c r="AJ56" i="49"/>
  <c r="AB56" i="49"/>
  <c r="P56" i="49"/>
  <c r="Z55" i="49"/>
  <c r="N55" i="49"/>
  <c r="F55" i="49"/>
  <c r="T54" i="49"/>
  <c r="D54" i="49"/>
  <c r="AD53" i="49"/>
  <c r="R53" i="49"/>
  <c r="J53" i="49"/>
  <c r="AJ52" i="49"/>
  <c r="AB52" i="49"/>
  <c r="P52" i="49"/>
  <c r="H52" i="49"/>
  <c r="AH51" i="49"/>
  <c r="Z51" i="49"/>
  <c r="N51" i="49"/>
  <c r="F51" i="49"/>
  <c r="M77" i="49"/>
  <c r="E73" i="49"/>
  <c r="P69" i="49"/>
  <c r="N68" i="49"/>
  <c r="AB65" i="49"/>
  <c r="K64" i="49"/>
  <c r="T63" i="49"/>
  <c r="G62" i="49"/>
  <c r="Z61" i="49"/>
  <c r="I61" i="49"/>
  <c r="AE60" i="49"/>
  <c r="N60" i="49"/>
  <c r="R59" i="49"/>
  <c r="E59" i="49"/>
  <c r="AA58" i="49"/>
  <c r="J58" i="49"/>
  <c r="AG57" i="49"/>
  <c r="R57" i="49"/>
  <c r="I57" i="49"/>
  <c r="AI56" i="49"/>
  <c r="AA56" i="49"/>
  <c r="G56" i="49"/>
  <c r="AG55" i="49"/>
  <c r="Y55" i="49"/>
  <c r="M55" i="49"/>
  <c r="E55" i="49"/>
  <c r="AE54" i="49"/>
  <c r="S54" i="49"/>
  <c r="K54" i="49"/>
  <c r="C54" i="49"/>
  <c r="AC53" i="49"/>
  <c r="Q53" i="49"/>
  <c r="AA52" i="49"/>
  <c r="G52" i="49"/>
  <c r="AG51" i="49"/>
  <c r="Y51" i="49"/>
  <c r="M51" i="49"/>
  <c r="E51" i="49"/>
  <c r="AE50" i="49"/>
  <c r="S50" i="49"/>
  <c r="K50" i="49"/>
  <c r="C50" i="49"/>
  <c r="AC49" i="49"/>
  <c r="Q49" i="49"/>
  <c r="I49" i="49"/>
  <c r="AI48" i="49"/>
  <c r="AA48" i="49"/>
  <c r="G48" i="49"/>
  <c r="AG47" i="49"/>
  <c r="Y47" i="49"/>
  <c r="M47" i="49"/>
  <c r="E47" i="49"/>
  <c r="AE46" i="49"/>
  <c r="S46" i="49"/>
  <c r="K46" i="49"/>
  <c r="C46" i="49"/>
  <c r="AC45" i="49"/>
  <c r="Q45" i="49"/>
  <c r="I45" i="49"/>
  <c r="AI44" i="49"/>
  <c r="AA44" i="49"/>
  <c r="G44" i="49"/>
  <c r="AG43" i="49"/>
  <c r="Y43" i="49"/>
  <c r="M43" i="49"/>
  <c r="E43" i="49"/>
  <c r="AE42" i="49"/>
  <c r="S42" i="49"/>
  <c r="K42" i="49"/>
  <c r="C42" i="49"/>
  <c r="AC41" i="49"/>
  <c r="E77" i="49"/>
  <c r="AE72" i="49"/>
  <c r="AA70" i="49"/>
  <c r="M69" i="49"/>
  <c r="K68" i="49"/>
  <c r="K66" i="49"/>
  <c r="Y65" i="49"/>
  <c r="AH64" i="49"/>
  <c r="G64" i="49"/>
  <c r="Q63" i="49"/>
  <c r="AD62" i="49"/>
  <c r="E62" i="49"/>
  <c r="Y61" i="49"/>
  <c r="AC60" i="49"/>
  <c r="AG59" i="49"/>
  <c r="Q59" i="49"/>
  <c r="D59" i="49"/>
  <c r="Y58" i="49"/>
  <c r="H58" i="49"/>
  <c r="AE57" i="49"/>
  <c r="Q57" i="49"/>
  <c r="Z56" i="49"/>
  <c r="N56" i="49"/>
  <c r="F56" i="49"/>
  <c r="AF55" i="49"/>
  <c r="T55" i="49"/>
  <c r="L55" i="49"/>
  <c r="D55" i="49"/>
  <c r="AD54" i="49"/>
  <c r="R54" i="49"/>
  <c r="J54" i="49"/>
  <c r="AJ53" i="49"/>
  <c r="AB53" i="49"/>
  <c r="P53" i="49"/>
  <c r="H53" i="49"/>
  <c r="AH52" i="49"/>
  <c r="Z52" i="49"/>
  <c r="N52" i="49"/>
  <c r="F52" i="49"/>
  <c r="T51" i="49"/>
  <c r="D51" i="49"/>
  <c r="AD50" i="49"/>
  <c r="R50" i="49"/>
  <c r="J50" i="49"/>
  <c r="AJ49" i="49"/>
  <c r="AB49" i="49"/>
  <c r="P49" i="49"/>
  <c r="Z48" i="49"/>
  <c r="N48" i="49"/>
  <c r="F48" i="49"/>
  <c r="T47" i="49"/>
  <c r="D47" i="49"/>
  <c r="AD46" i="49"/>
  <c r="R46" i="49"/>
  <c r="J46" i="49"/>
  <c r="AJ45" i="49"/>
  <c r="AB45" i="49"/>
  <c r="P45" i="49"/>
  <c r="Z44" i="49"/>
  <c r="N44" i="49"/>
  <c r="F44" i="49"/>
  <c r="AE76" i="49"/>
  <c r="AA74" i="49"/>
  <c r="S72" i="49"/>
  <c r="O70" i="49"/>
  <c r="F68" i="49"/>
  <c r="D67" i="49"/>
  <c r="J66" i="49"/>
  <c r="Q65" i="49"/>
  <c r="AE64" i="49"/>
  <c r="F64" i="49"/>
  <c r="M63" i="49"/>
  <c r="AA62" i="49"/>
  <c r="C62" i="49"/>
  <c r="S61" i="49"/>
  <c r="F61" i="49"/>
  <c r="AA60" i="49"/>
  <c r="K60" i="49"/>
  <c r="AJ58" i="49"/>
  <c r="S58" i="49"/>
  <c r="G58" i="49"/>
  <c r="AD57" i="49"/>
  <c r="P57" i="49"/>
  <c r="G57" i="49"/>
  <c r="AG56" i="49"/>
  <c r="Y56" i="49"/>
  <c r="M56" i="49"/>
  <c r="E56" i="49"/>
  <c r="S55" i="49"/>
  <c r="C55" i="49"/>
  <c r="AC54" i="49"/>
  <c r="Q54" i="49"/>
  <c r="AA53" i="49"/>
  <c r="G53" i="49"/>
  <c r="AG52" i="49"/>
  <c r="Y52" i="49"/>
  <c r="M52" i="49"/>
  <c r="E52" i="49"/>
  <c r="AE51" i="49"/>
  <c r="S51" i="49"/>
  <c r="K51" i="49"/>
  <c r="C51" i="49"/>
  <c r="AC50" i="49"/>
  <c r="Q50" i="49"/>
  <c r="AA49" i="49"/>
  <c r="O49" i="49"/>
  <c r="G49" i="49"/>
  <c r="AG48" i="49"/>
  <c r="Y48" i="49"/>
  <c r="M48" i="49"/>
  <c r="E48" i="49"/>
  <c r="AE47" i="49"/>
  <c r="S47" i="49"/>
  <c r="K47" i="49"/>
  <c r="C47" i="49"/>
  <c r="AC46" i="49"/>
  <c r="Q46" i="49"/>
  <c r="S76" i="49"/>
  <c r="K72" i="49"/>
  <c r="G70" i="49"/>
  <c r="E69" i="49"/>
  <c r="C68" i="49"/>
  <c r="G66" i="49"/>
  <c r="P65" i="49"/>
  <c r="AA64" i="49"/>
  <c r="C64" i="49"/>
  <c r="S62" i="49"/>
  <c r="AJ61" i="49"/>
  <c r="Q61" i="49"/>
  <c r="E61" i="49"/>
  <c r="Z60" i="49"/>
  <c r="AD59" i="49"/>
  <c r="M59" i="49"/>
  <c r="R58" i="49"/>
  <c r="E58" i="49"/>
  <c r="AC57" i="49"/>
  <c r="N57" i="49"/>
  <c r="F57" i="49"/>
  <c r="AF56" i="49"/>
  <c r="T56" i="49"/>
  <c r="L56" i="49"/>
  <c r="D56" i="49"/>
  <c r="AD55" i="49"/>
  <c r="R55" i="49"/>
  <c r="J55" i="49"/>
  <c r="AJ54" i="49"/>
  <c r="AB54" i="49"/>
  <c r="P54" i="49"/>
  <c r="H54" i="49"/>
  <c r="AH53" i="49"/>
  <c r="Z53" i="49"/>
  <c r="N53" i="49"/>
  <c r="F53" i="49"/>
  <c r="T52" i="49"/>
  <c r="D52" i="49"/>
  <c r="AD51" i="49"/>
  <c r="R51" i="49"/>
  <c r="K76" i="49"/>
  <c r="G74" i="49"/>
  <c r="C72" i="49"/>
  <c r="AJ69" i="49"/>
  <c r="AD66" i="49"/>
  <c r="C66" i="49"/>
  <c r="M65" i="49"/>
  <c r="Z64" i="49"/>
  <c r="AG63" i="49"/>
  <c r="R62" i="49"/>
  <c r="AG61" i="49"/>
  <c r="P61" i="49"/>
  <c r="C61" i="49"/>
  <c r="T60" i="49"/>
  <c r="G60" i="49"/>
  <c r="AC59" i="49"/>
  <c r="AG58" i="49"/>
  <c r="P58" i="49"/>
  <c r="D58" i="49"/>
  <c r="AB57" i="49"/>
  <c r="M57" i="49"/>
  <c r="E57" i="49"/>
  <c r="S56" i="49"/>
  <c r="C56" i="49"/>
  <c r="AC55" i="49"/>
  <c r="Q55" i="49"/>
  <c r="I55" i="49"/>
  <c r="AA54" i="49"/>
  <c r="G54" i="49"/>
  <c r="AG53" i="49"/>
  <c r="Y53" i="49"/>
  <c r="M53" i="49"/>
  <c r="E53" i="49"/>
  <c r="AE52" i="49"/>
  <c r="S52" i="49"/>
  <c r="K52" i="49"/>
  <c r="C52" i="49"/>
  <c r="AC51" i="49"/>
  <c r="Q51" i="49"/>
  <c r="AA50" i="49"/>
  <c r="O50" i="49"/>
  <c r="G50" i="49"/>
  <c r="AG49" i="49"/>
  <c r="Y49" i="49"/>
  <c r="M49" i="49"/>
  <c r="E49" i="49"/>
  <c r="AE48" i="49"/>
  <c r="S48" i="49"/>
  <c r="K48" i="49"/>
  <c r="C48" i="49"/>
  <c r="AC47" i="49"/>
  <c r="Q47" i="49"/>
  <c r="AI46" i="49"/>
  <c r="AA46" i="49"/>
  <c r="G46" i="49"/>
  <c r="AG45" i="49"/>
  <c r="Y45" i="49"/>
  <c r="M45" i="49"/>
  <c r="E45" i="49"/>
  <c r="S44" i="49"/>
  <c r="C44" i="49"/>
  <c r="AC43" i="49"/>
  <c r="Q43" i="49"/>
  <c r="I43" i="49"/>
  <c r="AA42" i="49"/>
  <c r="G42" i="49"/>
  <c r="AG41" i="49"/>
  <c r="Y41" i="49"/>
  <c r="M41" i="49"/>
  <c r="T67" i="49"/>
  <c r="AC61" i="49"/>
  <c r="M58" i="49"/>
  <c r="AI55" i="49"/>
  <c r="AE53" i="49"/>
  <c r="AA51" i="49"/>
  <c r="Y50" i="49"/>
  <c r="AH49" i="49"/>
  <c r="J49" i="49"/>
  <c r="Q48" i="49"/>
  <c r="AD47" i="49"/>
  <c r="F47" i="49"/>
  <c r="M46" i="49"/>
  <c r="AC44" i="49"/>
  <c r="I44" i="49"/>
  <c r="AA43" i="49"/>
  <c r="K43" i="49"/>
  <c r="P42" i="49"/>
  <c r="AJ41" i="49"/>
  <c r="T41" i="49"/>
  <c r="K41" i="49"/>
  <c r="C41" i="49"/>
  <c r="AC40" i="49"/>
  <c r="Q40" i="49"/>
  <c r="I40" i="49"/>
  <c r="AI39" i="49"/>
  <c r="AA39" i="49"/>
  <c r="G39" i="49"/>
  <c r="AG38" i="49"/>
  <c r="Y38" i="49"/>
  <c r="M38" i="49"/>
  <c r="E38" i="49"/>
  <c r="S37" i="49"/>
  <c r="C37" i="49"/>
  <c r="AC36" i="49"/>
  <c r="Q36" i="49"/>
  <c r="AA35" i="49"/>
  <c r="O35" i="49"/>
  <c r="G35" i="49"/>
  <c r="AG34" i="49"/>
  <c r="Y34" i="49"/>
  <c r="M34" i="49"/>
  <c r="E34" i="49"/>
  <c r="S33" i="49"/>
  <c r="K33" i="49"/>
  <c r="C33" i="49"/>
  <c r="AC32" i="49"/>
  <c r="Q32" i="49"/>
  <c r="AA31" i="49"/>
  <c r="G31" i="49"/>
  <c r="AG30" i="49"/>
  <c r="Y30" i="49"/>
  <c r="M30" i="49"/>
  <c r="E30" i="49"/>
  <c r="AE29" i="49"/>
  <c r="S29" i="49"/>
  <c r="K29" i="49"/>
  <c r="C29" i="49"/>
  <c r="AC28" i="49"/>
  <c r="Q28" i="49"/>
  <c r="AA27" i="49"/>
  <c r="O27" i="49"/>
  <c r="G27" i="49"/>
  <c r="AG26" i="49"/>
  <c r="Y26" i="49"/>
  <c r="M26" i="49"/>
  <c r="E26" i="49"/>
  <c r="AE25" i="49"/>
  <c r="S25" i="49"/>
  <c r="K25" i="49"/>
  <c r="C25" i="49"/>
  <c r="S66" i="49"/>
  <c r="M61" i="49"/>
  <c r="AJ57" i="49"/>
  <c r="AA55" i="49"/>
  <c r="S53" i="49"/>
  <c r="T50" i="49"/>
  <c r="F49" i="49"/>
  <c r="P48" i="49"/>
  <c r="AA47" i="49"/>
  <c r="AJ46" i="49"/>
  <c r="AD45" i="49"/>
  <c r="J45" i="49"/>
  <c r="AB44" i="49"/>
  <c r="Z43" i="49"/>
  <c r="J43" i="49"/>
  <c r="AD42" i="49"/>
  <c r="M42" i="49"/>
  <c r="S41" i="49"/>
  <c r="J41" i="49"/>
  <c r="AJ40" i="49"/>
  <c r="AB40" i="49"/>
  <c r="P40" i="49"/>
  <c r="Z39" i="49"/>
  <c r="N39" i="49"/>
  <c r="F39" i="49"/>
  <c r="T38" i="49"/>
  <c r="D38" i="49"/>
  <c r="AD37" i="49"/>
  <c r="R37" i="49"/>
  <c r="J37" i="49"/>
  <c r="AJ36" i="49"/>
  <c r="AB36" i="49"/>
  <c r="P36" i="49"/>
  <c r="H36" i="49"/>
  <c r="AH35" i="49"/>
  <c r="Z35" i="49"/>
  <c r="F35" i="49"/>
  <c r="AF34" i="49"/>
  <c r="T34" i="49"/>
  <c r="L34" i="49"/>
  <c r="D34" i="49"/>
  <c r="AD33" i="49"/>
  <c r="R33" i="49"/>
  <c r="J33" i="49"/>
  <c r="AJ32" i="49"/>
  <c r="AB32" i="49"/>
  <c r="P32" i="49"/>
  <c r="H32" i="49"/>
  <c r="AH31" i="49"/>
  <c r="Z31" i="49"/>
  <c r="N31" i="49"/>
  <c r="F31" i="49"/>
  <c r="T30" i="49"/>
  <c r="D30" i="49"/>
  <c r="AD29" i="49"/>
  <c r="R29" i="49"/>
  <c r="J29" i="49"/>
  <c r="AJ28" i="49"/>
  <c r="AB28" i="49"/>
  <c r="P28" i="49"/>
  <c r="H28" i="49"/>
  <c r="AH27" i="49"/>
  <c r="Z27" i="49"/>
  <c r="F27" i="49"/>
  <c r="AF26" i="49"/>
  <c r="T26" i="49"/>
  <c r="L26" i="49"/>
  <c r="D26" i="49"/>
  <c r="AD25" i="49"/>
  <c r="R25" i="49"/>
  <c r="J25" i="49"/>
  <c r="AJ24" i="49"/>
  <c r="AC77" i="49"/>
  <c r="AG65" i="49"/>
  <c r="Y57" i="49"/>
  <c r="K53" i="49"/>
  <c r="J51" i="49"/>
  <c r="P50" i="49"/>
  <c r="AD49" i="49"/>
  <c r="C49" i="49"/>
  <c r="Z47" i="49"/>
  <c r="AG46" i="49"/>
  <c r="AA45" i="49"/>
  <c r="G45" i="49"/>
  <c r="Y44" i="49"/>
  <c r="E44" i="49"/>
  <c r="T43" i="49"/>
  <c r="G43" i="49"/>
  <c r="AC42" i="49"/>
  <c r="AH41" i="49"/>
  <c r="R41" i="49"/>
  <c r="AA40" i="49"/>
  <c r="G40" i="49"/>
  <c r="AG39" i="49"/>
  <c r="Y39" i="49"/>
  <c r="M39" i="49"/>
  <c r="E39" i="49"/>
  <c r="AE38" i="49"/>
  <c r="S38" i="49"/>
  <c r="K38" i="49"/>
  <c r="AC75" i="49"/>
  <c r="H65" i="49"/>
  <c r="Q60" i="49"/>
  <c r="K57" i="49"/>
  <c r="G55" i="49"/>
  <c r="C53" i="49"/>
  <c r="G51" i="49"/>
  <c r="M50" i="49"/>
  <c r="Z49" i="49"/>
  <c r="AJ48" i="49"/>
  <c r="R47" i="49"/>
  <c r="H46" i="49"/>
  <c r="Z45" i="49"/>
  <c r="F45" i="49"/>
  <c r="T44" i="49"/>
  <c r="D44" i="49"/>
  <c r="S43" i="49"/>
  <c r="F43" i="49"/>
  <c r="AB42" i="49"/>
  <c r="J42" i="49"/>
  <c r="AE41" i="49"/>
  <c r="Q41" i="49"/>
  <c r="H41" i="49"/>
  <c r="AH40" i="49"/>
  <c r="Z40" i="49"/>
  <c r="N40" i="49"/>
  <c r="F40" i="49"/>
  <c r="T39" i="49"/>
  <c r="D39" i="49"/>
  <c r="AD38" i="49"/>
  <c r="R38" i="49"/>
  <c r="J38" i="49"/>
  <c r="AJ37" i="49"/>
  <c r="AB37" i="49"/>
  <c r="P37" i="49"/>
  <c r="AH36" i="49"/>
  <c r="Z36" i="49"/>
  <c r="F36" i="49"/>
  <c r="AF35" i="49"/>
  <c r="T35" i="49"/>
  <c r="L35" i="49"/>
  <c r="D35" i="49"/>
  <c r="AD34" i="49"/>
  <c r="R34" i="49"/>
  <c r="J34" i="49"/>
  <c r="AJ33" i="49"/>
  <c r="AB33" i="49"/>
  <c r="P33" i="49"/>
  <c r="H33" i="49"/>
  <c r="AH32" i="49"/>
  <c r="Z32" i="49"/>
  <c r="N32" i="49"/>
  <c r="F32" i="49"/>
  <c r="T31" i="49"/>
  <c r="D31" i="49"/>
  <c r="AD30" i="49"/>
  <c r="R30" i="49"/>
  <c r="J30" i="49"/>
  <c r="AJ29" i="49"/>
  <c r="AB29" i="49"/>
  <c r="P29" i="49"/>
  <c r="H29" i="49"/>
  <c r="AH28" i="49"/>
  <c r="Z28" i="49"/>
  <c r="F28" i="49"/>
  <c r="AF27" i="49"/>
  <c r="T27" i="49"/>
  <c r="L27" i="49"/>
  <c r="D27" i="49"/>
  <c r="Y73" i="49"/>
  <c r="D60" i="49"/>
  <c r="C57" i="49"/>
  <c r="AG54" i="49"/>
  <c r="AC52" i="49"/>
  <c r="AJ50" i="49"/>
  <c r="S49" i="49"/>
  <c r="H48" i="49"/>
  <c r="O47" i="49"/>
  <c r="AB46" i="49"/>
  <c r="E46" i="49"/>
  <c r="S45" i="49"/>
  <c r="C45" i="49"/>
  <c r="Q44" i="49"/>
  <c r="R43" i="49"/>
  <c r="D43" i="49"/>
  <c r="Y42" i="49"/>
  <c r="AD41" i="49"/>
  <c r="P41" i="49"/>
  <c r="G41" i="49"/>
  <c r="AG40" i="49"/>
  <c r="Y40" i="49"/>
  <c r="M40" i="49"/>
  <c r="E40" i="49"/>
  <c r="AE39" i="49"/>
  <c r="S39" i="49"/>
  <c r="K39" i="49"/>
  <c r="C39" i="49"/>
  <c r="AC38" i="49"/>
  <c r="Q38" i="49"/>
  <c r="AI37" i="49"/>
  <c r="AA37" i="49"/>
  <c r="O37" i="49"/>
  <c r="G37" i="49"/>
  <c r="AG36" i="49"/>
  <c r="Y36" i="49"/>
  <c r="M36" i="49"/>
  <c r="E36" i="49"/>
  <c r="S35" i="49"/>
  <c r="C35" i="49"/>
  <c r="AC34" i="49"/>
  <c r="Q34" i="49"/>
  <c r="I34" i="49"/>
  <c r="AA33" i="49"/>
  <c r="G33" i="49"/>
  <c r="AG32" i="49"/>
  <c r="Y32" i="49"/>
  <c r="M32" i="49"/>
  <c r="E32" i="49"/>
  <c r="AE31" i="49"/>
  <c r="S31" i="49"/>
  <c r="K31" i="49"/>
  <c r="C31" i="49"/>
  <c r="AC30" i="49"/>
  <c r="Q30" i="49"/>
  <c r="I30" i="49"/>
  <c r="AI29" i="49"/>
  <c r="AA29" i="49"/>
  <c r="G29" i="49"/>
  <c r="AG28" i="49"/>
  <c r="Y28" i="49"/>
  <c r="M28" i="49"/>
  <c r="E28" i="49"/>
  <c r="S27" i="49"/>
  <c r="C27" i="49"/>
  <c r="AC26" i="49"/>
  <c r="Q26" i="49"/>
  <c r="I26" i="49"/>
  <c r="AA25" i="49"/>
  <c r="G25" i="49"/>
  <c r="Q71" i="49"/>
  <c r="AC63" i="49"/>
  <c r="Y59" i="49"/>
  <c r="AC56" i="49"/>
  <c r="Y54" i="49"/>
  <c r="Q52" i="49"/>
  <c r="AG50" i="49"/>
  <c r="H50" i="49"/>
  <c r="R49" i="49"/>
  <c r="AC48" i="49"/>
  <c r="D48" i="49"/>
  <c r="Y46" i="49"/>
  <c r="D46" i="49"/>
  <c r="R45" i="49"/>
  <c r="AJ44" i="49"/>
  <c r="P44" i="49"/>
  <c r="AH43" i="49"/>
  <c r="C43" i="49"/>
  <c r="T42" i="49"/>
  <c r="H42" i="49"/>
  <c r="AB41" i="49"/>
  <c r="F41" i="49"/>
  <c r="T40" i="49"/>
  <c r="D40" i="49"/>
  <c r="AD39" i="49"/>
  <c r="R39" i="49"/>
  <c r="J39" i="49"/>
  <c r="AJ38" i="49"/>
  <c r="AB38" i="49"/>
  <c r="P38" i="49"/>
  <c r="H38" i="49"/>
  <c r="Z37" i="49"/>
  <c r="F37" i="49"/>
  <c r="T36" i="49"/>
  <c r="D36" i="49"/>
  <c r="AD35" i="49"/>
  <c r="R35" i="49"/>
  <c r="J35" i="49"/>
  <c r="AJ34" i="49"/>
  <c r="AB34" i="49"/>
  <c r="P34" i="49"/>
  <c r="AH33" i="49"/>
  <c r="Z33" i="49"/>
  <c r="N33" i="49"/>
  <c r="F33" i="49"/>
  <c r="T32" i="49"/>
  <c r="D32" i="49"/>
  <c r="AD31" i="49"/>
  <c r="R31" i="49"/>
  <c r="J31" i="49"/>
  <c r="AJ30" i="49"/>
  <c r="AB30" i="49"/>
  <c r="P30" i="49"/>
  <c r="Z29" i="49"/>
  <c r="N29" i="49"/>
  <c r="F29" i="49"/>
  <c r="T28" i="49"/>
  <c r="D28" i="49"/>
  <c r="AD27" i="49"/>
  <c r="R27" i="49"/>
  <c r="AB69" i="49"/>
  <c r="D63" i="49"/>
  <c r="Q56" i="49"/>
  <c r="M54" i="49"/>
  <c r="E50" i="49"/>
  <c r="AB48" i="49"/>
  <c r="J47" i="49"/>
  <c r="T46" i="49"/>
  <c r="O45" i="49"/>
  <c r="AG44" i="49"/>
  <c r="M44" i="49"/>
  <c r="AE43" i="49"/>
  <c r="N43" i="49"/>
  <c r="AJ42" i="49"/>
  <c r="R42" i="49"/>
  <c r="E42" i="49"/>
  <c r="AA41" i="49"/>
  <c r="N41" i="49"/>
  <c r="E41" i="49"/>
  <c r="AE40" i="49"/>
  <c r="S40" i="49"/>
  <c r="K40" i="49"/>
  <c r="C40" i="49"/>
  <c r="AC39" i="49"/>
  <c r="Q39" i="49"/>
  <c r="AA38" i="49"/>
  <c r="O38" i="49"/>
  <c r="Z68" i="49"/>
  <c r="AD58" i="49"/>
  <c r="I56" i="49"/>
  <c r="E54" i="49"/>
  <c r="AB50" i="49"/>
  <c r="D50" i="49"/>
  <c r="T48" i="49"/>
  <c r="AH47" i="49"/>
  <c r="G47" i="49"/>
  <c r="P46" i="49"/>
  <c r="AH45" i="49"/>
  <c r="AF44" i="49"/>
  <c r="L44" i="49"/>
  <c r="AD43" i="49"/>
  <c r="AG42" i="49"/>
  <c r="Q42" i="49"/>
  <c r="D42" i="49"/>
  <c r="Z41" i="49"/>
  <c r="D41" i="49"/>
  <c r="AD40" i="49"/>
  <c r="R40" i="49"/>
  <c r="J40" i="49"/>
  <c r="AJ39" i="49"/>
  <c r="AB39" i="49"/>
  <c r="P39" i="49"/>
  <c r="H39" i="49"/>
  <c r="AH38" i="49"/>
  <c r="Z38" i="49"/>
  <c r="F38" i="49"/>
  <c r="AF37" i="49"/>
  <c r="T37" i="49"/>
  <c r="L37" i="49"/>
  <c r="D37" i="49"/>
  <c r="AD36" i="49"/>
  <c r="R36" i="49"/>
  <c r="J36" i="49"/>
  <c r="AJ35" i="49"/>
  <c r="AB35" i="49"/>
  <c r="P35" i="49"/>
  <c r="Z34" i="49"/>
  <c r="N34" i="49"/>
  <c r="F34" i="49"/>
  <c r="AF33" i="49"/>
  <c r="T33" i="49"/>
  <c r="D33" i="49"/>
  <c r="AD32" i="49"/>
  <c r="R32" i="49"/>
  <c r="J32" i="49"/>
  <c r="AJ31" i="49"/>
  <c r="AB31" i="49"/>
  <c r="P31" i="49"/>
  <c r="H31" i="49"/>
  <c r="AH30" i="49"/>
  <c r="Z30" i="49"/>
  <c r="N30" i="49"/>
  <c r="F30" i="49"/>
  <c r="T29" i="49"/>
  <c r="D29" i="49"/>
  <c r="AD28" i="49"/>
  <c r="R28" i="49"/>
  <c r="J28" i="49"/>
  <c r="AJ27" i="49"/>
  <c r="AB27" i="49"/>
  <c r="P27" i="49"/>
  <c r="Z26" i="49"/>
  <c r="N26" i="49"/>
  <c r="F26" i="49"/>
  <c r="T25" i="49"/>
  <c r="M37" i="49"/>
  <c r="K36" i="49"/>
  <c r="I35" i="49"/>
  <c r="G34" i="49"/>
  <c r="E33" i="49"/>
  <c r="C32" i="49"/>
  <c r="AG29" i="49"/>
  <c r="AE28" i="49"/>
  <c r="AC27" i="49"/>
  <c r="AI26" i="49"/>
  <c r="AG25" i="49"/>
  <c r="M25" i="49"/>
  <c r="AG24" i="49"/>
  <c r="Y24" i="49"/>
  <c r="M24" i="49"/>
  <c r="E24" i="49"/>
  <c r="AE23" i="49"/>
  <c r="S23" i="49"/>
  <c r="K23" i="49"/>
  <c r="C23" i="49"/>
  <c r="AC22" i="49"/>
  <c r="Q22" i="49"/>
  <c r="I22" i="49"/>
  <c r="AI21" i="49"/>
  <c r="AA21" i="49"/>
  <c r="G21" i="49"/>
  <c r="AG20" i="49"/>
  <c r="Y20" i="49"/>
  <c r="M20" i="49"/>
  <c r="E20" i="49"/>
  <c r="S19" i="49"/>
  <c r="C19" i="49"/>
  <c r="AC18" i="49"/>
  <c r="Q18" i="49"/>
  <c r="I18" i="49"/>
  <c r="AA17" i="49"/>
  <c r="G17" i="49"/>
  <c r="AG16" i="49"/>
  <c r="Y16" i="49"/>
  <c r="M16" i="49"/>
  <c r="E16" i="49"/>
  <c r="AE15" i="49"/>
  <c r="S15" i="49"/>
  <c r="K15" i="49"/>
  <c r="C15" i="49"/>
  <c r="AC14" i="49"/>
  <c r="Q14" i="49"/>
  <c r="I14" i="49"/>
  <c r="AI13" i="49"/>
  <c r="AA13" i="49"/>
  <c r="G13" i="49"/>
  <c r="AG12" i="49"/>
  <c r="Y12" i="49"/>
  <c r="M12" i="49"/>
  <c r="E12" i="49"/>
  <c r="S11" i="49"/>
  <c r="C11" i="49"/>
  <c r="AC10" i="49"/>
  <c r="Q10" i="49"/>
  <c r="I10" i="49"/>
  <c r="AA9" i="49"/>
  <c r="G9" i="49"/>
  <c r="AG8" i="49"/>
  <c r="Y8" i="49"/>
  <c r="M8" i="49"/>
  <c r="E8" i="49"/>
  <c r="AE7" i="49"/>
  <c r="S7" i="49"/>
  <c r="K7" i="49"/>
  <c r="C7" i="49"/>
  <c r="AC6" i="49"/>
  <c r="Q6" i="49"/>
  <c r="I37" i="49"/>
  <c r="G36" i="49"/>
  <c r="E35" i="49"/>
  <c r="C34" i="49"/>
  <c r="AG31" i="49"/>
  <c r="AE30" i="49"/>
  <c r="AC29" i="49"/>
  <c r="AA28" i="49"/>
  <c r="Y27" i="49"/>
  <c r="AC25" i="49"/>
  <c r="T24" i="49"/>
  <c r="D24" i="49"/>
  <c r="AD23" i="49"/>
  <c r="R23" i="49"/>
  <c r="J23" i="49"/>
  <c r="AJ22" i="49"/>
  <c r="AB22" i="49"/>
  <c r="P22" i="49"/>
  <c r="Z21" i="49"/>
  <c r="N21" i="49"/>
  <c r="F21" i="49"/>
  <c r="T20" i="49"/>
  <c r="D20" i="49"/>
  <c r="AD19" i="49"/>
  <c r="R19" i="49"/>
  <c r="J19" i="49"/>
  <c r="AJ18" i="49"/>
  <c r="AB18" i="49"/>
  <c r="P18" i="49"/>
  <c r="AH17" i="49"/>
  <c r="Z17" i="49"/>
  <c r="N17" i="49"/>
  <c r="F17" i="49"/>
  <c r="T16" i="49"/>
  <c r="D16" i="49"/>
  <c r="AD15" i="49"/>
  <c r="R15" i="49"/>
  <c r="J15" i="49"/>
  <c r="AJ14" i="49"/>
  <c r="AB14" i="49"/>
  <c r="P14" i="49"/>
  <c r="Z13" i="49"/>
  <c r="N13" i="49"/>
  <c r="F13" i="49"/>
  <c r="T12" i="49"/>
  <c r="D12" i="49"/>
  <c r="AD11" i="49"/>
  <c r="R11" i="49"/>
  <c r="J11" i="49"/>
  <c r="AJ10" i="49"/>
  <c r="AB10" i="49"/>
  <c r="P10" i="49"/>
  <c r="AH9" i="49"/>
  <c r="Z9" i="49"/>
  <c r="N9" i="49"/>
  <c r="F9" i="49"/>
  <c r="T8" i="49"/>
  <c r="D8" i="49"/>
  <c r="AD7" i="49"/>
  <c r="R7" i="49"/>
  <c r="J7" i="49"/>
  <c r="AJ6" i="49"/>
  <c r="AB6" i="49"/>
  <c r="P6" i="49"/>
  <c r="H6" i="49"/>
  <c r="G38" i="49"/>
  <c r="E37" i="49"/>
  <c r="C36" i="49"/>
  <c r="AI34" i="49"/>
  <c r="AG33" i="49"/>
  <c r="AE32" i="49"/>
  <c r="AC31" i="49"/>
  <c r="AA30" i="49"/>
  <c r="Y29" i="49"/>
  <c r="S28" i="49"/>
  <c r="Q27" i="49"/>
  <c r="AD26" i="49"/>
  <c r="J26" i="49"/>
  <c r="AB25" i="49"/>
  <c r="H25" i="49"/>
  <c r="AE24" i="49"/>
  <c r="S24" i="49"/>
  <c r="K24" i="49"/>
  <c r="C24" i="49"/>
  <c r="AC23" i="49"/>
  <c r="Q23" i="49"/>
  <c r="AA22" i="49"/>
  <c r="G22" i="49"/>
  <c r="AG21" i="49"/>
  <c r="Y21" i="49"/>
  <c r="M21" i="49"/>
  <c r="E21" i="49"/>
  <c r="AE20" i="49"/>
  <c r="S20" i="49"/>
  <c r="K20" i="49"/>
  <c r="C20" i="49"/>
  <c r="C38" i="49"/>
  <c r="AG35" i="49"/>
  <c r="AC33" i="49"/>
  <c r="AA32" i="49"/>
  <c r="Y31" i="49"/>
  <c r="S30" i="49"/>
  <c r="Q29" i="49"/>
  <c r="O28" i="49"/>
  <c r="M27" i="49"/>
  <c r="AB26" i="49"/>
  <c r="Z25" i="49"/>
  <c r="F25" i="49"/>
  <c r="AD24" i="49"/>
  <c r="R24" i="49"/>
  <c r="J24" i="49"/>
  <c r="AJ23" i="49"/>
  <c r="AB23" i="49"/>
  <c r="P23" i="49"/>
  <c r="H23" i="49"/>
  <c r="AH22" i="49"/>
  <c r="Z22" i="49"/>
  <c r="N22" i="49"/>
  <c r="F22" i="49"/>
  <c r="T21" i="49"/>
  <c r="D21" i="49"/>
  <c r="AD20" i="49"/>
  <c r="R20" i="49"/>
  <c r="J20" i="49"/>
  <c r="AJ19" i="49"/>
  <c r="AB19" i="49"/>
  <c r="P19" i="49"/>
  <c r="Z18" i="49"/>
  <c r="N18" i="49"/>
  <c r="F18" i="49"/>
  <c r="AF17" i="49"/>
  <c r="T17" i="49"/>
  <c r="D17" i="49"/>
  <c r="AD16" i="49"/>
  <c r="R16" i="49"/>
  <c r="J16" i="49"/>
  <c r="AJ15" i="49"/>
  <c r="AB15" i="49"/>
  <c r="P15" i="49"/>
  <c r="H15" i="49"/>
  <c r="AH14" i="49"/>
  <c r="Z14" i="49"/>
  <c r="N14" i="49"/>
  <c r="F14" i="49"/>
  <c r="T13" i="49"/>
  <c r="D13" i="49"/>
  <c r="AD12" i="49"/>
  <c r="R12" i="49"/>
  <c r="J12" i="49"/>
  <c r="AJ11" i="49"/>
  <c r="AB11" i="49"/>
  <c r="P11" i="49"/>
  <c r="Z10" i="49"/>
  <c r="N10" i="49"/>
  <c r="F10" i="49"/>
  <c r="AF9" i="49"/>
  <c r="T9" i="49"/>
  <c r="D9" i="49"/>
  <c r="AD8" i="49"/>
  <c r="R8" i="49"/>
  <c r="J8" i="49"/>
  <c r="AJ7" i="49"/>
  <c r="AB7" i="49"/>
  <c r="P7" i="49"/>
  <c r="H7" i="49"/>
  <c r="AH6" i="49"/>
  <c r="Z6" i="49"/>
  <c r="N6" i="49"/>
  <c r="AG37" i="49"/>
  <c r="AE36" i="49"/>
  <c r="AC35" i="49"/>
  <c r="AA34" i="49"/>
  <c r="Y33" i="49"/>
  <c r="S32" i="49"/>
  <c r="Q31" i="49"/>
  <c r="M29" i="49"/>
  <c r="K28" i="49"/>
  <c r="J27" i="49"/>
  <c r="AA26" i="49"/>
  <c r="G26" i="49"/>
  <c r="Y25" i="49"/>
  <c r="E25" i="49"/>
  <c r="AC24" i="49"/>
  <c r="Q24" i="49"/>
  <c r="AA23" i="49"/>
  <c r="G23" i="49"/>
  <c r="AG22" i="49"/>
  <c r="Y22" i="49"/>
  <c r="M22" i="49"/>
  <c r="E22" i="49"/>
  <c r="AE21" i="49"/>
  <c r="S21" i="49"/>
  <c r="K21" i="49"/>
  <c r="C21" i="49"/>
  <c r="AC20" i="49"/>
  <c r="Q20" i="49"/>
  <c r="AI19" i="49"/>
  <c r="AA19" i="49"/>
  <c r="O19" i="49"/>
  <c r="G19" i="49"/>
  <c r="AG18" i="49"/>
  <c r="Y18" i="49"/>
  <c r="M18" i="49"/>
  <c r="E18" i="49"/>
  <c r="S17" i="49"/>
  <c r="K17" i="49"/>
  <c r="C17" i="49"/>
  <c r="AC16" i="49"/>
  <c r="Q16" i="49"/>
  <c r="AA15" i="49"/>
  <c r="G15" i="49"/>
  <c r="AG14" i="49"/>
  <c r="Y14" i="49"/>
  <c r="M14" i="49"/>
  <c r="E14" i="49"/>
  <c r="AE13" i="49"/>
  <c r="S13" i="49"/>
  <c r="K13" i="49"/>
  <c r="C13" i="49"/>
  <c r="AC12" i="49"/>
  <c r="Q12" i="49"/>
  <c r="AI11" i="49"/>
  <c r="AA11" i="49"/>
  <c r="O11" i="49"/>
  <c r="G11" i="49"/>
  <c r="AG10" i="49"/>
  <c r="Y10" i="49"/>
  <c r="M10" i="49"/>
  <c r="E10" i="49"/>
  <c r="S9" i="49"/>
  <c r="K9" i="49"/>
  <c r="C9" i="49"/>
  <c r="AC8" i="49"/>
  <c r="Q8" i="49"/>
  <c r="AA7" i="49"/>
  <c r="G7" i="49"/>
  <c r="AG6" i="49"/>
  <c r="Y6" i="49"/>
  <c r="M6" i="49"/>
  <c r="E6" i="49"/>
  <c r="AC37" i="49"/>
  <c r="AA36" i="49"/>
  <c r="Y35" i="49"/>
  <c r="S34" i="49"/>
  <c r="Q33" i="49"/>
  <c r="M31" i="49"/>
  <c r="K30" i="49"/>
  <c r="G28" i="49"/>
  <c r="I27" i="49"/>
  <c r="S26" i="49"/>
  <c r="C26" i="49"/>
  <c r="Q25" i="49"/>
  <c r="D25" i="49"/>
  <c r="AB24" i="49"/>
  <c r="P24" i="49"/>
  <c r="H24" i="49"/>
  <c r="AH23" i="49"/>
  <c r="Z23" i="49"/>
  <c r="N23" i="49"/>
  <c r="F23" i="49"/>
  <c r="T22" i="49"/>
  <c r="D22" i="49"/>
  <c r="AD21" i="49"/>
  <c r="R21" i="49"/>
  <c r="J21" i="49"/>
  <c r="AJ20" i="49"/>
  <c r="AB20" i="49"/>
  <c r="P20" i="49"/>
  <c r="H20" i="49"/>
  <c r="Z19" i="49"/>
  <c r="F19" i="49"/>
  <c r="AF18" i="49"/>
  <c r="T18" i="49"/>
  <c r="L18" i="49"/>
  <c r="D18" i="49"/>
  <c r="AD17" i="49"/>
  <c r="R17" i="49"/>
  <c r="J17" i="49"/>
  <c r="AJ16" i="49"/>
  <c r="AB16" i="49"/>
  <c r="P16" i="49"/>
  <c r="H16" i="49"/>
  <c r="AH15" i="49"/>
  <c r="Z15" i="49"/>
  <c r="N15" i="49"/>
  <c r="F15" i="49"/>
  <c r="T14" i="49"/>
  <c r="D14" i="49"/>
  <c r="AD13" i="49"/>
  <c r="R13" i="49"/>
  <c r="J13" i="49"/>
  <c r="AJ12" i="49"/>
  <c r="AB12" i="49"/>
  <c r="P12" i="49"/>
  <c r="H12" i="49"/>
  <c r="Z11" i="49"/>
  <c r="F11" i="49"/>
  <c r="AF10" i="49"/>
  <c r="T10" i="49"/>
  <c r="L10" i="49"/>
  <c r="D10" i="49"/>
  <c r="AD9" i="49"/>
  <c r="R9" i="49"/>
  <c r="J9" i="49"/>
  <c r="AJ8" i="49"/>
  <c r="AB8" i="49"/>
  <c r="Y37" i="49"/>
  <c r="S36" i="49"/>
  <c r="Q35" i="49"/>
  <c r="M33" i="49"/>
  <c r="K32" i="49"/>
  <c r="G30" i="49"/>
  <c r="E29" i="49"/>
  <c r="C28" i="49"/>
  <c r="E27" i="49"/>
  <c r="R26" i="49"/>
  <c r="AJ25" i="49"/>
  <c r="P25" i="49"/>
  <c r="AA24" i="49"/>
  <c r="G24" i="49"/>
  <c r="AG23" i="49"/>
  <c r="Y23" i="49"/>
  <c r="M23" i="49"/>
  <c r="E23" i="49"/>
  <c r="AE22" i="49"/>
  <c r="S22" i="49"/>
  <c r="K22" i="49"/>
  <c r="C22" i="49"/>
  <c r="AC21" i="49"/>
  <c r="Q21" i="49"/>
  <c r="AA20" i="49"/>
  <c r="O20" i="49"/>
  <c r="G20" i="49"/>
  <c r="Q37" i="49"/>
  <c r="O36" i="49"/>
  <c r="M35" i="49"/>
  <c r="G32" i="49"/>
  <c r="E31" i="49"/>
  <c r="C30" i="49"/>
  <c r="AG27" i="49"/>
  <c r="AJ26" i="49"/>
  <c r="P26" i="49"/>
  <c r="AH25" i="49"/>
  <c r="N25" i="49"/>
  <c r="AH24" i="49"/>
  <c r="Z24" i="49"/>
  <c r="N24" i="49"/>
  <c r="F24" i="49"/>
  <c r="T23" i="49"/>
  <c r="D23" i="49"/>
  <c r="AD22" i="49"/>
  <c r="R22" i="49"/>
  <c r="J22" i="49"/>
  <c r="AJ21" i="49"/>
  <c r="AB21" i="49"/>
  <c r="P21" i="49"/>
  <c r="H21" i="49"/>
  <c r="AH20" i="49"/>
  <c r="Z20" i="49"/>
  <c r="F20" i="49"/>
  <c r="AF19" i="49"/>
  <c r="T19" i="49"/>
  <c r="L19" i="49"/>
  <c r="D19" i="49"/>
  <c r="AD18" i="49"/>
  <c r="R18" i="49"/>
  <c r="J18" i="49"/>
  <c r="AJ17" i="49"/>
  <c r="AB17" i="49"/>
  <c r="P17" i="49"/>
  <c r="H17" i="49"/>
  <c r="AH16" i="49"/>
  <c r="Z16" i="49"/>
  <c r="N16" i="49"/>
  <c r="F16" i="49"/>
  <c r="T15" i="49"/>
  <c r="D15" i="49"/>
  <c r="AD14" i="49"/>
  <c r="R14" i="49"/>
  <c r="J14" i="49"/>
  <c r="AJ13" i="49"/>
  <c r="AB13" i="49"/>
  <c r="P13" i="49"/>
  <c r="H13" i="49"/>
  <c r="AH12" i="49"/>
  <c r="Z12" i="49"/>
  <c r="F12" i="49"/>
  <c r="AF11" i="49"/>
  <c r="T11" i="49"/>
  <c r="L11" i="49"/>
  <c r="D11" i="49"/>
  <c r="AD10" i="49"/>
  <c r="R10" i="49"/>
  <c r="J10" i="49"/>
  <c r="AJ9" i="49"/>
  <c r="AB9" i="49"/>
  <c r="P9" i="49"/>
  <c r="H9" i="49"/>
  <c r="AH8" i="49"/>
  <c r="Z8" i="49"/>
  <c r="N8" i="49"/>
  <c r="F8" i="49"/>
  <c r="T7" i="49"/>
  <c r="D7" i="49"/>
  <c r="AD6" i="49"/>
  <c r="R6" i="49"/>
  <c r="J6" i="49"/>
  <c r="E4" i="49"/>
  <c r="S4" i="49"/>
  <c r="AG4" i="49"/>
  <c r="M5" i="49"/>
  <c r="AA5" i="49"/>
  <c r="F6" i="49"/>
  <c r="AA6" i="49"/>
  <c r="N7" i="49"/>
  <c r="G8" i="49"/>
  <c r="C10" i="49"/>
  <c r="E11" i="49"/>
  <c r="G12" i="49"/>
  <c r="K14" i="49"/>
  <c r="M15" i="49"/>
  <c r="Q17" i="49"/>
  <c r="S18" i="49"/>
  <c r="Y19" i="49"/>
  <c r="L4" i="49"/>
  <c r="F4" i="49"/>
  <c r="T4" i="49"/>
  <c r="AJ4" i="49"/>
  <c r="P5" i="49"/>
  <c r="AB5" i="49"/>
  <c r="G6" i="49"/>
  <c r="AE6" i="49"/>
  <c r="Q7" i="49"/>
  <c r="H8" i="49"/>
  <c r="E9" i="49"/>
  <c r="G10" i="49"/>
  <c r="I11" i="49"/>
  <c r="K12" i="49"/>
  <c r="M13" i="49"/>
  <c r="Q15" i="49"/>
  <c r="S16" i="49"/>
  <c r="Y17" i="49"/>
  <c r="AA18" i="49"/>
  <c r="AC19" i="49"/>
  <c r="AF4" i="49"/>
  <c r="I4" i="49"/>
  <c r="G4" i="49"/>
  <c r="Y4" i="49"/>
  <c r="C5" i="49"/>
  <c r="Q5" i="49"/>
  <c r="AC5" i="49"/>
  <c r="Y7" i="49"/>
  <c r="K8" i="49"/>
  <c r="M11" i="49"/>
  <c r="O12" i="49"/>
  <c r="Q13" i="49"/>
  <c r="S14" i="49"/>
  <c r="Y15" i="49"/>
  <c r="AA16" i="49"/>
  <c r="AC17" i="49"/>
  <c r="AG19" i="49"/>
  <c r="J4" i="49"/>
  <c r="Z4" i="49"/>
  <c r="D5" i="49"/>
  <c r="R5" i="49"/>
  <c r="AD5" i="49"/>
  <c r="K6" i="49"/>
  <c r="Z7" i="49"/>
  <c r="M9" i="49"/>
  <c r="Q11" i="49"/>
  <c r="S12" i="49"/>
  <c r="Y13" i="49"/>
  <c r="AA14" i="49"/>
  <c r="AC15" i="49"/>
  <c r="AE16" i="49"/>
  <c r="AG17" i="49"/>
  <c r="AI18" i="49"/>
  <c r="AI4" i="49"/>
  <c r="M4" i="49"/>
  <c r="AA4" i="49"/>
  <c r="E5" i="49"/>
  <c r="S5" i="49"/>
  <c r="AG5" i="49"/>
  <c r="E7" i="49"/>
  <c r="AC7" i="49"/>
  <c r="P8" i="49"/>
  <c r="Q9" i="49"/>
  <c r="S10" i="49"/>
  <c r="Y11" i="49"/>
  <c r="AA12" i="49"/>
  <c r="AC13" i="49"/>
  <c r="AE14" i="49"/>
  <c r="AG15" i="49"/>
  <c r="C18" i="49"/>
  <c r="E19" i="49"/>
  <c r="B34" i="54"/>
  <c r="B30" i="54"/>
  <c r="K5" i="52" s="1"/>
  <c r="B32" i="54"/>
  <c r="B33" i="54"/>
  <c r="K8" i="52" s="1"/>
  <c r="AC43" i="44"/>
  <c r="K77" i="44"/>
  <c r="Q71" i="44"/>
  <c r="S56" i="44"/>
  <c r="J26" i="44"/>
  <c r="H77" i="44"/>
  <c r="AE67" i="44"/>
  <c r="AH62" i="44"/>
  <c r="AJ54" i="44"/>
  <c r="AE22" i="44"/>
  <c r="S60" i="46"/>
  <c r="P74" i="44"/>
  <c r="I43" i="44"/>
  <c r="S43" i="46"/>
  <c r="T76" i="44"/>
  <c r="AB73" i="44"/>
  <c r="K53" i="44"/>
  <c r="T39" i="44"/>
  <c r="T19" i="44"/>
  <c r="AB4" i="44"/>
  <c r="AG75" i="44"/>
  <c r="G73" i="44"/>
  <c r="AE65" i="44"/>
  <c r="Y59" i="44"/>
  <c r="AB35" i="44"/>
  <c r="Q4" i="46"/>
  <c r="E75" i="44"/>
  <c r="K72" i="44"/>
  <c r="AB44" i="44"/>
  <c r="AJ28" i="44"/>
  <c r="I4" i="44"/>
  <c r="AD70" i="44"/>
  <c r="T37" i="44"/>
  <c r="AC4" i="44"/>
  <c r="AG72" i="44"/>
  <c r="AD69" i="44"/>
  <c r="AD65" i="44"/>
  <c r="T59" i="44"/>
  <c r="K48" i="44"/>
  <c r="AB33" i="44"/>
  <c r="AE77" i="44"/>
  <c r="AH57" i="44"/>
  <c r="AI77" i="46"/>
  <c r="AA77" i="46"/>
  <c r="S77" i="46"/>
  <c r="K77" i="46"/>
  <c r="C77" i="46"/>
  <c r="AC76" i="46"/>
  <c r="Q76" i="46"/>
  <c r="AA75" i="46"/>
  <c r="G75" i="46"/>
  <c r="AG74" i="46"/>
  <c r="Y74" i="46"/>
  <c r="M74" i="46"/>
  <c r="E74" i="46"/>
  <c r="AE73" i="46"/>
  <c r="S73" i="46"/>
  <c r="K73" i="46"/>
  <c r="C73" i="46"/>
  <c r="AC72" i="46"/>
  <c r="Q72" i="46"/>
  <c r="AA71" i="46"/>
  <c r="O71" i="46"/>
  <c r="G71" i="46"/>
  <c r="AG70" i="46"/>
  <c r="Y70" i="46"/>
  <c r="M70" i="46"/>
  <c r="E70" i="46"/>
  <c r="S69" i="46"/>
  <c r="C69" i="46"/>
  <c r="AC68" i="46"/>
  <c r="Q68" i="46"/>
  <c r="AA67" i="46"/>
  <c r="G67" i="46"/>
  <c r="AG66" i="46"/>
  <c r="Y66" i="46"/>
  <c r="M66" i="46"/>
  <c r="E66" i="46"/>
  <c r="AE65" i="46"/>
  <c r="S65" i="46"/>
  <c r="K65" i="46"/>
  <c r="C65" i="46"/>
  <c r="AC64" i="46"/>
  <c r="Q64" i="46"/>
  <c r="AA63" i="46"/>
  <c r="O63" i="46"/>
  <c r="G63" i="46"/>
  <c r="AG62" i="46"/>
  <c r="Y62" i="46"/>
  <c r="M62" i="46"/>
  <c r="E62" i="46"/>
  <c r="S61" i="46"/>
  <c r="C61" i="46"/>
  <c r="AC60" i="46"/>
  <c r="Q60" i="46"/>
  <c r="AA59" i="46"/>
  <c r="G59" i="46"/>
  <c r="AG58" i="46"/>
  <c r="Y58" i="46"/>
  <c r="M58" i="46"/>
  <c r="E58" i="46"/>
  <c r="AG57" i="46"/>
  <c r="Y57" i="46"/>
  <c r="Q57" i="46"/>
  <c r="I57" i="46"/>
  <c r="AI56" i="46"/>
  <c r="AA56" i="46"/>
  <c r="G56" i="46"/>
  <c r="AG55" i="46"/>
  <c r="Y55" i="46"/>
  <c r="M55" i="46"/>
  <c r="E55" i="46"/>
  <c r="AE54" i="46"/>
  <c r="S54" i="46"/>
  <c r="K54" i="46"/>
  <c r="C54" i="46"/>
  <c r="AC53" i="46"/>
  <c r="Q53" i="46"/>
  <c r="AA52" i="46"/>
  <c r="G52" i="46"/>
  <c r="AG51" i="46"/>
  <c r="Y51" i="46"/>
  <c r="M51" i="46"/>
  <c r="E51" i="46"/>
  <c r="AE50" i="46"/>
  <c r="S50" i="46"/>
  <c r="K50" i="46"/>
  <c r="C50" i="46"/>
  <c r="AC49" i="46"/>
  <c r="Q49" i="46"/>
  <c r="I49" i="46"/>
  <c r="AI48" i="46"/>
  <c r="AA48" i="46"/>
  <c r="G48" i="46"/>
  <c r="AG47" i="46"/>
  <c r="Y47" i="46"/>
  <c r="M47" i="46"/>
  <c r="E47" i="46"/>
  <c r="AE46" i="46"/>
  <c r="S46" i="46"/>
  <c r="K46" i="46"/>
  <c r="C46" i="46"/>
  <c r="AC45" i="46"/>
  <c r="Q45" i="46"/>
  <c r="I45" i="46"/>
  <c r="AI44" i="46"/>
  <c r="AA44" i="46"/>
  <c r="G44" i="46"/>
  <c r="AG43" i="46"/>
  <c r="Y43" i="46"/>
  <c r="M43" i="46"/>
  <c r="E43" i="46"/>
  <c r="AE42" i="46"/>
  <c r="S42" i="46"/>
  <c r="K42" i="46"/>
  <c r="C42" i="46"/>
  <c r="AC41" i="46"/>
  <c r="Q41" i="46"/>
  <c r="AA40" i="46"/>
  <c r="G40" i="46"/>
  <c r="AG39" i="46"/>
  <c r="Y39" i="46"/>
  <c r="M39" i="46"/>
  <c r="E39" i="46"/>
  <c r="AE38" i="46"/>
  <c r="S38" i="46"/>
  <c r="K38" i="46"/>
  <c r="C38" i="46"/>
  <c r="AC37" i="46"/>
  <c r="Q37" i="46"/>
  <c r="I37" i="46"/>
  <c r="AA36" i="46"/>
  <c r="O36" i="46"/>
  <c r="G36" i="46"/>
  <c r="AG35" i="46"/>
  <c r="Y35" i="46"/>
  <c r="M35" i="46"/>
  <c r="E35" i="46"/>
  <c r="S34" i="46"/>
  <c r="C34" i="46"/>
  <c r="AC33" i="46"/>
  <c r="Q33" i="46"/>
  <c r="AA32" i="46"/>
  <c r="G32" i="46"/>
  <c r="AG31" i="46"/>
  <c r="Y31" i="46"/>
  <c r="M31" i="46"/>
  <c r="E31" i="46"/>
  <c r="AE30" i="46"/>
  <c r="S30" i="46"/>
  <c r="K30" i="46"/>
  <c r="C30" i="46"/>
  <c r="AC29" i="46"/>
  <c r="Q29" i="46"/>
  <c r="AA28" i="46"/>
  <c r="O28" i="46"/>
  <c r="G28" i="46"/>
  <c r="AG27" i="46"/>
  <c r="Y27" i="46"/>
  <c r="M27" i="46"/>
  <c r="E27" i="46"/>
  <c r="S26" i="46"/>
  <c r="C26" i="46"/>
  <c r="AC25" i="46"/>
  <c r="Q25" i="46"/>
  <c r="AA24" i="46"/>
  <c r="G24" i="46"/>
  <c r="AG23" i="46"/>
  <c r="Y23" i="46"/>
  <c r="M23" i="46"/>
  <c r="E23" i="46"/>
  <c r="AE22" i="46"/>
  <c r="S22" i="46"/>
  <c r="K22" i="46"/>
  <c r="C22" i="46"/>
  <c r="AC21" i="46"/>
  <c r="Q21" i="46"/>
  <c r="AA20" i="46"/>
  <c r="AH77" i="46"/>
  <c r="Z77" i="46"/>
  <c r="R77" i="46"/>
  <c r="J77" i="46"/>
  <c r="AJ76" i="46"/>
  <c r="AB76" i="46"/>
  <c r="P76" i="46"/>
  <c r="H76" i="46"/>
  <c r="AH75" i="46"/>
  <c r="Z75" i="46"/>
  <c r="N75" i="46"/>
  <c r="F75" i="46"/>
  <c r="T74" i="46"/>
  <c r="D74" i="46"/>
  <c r="AD73" i="46"/>
  <c r="R73" i="46"/>
  <c r="J73" i="46"/>
  <c r="AJ72" i="46"/>
  <c r="AB72" i="46"/>
  <c r="P72" i="46"/>
  <c r="H72" i="46"/>
  <c r="AH71" i="46"/>
  <c r="Z71" i="46"/>
  <c r="F71" i="46"/>
  <c r="AF70" i="46"/>
  <c r="T70" i="46"/>
  <c r="L70" i="46"/>
  <c r="D70" i="46"/>
  <c r="AD69" i="46"/>
  <c r="R69" i="46"/>
  <c r="J69" i="46"/>
  <c r="AJ68" i="46"/>
  <c r="AB68" i="46"/>
  <c r="P68" i="46"/>
  <c r="H68" i="46"/>
  <c r="AH67" i="46"/>
  <c r="Z67" i="46"/>
  <c r="N67" i="46"/>
  <c r="F67" i="46"/>
  <c r="T66" i="46"/>
  <c r="D66" i="46"/>
  <c r="AD65" i="46"/>
  <c r="R65" i="46"/>
  <c r="J65" i="46"/>
  <c r="AJ64" i="46"/>
  <c r="AB64" i="46"/>
  <c r="P64" i="46"/>
  <c r="H64" i="46"/>
  <c r="AH63" i="46"/>
  <c r="Z63" i="46"/>
  <c r="F63" i="46"/>
  <c r="AF62" i="46"/>
  <c r="T62" i="46"/>
  <c r="L62" i="46"/>
  <c r="D62" i="46"/>
  <c r="AD61" i="46"/>
  <c r="R61" i="46"/>
  <c r="J61" i="46"/>
  <c r="AJ60" i="46"/>
  <c r="AB60" i="46"/>
  <c r="P60" i="46"/>
  <c r="H60" i="46"/>
  <c r="AH59" i="46"/>
  <c r="Z59" i="46"/>
  <c r="N59" i="46"/>
  <c r="F59" i="46"/>
  <c r="T58" i="46"/>
  <c r="D58" i="46"/>
  <c r="P57" i="46"/>
  <c r="Z56" i="46"/>
  <c r="N56" i="46"/>
  <c r="F56" i="46"/>
  <c r="AF55" i="46"/>
  <c r="T55" i="46"/>
  <c r="L55" i="46"/>
  <c r="D55" i="46"/>
  <c r="AD54" i="46"/>
  <c r="R54" i="46"/>
  <c r="J54" i="46"/>
  <c r="AJ53" i="46"/>
  <c r="AB53" i="46"/>
  <c r="P53" i="46"/>
  <c r="H53" i="46"/>
  <c r="AH52" i="46"/>
  <c r="Z52" i="46"/>
  <c r="N52" i="46"/>
  <c r="F52" i="46"/>
  <c r="T51" i="46"/>
  <c r="D51" i="46"/>
  <c r="AD50" i="46"/>
  <c r="R50" i="46"/>
  <c r="J50" i="46"/>
  <c r="AJ49" i="46"/>
  <c r="AB49" i="46"/>
  <c r="P49" i="46"/>
  <c r="Z48" i="46"/>
  <c r="N48" i="46"/>
  <c r="F48" i="46"/>
  <c r="T47" i="46"/>
  <c r="D47" i="46"/>
  <c r="AD46" i="46"/>
  <c r="R46" i="46"/>
  <c r="J46" i="46"/>
  <c r="AJ45" i="46"/>
  <c r="AB45" i="46"/>
  <c r="P45" i="46"/>
  <c r="Z44" i="46"/>
  <c r="N44" i="46"/>
  <c r="F44" i="46"/>
  <c r="T43" i="46"/>
  <c r="D43" i="46"/>
  <c r="AD42" i="46"/>
  <c r="R42" i="46"/>
  <c r="J42" i="46"/>
  <c r="AJ41" i="46"/>
  <c r="AB41" i="46"/>
  <c r="P41" i="46"/>
  <c r="H41" i="46"/>
  <c r="AH40" i="46"/>
  <c r="Z40" i="46"/>
  <c r="N40" i="46"/>
  <c r="F40" i="46"/>
  <c r="T39" i="46"/>
  <c r="D39" i="46"/>
  <c r="AD38" i="46"/>
  <c r="R38" i="46"/>
  <c r="J38" i="46"/>
  <c r="AJ37" i="46"/>
  <c r="AB37" i="46"/>
  <c r="P37" i="46"/>
  <c r="AH36" i="46"/>
  <c r="Z36" i="46"/>
  <c r="F36" i="46"/>
  <c r="AF35" i="46"/>
  <c r="T35" i="46"/>
  <c r="L35" i="46"/>
  <c r="D35" i="46"/>
  <c r="AD34" i="46"/>
  <c r="R34" i="46"/>
  <c r="J34" i="46"/>
  <c r="AJ33" i="46"/>
  <c r="AB33" i="46"/>
  <c r="P33" i="46"/>
  <c r="H33" i="46"/>
  <c r="AH32" i="46"/>
  <c r="Z32" i="46"/>
  <c r="N32" i="46"/>
  <c r="F32" i="46"/>
  <c r="T31" i="46"/>
  <c r="D31" i="46"/>
  <c r="AD30" i="46"/>
  <c r="R30" i="46"/>
  <c r="J30" i="46"/>
  <c r="AJ29" i="46"/>
  <c r="AB29" i="46"/>
  <c r="P29" i="46"/>
  <c r="H29" i="46"/>
  <c r="AH28" i="46"/>
  <c r="Z28" i="46"/>
  <c r="F28" i="46"/>
  <c r="AF27" i="46"/>
  <c r="T27" i="46"/>
  <c r="L27" i="46"/>
  <c r="D27" i="46"/>
  <c r="AD26" i="46"/>
  <c r="R26" i="46"/>
  <c r="J26" i="46"/>
  <c r="AJ25" i="46"/>
  <c r="AB25" i="46"/>
  <c r="P25" i="46"/>
  <c r="H25" i="46"/>
  <c r="AH24" i="46"/>
  <c r="Z24" i="46"/>
  <c r="N24" i="46"/>
  <c r="F24" i="46"/>
  <c r="T23" i="46"/>
  <c r="D23" i="46"/>
  <c r="AD22" i="46"/>
  <c r="R22" i="46"/>
  <c r="J22" i="46"/>
  <c r="AJ21" i="46"/>
  <c r="AB21" i="46"/>
  <c r="P21" i="46"/>
  <c r="H21" i="46"/>
  <c r="AH20" i="46"/>
  <c r="Z20" i="46"/>
  <c r="AJ77" i="46"/>
  <c r="X77" i="46"/>
  <c r="N77" i="46"/>
  <c r="D77" i="46"/>
  <c r="Z76" i="46"/>
  <c r="AJ75" i="46"/>
  <c r="T75" i="46"/>
  <c r="J75" i="46"/>
  <c r="AH74" i="46"/>
  <c r="R74" i="46"/>
  <c r="H74" i="46"/>
  <c r="P73" i="46"/>
  <c r="F73" i="46"/>
  <c r="AD72" i="46"/>
  <c r="N72" i="46"/>
  <c r="D72" i="46"/>
  <c r="AB71" i="46"/>
  <c r="AJ70" i="46"/>
  <c r="Z70" i="46"/>
  <c r="J70" i="46"/>
  <c r="T69" i="46"/>
  <c r="R68" i="46"/>
  <c r="F68" i="46"/>
  <c r="AD67" i="46"/>
  <c r="P67" i="46"/>
  <c r="D67" i="46"/>
  <c r="AB66" i="46"/>
  <c r="N66" i="46"/>
  <c r="AJ65" i="46"/>
  <c r="Z65" i="46"/>
  <c r="AH64" i="46"/>
  <c r="T64" i="46"/>
  <c r="J64" i="46"/>
  <c r="R63" i="46"/>
  <c r="H63" i="46"/>
  <c r="AD62" i="46"/>
  <c r="P62" i="46"/>
  <c r="F62" i="46"/>
  <c r="AB61" i="46"/>
  <c r="N61" i="46"/>
  <c r="D61" i="46"/>
  <c r="Z60" i="46"/>
  <c r="AJ59" i="46"/>
  <c r="T59" i="46"/>
  <c r="J59" i="46"/>
  <c r="AH58" i="46"/>
  <c r="R58" i="46"/>
  <c r="H58" i="46"/>
  <c r="AH57" i="46"/>
  <c r="AJ56" i="46"/>
  <c r="T56" i="46"/>
  <c r="J56" i="46"/>
  <c r="R55" i="46"/>
  <c r="P54" i="46"/>
  <c r="F54" i="46"/>
  <c r="AD53" i="46"/>
  <c r="N53" i="46"/>
  <c r="D53" i="46"/>
  <c r="AB52" i="46"/>
  <c r="AJ51" i="46"/>
  <c r="Z51" i="46"/>
  <c r="J51" i="46"/>
  <c r="AH50" i="46"/>
  <c r="T50" i="46"/>
  <c r="H50" i="46"/>
  <c r="AF49" i="46"/>
  <c r="R49" i="46"/>
  <c r="F49" i="46"/>
  <c r="AD48" i="46"/>
  <c r="P48" i="46"/>
  <c r="D48" i="46"/>
  <c r="AB47" i="46"/>
  <c r="AJ46" i="46"/>
  <c r="Z46" i="46"/>
  <c r="AH45" i="46"/>
  <c r="T45" i="46"/>
  <c r="J45" i="46"/>
  <c r="AF44" i="46"/>
  <c r="R44" i="46"/>
  <c r="AD43" i="46"/>
  <c r="P43" i="46"/>
  <c r="F43" i="46"/>
  <c r="AB42" i="46"/>
  <c r="N42" i="46"/>
  <c r="D42" i="46"/>
  <c r="Z41" i="46"/>
  <c r="AJ40" i="46"/>
  <c r="T40" i="46"/>
  <c r="J40" i="46"/>
  <c r="R39" i="46"/>
  <c r="H39" i="46"/>
  <c r="P38" i="46"/>
  <c r="F38" i="46"/>
  <c r="AD37" i="46"/>
  <c r="D37" i="46"/>
  <c r="AB36" i="46"/>
  <c r="AJ35" i="46"/>
  <c r="Z35" i="46"/>
  <c r="J35" i="46"/>
  <c r="T34" i="46"/>
  <c r="AF33" i="46"/>
  <c r="R33" i="46"/>
  <c r="F33" i="46"/>
  <c r="AD32" i="46"/>
  <c r="P32" i="46"/>
  <c r="D32" i="46"/>
  <c r="AB31" i="46"/>
  <c r="N31" i="46"/>
  <c r="AJ30" i="46"/>
  <c r="Z30" i="46"/>
  <c r="T29" i="46"/>
  <c r="J29" i="46"/>
  <c r="R28" i="46"/>
  <c r="H28" i="46"/>
  <c r="AD27" i="46"/>
  <c r="P27" i="46"/>
  <c r="F27" i="46"/>
  <c r="AB26" i="46"/>
  <c r="N26" i="46"/>
  <c r="D26" i="46"/>
  <c r="Z25" i="46"/>
  <c r="AJ24" i="46"/>
  <c r="T24" i="46"/>
  <c r="J24" i="46"/>
  <c r="AH23" i="46"/>
  <c r="R23" i="46"/>
  <c r="H23" i="46"/>
  <c r="P22" i="46"/>
  <c r="F22" i="46"/>
  <c r="AD21" i="46"/>
  <c r="N21" i="46"/>
  <c r="D21" i="46"/>
  <c r="AB20" i="46"/>
  <c r="M20" i="46"/>
  <c r="E20" i="46"/>
  <c r="S19" i="46"/>
  <c r="C19" i="46"/>
  <c r="AC18" i="46"/>
  <c r="Q18" i="46"/>
  <c r="I18" i="46"/>
  <c r="AA17" i="46"/>
  <c r="G17" i="46"/>
  <c r="AG16" i="46"/>
  <c r="Y16" i="46"/>
  <c r="M16" i="46"/>
  <c r="E16" i="46"/>
  <c r="AE15" i="46"/>
  <c r="S15" i="46"/>
  <c r="K15" i="46"/>
  <c r="C15" i="46"/>
  <c r="AC14" i="46"/>
  <c r="Q14" i="46"/>
  <c r="I14" i="46"/>
  <c r="AI13" i="46"/>
  <c r="AA13" i="46"/>
  <c r="G13" i="46"/>
  <c r="AG12" i="46"/>
  <c r="Y12" i="46"/>
  <c r="M12" i="46"/>
  <c r="E12" i="46"/>
  <c r="S11" i="46"/>
  <c r="C11" i="46"/>
  <c r="AC10" i="46"/>
  <c r="Q10" i="46"/>
  <c r="I10" i="46"/>
  <c r="AA9" i="46"/>
  <c r="G9" i="46"/>
  <c r="AG8" i="46"/>
  <c r="Y8" i="46"/>
  <c r="M8" i="46"/>
  <c r="E8" i="46"/>
  <c r="AE7" i="46"/>
  <c r="S7" i="46"/>
  <c r="K7" i="46"/>
  <c r="C7" i="46"/>
  <c r="AC6" i="46"/>
  <c r="Q6" i="46"/>
  <c r="AI5" i="46"/>
  <c r="AA5" i="46"/>
  <c r="G5" i="46"/>
  <c r="AG4" i="46"/>
  <c r="Y4" i="46"/>
  <c r="M4" i="46"/>
  <c r="E4" i="46"/>
  <c r="AC6" i="44"/>
  <c r="AC14" i="44"/>
  <c r="AC22" i="44"/>
  <c r="AC30" i="44"/>
  <c r="AC38" i="44"/>
  <c r="AC46" i="44"/>
  <c r="AC54" i="44"/>
  <c r="AC62" i="44"/>
  <c r="AC70" i="44"/>
  <c r="Z5" i="44"/>
  <c r="Z13" i="44"/>
  <c r="Z21" i="44"/>
  <c r="Z29" i="44"/>
  <c r="Z37" i="44"/>
  <c r="Z45" i="44"/>
  <c r="Z53" i="44"/>
  <c r="Z61" i="44"/>
  <c r="Z69" i="44"/>
  <c r="Z77" i="44"/>
  <c r="D12" i="44"/>
  <c r="D20" i="44"/>
  <c r="D28" i="44"/>
  <c r="D36" i="44"/>
  <c r="D44" i="44"/>
  <c r="D52" i="44"/>
  <c r="D60" i="44"/>
  <c r="D68" i="44"/>
  <c r="D76" i="44"/>
  <c r="J5" i="44"/>
  <c r="R5" i="44"/>
  <c r="G6" i="44"/>
  <c r="AB6" i="44"/>
  <c r="C7" i="44"/>
  <c r="T7" i="44"/>
  <c r="AH7" i="44"/>
  <c r="Q8" i="44"/>
  <c r="AE8" i="44"/>
  <c r="F9" i="44"/>
  <c r="N9" i="44"/>
  <c r="AA9" i="44"/>
  <c r="AJ9" i="44"/>
  <c r="S10" i="44"/>
  <c r="AG10" i="44"/>
  <c r="P11" i="44"/>
  <c r="AD11" i="44"/>
  <c r="E12" i="44"/>
  <c r="M12" i="44"/>
  <c r="Y12" i="44"/>
  <c r="J13" i="44"/>
  <c r="R13" i="44"/>
  <c r="G14" i="44"/>
  <c r="AB14" i="44"/>
  <c r="C15" i="44"/>
  <c r="T15" i="44"/>
  <c r="AH15" i="44"/>
  <c r="Q16" i="44"/>
  <c r="AE16" i="44"/>
  <c r="F17" i="44"/>
  <c r="N17" i="44"/>
  <c r="AA17" i="44"/>
  <c r="AJ17" i="44"/>
  <c r="S18" i="44"/>
  <c r="AG18" i="44"/>
  <c r="P19" i="44"/>
  <c r="AD19" i="44"/>
  <c r="E20" i="44"/>
  <c r="M20" i="44"/>
  <c r="Y20" i="44"/>
  <c r="J21" i="44"/>
  <c r="R21" i="44"/>
  <c r="G22" i="44"/>
  <c r="AB22" i="44"/>
  <c r="C23" i="44"/>
  <c r="T23" i="44"/>
  <c r="AH23" i="44"/>
  <c r="Q24" i="44"/>
  <c r="AE24" i="44"/>
  <c r="F25" i="44"/>
  <c r="N25" i="44"/>
  <c r="AA25" i="44"/>
  <c r="AJ25" i="44"/>
  <c r="S26" i="44"/>
  <c r="AG26" i="44"/>
  <c r="P27" i="44"/>
  <c r="AD27" i="44"/>
  <c r="E28" i="44"/>
  <c r="M28" i="44"/>
  <c r="Y28" i="44"/>
  <c r="AG77" i="46"/>
  <c r="W77" i="46"/>
  <c r="M77" i="46"/>
  <c r="AI76" i="46"/>
  <c r="Y76" i="46"/>
  <c r="K76" i="46"/>
  <c r="AG75" i="46"/>
  <c r="S75" i="46"/>
  <c r="AE74" i="46"/>
  <c r="Q74" i="46"/>
  <c r="G74" i="46"/>
  <c r="AC73" i="46"/>
  <c r="E73" i="46"/>
  <c r="AA72" i="46"/>
  <c r="M72" i="46"/>
  <c r="C72" i="46"/>
  <c r="Y71" i="46"/>
  <c r="K71" i="46"/>
  <c r="S70" i="46"/>
  <c r="I70" i="46"/>
  <c r="AG69" i="46"/>
  <c r="Q69" i="46"/>
  <c r="G69" i="46"/>
  <c r="AE68" i="46"/>
  <c r="E68" i="46"/>
  <c r="AC67" i="46"/>
  <c r="M67" i="46"/>
  <c r="C67" i="46"/>
  <c r="AA66" i="46"/>
  <c r="K66" i="46"/>
  <c r="Y65" i="46"/>
  <c r="AG64" i="46"/>
  <c r="S64" i="46"/>
  <c r="G64" i="46"/>
  <c r="AE63" i="46"/>
  <c r="Q63" i="46"/>
  <c r="E63" i="46"/>
  <c r="AC62" i="46"/>
  <c r="O62" i="46"/>
  <c r="C62" i="46"/>
  <c r="AA61" i="46"/>
  <c r="M61" i="46"/>
  <c r="AI60" i="46"/>
  <c r="Y60" i="46"/>
  <c r="K60" i="46"/>
  <c r="AG59" i="46"/>
  <c r="S59" i="46"/>
  <c r="AE58" i="46"/>
  <c r="Q58" i="46"/>
  <c r="G58" i="46"/>
  <c r="AE57" i="46"/>
  <c r="K57" i="46"/>
  <c r="AG56" i="46"/>
  <c r="S56" i="46"/>
  <c r="I56" i="46"/>
  <c r="Q55" i="46"/>
  <c r="G55" i="46"/>
  <c r="AC54" i="46"/>
  <c r="E54" i="46"/>
  <c r="AA53" i="46"/>
  <c r="M53" i="46"/>
  <c r="C53" i="46"/>
  <c r="Y52" i="46"/>
  <c r="K52" i="46"/>
  <c r="S51" i="46"/>
  <c r="AG50" i="46"/>
  <c r="Q50" i="46"/>
  <c r="G50" i="46"/>
  <c r="O49" i="46"/>
  <c r="E49" i="46"/>
  <c r="AC48" i="46"/>
  <c r="M48" i="46"/>
  <c r="C48" i="46"/>
  <c r="AA47" i="46"/>
  <c r="K47" i="46"/>
  <c r="AI46" i="46"/>
  <c r="Y46" i="46"/>
  <c r="AG45" i="46"/>
  <c r="S45" i="46"/>
  <c r="G45" i="46"/>
  <c r="Q44" i="46"/>
  <c r="E44" i="46"/>
  <c r="AC43" i="46"/>
  <c r="C43" i="46"/>
  <c r="AA42" i="46"/>
  <c r="M42" i="46"/>
  <c r="Y41" i="46"/>
  <c r="K41" i="46"/>
  <c r="AG40" i="46"/>
  <c r="S40" i="46"/>
  <c r="I40" i="46"/>
  <c r="AF77" i="46"/>
  <c r="V77" i="46"/>
  <c r="L77" i="46"/>
  <c r="T76" i="46"/>
  <c r="J76" i="46"/>
  <c r="R75" i="46"/>
  <c r="H75" i="46"/>
  <c r="AD74" i="46"/>
  <c r="P74" i="46"/>
  <c r="F74" i="46"/>
  <c r="AB73" i="46"/>
  <c r="N73" i="46"/>
  <c r="D73" i="46"/>
  <c r="Z72" i="46"/>
  <c r="AJ71" i="46"/>
  <c r="T71" i="46"/>
  <c r="J71" i="46"/>
  <c r="AH70" i="46"/>
  <c r="R70" i="46"/>
  <c r="AF69" i="46"/>
  <c r="P69" i="46"/>
  <c r="F69" i="46"/>
  <c r="AD68" i="46"/>
  <c r="N68" i="46"/>
  <c r="D68" i="46"/>
  <c r="AB67" i="46"/>
  <c r="AJ66" i="46"/>
  <c r="Z66" i="46"/>
  <c r="J66" i="46"/>
  <c r="AH65" i="46"/>
  <c r="T65" i="46"/>
  <c r="H65" i="46"/>
  <c r="R64" i="46"/>
  <c r="F64" i="46"/>
  <c r="AD63" i="46"/>
  <c r="P63" i="46"/>
  <c r="D63" i="46"/>
  <c r="AB62" i="46"/>
  <c r="AJ61" i="46"/>
  <c r="Z61" i="46"/>
  <c r="L61" i="46"/>
  <c r="T60" i="46"/>
  <c r="J60" i="46"/>
  <c r="R59" i="46"/>
  <c r="H59" i="46"/>
  <c r="AD58" i="46"/>
  <c r="P58" i="46"/>
  <c r="F58" i="46"/>
  <c r="AD57" i="46"/>
  <c r="T57" i="46"/>
  <c r="J57" i="46"/>
  <c r="AF56" i="46"/>
  <c r="R56" i="46"/>
  <c r="AD55" i="46"/>
  <c r="P55" i="46"/>
  <c r="F55" i="46"/>
  <c r="AB54" i="46"/>
  <c r="N54" i="46"/>
  <c r="D54" i="46"/>
  <c r="Z53" i="46"/>
  <c r="AJ52" i="46"/>
  <c r="T52" i="46"/>
  <c r="J52" i="46"/>
  <c r="AH51" i="46"/>
  <c r="R51" i="46"/>
  <c r="H51" i="46"/>
  <c r="AL77" i="46"/>
  <c r="T77" i="46"/>
  <c r="E77" i="46"/>
  <c r="AE75" i="46"/>
  <c r="AB74" i="46"/>
  <c r="Y73" i="46"/>
  <c r="R72" i="46"/>
  <c r="M71" i="46"/>
  <c r="AC70" i="46"/>
  <c r="G70" i="46"/>
  <c r="Z69" i="46"/>
  <c r="D69" i="46"/>
  <c r="S68" i="46"/>
  <c r="AG67" i="46"/>
  <c r="K67" i="46"/>
  <c r="AD66" i="46"/>
  <c r="H66" i="46"/>
  <c r="AA65" i="46"/>
  <c r="E65" i="46"/>
  <c r="AJ63" i="46"/>
  <c r="I62" i="46"/>
  <c r="Y61" i="46"/>
  <c r="F61" i="46"/>
  <c r="R60" i="46"/>
  <c r="C60" i="46"/>
  <c r="M59" i="46"/>
  <c r="AC58" i="46"/>
  <c r="J58" i="46"/>
  <c r="AB57" i="46"/>
  <c r="M57" i="46"/>
  <c r="AC56" i="46"/>
  <c r="E56" i="46"/>
  <c r="Z55" i="46"/>
  <c r="AJ54" i="46"/>
  <c r="Q54" i="46"/>
  <c r="AG53" i="46"/>
  <c r="K53" i="46"/>
  <c r="AD52" i="46"/>
  <c r="H52" i="46"/>
  <c r="AA51" i="46"/>
  <c r="C51" i="46"/>
  <c r="P50" i="46"/>
  <c r="D50" i="46"/>
  <c r="T49" i="46"/>
  <c r="D49" i="46"/>
  <c r="T48" i="46"/>
  <c r="H48" i="46"/>
  <c r="Z47" i="46"/>
  <c r="H47" i="46"/>
  <c r="AB46" i="46"/>
  <c r="H46" i="46"/>
  <c r="AD45" i="46"/>
  <c r="L45" i="46"/>
  <c r="AD44" i="46"/>
  <c r="L44" i="46"/>
  <c r="AH43" i="46"/>
  <c r="N43" i="46"/>
  <c r="AH42" i="46"/>
  <c r="P42" i="46"/>
  <c r="AH41" i="46"/>
  <c r="R41" i="46"/>
  <c r="D41" i="46"/>
  <c r="R40" i="46"/>
  <c r="D40" i="46"/>
  <c r="AA39" i="46"/>
  <c r="J39" i="46"/>
  <c r="AG38" i="46"/>
  <c r="O38" i="46"/>
  <c r="D38" i="46"/>
  <c r="Y37" i="46"/>
  <c r="J37" i="46"/>
  <c r="AE36" i="46"/>
  <c r="P36" i="46"/>
  <c r="C36" i="46"/>
  <c r="S35" i="46"/>
  <c r="AC34" i="46"/>
  <c r="N34" i="46"/>
  <c r="T33" i="46"/>
  <c r="G33" i="46"/>
  <c r="AC32" i="46"/>
  <c r="R31" i="46"/>
  <c r="G31" i="46"/>
  <c r="AB30" i="46"/>
  <c r="M30" i="46"/>
  <c r="AG29" i="46"/>
  <c r="R29" i="46"/>
  <c r="E29" i="46"/>
  <c r="AB28" i="46"/>
  <c r="K28" i="46"/>
  <c r="AH27" i="46"/>
  <c r="Q27" i="46"/>
  <c r="C27" i="46"/>
  <c r="Z26" i="46"/>
  <c r="I26" i="46"/>
  <c r="D25" i="46"/>
  <c r="Y24" i="46"/>
  <c r="AD23" i="46"/>
  <c r="AJ22" i="46"/>
  <c r="Y22" i="46"/>
  <c r="AE21" i="46"/>
  <c r="M21" i="46"/>
  <c r="AJ20" i="46"/>
  <c r="S20" i="46"/>
  <c r="Y19" i="46"/>
  <c r="L19" i="46"/>
  <c r="AJ18" i="46"/>
  <c r="AA18" i="46"/>
  <c r="N18" i="46"/>
  <c r="E18" i="46"/>
  <c r="AD17" i="46"/>
  <c r="Q17" i="46"/>
  <c r="H17" i="46"/>
  <c r="S16" i="46"/>
  <c r="J16" i="46"/>
  <c r="Z15" i="46"/>
  <c r="M15" i="46"/>
  <c r="D15" i="46"/>
  <c r="AB14" i="46"/>
  <c r="F14" i="46"/>
  <c r="AE13" i="46"/>
  <c r="R13" i="46"/>
  <c r="AH12" i="46"/>
  <c r="T12" i="46"/>
  <c r="K12" i="46"/>
  <c r="AJ11" i="46"/>
  <c r="AA11" i="46"/>
  <c r="E11" i="46"/>
  <c r="AD10" i="46"/>
  <c r="P10" i="46"/>
  <c r="G10" i="46"/>
  <c r="AF9" i="46"/>
  <c r="S9" i="46"/>
  <c r="J9" i="46"/>
  <c r="Z8" i="46"/>
  <c r="C8" i="46"/>
  <c r="AB7" i="46"/>
  <c r="F7" i="46"/>
  <c r="AE6" i="46"/>
  <c r="R6" i="46"/>
  <c r="H6" i="46"/>
  <c r="AG5" i="46"/>
  <c r="T5" i="46"/>
  <c r="AJ4" i="46"/>
  <c r="AA4" i="46"/>
  <c r="N4" i="46"/>
  <c r="D4" i="46"/>
  <c r="AC8" i="44"/>
  <c r="AC17" i="44"/>
  <c r="AC26" i="44"/>
  <c r="AC35" i="44"/>
  <c r="AC44" i="44"/>
  <c r="AC53" i="44"/>
  <c r="AC63" i="44"/>
  <c r="AC72" i="44"/>
  <c r="Z8" i="44"/>
  <c r="Z17" i="44"/>
  <c r="Z26" i="44"/>
  <c r="Z35" i="44"/>
  <c r="Z44" i="44"/>
  <c r="Z54" i="44"/>
  <c r="Z63" i="44"/>
  <c r="Z72" i="44"/>
  <c r="D8" i="44"/>
  <c r="D17" i="44"/>
  <c r="D26" i="44"/>
  <c r="D35" i="44"/>
  <c r="D45" i="44"/>
  <c r="D54" i="44"/>
  <c r="D63" i="44"/>
  <c r="D72" i="44"/>
  <c r="G5" i="44"/>
  <c r="P5" i="44"/>
  <c r="H6" i="44"/>
  <c r="AK77" i="46"/>
  <c r="Q77" i="46"/>
  <c r="AG76" i="46"/>
  <c r="N76" i="46"/>
  <c r="AD75" i="46"/>
  <c r="K75" i="46"/>
  <c r="AA74" i="46"/>
  <c r="C74" i="46"/>
  <c r="T73" i="46"/>
  <c r="AH72" i="46"/>
  <c r="AE71" i="46"/>
  <c r="AB70" i="46"/>
  <c r="F70" i="46"/>
  <c r="Y69" i="46"/>
  <c r="AI68" i="46"/>
  <c r="M68" i="46"/>
  <c r="J67" i="46"/>
  <c r="AC66" i="46"/>
  <c r="G66" i="46"/>
  <c r="Q65" i="46"/>
  <c r="D65" i="46"/>
  <c r="N64" i="46"/>
  <c r="AG63" i="46"/>
  <c r="K63" i="46"/>
  <c r="AA62" i="46"/>
  <c r="T61" i="46"/>
  <c r="E61" i="46"/>
  <c r="AE59" i="46"/>
  <c r="AB58" i="46"/>
  <c r="AA57" i="46"/>
  <c r="G57" i="46"/>
  <c r="AB56" i="46"/>
  <c r="D56" i="46"/>
  <c r="S55" i="46"/>
  <c r="M54" i="46"/>
  <c r="J53" i="46"/>
  <c r="AC52" i="46"/>
  <c r="E52" i="46"/>
  <c r="Q51" i="46"/>
  <c r="AJ50" i="46"/>
  <c r="O50" i="46"/>
  <c r="S49" i="46"/>
  <c r="C49" i="46"/>
  <c r="S48" i="46"/>
  <c r="E48" i="46"/>
  <c r="S47" i="46"/>
  <c r="G47" i="46"/>
  <c r="AA46" i="46"/>
  <c r="G46" i="46"/>
  <c r="AA45" i="46"/>
  <c r="AC44" i="46"/>
  <c r="AE43" i="46"/>
  <c r="K43" i="46"/>
  <c r="AG42" i="46"/>
  <c r="AG41" i="46"/>
  <c r="C41" i="46"/>
  <c r="Q40" i="46"/>
  <c r="C40" i="46"/>
  <c r="Z39" i="46"/>
  <c r="AC38" i="46"/>
  <c r="AI37" i="46"/>
  <c r="T37" i="46"/>
  <c r="G37" i="46"/>
  <c r="AD36" i="46"/>
  <c r="M36" i="46"/>
  <c r="R35" i="46"/>
  <c r="G35" i="46"/>
  <c r="AB34" i="46"/>
  <c r="M34" i="46"/>
  <c r="AH33" i="46"/>
  <c r="S33" i="46"/>
  <c r="E33" i="46"/>
  <c r="AB32" i="46"/>
  <c r="K32" i="46"/>
  <c r="AH31" i="46"/>
  <c r="Q31" i="46"/>
  <c r="F31" i="46"/>
  <c r="AA30" i="46"/>
  <c r="I30" i="46"/>
  <c r="D29" i="46"/>
  <c r="Y28" i="46"/>
  <c r="J28" i="46"/>
  <c r="O27" i="46"/>
  <c r="AJ26" i="46"/>
  <c r="Y26" i="46"/>
  <c r="AE25" i="46"/>
  <c r="N25" i="46"/>
  <c r="C25" i="46"/>
  <c r="S24" i="46"/>
  <c r="H24" i="46"/>
  <c r="AC23" i="46"/>
  <c r="N23" i="46"/>
  <c r="T22" i="46"/>
  <c r="G22" i="46"/>
  <c r="AA21" i="46"/>
  <c r="AG20" i="46"/>
  <c r="R20" i="46"/>
  <c r="H20" i="46"/>
  <c r="AG19" i="46"/>
  <c r="T19" i="46"/>
  <c r="J19" i="46"/>
  <c r="AI18" i="46"/>
  <c r="Z18" i="46"/>
  <c r="M18" i="46"/>
  <c r="D18" i="46"/>
  <c r="AC17" i="46"/>
  <c r="P17" i="46"/>
  <c r="F17" i="46"/>
  <c r="AE16" i="46"/>
  <c r="R16" i="46"/>
  <c r="AH15" i="46"/>
  <c r="Y15" i="46"/>
  <c r="AJ14" i="46"/>
  <c r="AA14" i="46"/>
  <c r="N14" i="46"/>
  <c r="E14" i="46"/>
  <c r="AD13" i="46"/>
  <c r="Q13" i="46"/>
  <c r="H13" i="46"/>
  <c r="S12" i="46"/>
  <c r="J12" i="46"/>
  <c r="AI11" i="46"/>
  <c r="Z11" i="46"/>
  <c r="M11" i="46"/>
  <c r="D11" i="46"/>
  <c r="AB10" i="46"/>
  <c r="F10" i="46"/>
  <c r="R9" i="46"/>
  <c r="AH8" i="46"/>
  <c r="T8" i="46"/>
  <c r="K8" i="46"/>
  <c r="AJ7" i="46"/>
  <c r="AA7" i="46"/>
  <c r="N7" i="46"/>
  <c r="E7" i="46"/>
  <c r="AD6" i="46"/>
  <c r="P6" i="46"/>
  <c r="G6" i="46"/>
  <c r="S5" i="46"/>
  <c r="J5" i="46"/>
  <c r="AI4" i="46"/>
  <c r="Z4" i="46"/>
  <c r="L4" i="46"/>
  <c r="C4" i="46"/>
  <c r="AC9" i="44"/>
  <c r="AC18" i="44"/>
  <c r="AC27" i="44"/>
  <c r="AC36" i="44"/>
  <c r="AC45" i="44"/>
  <c r="AC55" i="44"/>
  <c r="AC64" i="44"/>
  <c r="AC73" i="44"/>
  <c r="Z9" i="44"/>
  <c r="Z18" i="44"/>
  <c r="Z27" i="44"/>
  <c r="Z36" i="44"/>
  <c r="Z46" i="44"/>
  <c r="Z55" i="44"/>
  <c r="Z64" i="44"/>
  <c r="Z73" i="44"/>
  <c r="D9" i="44"/>
  <c r="D18" i="44"/>
  <c r="D27" i="44"/>
  <c r="D37" i="44"/>
  <c r="D46" i="44"/>
  <c r="D55" i="44"/>
  <c r="D64" i="44"/>
  <c r="D73" i="44"/>
  <c r="Q5" i="44"/>
  <c r="AG5" i="44"/>
  <c r="R6" i="44"/>
  <c r="AG6" i="44"/>
  <c r="R7" i="44"/>
  <c r="AG7" i="44"/>
  <c r="J8" i="44"/>
  <c r="S8" i="44"/>
  <c r="AH8" i="44"/>
  <c r="J9" i="44"/>
  <c r="S9" i="44"/>
  <c r="AH9" i="44"/>
  <c r="J10" i="44"/>
  <c r="T10" i="44"/>
  <c r="AI10" i="44"/>
  <c r="T11" i="44"/>
  <c r="AI11" i="44"/>
  <c r="AE77" i="46"/>
  <c r="P77" i="46"/>
  <c r="M76" i="46"/>
  <c r="AC75" i="46"/>
  <c r="E75" i="46"/>
  <c r="Z74" i="46"/>
  <c r="AJ73" i="46"/>
  <c r="Q73" i="46"/>
  <c r="AG72" i="46"/>
  <c r="K72" i="46"/>
  <c r="AD71" i="46"/>
  <c r="H71" i="46"/>
  <c r="AA70" i="46"/>
  <c r="C70" i="46"/>
  <c r="AE67" i="46"/>
  <c r="S66" i="46"/>
  <c r="F66" i="46"/>
  <c r="P65" i="46"/>
  <c r="M64" i="46"/>
  <c r="AC63" i="46"/>
  <c r="J63" i="46"/>
  <c r="Z62" i="46"/>
  <c r="G62" i="46"/>
  <c r="Q61" i="46"/>
  <c r="AG60" i="46"/>
  <c r="N60" i="46"/>
  <c r="AD59" i="46"/>
  <c r="K59" i="46"/>
  <c r="AA58" i="46"/>
  <c r="C58" i="46"/>
  <c r="Z57" i="46"/>
  <c r="F57" i="46"/>
  <c r="Y56" i="46"/>
  <c r="C56" i="46"/>
  <c r="AH54" i="46"/>
  <c r="AE53" i="46"/>
  <c r="G53" i="46"/>
  <c r="S52" i="46"/>
  <c r="D52" i="46"/>
  <c r="P51" i="46"/>
  <c r="AH49" i="46"/>
  <c r="AJ48" i="46"/>
  <c r="R48" i="46"/>
  <c r="AJ47" i="46"/>
  <c r="R47" i="46"/>
  <c r="F47" i="46"/>
  <c r="T46" i="46"/>
  <c r="F46" i="46"/>
  <c r="Z45" i="46"/>
  <c r="F45" i="46"/>
  <c r="AB44" i="46"/>
  <c r="J44" i="46"/>
  <c r="AB43" i="46"/>
  <c r="J43" i="46"/>
  <c r="N41" i="46"/>
  <c r="P40" i="46"/>
  <c r="AJ39" i="46"/>
  <c r="S39" i="46"/>
  <c r="G39" i="46"/>
  <c r="AB38" i="46"/>
  <c r="M38" i="46"/>
  <c r="S37" i="46"/>
  <c r="F37" i="46"/>
  <c r="AC36" i="46"/>
  <c r="K36" i="46"/>
  <c r="AH35" i="46"/>
  <c r="Q35" i="46"/>
  <c r="F35" i="46"/>
  <c r="AA34" i="46"/>
  <c r="L34" i="46"/>
  <c r="AG33" i="46"/>
  <c r="D33" i="46"/>
  <c r="Y32" i="46"/>
  <c r="J32" i="46"/>
  <c r="AE31" i="46"/>
  <c r="P31" i="46"/>
  <c r="C31" i="46"/>
  <c r="Y30" i="46"/>
  <c r="AE29" i="46"/>
  <c r="N29" i="46"/>
  <c r="C29" i="46"/>
  <c r="T28" i="46"/>
  <c r="AC27" i="46"/>
  <c r="AI26" i="46"/>
  <c r="T26" i="46"/>
  <c r="G26" i="46"/>
  <c r="AD25" i="46"/>
  <c r="M25" i="46"/>
  <c r="AG24" i="46"/>
  <c r="R24" i="46"/>
  <c r="E24" i="46"/>
  <c r="AB23" i="46"/>
  <c r="K23" i="46"/>
  <c r="AH22" i="46"/>
  <c r="Q22" i="46"/>
  <c r="E22" i="46"/>
  <c r="Z21" i="46"/>
  <c r="K21" i="46"/>
  <c r="Q20" i="46"/>
  <c r="G20" i="46"/>
  <c r="AF19" i="46"/>
  <c r="R19" i="46"/>
  <c r="I19" i="46"/>
  <c r="Y18" i="46"/>
  <c r="L18" i="46"/>
  <c r="C18" i="46"/>
  <c r="AB17" i="46"/>
  <c r="N17" i="46"/>
  <c r="E17" i="46"/>
  <c r="AD16" i="46"/>
  <c r="Q16" i="46"/>
  <c r="H16" i="46"/>
  <c r="AG15" i="46"/>
  <c r="T15" i="46"/>
  <c r="J15" i="46"/>
  <c r="Z14" i="46"/>
  <c r="M14" i="46"/>
  <c r="D14" i="46"/>
  <c r="AC13" i="46"/>
  <c r="P13" i="46"/>
  <c r="F13" i="46"/>
  <c r="AE12" i="46"/>
  <c r="R12" i="46"/>
  <c r="Y11" i="46"/>
  <c r="L11" i="46"/>
  <c r="AJ10" i="46"/>
  <c r="AA10" i="46"/>
  <c r="N10" i="46"/>
  <c r="E10" i="46"/>
  <c r="AD9" i="46"/>
  <c r="Q9" i="46"/>
  <c r="H9" i="46"/>
  <c r="S8" i="46"/>
  <c r="J8" i="46"/>
  <c r="Z7" i="46"/>
  <c r="M7" i="46"/>
  <c r="D7" i="46"/>
  <c r="AB6" i="46"/>
  <c r="F6" i="46"/>
  <c r="AE5" i="46"/>
  <c r="R5" i="46"/>
  <c r="T4" i="46"/>
  <c r="AC10" i="44"/>
  <c r="AC19" i="44"/>
  <c r="AC28" i="44"/>
  <c r="AC37" i="44"/>
  <c r="AC47" i="44"/>
  <c r="AC56" i="44"/>
  <c r="AC65" i="44"/>
  <c r="AC74" i="44"/>
  <c r="Z10" i="44"/>
  <c r="Z19" i="44"/>
  <c r="Z28" i="44"/>
  <c r="Z38" i="44"/>
  <c r="Z47" i="44"/>
  <c r="Z56" i="44"/>
  <c r="Z65" i="44"/>
  <c r="Z74" i="44"/>
  <c r="D10" i="44"/>
  <c r="D19" i="44"/>
  <c r="D29" i="44"/>
  <c r="D38" i="44"/>
  <c r="D47" i="44"/>
  <c r="D56" i="44"/>
  <c r="D65" i="44"/>
  <c r="D74" i="44"/>
  <c r="S5" i="44"/>
  <c r="J6" i="44"/>
  <c r="S6" i="44"/>
  <c r="AH6" i="44"/>
  <c r="J7" i="44"/>
  <c r="S7" i="44"/>
  <c r="K8" i="44"/>
  <c r="T8" i="44"/>
  <c r="K9" i="44"/>
  <c r="T9" i="44"/>
  <c r="Y10" i="44"/>
  <c r="AJ10" i="44"/>
  <c r="L11" i="44"/>
  <c r="Y11" i="44"/>
  <c r="AJ11" i="44"/>
  <c r="AA12" i="44"/>
  <c r="C13" i="44"/>
  <c r="M13" i="44"/>
  <c r="AA13" i="44"/>
  <c r="C14" i="44"/>
  <c r="M14" i="44"/>
  <c r="AA14" i="44"/>
  <c r="E15" i="44"/>
  <c r="N15" i="44"/>
  <c r="AB15" i="44"/>
  <c r="E16" i="44"/>
  <c r="N16" i="44"/>
  <c r="AB16" i="44"/>
  <c r="E17" i="44"/>
  <c r="AD17" i="44"/>
  <c r="F18" i="44"/>
  <c r="AD18" i="44"/>
  <c r="F19" i="44"/>
  <c r="O19" i="44"/>
  <c r="G20" i="44"/>
  <c r="P20" i="44"/>
  <c r="AE20" i="44"/>
  <c r="G21" i="44"/>
  <c r="P21" i="44"/>
  <c r="AE21" i="44"/>
  <c r="Q22" i="44"/>
  <c r="H23" i="44"/>
  <c r="Q23" i="44"/>
  <c r="H24" i="44"/>
  <c r="R24" i="44"/>
  <c r="AG24" i="44"/>
  <c r="R25" i="44"/>
  <c r="AG25" i="44"/>
  <c r="I26" i="44"/>
  <c r="R26" i="44"/>
  <c r="J27" i="44"/>
  <c r="S27" i="44"/>
  <c r="AH27" i="44"/>
  <c r="J28" i="44"/>
  <c r="S28" i="44"/>
  <c r="AH28" i="44"/>
  <c r="J29" i="44"/>
  <c r="R29" i="44"/>
  <c r="G30" i="44"/>
  <c r="AB30" i="44"/>
  <c r="C31" i="44"/>
  <c r="T31" i="44"/>
  <c r="AH31" i="44"/>
  <c r="Q32" i="44"/>
  <c r="AE32" i="44"/>
  <c r="F33" i="44"/>
  <c r="N33" i="44"/>
  <c r="I77" i="46"/>
  <c r="R76" i="46"/>
  <c r="Q75" i="46"/>
  <c r="S74" i="46"/>
  <c r="AA73" i="46"/>
  <c r="AE72" i="46"/>
  <c r="AG71" i="46"/>
  <c r="C71" i="46"/>
  <c r="AJ69" i="46"/>
  <c r="I69" i="46"/>
  <c r="J68" i="46"/>
  <c r="Q67" i="46"/>
  <c r="P66" i="46"/>
  <c r="Z64" i="46"/>
  <c r="Y63" i="46"/>
  <c r="AH62" i="46"/>
  <c r="AG61" i="46"/>
  <c r="E60" i="46"/>
  <c r="D59" i="46"/>
  <c r="K58" i="46"/>
  <c r="R57" i="46"/>
  <c r="Q56" i="46"/>
  <c r="AB55" i="46"/>
  <c r="AA54" i="46"/>
  <c r="AH53" i="46"/>
  <c r="AG52" i="46"/>
  <c r="C52" i="46"/>
  <c r="G51" i="46"/>
  <c r="Y49" i="46"/>
  <c r="AE48" i="46"/>
  <c r="J47" i="46"/>
  <c r="P46" i="46"/>
  <c r="C45" i="46"/>
  <c r="I44" i="46"/>
  <c r="R43" i="46"/>
  <c r="Z42" i="46"/>
  <c r="E42" i="46"/>
  <c r="G41" i="46"/>
  <c r="M40" i="46"/>
  <c r="AC39" i="46"/>
  <c r="C39" i="46"/>
  <c r="Q38" i="46"/>
  <c r="E37" i="46"/>
  <c r="R36" i="46"/>
  <c r="AD35" i="46"/>
  <c r="I35" i="46"/>
  <c r="Q34" i="46"/>
  <c r="K33" i="46"/>
  <c r="S32" i="46"/>
  <c r="AJ31" i="46"/>
  <c r="J31" i="46"/>
  <c r="T30" i="46"/>
  <c r="D30" i="46"/>
  <c r="AC28" i="46"/>
  <c r="C28" i="46"/>
  <c r="AC26" i="46"/>
  <c r="E26" i="46"/>
  <c r="R25" i="46"/>
  <c r="AD24" i="46"/>
  <c r="D24" i="46"/>
  <c r="Q23" i="46"/>
  <c r="AC22" i="46"/>
  <c r="I22" i="46"/>
  <c r="S21" i="46"/>
  <c r="AE20" i="46"/>
  <c r="K20" i="46"/>
  <c r="AC19" i="46"/>
  <c r="M19" i="46"/>
  <c r="AF17" i="46"/>
  <c r="AH16" i="46"/>
  <c r="N16" i="46"/>
  <c r="AG14" i="46"/>
  <c r="P14" i="46"/>
  <c r="N13" i="46"/>
  <c r="AJ12" i="46"/>
  <c r="P12" i="46"/>
  <c r="C12" i="46"/>
  <c r="Q11" i="46"/>
  <c r="AI10" i="46"/>
  <c r="S10" i="46"/>
  <c r="C10" i="46"/>
  <c r="T9" i="46"/>
  <c r="D9" i="46"/>
  <c r="R8" i="46"/>
  <c r="F8" i="46"/>
  <c r="T7" i="46"/>
  <c r="G7" i="46"/>
  <c r="Y6" i="46"/>
  <c r="E6" i="46"/>
  <c r="Z5" i="46"/>
  <c r="F5" i="46"/>
  <c r="AB4" i="46"/>
  <c r="AC7" i="44"/>
  <c r="AC23" i="44"/>
  <c r="AC39" i="44"/>
  <c r="AC51" i="44"/>
  <c r="AC67" i="44"/>
  <c r="Z7" i="44"/>
  <c r="Z23" i="44"/>
  <c r="Z39" i="44"/>
  <c r="Z51" i="44"/>
  <c r="Z67" i="44"/>
  <c r="D7" i="44"/>
  <c r="D23" i="44"/>
  <c r="D39" i="44"/>
  <c r="D51" i="44"/>
  <c r="D67" i="44"/>
  <c r="F5" i="44"/>
  <c r="AA5" i="44"/>
  <c r="K6" i="44"/>
  <c r="AA6" i="44"/>
  <c r="G7" i="44"/>
  <c r="Y7" i="44"/>
  <c r="E8" i="44"/>
  <c r="P8" i="44"/>
  <c r="AJ8" i="44"/>
  <c r="AF9" i="44"/>
  <c r="M10" i="44"/>
  <c r="AD10" i="44"/>
  <c r="I11" i="44"/>
  <c r="AA11" i="44"/>
  <c r="G12" i="44"/>
  <c r="Q12" i="44"/>
  <c r="AG12" i="44"/>
  <c r="K13" i="44"/>
  <c r="Y13" i="44"/>
  <c r="E14" i="44"/>
  <c r="P14" i="44"/>
  <c r="S15" i="44"/>
  <c r="AJ15" i="44"/>
  <c r="M16" i="44"/>
  <c r="AD16" i="44"/>
  <c r="H17" i="44"/>
  <c r="R17" i="44"/>
  <c r="AH17" i="44"/>
  <c r="L18" i="44"/>
  <c r="AA18" i="44"/>
  <c r="E19" i="44"/>
  <c r="Q19" i="44"/>
  <c r="AG19" i="44"/>
  <c r="J20" i="44"/>
  <c r="T20" i="44"/>
  <c r="C21" i="44"/>
  <c r="N21" i="44"/>
  <c r="AD21" i="44"/>
  <c r="I22" i="44"/>
  <c r="S22" i="44"/>
  <c r="M23" i="44"/>
  <c r="AB23" i="44"/>
  <c r="F24" i="44"/>
  <c r="P24" i="44"/>
  <c r="AH24" i="44"/>
  <c r="K25" i="44"/>
  <c r="Y25" i="44"/>
  <c r="E26" i="44"/>
  <c r="I27" i="44"/>
  <c r="T27" i="44"/>
  <c r="AJ27" i="44"/>
  <c r="AD28" i="44"/>
  <c r="G29" i="44"/>
  <c r="P29" i="44"/>
  <c r="AE29" i="44"/>
  <c r="Q30" i="44"/>
  <c r="H31" i="44"/>
  <c r="Q31" i="44"/>
  <c r="H32" i="44"/>
  <c r="R32" i="44"/>
  <c r="AG32" i="44"/>
  <c r="R33" i="44"/>
  <c r="AF33" i="44"/>
  <c r="G34" i="44"/>
  <c r="AB34" i="44"/>
  <c r="C35" i="44"/>
  <c r="L35" i="44"/>
  <c r="T35" i="44"/>
  <c r="AH35" i="44"/>
  <c r="Q36" i="44"/>
  <c r="AE36" i="44"/>
  <c r="F37" i="44"/>
  <c r="AA37" i="44"/>
  <c r="AJ37" i="44"/>
  <c r="K38" i="44"/>
  <c r="S38" i="44"/>
  <c r="AG38" i="44"/>
  <c r="H39" i="44"/>
  <c r="P39" i="44"/>
  <c r="AD39" i="44"/>
  <c r="E40" i="44"/>
  <c r="M40" i="44"/>
  <c r="Y40" i="44"/>
  <c r="J41" i="44"/>
  <c r="R41" i="44"/>
  <c r="G42" i="44"/>
  <c r="AB42" i="44"/>
  <c r="C43" i="44"/>
  <c r="T43" i="44"/>
  <c r="AH43" i="44"/>
  <c r="I44" i="44"/>
  <c r="Q44" i="44"/>
  <c r="F45" i="44"/>
  <c r="AA45" i="44"/>
  <c r="AJ45" i="44"/>
  <c r="K46" i="44"/>
  <c r="S46" i="44"/>
  <c r="AG46" i="44"/>
  <c r="H47" i="44"/>
  <c r="P47" i="44"/>
  <c r="AD47" i="44"/>
  <c r="E48" i="44"/>
  <c r="M48" i="44"/>
  <c r="Y48" i="44"/>
  <c r="AI48" i="44"/>
  <c r="J49" i="44"/>
  <c r="R49" i="44"/>
  <c r="AF49" i="44"/>
  <c r="G50" i="44"/>
  <c r="O50" i="44"/>
  <c r="AB50" i="44"/>
  <c r="C51" i="44"/>
  <c r="T51" i="44"/>
  <c r="AH51" i="44"/>
  <c r="Q52" i="44"/>
  <c r="AE52" i="44"/>
  <c r="F53" i="44"/>
  <c r="N53" i="44"/>
  <c r="AA53" i="44"/>
  <c r="AJ53" i="44"/>
  <c r="K54" i="44"/>
  <c r="S54" i="44"/>
  <c r="AG54" i="44"/>
  <c r="P55" i="44"/>
  <c r="AD55" i="44"/>
  <c r="E56" i="44"/>
  <c r="M56" i="44"/>
  <c r="Y56" i="44"/>
  <c r="AI56" i="44"/>
  <c r="J57" i="44"/>
  <c r="R57" i="44"/>
  <c r="AA57" i="44"/>
  <c r="AJ57" i="44"/>
  <c r="Q58" i="44"/>
  <c r="AE58" i="44"/>
  <c r="F59" i="44"/>
  <c r="N59" i="44"/>
  <c r="AA59" i="44"/>
  <c r="AJ59" i="44"/>
  <c r="K60" i="44"/>
  <c r="S60" i="44"/>
  <c r="AG60" i="44"/>
  <c r="P61" i="44"/>
  <c r="AD61" i="44"/>
  <c r="E62" i="44"/>
  <c r="M62" i="44"/>
  <c r="Y62" i="44"/>
  <c r="H77" i="46"/>
  <c r="G76" i="46"/>
  <c r="P75" i="46"/>
  <c r="Z73" i="46"/>
  <c r="Y72" i="46"/>
  <c r="AC71" i="46"/>
  <c r="AI69" i="46"/>
  <c r="E69" i="46"/>
  <c r="G68" i="46"/>
  <c r="H67" i="46"/>
  <c r="N65" i="46"/>
  <c r="Y64" i="46"/>
  <c r="T63" i="46"/>
  <c r="S62" i="46"/>
  <c r="AF61" i="46"/>
  <c r="AE60" i="46"/>
  <c r="D60" i="46"/>
  <c r="C59" i="46"/>
  <c r="P56" i="46"/>
  <c r="AA55" i="46"/>
  <c r="Z54" i="46"/>
  <c r="Y53" i="46"/>
  <c r="AE51" i="46"/>
  <c r="F51" i="46"/>
  <c r="M49" i="46"/>
  <c r="AB48" i="46"/>
  <c r="AH47" i="46"/>
  <c r="Y45" i="46"/>
  <c r="AJ44" i="46"/>
  <c r="D44" i="46"/>
  <c r="Q43" i="46"/>
  <c r="Y42" i="46"/>
  <c r="AE41" i="46"/>
  <c r="F41" i="46"/>
  <c r="AB39" i="46"/>
  <c r="AJ38" i="46"/>
  <c r="AA37" i="46"/>
  <c r="C37" i="46"/>
  <c r="Q36" i="46"/>
  <c r="AC35" i="46"/>
  <c r="C35" i="46"/>
  <c r="P34" i="46"/>
  <c r="AD33" i="46"/>
  <c r="J33" i="46"/>
  <c r="R32" i="46"/>
  <c r="AD31" i="46"/>
  <c r="Q30" i="46"/>
  <c r="AI29" i="46"/>
  <c r="K29" i="46"/>
  <c r="S28" i="46"/>
  <c r="AJ27" i="46"/>
  <c r="J27" i="46"/>
  <c r="AA26" i="46"/>
  <c r="K25" i="46"/>
  <c r="AC24" i="46"/>
  <c r="C24" i="46"/>
  <c r="P23" i="46"/>
  <c r="AB22" i="46"/>
  <c r="D22" i="46"/>
  <c r="R21" i="46"/>
  <c r="AD20" i="46"/>
  <c r="J20" i="46"/>
  <c r="AB19" i="46"/>
  <c r="AD18" i="46"/>
  <c r="J18" i="46"/>
  <c r="K17" i="46"/>
  <c r="AC16" i="46"/>
  <c r="AD15" i="46"/>
  <c r="N15" i="46"/>
  <c r="AG13" i="46"/>
  <c r="M13" i="46"/>
  <c r="O12" i="46"/>
  <c r="AG11" i="46"/>
  <c r="P11" i="46"/>
  <c r="R10" i="46"/>
  <c r="AJ9" i="46"/>
  <c r="P9" i="46"/>
  <c r="C9" i="46"/>
  <c r="Q8" i="46"/>
  <c r="D8" i="46"/>
  <c r="R7" i="46"/>
  <c r="AJ6" i="46"/>
  <c r="T6" i="46"/>
  <c r="D6" i="46"/>
  <c r="Y5" i="46"/>
  <c r="E5" i="46"/>
  <c r="S4" i="46"/>
  <c r="G4" i="46"/>
  <c r="AC11" i="44"/>
  <c r="AC24" i="44"/>
  <c r="AC40" i="44"/>
  <c r="AC52" i="44"/>
  <c r="AC68" i="44"/>
  <c r="Z11" i="44"/>
  <c r="Z24" i="44"/>
  <c r="Z40" i="44"/>
  <c r="Z52" i="44"/>
  <c r="Z68" i="44"/>
  <c r="D11" i="44"/>
  <c r="D24" i="44"/>
  <c r="D40" i="44"/>
  <c r="D53" i="44"/>
  <c r="D69" i="44"/>
  <c r="AB5" i="44"/>
  <c r="AD6" i="44"/>
  <c r="H7" i="44"/>
  <c r="AA7" i="44"/>
  <c r="F8" i="44"/>
  <c r="R8" i="44"/>
  <c r="C9" i="44"/>
  <c r="P9" i="44"/>
  <c r="AG9" i="44"/>
  <c r="N10" i="44"/>
  <c r="J11" i="44"/>
  <c r="AB11" i="44"/>
  <c r="H12" i="44"/>
  <c r="R12" i="44"/>
  <c r="AH12" i="44"/>
  <c r="AB13" i="44"/>
  <c r="F14" i="44"/>
  <c r="Q14" i="44"/>
  <c r="AG14" i="44"/>
  <c r="J15" i="44"/>
  <c r="Y15" i="44"/>
  <c r="C16" i="44"/>
  <c r="S17" i="44"/>
  <c r="M18" i="44"/>
  <c r="AB18" i="44"/>
  <c r="G19" i="44"/>
  <c r="R19" i="44"/>
  <c r="K20" i="44"/>
  <c r="AA20" i="44"/>
  <c r="E21" i="44"/>
  <c r="AG21" i="44"/>
  <c r="J22" i="44"/>
  <c r="T22" i="44"/>
  <c r="AJ22" i="44"/>
  <c r="N23" i="44"/>
  <c r="AD23" i="44"/>
  <c r="G24" i="44"/>
  <c r="S24" i="44"/>
  <c r="AB25" i="44"/>
  <c r="F26" i="44"/>
  <c r="P26" i="44"/>
  <c r="AF26" i="44"/>
  <c r="Y27" i="44"/>
  <c r="C28" i="44"/>
  <c r="O28" i="44"/>
  <c r="AE28" i="44"/>
  <c r="H29" i="44"/>
  <c r="Q29" i="44"/>
  <c r="AG29" i="44"/>
  <c r="I30" i="44"/>
  <c r="R30" i="44"/>
  <c r="AG30" i="44"/>
  <c r="R31" i="44"/>
  <c r="AG31" i="44"/>
  <c r="J32" i="44"/>
  <c r="S32" i="44"/>
  <c r="AH32" i="44"/>
  <c r="J33" i="44"/>
  <c r="S33" i="44"/>
  <c r="AG33" i="44"/>
  <c r="P34" i="44"/>
  <c r="AD34" i="44"/>
  <c r="E35" i="44"/>
  <c r="M35" i="44"/>
  <c r="Y35" i="44"/>
  <c r="J36" i="44"/>
  <c r="R36" i="44"/>
  <c r="G37" i="44"/>
  <c r="O37" i="44"/>
  <c r="AB37" i="44"/>
  <c r="C38" i="44"/>
  <c r="T38" i="44"/>
  <c r="AH38" i="44"/>
  <c r="Q39" i="44"/>
  <c r="AE39" i="44"/>
  <c r="F40" i="44"/>
  <c r="N40" i="44"/>
  <c r="AA40" i="44"/>
  <c r="AJ40" i="44"/>
  <c r="K41" i="44"/>
  <c r="S41" i="44"/>
  <c r="AG41" i="44"/>
  <c r="H42" i="44"/>
  <c r="P42" i="44"/>
  <c r="AD42" i="44"/>
  <c r="E43" i="44"/>
  <c r="M43" i="44"/>
  <c r="Y43" i="44"/>
  <c r="J44" i="44"/>
  <c r="R44" i="44"/>
  <c r="AF44" i="44"/>
  <c r="G45" i="44"/>
  <c r="O45" i="44"/>
  <c r="AB45" i="44"/>
  <c r="C46" i="44"/>
  <c r="T46" i="44"/>
  <c r="Q47" i="44"/>
  <c r="AE47" i="44"/>
  <c r="F48" i="44"/>
  <c r="N48" i="44"/>
  <c r="AA48" i="44"/>
  <c r="AJ48" i="44"/>
  <c r="S49" i="44"/>
  <c r="AG49" i="44"/>
  <c r="H50" i="44"/>
  <c r="P50" i="44"/>
  <c r="AD50" i="44"/>
  <c r="E51" i="44"/>
  <c r="M51" i="44"/>
  <c r="Y51" i="44"/>
  <c r="J52" i="44"/>
  <c r="R52" i="44"/>
  <c r="G53" i="44"/>
  <c r="AB53" i="44"/>
  <c r="C54" i="44"/>
  <c r="T54" i="44"/>
  <c r="AH54" i="44"/>
  <c r="I55" i="44"/>
  <c r="Q55" i="44"/>
  <c r="F56" i="44"/>
  <c r="N56" i="44"/>
  <c r="AA56" i="44"/>
  <c r="AJ56" i="44"/>
  <c r="K57" i="44"/>
  <c r="S57" i="44"/>
  <c r="AB57" i="44"/>
  <c r="J58" i="44"/>
  <c r="R58" i="44"/>
  <c r="G59" i="44"/>
  <c r="AB59" i="44"/>
  <c r="C60" i="44"/>
  <c r="T60" i="44"/>
  <c r="I61" i="44"/>
  <c r="Q61" i="44"/>
  <c r="F62" i="44"/>
  <c r="AA62" i="44"/>
  <c r="AJ62" i="44"/>
  <c r="K63" i="44"/>
  <c r="S63" i="44"/>
  <c r="AG63" i="44"/>
  <c r="H64" i="44"/>
  <c r="P64" i="44"/>
  <c r="AD64" i="44"/>
  <c r="E65" i="44"/>
  <c r="M65" i="44"/>
  <c r="Y65" i="44"/>
  <c r="AD77" i="46"/>
  <c r="G77" i="46"/>
  <c r="F76" i="46"/>
  <c r="M75" i="46"/>
  <c r="N74" i="46"/>
  <c r="M73" i="46"/>
  <c r="T72" i="46"/>
  <c r="S71" i="46"/>
  <c r="AD70" i="46"/>
  <c r="AC69" i="46"/>
  <c r="AG68" i="46"/>
  <c r="C68" i="46"/>
  <c r="E67" i="46"/>
  <c r="M65" i="46"/>
  <c r="S63" i="46"/>
  <c r="R62" i="46"/>
  <c r="AC61" i="46"/>
  <c r="AD60" i="46"/>
  <c r="AC59" i="46"/>
  <c r="AJ58" i="46"/>
  <c r="N57" i="46"/>
  <c r="M56" i="46"/>
  <c r="N55" i="46"/>
  <c r="Y54" i="46"/>
  <c r="T53" i="46"/>
  <c r="AE52" i="46"/>
  <c r="AD51" i="46"/>
  <c r="AC50" i="46"/>
  <c r="F50" i="46"/>
  <c r="L49" i="46"/>
  <c r="Y48" i="46"/>
  <c r="AE47" i="46"/>
  <c r="C47" i="46"/>
  <c r="N46" i="46"/>
  <c r="R45" i="46"/>
  <c r="AG44" i="46"/>
  <c r="C44" i="46"/>
  <c r="I43" i="46"/>
  <c r="T42" i="46"/>
  <c r="AD41" i="46"/>
  <c r="E41" i="46"/>
  <c r="K40" i="46"/>
  <c r="Q39" i="46"/>
  <c r="Z37" i="46"/>
  <c r="AJ36" i="46"/>
  <c r="J36" i="46"/>
  <c r="AB35" i="46"/>
  <c r="AJ34" i="46"/>
  <c r="AA33" i="46"/>
  <c r="C33" i="46"/>
  <c r="Q32" i="46"/>
  <c r="AC31" i="46"/>
  <c r="H31" i="46"/>
  <c r="P30" i="46"/>
  <c r="AD29" i="46"/>
  <c r="G29" i="46"/>
  <c r="Q28" i="46"/>
  <c r="I27" i="46"/>
  <c r="Q26" i="46"/>
  <c r="AH25" i="46"/>
  <c r="J25" i="46"/>
  <c r="AB24" i="46"/>
  <c r="AJ23" i="46"/>
  <c r="J23" i="46"/>
  <c r="AA22" i="46"/>
  <c r="AI21" i="46"/>
  <c r="AC20" i="46"/>
  <c r="F20" i="46"/>
  <c r="AA19" i="46"/>
  <c r="G19" i="46"/>
  <c r="AB18" i="46"/>
  <c r="Z17" i="46"/>
  <c r="J17" i="46"/>
  <c r="AB16" i="46"/>
  <c r="K16" i="46"/>
  <c r="AC15" i="46"/>
  <c r="AE14" i="46"/>
  <c r="K14" i="46"/>
  <c r="AD12" i="46"/>
  <c r="AF11" i="46"/>
  <c r="O11" i="46"/>
  <c r="AG10" i="46"/>
  <c r="M10" i="46"/>
  <c r="AH9" i="46"/>
  <c r="N9" i="46"/>
  <c r="AJ8" i="46"/>
  <c r="P8" i="46"/>
  <c r="AH7" i="46"/>
  <c r="Q7" i="46"/>
  <c r="S6" i="46"/>
  <c r="C6" i="46"/>
  <c r="Q5" i="46"/>
  <c r="D5" i="46"/>
  <c r="R4" i="46"/>
  <c r="F4" i="46"/>
  <c r="AC12" i="44"/>
  <c r="AC25" i="44"/>
  <c r="AC41" i="44"/>
  <c r="AC57" i="44"/>
  <c r="AC69" i="44"/>
  <c r="Z12" i="44"/>
  <c r="Z25" i="44"/>
  <c r="Z41" i="44"/>
  <c r="Z57" i="44"/>
  <c r="Z70" i="44"/>
  <c r="D13" i="44"/>
  <c r="D25" i="44"/>
  <c r="D41" i="44"/>
  <c r="D57" i="44"/>
  <c r="D70" i="44"/>
  <c r="AD5" i="44"/>
  <c r="M6" i="44"/>
  <c r="AE6" i="44"/>
  <c r="K7" i="44"/>
  <c r="AB7" i="44"/>
  <c r="G8" i="44"/>
  <c r="Y8" i="44"/>
  <c r="E9" i="44"/>
  <c r="Q9" i="44"/>
  <c r="C10" i="44"/>
  <c r="AF10" i="44"/>
  <c r="M11" i="44"/>
  <c r="S12" i="44"/>
  <c r="AJ12" i="44"/>
  <c r="N13" i="44"/>
  <c r="AD13" i="44"/>
  <c r="R14" i="44"/>
  <c r="AH14" i="44"/>
  <c r="K15" i="44"/>
  <c r="AA15" i="44"/>
  <c r="F16" i="44"/>
  <c r="P16" i="44"/>
  <c r="AG16" i="44"/>
  <c r="J17" i="44"/>
  <c r="T17" i="44"/>
  <c r="C18" i="44"/>
  <c r="N18" i="44"/>
  <c r="I19" i="44"/>
  <c r="S19" i="44"/>
  <c r="AI19" i="44"/>
  <c r="AB20" i="44"/>
  <c r="F21" i="44"/>
  <c r="Q21" i="44"/>
  <c r="K22" i="44"/>
  <c r="Y22" i="44"/>
  <c r="E23" i="44"/>
  <c r="AE23" i="44"/>
  <c r="J24" i="44"/>
  <c r="T24" i="44"/>
  <c r="AJ24" i="44"/>
  <c r="M25" i="44"/>
  <c r="AD25" i="44"/>
  <c r="G26" i="44"/>
  <c r="Q26" i="44"/>
  <c r="AI26" i="44"/>
  <c r="L27" i="44"/>
  <c r="AA27" i="44"/>
  <c r="F28" i="44"/>
  <c r="P28" i="44"/>
  <c r="S29" i="44"/>
  <c r="J30" i="44"/>
  <c r="S30" i="44"/>
  <c r="AH30" i="44"/>
  <c r="J31" i="44"/>
  <c r="S31" i="44"/>
  <c r="K32" i="44"/>
  <c r="T32" i="44"/>
  <c r="K33" i="44"/>
  <c r="T33" i="44"/>
  <c r="AH33" i="44"/>
  <c r="I34" i="44"/>
  <c r="Q34" i="44"/>
  <c r="F35" i="44"/>
  <c r="AA35" i="44"/>
  <c r="AJ35" i="44"/>
  <c r="K36" i="44"/>
  <c r="S36" i="44"/>
  <c r="AG36" i="44"/>
  <c r="P37" i="44"/>
  <c r="AD37" i="44"/>
  <c r="E38" i="44"/>
  <c r="M38" i="44"/>
  <c r="Y38" i="44"/>
  <c r="J39" i="44"/>
  <c r="R39" i="44"/>
  <c r="G40" i="44"/>
  <c r="AB40" i="44"/>
  <c r="C41" i="44"/>
  <c r="T41" i="44"/>
  <c r="AH41" i="44"/>
  <c r="Q42" i="44"/>
  <c r="AE42" i="44"/>
  <c r="F43" i="44"/>
  <c r="N43" i="44"/>
  <c r="AA43" i="44"/>
  <c r="AJ43" i="44"/>
  <c r="S44" i="44"/>
  <c r="AG44" i="44"/>
  <c r="P45" i="44"/>
  <c r="AD45" i="44"/>
  <c r="E46" i="44"/>
  <c r="M46" i="44"/>
  <c r="Y46" i="44"/>
  <c r="AI46" i="44"/>
  <c r="J47" i="44"/>
  <c r="R47" i="44"/>
  <c r="G48" i="44"/>
  <c r="AB48" i="44"/>
  <c r="C49" i="44"/>
  <c r="L49" i="44"/>
  <c r="T49" i="44"/>
  <c r="AH49" i="44"/>
  <c r="Q50" i="44"/>
  <c r="AE50" i="44"/>
  <c r="F51" i="44"/>
  <c r="N51" i="44"/>
  <c r="AA51" i="44"/>
  <c r="AJ51" i="44"/>
  <c r="K52" i="44"/>
  <c r="S52" i="44"/>
  <c r="AG52" i="44"/>
  <c r="H53" i="44"/>
  <c r="P53" i="44"/>
  <c r="AD53" i="44"/>
  <c r="E54" i="44"/>
  <c r="M54" i="44"/>
  <c r="Y54" i="44"/>
  <c r="J55" i="44"/>
  <c r="R55" i="44"/>
  <c r="AF55" i="44"/>
  <c r="G56" i="44"/>
  <c r="AB56" i="44"/>
  <c r="C57" i="44"/>
  <c r="T57" i="44"/>
  <c r="AD57" i="44"/>
  <c r="K58" i="44"/>
  <c r="S58" i="44"/>
  <c r="AG58" i="44"/>
  <c r="H59" i="44"/>
  <c r="P59" i="44"/>
  <c r="AD59" i="44"/>
  <c r="E60" i="44"/>
  <c r="M60" i="44"/>
  <c r="Y60" i="44"/>
  <c r="AI60" i="44"/>
  <c r="J61" i="44"/>
  <c r="R61" i="44"/>
  <c r="AF61" i="44"/>
  <c r="G62" i="44"/>
  <c r="O62" i="44"/>
  <c r="AB62" i="44"/>
  <c r="C63" i="44"/>
  <c r="T63" i="44"/>
  <c r="AH63" i="44"/>
  <c r="Q64" i="44"/>
  <c r="AE64" i="44"/>
  <c r="F65" i="44"/>
  <c r="N65" i="44"/>
  <c r="AA65" i="44"/>
  <c r="AJ65" i="44"/>
  <c r="K66" i="44"/>
  <c r="S66" i="44"/>
  <c r="AG66" i="44"/>
  <c r="H67" i="44"/>
  <c r="P67" i="44"/>
  <c r="AD67" i="44"/>
  <c r="E68" i="44"/>
  <c r="M68" i="44"/>
  <c r="Y68" i="44"/>
  <c r="AI68" i="44"/>
  <c r="J69" i="44"/>
  <c r="R69" i="44"/>
  <c r="AF69" i="44"/>
  <c r="G70" i="44"/>
  <c r="O70" i="44"/>
  <c r="AB70" i="44"/>
  <c r="C71" i="44"/>
  <c r="T71" i="44"/>
  <c r="AH71" i="44"/>
  <c r="Q72" i="44"/>
  <c r="AE72" i="44"/>
  <c r="F73" i="44"/>
  <c r="N73" i="44"/>
  <c r="AA73" i="44"/>
  <c r="AJ73" i="44"/>
  <c r="K74" i="44"/>
  <c r="S74" i="44"/>
  <c r="AG74" i="44"/>
  <c r="H75" i="44"/>
  <c r="P75" i="44"/>
  <c r="AD75" i="44"/>
  <c r="E76" i="44"/>
  <c r="M76" i="44"/>
  <c r="Y76" i="44"/>
  <c r="AI76" i="44"/>
  <c r="J77" i="44"/>
  <c r="R77" i="44"/>
  <c r="AA77" i="44"/>
  <c r="AJ77" i="44"/>
  <c r="S4" i="44"/>
  <c r="C4" i="44"/>
  <c r="Y77" i="46"/>
  <c r="E76" i="46"/>
  <c r="E72" i="46"/>
  <c r="O70" i="46"/>
  <c r="AA68" i="46"/>
  <c r="S67" i="46"/>
  <c r="AG65" i="46"/>
  <c r="AA64" i="46"/>
  <c r="C63" i="46"/>
  <c r="P61" i="46"/>
  <c r="G60" i="46"/>
  <c r="Z58" i="46"/>
  <c r="S57" i="46"/>
  <c r="AJ55" i="46"/>
  <c r="T54" i="46"/>
  <c r="F53" i="46"/>
  <c r="AB51" i="46"/>
  <c r="M50" i="46"/>
  <c r="G49" i="46"/>
  <c r="AD47" i="46"/>
  <c r="AC46" i="46"/>
  <c r="M44" i="46"/>
  <c r="AJ42" i="46"/>
  <c r="AA41" i="46"/>
  <c r="AB40" i="46"/>
  <c r="T38" i="46"/>
  <c r="M37" i="46"/>
  <c r="G34" i="46"/>
  <c r="H32" i="46"/>
  <c r="F30" i="46"/>
  <c r="AJ28" i="46"/>
  <c r="D28" i="46"/>
  <c r="AG25" i="46"/>
  <c r="AE23" i="46"/>
  <c r="AG22" i="46"/>
  <c r="Y20" i="46"/>
  <c r="AI19" i="46"/>
  <c r="E19" i="46"/>
  <c r="S17" i="46"/>
  <c r="AA16" i="46"/>
  <c r="C16" i="46"/>
  <c r="G15" i="46"/>
  <c r="R14" i="46"/>
  <c r="Y13" i="46"/>
  <c r="AC12" i="46"/>
  <c r="F12" i="46"/>
  <c r="I11" i="46"/>
  <c r="T10" i="46"/>
  <c r="AB9" i="46"/>
  <c r="AE8" i="46"/>
  <c r="H8" i="46"/>
  <c r="Z6" i="46"/>
  <c r="AD5" i="46"/>
  <c r="C5" i="46"/>
  <c r="J4" i="46"/>
  <c r="AC15" i="44"/>
  <c r="AC34" i="44"/>
  <c r="AC60" i="44"/>
  <c r="Z14" i="44"/>
  <c r="Z33" i="44"/>
  <c r="Z59" i="44"/>
  <c r="D6" i="44"/>
  <c r="D32" i="44"/>
  <c r="D58" i="44"/>
  <c r="C5" i="44"/>
  <c r="AJ5" i="44"/>
  <c r="Y6" i="44"/>
  <c r="H8" i="44"/>
  <c r="Y9" i="44"/>
  <c r="I10" i="44"/>
  <c r="E11" i="44"/>
  <c r="AF11" i="44"/>
  <c r="O12" i="44"/>
  <c r="F13" i="44"/>
  <c r="T13" i="44"/>
  <c r="K14" i="44"/>
  <c r="Q15" i="44"/>
  <c r="H16" i="44"/>
  <c r="AA16" i="44"/>
  <c r="M17" i="44"/>
  <c r="E18" i="44"/>
  <c r="T18" i="44"/>
  <c r="AF19" i="44"/>
  <c r="Q20" i="44"/>
  <c r="H21" i="44"/>
  <c r="AA21" i="44"/>
  <c r="M22" i="44"/>
  <c r="AH22" i="44"/>
  <c r="S23" i="44"/>
  <c r="K24" i="44"/>
  <c r="AD24" i="44"/>
  <c r="P25" i="44"/>
  <c r="C26" i="44"/>
  <c r="AA26" i="44"/>
  <c r="M27" i="44"/>
  <c r="AG27" i="44"/>
  <c r="R28" i="44"/>
  <c r="F29" i="44"/>
  <c r="AA29" i="44"/>
  <c r="K30" i="44"/>
  <c r="AD30" i="44"/>
  <c r="M31" i="44"/>
  <c r="AE31" i="44"/>
  <c r="N32" i="44"/>
  <c r="AJ32" i="44"/>
  <c r="P33" i="44"/>
  <c r="AJ33" i="44"/>
  <c r="N34" i="44"/>
  <c r="O35" i="44"/>
  <c r="AF35" i="44"/>
  <c r="M36" i="44"/>
  <c r="AD36" i="44"/>
  <c r="AB38" i="44"/>
  <c r="G39" i="44"/>
  <c r="Y39" i="44"/>
  <c r="S40" i="44"/>
  <c r="F41" i="44"/>
  <c r="Q41" i="44"/>
  <c r="C42" i="44"/>
  <c r="R42" i="44"/>
  <c r="P43" i="44"/>
  <c r="AG43" i="44"/>
  <c r="N44" i="44"/>
  <c r="L45" i="44"/>
  <c r="AF45" i="44"/>
  <c r="J46" i="44"/>
  <c r="AD46" i="44"/>
  <c r="K47" i="44"/>
  <c r="AA47" i="44"/>
  <c r="T48" i="44"/>
  <c r="G49" i="44"/>
  <c r="Y49" i="44"/>
  <c r="E50" i="44"/>
  <c r="S50" i="44"/>
  <c r="AJ50" i="44"/>
  <c r="Q51" i="44"/>
  <c r="C52" i="44"/>
  <c r="M53" i="44"/>
  <c r="AG53" i="44"/>
  <c r="N54" i="44"/>
  <c r="AE54" i="44"/>
  <c r="L55" i="44"/>
  <c r="AB55" i="44"/>
  <c r="J56" i="44"/>
  <c r="AD56" i="44"/>
  <c r="N58" i="44"/>
  <c r="AH58" i="44"/>
  <c r="J60" i="44"/>
  <c r="AD60" i="44"/>
  <c r="AA61" i="44"/>
  <c r="I62" i="44"/>
  <c r="T62" i="44"/>
  <c r="G63" i="44"/>
  <c r="Q63" i="44"/>
  <c r="AA64" i="44"/>
  <c r="G65" i="44"/>
  <c r="Q65" i="44"/>
  <c r="AG65" i="44"/>
  <c r="R66" i="44"/>
  <c r="AH66" i="44"/>
  <c r="J67" i="44"/>
  <c r="S67" i="44"/>
  <c r="AH67" i="44"/>
  <c r="J68" i="44"/>
  <c r="S68" i="44"/>
  <c r="T69" i="44"/>
  <c r="AI69" i="44"/>
  <c r="T70" i="44"/>
  <c r="K71" i="44"/>
  <c r="Y71" i="44"/>
  <c r="AJ71" i="44"/>
  <c r="Y72" i="44"/>
  <c r="AJ72" i="44"/>
  <c r="Y73" i="44"/>
  <c r="C74" i="44"/>
  <c r="M74" i="44"/>
  <c r="AA74" i="44"/>
  <c r="C75" i="44"/>
  <c r="M75" i="44"/>
  <c r="AA75" i="44"/>
  <c r="C76" i="44"/>
  <c r="N76" i="44"/>
  <c r="AB76" i="44"/>
  <c r="E77" i="44"/>
  <c r="N77" i="44"/>
  <c r="W77" i="44"/>
  <c r="AH77" i="44"/>
  <c r="U77" i="46"/>
  <c r="D76" i="46"/>
  <c r="AC74" i="46"/>
  <c r="H73" i="46"/>
  <c r="R71" i="46"/>
  <c r="Z68" i="46"/>
  <c r="R67" i="46"/>
  <c r="K64" i="46"/>
  <c r="AJ62" i="46"/>
  <c r="F60" i="46"/>
  <c r="S58" i="46"/>
  <c r="E57" i="46"/>
  <c r="AI55" i="46"/>
  <c r="E53" i="46"/>
  <c r="E50" i="46"/>
  <c r="AG48" i="46"/>
  <c r="AC47" i="46"/>
  <c r="Q46" i="46"/>
  <c r="M45" i="46"/>
  <c r="AJ43" i="46"/>
  <c r="T41" i="46"/>
  <c r="Y40" i="46"/>
  <c r="N39" i="46"/>
  <c r="H38" i="46"/>
  <c r="L37" i="46"/>
  <c r="H36" i="46"/>
  <c r="F34" i="46"/>
  <c r="AJ32" i="46"/>
  <c r="E32" i="46"/>
  <c r="AH30" i="46"/>
  <c r="E30" i="46"/>
  <c r="AG28" i="46"/>
  <c r="AB27" i="46"/>
  <c r="AG26" i="46"/>
  <c r="AA25" i="46"/>
  <c r="AE24" i="46"/>
  <c r="AA23" i="46"/>
  <c r="Z22" i="46"/>
  <c r="Y21" i="46"/>
  <c r="T20" i="46"/>
  <c r="AD19" i="46"/>
  <c r="D19" i="46"/>
  <c r="G18" i="46"/>
  <c r="R17" i="46"/>
  <c r="Z16" i="46"/>
  <c r="AJ15" i="46"/>
  <c r="F15" i="46"/>
  <c r="J14" i="46"/>
  <c r="T13" i="46"/>
  <c r="AB12" i="46"/>
  <c r="D12" i="46"/>
  <c r="L10" i="46"/>
  <c r="Z9" i="46"/>
  <c r="AD8" i="46"/>
  <c r="G8" i="46"/>
  <c r="J7" i="46"/>
  <c r="N6" i="46"/>
  <c r="AC5" i="46"/>
  <c r="AF4" i="46"/>
  <c r="I4" i="46"/>
  <c r="AC16" i="44"/>
  <c r="AC42" i="44"/>
  <c r="AC61" i="44"/>
  <c r="Z15" i="44"/>
  <c r="Z34" i="44"/>
  <c r="Z60" i="44"/>
  <c r="D14" i="44"/>
  <c r="D33" i="44"/>
  <c r="D59" i="44"/>
  <c r="E5" i="44"/>
  <c r="C6" i="44"/>
  <c r="P7" i="44"/>
  <c r="AG8" i="44"/>
  <c r="AB9" i="44"/>
  <c r="P10" i="44"/>
  <c r="F11" i="44"/>
  <c r="AG11" i="44"/>
  <c r="P12" i="44"/>
  <c r="G13" i="44"/>
  <c r="AE13" i="44"/>
  <c r="AJ14" i="44"/>
  <c r="J16" i="44"/>
  <c r="AH16" i="44"/>
  <c r="P17" i="44"/>
  <c r="G18" i="44"/>
  <c r="Y18" i="44"/>
  <c r="L19" i="44"/>
  <c r="AJ19" i="44"/>
  <c r="R20" i="44"/>
  <c r="AB21" i="44"/>
  <c r="N22" i="44"/>
  <c r="F23" i="44"/>
  <c r="Y23" i="44"/>
  <c r="Q25" i="44"/>
  <c r="AB26" i="44"/>
  <c r="T28" i="44"/>
  <c r="K29" i="44"/>
  <c r="AB29" i="44"/>
  <c r="AE30" i="44"/>
  <c r="N31" i="44"/>
  <c r="AJ31" i="44"/>
  <c r="C33" i="44"/>
  <c r="Q33" i="44"/>
  <c r="C34" i="44"/>
  <c r="R34" i="44"/>
  <c r="AI34" i="44"/>
  <c r="P35" i="44"/>
  <c r="AG35" i="44"/>
  <c r="AH36" i="44"/>
  <c r="L37" i="44"/>
  <c r="AF37" i="44"/>
  <c r="J38" i="44"/>
  <c r="AD38" i="44"/>
  <c r="K39" i="44"/>
  <c r="AA39" i="44"/>
  <c r="I40" i="44"/>
  <c r="T40" i="44"/>
  <c r="G41" i="44"/>
  <c r="Y41" i="44"/>
  <c r="E42" i="44"/>
  <c r="S42" i="44"/>
  <c r="AJ42" i="44"/>
  <c r="Q43" i="44"/>
  <c r="C44" i="44"/>
  <c r="AI44" i="44"/>
  <c r="M45" i="44"/>
  <c r="AG45" i="44"/>
  <c r="N46" i="44"/>
  <c r="AE46" i="44"/>
  <c r="AB47" i="44"/>
  <c r="J48" i="44"/>
  <c r="AD48" i="44"/>
  <c r="AA49" i="44"/>
  <c r="F50" i="44"/>
  <c r="T50" i="44"/>
  <c r="G51" i="44"/>
  <c r="R51" i="44"/>
  <c r="E52" i="44"/>
  <c r="P52" i="44"/>
  <c r="AJ52" i="44"/>
  <c r="Q53" i="44"/>
  <c r="AH53" i="44"/>
  <c r="M55" i="44"/>
  <c r="AG55" i="44"/>
  <c r="I57" i="44"/>
  <c r="C58" i="44"/>
  <c r="M59" i="44"/>
  <c r="AG59" i="44"/>
  <c r="N60" i="44"/>
  <c r="AE60" i="44"/>
  <c r="L61" i="44"/>
  <c r="AB61" i="44"/>
  <c r="J62" i="44"/>
  <c r="AD62" i="44"/>
  <c r="H63" i="44"/>
  <c r="R63" i="44"/>
  <c r="AJ63" i="44"/>
  <c r="M64" i="44"/>
  <c r="AB64" i="44"/>
  <c r="O77" i="46"/>
  <c r="C76" i="46"/>
  <c r="K74" i="46"/>
  <c r="G73" i="46"/>
  <c r="Q71" i="46"/>
  <c r="Y68" i="46"/>
  <c r="AC65" i="46"/>
  <c r="E64" i="46"/>
  <c r="I61" i="46"/>
  <c r="AB59" i="46"/>
  <c r="D57" i="46"/>
  <c r="AC55" i="46"/>
  <c r="H54" i="46"/>
  <c r="F77" i="46"/>
  <c r="AB75" i="46"/>
  <c r="J74" i="46"/>
  <c r="P71" i="46"/>
  <c r="AB69" i="46"/>
  <c r="T68" i="46"/>
  <c r="AH66" i="46"/>
  <c r="AB65" i="46"/>
  <c r="D64" i="46"/>
  <c r="Q62" i="46"/>
  <c r="Y59" i="46"/>
  <c r="N58" i="46"/>
  <c r="C57" i="46"/>
  <c r="G54" i="46"/>
  <c r="Q52" i="46"/>
  <c r="K51" i="46"/>
  <c r="AD49" i="46"/>
  <c r="Q48" i="46"/>
  <c r="P47" i="46"/>
  <c r="E46" i="46"/>
  <c r="D45" i="46"/>
  <c r="AA43" i="46"/>
  <c r="Q42" i="46"/>
  <c r="M41" i="46"/>
  <c r="E40" i="46"/>
  <c r="F39" i="46"/>
  <c r="E38" i="46"/>
  <c r="AG36" i="46"/>
  <c r="D36" i="46"/>
  <c r="AG34" i="46"/>
  <c r="D34" i="46"/>
  <c r="AA31" i="46"/>
  <c r="Z29" i="46"/>
  <c r="AD28" i="46"/>
  <c r="Z27" i="46"/>
  <c r="P26" i="46"/>
  <c r="T25" i="46"/>
  <c r="P24" i="46"/>
  <c r="S23" i="46"/>
  <c r="N22" i="46"/>
  <c r="J21" i="46"/>
  <c r="O20" i="46"/>
  <c r="Q19" i="46"/>
  <c r="AF18" i="46"/>
  <c r="AJ17" i="46"/>
  <c r="P16" i="46"/>
  <c r="AA15" i="46"/>
  <c r="AH14" i="46"/>
  <c r="G14" i="46"/>
  <c r="K13" i="46"/>
  <c r="Z12" i="46"/>
  <c r="AC11" i="46"/>
  <c r="F11" i="46"/>
  <c r="J10" i="46"/>
  <c r="M9" i="46"/>
  <c r="AB8" i="46"/>
  <c r="AA76" i="46"/>
  <c r="AG73" i="46"/>
  <c r="Q70" i="46"/>
  <c r="Y67" i="46"/>
  <c r="AE64" i="46"/>
  <c r="AI61" i="46"/>
  <c r="E59" i="46"/>
  <c r="L56" i="46"/>
  <c r="R53" i="46"/>
  <c r="AB50" i="46"/>
  <c r="J49" i="46"/>
  <c r="E45" i="46"/>
  <c r="J41" i="46"/>
  <c r="P39" i="46"/>
  <c r="AF37" i="46"/>
  <c r="E36" i="46"/>
  <c r="Y34" i="46"/>
  <c r="AE32" i="46"/>
  <c r="K31" i="46"/>
  <c r="S29" i="46"/>
  <c r="AA27" i="46"/>
  <c r="L26" i="46"/>
  <c r="M24" i="46"/>
  <c r="C23" i="46"/>
  <c r="F21" i="46"/>
  <c r="Z19" i="46"/>
  <c r="R18" i="46"/>
  <c r="D17" i="46"/>
  <c r="D16" i="46"/>
  <c r="Y14" i="46"/>
  <c r="S13" i="46"/>
  <c r="H12" i="46"/>
  <c r="AF10" i="46"/>
  <c r="AC9" i="46"/>
  <c r="K6" i="46"/>
  <c r="AC29" i="44"/>
  <c r="AC58" i="44"/>
  <c r="Z16" i="44"/>
  <c r="Z48" i="44"/>
  <c r="Z76" i="44"/>
  <c r="D34" i="44"/>
  <c r="D66" i="44"/>
  <c r="Y5" i="44"/>
  <c r="S76" i="46"/>
  <c r="P70" i="46"/>
  <c r="T67" i="46"/>
  <c r="AD64" i="46"/>
  <c r="AA50" i="46"/>
  <c r="AG46" i="46"/>
  <c r="Y44" i="46"/>
  <c r="G43" i="46"/>
  <c r="AE40" i="46"/>
  <c r="K39" i="46"/>
  <c r="R37" i="46"/>
  <c r="I34" i="46"/>
  <c r="T32" i="46"/>
  <c r="AG30" i="46"/>
  <c r="M29" i="46"/>
  <c r="S27" i="46"/>
  <c r="F26" i="46"/>
  <c r="E21" i="46"/>
  <c r="P19" i="46"/>
  <c r="P18" i="46"/>
  <c r="C17" i="46"/>
  <c r="AB15" i="46"/>
  <c r="T14" i="46"/>
  <c r="J13" i="46"/>
  <c r="G12" i="46"/>
  <c r="Y9" i="46"/>
  <c r="N8" i="46"/>
  <c r="H7" i="46"/>
  <c r="J6" i="46"/>
  <c r="AC31" i="44"/>
  <c r="AC59" i="44"/>
  <c r="Z20" i="44"/>
  <c r="Z49" i="44"/>
  <c r="D5" i="44"/>
  <c r="D42" i="44"/>
  <c r="D71" i="44"/>
  <c r="AI5" i="44"/>
  <c r="AJ6" i="44"/>
  <c r="AD8" i="44"/>
  <c r="AB10" i="44"/>
  <c r="S11" i="44"/>
  <c r="AB12" i="44"/>
  <c r="P13" i="44"/>
  <c r="J14" i="44"/>
  <c r="G15" i="44"/>
  <c r="AG15" i="44"/>
  <c r="Y16" i="44"/>
  <c r="Y17" i="44"/>
  <c r="P18" i="44"/>
  <c r="J19" i="44"/>
  <c r="F20" i="44"/>
  <c r="AG20" i="44"/>
  <c r="Y21" i="44"/>
  <c r="R22" i="44"/>
  <c r="K23" i="44"/>
  <c r="E24" i="44"/>
  <c r="E25" i="44"/>
  <c r="Y26" i="44"/>
  <c r="Q27" i="44"/>
  <c r="K28" i="44"/>
  <c r="E29" i="44"/>
  <c r="AI29" i="44"/>
  <c r="T30" i="44"/>
  <c r="K31" i="44"/>
  <c r="E32" i="44"/>
  <c r="AB32" i="44"/>
  <c r="F34" i="44"/>
  <c r="AA34" i="44"/>
  <c r="E36" i="44"/>
  <c r="Y36" i="44"/>
  <c r="J37" i="44"/>
  <c r="Q38" i="44"/>
  <c r="F39" i="44"/>
  <c r="AG39" i="44"/>
  <c r="Y75" i="46"/>
  <c r="S72" i="46"/>
  <c r="AA69" i="46"/>
  <c r="AE66" i="46"/>
  <c r="C64" i="46"/>
  <c r="G61" i="46"/>
  <c r="AJ57" i="46"/>
  <c r="J55" i="46"/>
  <c r="R52" i="46"/>
  <c r="Z50" i="46"/>
  <c r="T44" i="46"/>
  <c r="AC42" i="46"/>
  <c r="AD40" i="46"/>
  <c r="AH38" i="46"/>
  <c r="O37" i="46"/>
  <c r="AA35" i="46"/>
  <c r="E34" i="46"/>
  <c r="M32" i="46"/>
  <c r="AC30" i="46"/>
  <c r="F29" i="46"/>
  <c r="R27" i="46"/>
  <c r="Y25" i="46"/>
  <c r="K24" i="46"/>
  <c r="M22" i="46"/>
  <c r="C21" i="46"/>
  <c r="O19" i="46"/>
  <c r="F18" i="46"/>
  <c r="AJ16" i="46"/>
  <c r="R15" i="46"/>
  <c r="S14" i="46"/>
  <c r="E13" i="46"/>
  <c r="AD11" i="46"/>
  <c r="Z10" i="46"/>
  <c r="AH6" i="46"/>
  <c r="AJ5" i="46"/>
  <c r="AC32" i="44"/>
  <c r="AC66" i="44"/>
  <c r="Z22" i="44"/>
  <c r="Z50" i="44"/>
  <c r="D15" i="44"/>
  <c r="D43" i="44"/>
  <c r="D75" i="44"/>
  <c r="E6" i="44"/>
  <c r="E7" i="44"/>
  <c r="AJ7" i="44"/>
  <c r="G9" i="44"/>
  <c r="E10" i="44"/>
  <c r="AD12" i="44"/>
  <c r="Q13" i="44"/>
  <c r="N14" i="44"/>
  <c r="H15" i="44"/>
  <c r="AB17" i="44"/>
  <c r="Q18" i="44"/>
  <c r="M19" i="44"/>
  <c r="H20" i="44"/>
  <c r="AH20" i="44"/>
  <c r="AI21" i="44"/>
  <c r="AA22" i="44"/>
  <c r="P23" i="44"/>
  <c r="M24" i="44"/>
  <c r="G25" i="44"/>
  <c r="AH25" i="44"/>
  <c r="AD26" i="44"/>
  <c r="R27" i="44"/>
  <c r="AJ29" i="44"/>
  <c r="Y30" i="44"/>
  <c r="F32" i="44"/>
  <c r="AD32" i="44"/>
  <c r="Y33" i="44"/>
  <c r="J34" i="44"/>
  <c r="AF34" i="44"/>
  <c r="Q35" i="44"/>
  <c r="F36" i="44"/>
  <c r="AA36" i="44"/>
  <c r="M37" i="44"/>
  <c r="AI37" i="44"/>
  <c r="R38" i="44"/>
  <c r="Q40" i="44"/>
  <c r="H41" i="44"/>
  <c r="AD41" i="44"/>
  <c r="M42" i="44"/>
  <c r="G43" i="44"/>
  <c r="AB43" i="44"/>
  <c r="L44" i="44"/>
  <c r="AJ44" i="44"/>
  <c r="S45" i="44"/>
  <c r="H46" i="44"/>
  <c r="O47" i="44"/>
  <c r="C48" i="44"/>
  <c r="AE48" i="44"/>
  <c r="AJ49" i="44"/>
  <c r="Y50" i="44"/>
  <c r="J51" i="44"/>
  <c r="T52" i="44"/>
  <c r="AE53" i="44"/>
  <c r="P54" i="44"/>
  <c r="E55" i="44"/>
  <c r="Y55" i="44"/>
  <c r="L56" i="44"/>
  <c r="Q57" i="44"/>
  <c r="E58" i="44"/>
  <c r="Y58" i="44"/>
  <c r="J59" i="44"/>
  <c r="AH59" i="44"/>
  <c r="Q60" i="44"/>
  <c r="F61" i="44"/>
  <c r="AG61" i="44"/>
  <c r="P62" i="44"/>
  <c r="E63" i="44"/>
  <c r="Y63" i="44"/>
  <c r="F64" i="44"/>
  <c r="T64" i="44"/>
  <c r="H65" i="44"/>
  <c r="S65" i="44"/>
  <c r="C66" i="44"/>
  <c r="N66" i="44"/>
  <c r="AD66" i="44"/>
  <c r="G67" i="44"/>
  <c r="R67" i="44"/>
  <c r="AB68" i="44"/>
  <c r="F69" i="44"/>
  <c r="P69" i="44"/>
  <c r="AG69" i="44"/>
  <c r="J70" i="44"/>
  <c r="Y70" i="44"/>
  <c r="E71" i="44"/>
  <c r="O71" i="44"/>
  <c r="AE71" i="44"/>
  <c r="H72" i="44"/>
  <c r="S72" i="44"/>
  <c r="M73" i="44"/>
  <c r="AD73" i="44"/>
  <c r="G74" i="44"/>
  <c r="Q74" i="44"/>
  <c r="AH74" i="44"/>
  <c r="K75" i="44"/>
  <c r="Y75" i="44"/>
  <c r="F76" i="44"/>
  <c r="P76" i="44"/>
  <c r="I77" i="44"/>
  <c r="T77" i="44"/>
  <c r="AF77" i="44"/>
  <c r="D75" i="46"/>
  <c r="J72" i="46"/>
  <c r="N69" i="46"/>
  <c r="R66" i="46"/>
  <c r="AB63" i="46"/>
  <c r="AA60" i="46"/>
  <c r="I55" i="46"/>
  <c r="P52" i="46"/>
  <c r="Y50" i="46"/>
  <c r="K48" i="46"/>
  <c r="M46" i="46"/>
  <c r="S44" i="46"/>
  <c r="AC40" i="46"/>
  <c r="AA38" i="46"/>
  <c r="P35" i="46"/>
  <c r="Z33" i="46"/>
  <c r="AE28" i="46"/>
  <c r="S25" i="46"/>
  <c r="P20" i="46"/>
  <c r="AH17" i="46"/>
  <c r="Q15" i="46"/>
  <c r="D13" i="46"/>
  <c r="AB11" i="46"/>
  <c r="Y10" i="46"/>
  <c r="K9" i="46"/>
  <c r="AG7" i="46"/>
  <c r="AG6" i="46"/>
  <c r="AD4" i="46"/>
  <c r="AC33" i="44"/>
  <c r="AC71" i="44"/>
  <c r="Z30" i="44"/>
  <c r="Z58" i="44"/>
  <c r="D16" i="44"/>
  <c r="D48" i="44"/>
  <c r="D77" i="44"/>
  <c r="F6" i="44"/>
  <c r="F7" i="44"/>
  <c r="C8" i="44"/>
  <c r="H9" i="44"/>
  <c r="F10" i="44"/>
  <c r="C11" i="44"/>
  <c r="C12" i="44"/>
  <c r="AE12" i="44"/>
  <c r="S13" i="44"/>
  <c r="S14" i="44"/>
  <c r="M15" i="44"/>
  <c r="G16" i="44"/>
  <c r="AJ16" i="44"/>
  <c r="R18" i="44"/>
  <c r="AJ20" i="44"/>
  <c r="AJ21" i="44"/>
  <c r="AD22" i="44"/>
  <c r="R23" i="44"/>
  <c r="N24" i="44"/>
  <c r="H25" i="44"/>
  <c r="AJ26" i="44"/>
  <c r="AB27" i="44"/>
  <c r="Q28" i="44"/>
  <c r="M29" i="44"/>
  <c r="C30" i="44"/>
  <c r="AA30" i="44"/>
  <c r="P31" i="44"/>
  <c r="G32" i="44"/>
  <c r="AA33" i="44"/>
  <c r="AG34" i="44"/>
  <c r="R35" i="44"/>
  <c r="G36" i="44"/>
  <c r="AB36" i="44"/>
  <c r="Q37" i="44"/>
  <c r="F38" i="44"/>
  <c r="AA38" i="44"/>
  <c r="M39" i="44"/>
  <c r="AI39" i="44"/>
  <c r="R40" i="44"/>
  <c r="AE41" i="44"/>
  <c r="N42" i="44"/>
  <c r="AD43" i="44"/>
  <c r="M44" i="44"/>
  <c r="C45" i="44"/>
  <c r="T45" i="44"/>
  <c r="AJ46" i="44"/>
  <c r="S47" i="44"/>
  <c r="H48" i="44"/>
  <c r="O49" i="44"/>
  <c r="C50" i="44"/>
  <c r="AA50" i="44"/>
  <c r="K51" i="44"/>
  <c r="AG51" i="44"/>
  <c r="Y52" i="44"/>
  <c r="J53" i="44"/>
  <c r="Q54" i="44"/>
  <c r="F55" i="44"/>
  <c r="AA55" i="44"/>
  <c r="P56" i="44"/>
  <c r="E57" i="44"/>
  <c r="F58" i="44"/>
  <c r="AA58" i="44"/>
  <c r="K59" i="44"/>
  <c r="R60" i="44"/>
  <c r="G61" i="44"/>
  <c r="Q62" i="44"/>
  <c r="F63" i="44"/>
  <c r="AA63" i="44"/>
  <c r="G64" i="44"/>
  <c r="Y64" i="44"/>
  <c r="T65" i="44"/>
  <c r="E66" i="44"/>
  <c r="AE66" i="44"/>
  <c r="T67" i="44"/>
  <c r="AJ67" i="44"/>
  <c r="N68" i="44"/>
  <c r="AD68" i="44"/>
  <c r="G69" i="44"/>
  <c r="Q69" i="44"/>
  <c r="L70" i="44"/>
  <c r="AA70" i="44"/>
  <c r="F71" i="44"/>
  <c r="P71" i="44"/>
  <c r="AE76" i="46"/>
  <c r="E71" i="46"/>
  <c r="K68" i="46"/>
  <c r="G65" i="46"/>
  <c r="Q59" i="46"/>
  <c r="AC51" i="46"/>
  <c r="Z49" i="46"/>
  <c r="Q47" i="46"/>
  <c r="AF45" i="46"/>
  <c r="Z43" i="46"/>
  <c r="F42" i="46"/>
  <c r="AE39" i="46"/>
  <c r="G38" i="46"/>
  <c r="T36" i="46"/>
  <c r="AF34" i="46"/>
  <c r="M33" i="46"/>
  <c r="S31" i="46"/>
  <c r="AA29" i="46"/>
  <c r="E25" i="46"/>
  <c r="G23" i="46"/>
  <c r="T21" i="46"/>
  <c r="C20" i="46"/>
  <c r="T18" i="46"/>
  <c r="T17" i="46"/>
  <c r="G16" i="46"/>
  <c r="E15" i="46"/>
  <c r="AB13" i="46"/>
  <c r="Q12" i="46"/>
  <c r="J11" i="46"/>
  <c r="D10" i="46"/>
  <c r="AC8" i="46"/>
  <c r="Y7" i="46"/>
  <c r="M6" i="46"/>
  <c r="N5" i="46"/>
  <c r="P4" i="46"/>
  <c r="AC20" i="44"/>
  <c r="AC49" i="44"/>
  <c r="AC77" i="44"/>
  <c r="Z42" i="44"/>
  <c r="Z71" i="44"/>
  <c r="D30" i="44"/>
  <c r="D61" i="44"/>
  <c r="Q6" i="44"/>
  <c r="Q7" i="44"/>
  <c r="M9" i="44"/>
  <c r="Q10" i="44"/>
  <c r="O11" i="44"/>
  <c r="K12" i="44"/>
  <c r="H13" i="44"/>
  <c r="AI13" i="44"/>
  <c r="AD14" i="44"/>
  <c r="AD15" i="44"/>
  <c r="R16" i="44"/>
  <c r="K17" i="44"/>
  <c r="AI18" i="44"/>
  <c r="AA19" i="44"/>
  <c r="S20" i="44"/>
  <c r="M21" i="44"/>
  <c r="F22" i="44"/>
  <c r="G23" i="44"/>
  <c r="AA24" i="44"/>
  <c r="S25" i="44"/>
  <c r="M26" i="44"/>
  <c r="F27" i="44"/>
  <c r="C75" i="46"/>
  <c r="AJ67" i="46"/>
  <c r="M60" i="46"/>
  <c r="M52" i="46"/>
  <c r="O47" i="46"/>
  <c r="G42" i="46"/>
  <c r="AG32" i="46"/>
  <c r="M28" i="46"/>
  <c r="Z23" i="46"/>
  <c r="AJ19" i="46"/>
  <c r="C13" i="46"/>
  <c r="AG9" i="46"/>
  <c r="AA6" i="46"/>
  <c r="AC48" i="44"/>
  <c r="Z62" i="44"/>
  <c r="D62" i="44"/>
  <c r="N7" i="44"/>
  <c r="E13" i="44"/>
  <c r="Y14" i="44"/>
  <c r="AG17" i="44"/>
  <c r="Y19" i="44"/>
  <c r="AG22" i="44"/>
  <c r="Y24" i="44"/>
  <c r="L26" i="44"/>
  <c r="AF27" i="44"/>
  <c r="C29" i="44"/>
  <c r="M30" i="44"/>
  <c r="Y31" i="44"/>
  <c r="Y32" i="44"/>
  <c r="AD33" i="44"/>
  <c r="Y34" i="44"/>
  <c r="AD35" i="44"/>
  <c r="Y37" i="44"/>
  <c r="AB39" i="44"/>
  <c r="AE40" i="44"/>
  <c r="P41" i="44"/>
  <c r="J43" i="44"/>
  <c r="F44" i="44"/>
  <c r="AD44" i="44"/>
  <c r="R46" i="44"/>
  <c r="F49" i="44"/>
  <c r="AG50" i="44"/>
  <c r="AB51" i="44"/>
  <c r="N52" i="44"/>
  <c r="H54" i="44"/>
  <c r="C55" i="44"/>
  <c r="AI55" i="44"/>
  <c r="T56" i="44"/>
  <c r="P57" i="44"/>
  <c r="H58" i="44"/>
  <c r="C59" i="44"/>
  <c r="AE59" i="44"/>
  <c r="AB60" i="44"/>
  <c r="S61" i="44"/>
  <c r="L62" i="44"/>
  <c r="J63" i="44"/>
  <c r="S64" i="44"/>
  <c r="K65" i="44"/>
  <c r="M66" i="44"/>
  <c r="N67" i="44"/>
  <c r="AG67" i="44"/>
  <c r="P68" i="44"/>
  <c r="AJ68" i="44"/>
  <c r="C70" i="44"/>
  <c r="Q70" i="44"/>
  <c r="AJ70" i="44"/>
  <c r="R71" i="44"/>
  <c r="E72" i="44"/>
  <c r="P72" i="44"/>
  <c r="AH72" i="44"/>
  <c r="J74" i="44"/>
  <c r="AB74" i="44"/>
  <c r="G75" i="44"/>
  <c r="S75" i="44"/>
  <c r="AJ75" i="44"/>
  <c r="Q76" i="44"/>
  <c r="M77" i="44"/>
  <c r="Y77" i="44"/>
  <c r="AJ4" i="44"/>
  <c r="AA4" i="44"/>
  <c r="E4" i="44"/>
  <c r="AJ74" i="46"/>
  <c r="Q66" i="46"/>
  <c r="P59" i="46"/>
  <c r="D46" i="46"/>
  <c r="S41" i="46"/>
  <c r="Y36" i="46"/>
  <c r="C32" i="46"/>
  <c r="E28" i="46"/>
  <c r="F19" i="46"/>
  <c r="F16" i="46"/>
  <c r="AA12" i="46"/>
  <c r="F9" i="46"/>
  <c r="AC50" i="44"/>
  <c r="Z66" i="44"/>
  <c r="M5" i="44"/>
  <c r="AD7" i="44"/>
  <c r="R9" i="44"/>
  <c r="Q11" i="44"/>
  <c r="AE14" i="44"/>
  <c r="S16" i="44"/>
  <c r="I18" i="44"/>
  <c r="AB19" i="44"/>
  <c r="S21" i="44"/>
  <c r="AB24" i="44"/>
  <c r="N26" i="44"/>
  <c r="G28" i="44"/>
  <c r="N29" i="44"/>
  <c r="N30" i="44"/>
  <c r="AA31" i="44"/>
  <c r="AA32" i="44"/>
  <c r="AJ34" i="44"/>
  <c r="AJ36" i="44"/>
  <c r="AG37" i="44"/>
  <c r="AJ38" i="44"/>
  <c r="AJ39" i="44"/>
  <c r="AA41" i="44"/>
  <c r="T42" i="44"/>
  <c r="K43" i="44"/>
  <c r="G44" i="44"/>
  <c r="E45" i="44"/>
  <c r="AH45" i="44"/>
  <c r="AA46" i="44"/>
  <c r="T47" i="44"/>
  <c r="P48" i="44"/>
  <c r="I49" i="44"/>
  <c r="J50" i="44"/>
  <c r="AH50" i="44"/>
  <c r="AD51" i="44"/>
  <c r="AA52" i="44"/>
  <c r="R53" i="44"/>
  <c r="G55" i="44"/>
  <c r="AJ55" i="44"/>
  <c r="AF56" i="44"/>
  <c r="E59" i="44"/>
  <c r="F60" i="44"/>
  <c r="T61" i="44"/>
  <c r="R62" i="44"/>
  <c r="M63" i="44"/>
  <c r="C64" i="44"/>
  <c r="AH65" i="44"/>
  <c r="P66" i="44"/>
  <c r="AJ66" i="44"/>
  <c r="C68" i="44"/>
  <c r="Q68" i="44"/>
  <c r="C69" i="44"/>
  <c r="S69" i="44"/>
  <c r="E70" i="44"/>
  <c r="R70" i="44"/>
  <c r="G71" i="44"/>
  <c r="S71" i="44"/>
  <c r="F72" i="44"/>
  <c r="R72" i="44"/>
  <c r="C73" i="44"/>
  <c r="P73" i="44"/>
  <c r="AG73" i="44"/>
  <c r="AD74" i="44"/>
  <c r="T75" i="44"/>
  <c r="G76" i="44"/>
  <c r="R76" i="44"/>
  <c r="AJ76" i="44"/>
  <c r="O77" i="44"/>
  <c r="AB77" i="44"/>
  <c r="AI4" i="44"/>
  <c r="Z4" i="44"/>
  <c r="M4" i="44"/>
  <c r="D4" i="44"/>
  <c r="AH73" i="46"/>
  <c r="C66" i="46"/>
  <c r="AC57" i="46"/>
  <c r="N51" i="46"/>
  <c r="S36" i="46"/>
  <c r="Z31" i="46"/>
  <c r="G27" i="46"/>
  <c r="F23" i="46"/>
  <c r="AG18" i="46"/>
  <c r="P15" i="46"/>
  <c r="E9" i="46"/>
  <c r="AB5" i="46"/>
  <c r="AC75" i="44"/>
  <c r="Z75" i="44"/>
  <c r="N5" i="44"/>
  <c r="AE7" i="44"/>
  <c r="AD9" i="44"/>
  <c r="R11" i="44"/>
  <c r="F15" i="44"/>
  <c r="T16" i="44"/>
  <c r="J18" i="44"/>
  <c r="C20" i="44"/>
  <c r="T21" i="44"/>
  <c r="J23" i="44"/>
  <c r="C25" i="44"/>
  <c r="T26" i="44"/>
  <c r="H28" i="44"/>
  <c r="P30" i="44"/>
  <c r="AB31" i="44"/>
  <c r="E33" i="44"/>
  <c r="G35" i="44"/>
  <c r="C36" i="44"/>
  <c r="C37" i="44"/>
  <c r="G38" i="44"/>
  <c r="C39" i="44"/>
  <c r="C40" i="44"/>
  <c r="AG40" i="44"/>
  <c r="AB41" i="44"/>
  <c r="Y42" i="44"/>
  <c r="I45" i="44"/>
  <c r="AB46" i="44"/>
  <c r="Y47" i="44"/>
  <c r="Q48" i="44"/>
  <c r="M49" i="44"/>
  <c r="K50" i="44"/>
  <c r="AE51" i="44"/>
  <c r="AB52" i="44"/>
  <c r="S53" i="44"/>
  <c r="J54" i="44"/>
  <c r="C56" i="44"/>
  <c r="AG56" i="44"/>
  <c r="Y57" i="44"/>
  <c r="M58" i="44"/>
  <c r="G60" i="44"/>
  <c r="AJ60" i="44"/>
  <c r="Y61" i="44"/>
  <c r="S62" i="44"/>
  <c r="E64" i="44"/>
  <c r="AG64" i="44"/>
  <c r="Q66" i="44"/>
  <c r="C67" i="44"/>
  <c r="Q67" i="44"/>
  <c r="F68" i="44"/>
  <c r="R68" i="44"/>
  <c r="E69" i="44"/>
  <c r="Y69" i="44"/>
  <c r="F70" i="44"/>
  <c r="S70" i="44"/>
  <c r="H71" i="44"/>
  <c r="AA71" i="44"/>
  <c r="G72" i="44"/>
  <c r="T72" i="44"/>
  <c r="E73" i="44"/>
  <c r="Q73" i="44"/>
  <c r="AH73" i="44"/>
  <c r="N74" i="44"/>
  <c r="AE74" i="44"/>
  <c r="J75" i="44"/>
  <c r="AB75" i="44"/>
  <c r="H76" i="44"/>
  <c r="S76" i="44"/>
  <c r="C77" i="44"/>
  <c r="P77" i="44"/>
  <c r="AD77" i="44"/>
  <c r="Y4" i="44"/>
  <c r="L4" i="44"/>
  <c r="F72" i="46"/>
  <c r="M63" i="46"/>
  <c r="AD56" i="46"/>
  <c r="AA49" i="46"/>
  <c r="P44" i="46"/>
  <c r="AD39" i="46"/>
  <c r="AI34" i="46"/>
  <c r="N30" i="46"/>
  <c r="M26" i="46"/>
  <c r="AG21" i="46"/>
  <c r="AG17" i="46"/>
  <c r="AD14" i="46"/>
  <c r="R11" i="46"/>
  <c r="AD7" i="46"/>
  <c r="M5" i="46"/>
  <c r="AC5" i="44"/>
  <c r="Z6" i="44"/>
  <c r="D22" i="44"/>
  <c r="N6" i="44"/>
  <c r="N8" i="44"/>
  <c r="J12" i="44"/>
  <c r="P15" i="44"/>
  <c r="G17" i="44"/>
  <c r="O20" i="44"/>
  <c r="E22" i="44"/>
  <c r="AG23" i="44"/>
  <c r="E27" i="44"/>
  <c r="AA28" i="44"/>
  <c r="Y29" i="44"/>
  <c r="AJ30" i="44"/>
  <c r="C32" i="44"/>
  <c r="H33" i="44"/>
  <c r="L34" i="44"/>
  <c r="I35" i="44"/>
  <c r="I37" i="44"/>
  <c r="N39" i="44"/>
  <c r="K40" i="44"/>
  <c r="E41" i="44"/>
  <c r="AJ41" i="44"/>
  <c r="S43" i="44"/>
  <c r="T44" i="44"/>
  <c r="G46" i="44"/>
  <c r="E47" i="44"/>
  <c r="AH47" i="44"/>
  <c r="S48" i="44"/>
  <c r="Q49" i="44"/>
  <c r="M50" i="44"/>
  <c r="G52" i="44"/>
  <c r="AH52" i="44"/>
  <c r="Y53" i="44"/>
  <c r="AA54" i="44"/>
  <c r="I56" i="44"/>
  <c r="G57" i="44"/>
  <c r="T58" i="44"/>
  <c r="R59" i="44"/>
  <c r="E61" i="44"/>
  <c r="AJ61" i="44"/>
  <c r="AF62" i="44"/>
  <c r="P63" i="44"/>
  <c r="K64" i="44"/>
  <c r="R65" i="44"/>
  <c r="G66" i="44"/>
  <c r="Y66" i="44"/>
  <c r="F67" i="44"/>
  <c r="AA67" i="44"/>
  <c r="H68" i="44"/>
  <c r="AA68" i="44"/>
  <c r="I69" i="44"/>
  <c r="AC77" i="46"/>
  <c r="D71" i="46"/>
  <c r="C55" i="46"/>
  <c r="Z38" i="46"/>
  <c r="Z34" i="46"/>
  <c r="G30" i="46"/>
  <c r="G25" i="46"/>
  <c r="G21" i="46"/>
  <c r="Y17" i="46"/>
  <c r="C14" i="46"/>
  <c r="G11" i="46"/>
  <c r="AB77" i="46"/>
  <c r="H42" i="46"/>
  <c r="Y29" i="46"/>
  <c r="S18" i="46"/>
  <c r="AC76" i="44"/>
  <c r="T5" i="44"/>
  <c r="G10" i="44"/>
  <c r="AG13" i="44"/>
  <c r="C17" i="44"/>
  <c r="AA23" i="44"/>
  <c r="C27" i="44"/>
  <c r="T29" i="44"/>
  <c r="AD31" i="44"/>
  <c r="E34" i="44"/>
  <c r="H36" i="44"/>
  <c r="H38" i="44"/>
  <c r="J40" i="44"/>
  <c r="R43" i="44"/>
  <c r="J45" i="44"/>
  <c r="C47" i="44"/>
  <c r="R48" i="44"/>
  <c r="F52" i="44"/>
  <c r="T53" i="44"/>
  <c r="N55" i="44"/>
  <c r="F57" i="44"/>
  <c r="P58" i="44"/>
  <c r="H60" i="44"/>
  <c r="AI61" i="44"/>
  <c r="O63" i="44"/>
  <c r="AH64" i="44"/>
  <c r="F66" i="44"/>
  <c r="E67" i="44"/>
  <c r="G68" i="44"/>
  <c r="AJ69" i="44"/>
  <c r="AF70" i="44"/>
  <c r="AB71" i="44"/>
  <c r="N72" i="44"/>
  <c r="H73" i="44"/>
  <c r="AE73" i="44"/>
  <c r="R74" i="44"/>
  <c r="AH75" i="44"/>
  <c r="AA76" i="44"/>
  <c r="L77" i="44"/>
  <c r="AI77" i="44"/>
  <c r="T4" i="44"/>
  <c r="G4" i="44"/>
  <c r="AD76" i="46"/>
  <c r="AG54" i="46"/>
  <c r="AI39" i="46"/>
  <c r="P28" i="46"/>
  <c r="M17" i="46"/>
  <c r="AA8" i="46"/>
  <c r="Z31" i="44"/>
  <c r="P6" i="44"/>
  <c r="R10" i="44"/>
  <c r="AJ13" i="44"/>
  <c r="AD20" i="44"/>
  <c r="AJ23" i="44"/>
  <c r="G27" i="44"/>
  <c r="AD29" i="44"/>
  <c r="M34" i="44"/>
  <c r="O36" i="44"/>
  <c r="O38" i="44"/>
  <c r="F42" i="44"/>
  <c r="AE43" i="44"/>
  <c r="Q45" i="44"/>
  <c r="F47" i="44"/>
  <c r="AG48" i="44"/>
  <c r="H52" i="44"/>
  <c r="S55" i="44"/>
  <c r="M57" i="44"/>
  <c r="AB58" i="44"/>
  <c r="C62" i="44"/>
  <c r="AB63" i="44"/>
  <c r="AJ64" i="44"/>
  <c r="H66" i="44"/>
  <c r="K67" i="44"/>
  <c r="L69" i="44"/>
  <c r="AG70" i="44"/>
  <c r="AD71" i="44"/>
  <c r="T74" i="44"/>
  <c r="N75" i="44"/>
  <c r="AD76" i="44"/>
  <c r="Q77" i="44"/>
  <c r="AK77" i="44"/>
  <c r="R4" i="44"/>
  <c r="F4" i="44"/>
  <c r="G72" i="46"/>
  <c r="S53" i="46"/>
  <c r="Y38" i="46"/>
  <c r="AF26" i="46"/>
  <c r="T16" i="46"/>
  <c r="AC7" i="46"/>
  <c r="Z32" i="44"/>
  <c r="T6" i="44"/>
  <c r="AA10" i="44"/>
  <c r="I14" i="44"/>
  <c r="Q17" i="44"/>
  <c r="C24" i="44"/>
  <c r="O27" i="44"/>
  <c r="E30" i="44"/>
  <c r="M32" i="44"/>
  <c r="S34" i="44"/>
  <c r="P36" i="44"/>
  <c r="P38" i="44"/>
  <c r="P40" i="44"/>
  <c r="J42" i="44"/>
  <c r="R45" i="44"/>
  <c r="G47" i="44"/>
  <c r="R50" i="44"/>
  <c r="F54" i="44"/>
  <c r="T55" i="44"/>
  <c r="N57" i="44"/>
  <c r="AD58" i="44"/>
  <c r="P60" i="44"/>
  <c r="AD63" i="44"/>
  <c r="C65" i="44"/>
  <c r="J66" i="44"/>
  <c r="K68" i="44"/>
  <c r="M69" i="44"/>
  <c r="I70" i="44"/>
  <c r="AH70" i="44"/>
  <c r="AG71" i="44"/>
  <c r="AA72" i="44"/>
  <c r="J73" i="44"/>
  <c r="E74" i="44"/>
  <c r="Y74" i="44"/>
  <c r="AE76" i="44"/>
  <c r="S77" i="44"/>
  <c r="AL77" i="44"/>
  <c r="Q4" i="44"/>
  <c r="M69" i="46"/>
  <c r="AG49" i="46"/>
  <c r="AG37" i="46"/>
  <c r="F25" i="46"/>
  <c r="H15" i="46"/>
  <c r="P7" i="46"/>
  <c r="Z43" i="44"/>
  <c r="M7" i="44"/>
  <c r="G11" i="44"/>
  <c r="T14" i="44"/>
  <c r="AF17" i="44"/>
  <c r="K21" i="44"/>
  <c r="F30" i="44"/>
  <c r="P32" i="44"/>
  <c r="T34" i="44"/>
  <c r="T36" i="44"/>
  <c r="AE38" i="44"/>
  <c r="AD40" i="44"/>
  <c r="K42" i="44"/>
  <c r="E44" i="44"/>
  <c r="Y45" i="44"/>
  <c r="M47" i="44"/>
  <c r="E49" i="44"/>
  <c r="M52" i="44"/>
  <c r="G54" i="44"/>
  <c r="AJ58" i="44"/>
  <c r="AA60" i="44"/>
  <c r="AE63" i="44"/>
  <c r="J65" i="44"/>
  <c r="M67" i="44"/>
  <c r="N69" i="44"/>
  <c r="M70" i="44"/>
  <c r="AB72" i="44"/>
  <c r="K73" i="44"/>
  <c r="F74" i="44"/>
  <c r="Q75" i="44"/>
  <c r="J76" i="44"/>
  <c r="AG76" i="44"/>
  <c r="U77" i="44"/>
  <c r="AG4" i="44"/>
  <c r="P4" i="44"/>
  <c r="L69" i="46"/>
  <c r="J48" i="46"/>
  <c r="O35" i="46"/>
  <c r="Q24" i="46"/>
  <c r="AJ13" i="46"/>
  <c r="D21" i="44"/>
  <c r="M8" i="44"/>
  <c r="F12" i="44"/>
  <c r="AF18" i="44"/>
  <c r="C22" i="44"/>
  <c r="J25" i="44"/>
  <c r="G33" i="44"/>
  <c r="E37" i="44"/>
  <c r="E39" i="44"/>
  <c r="AH40" i="44"/>
  <c r="AA42" i="44"/>
  <c r="P44" i="44"/>
  <c r="F46" i="44"/>
  <c r="AG47" i="44"/>
  <c r="P49" i="44"/>
  <c r="H51" i="44"/>
  <c r="AD52" i="44"/>
  <c r="R54" i="44"/>
  <c r="AE57" i="44"/>
  <c r="Q59" i="44"/>
  <c r="C61" i="44"/>
  <c r="J64" i="44"/>
  <c r="P65" i="44"/>
  <c r="T66" i="44"/>
  <c r="Y67" i="44"/>
  <c r="T68" i="44"/>
  <c r="AA69" i="44"/>
  <c r="J71" i="44"/>
  <c r="C72" i="44"/>
  <c r="AD72" i="44"/>
  <c r="R73" i="44"/>
  <c r="H74" i="44"/>
  <c r="R75" i="44"/>
  <c r="K76" i="44"/>
  <c r="F77" i="44"/>
  <c r="V77" i="44"/>
  <c r="AF4" i="44"/>
  <c r="F65" i="46"/>
  <c r="Y33" i="46"/>
  <c r="Z13" i="46"/>
  <c r="P5" i="46"/>
  <c r="AC13" i="44"/>
  <c r="D31" i="44"/>
  <c r="AA8" i="44"/>
  <c r="AE15" i="44"/>
  <c r="AJ18" i="44"/>
  <c r="T25" i="44"/>
  <c r="AB28" i="44"/>
  <c r="E31" i="44"/>
  <c r="J35" i="44"/>
  <c r="R37" i="44"/>
  <c r="M41" i="44"/>
  <c r="AG42" i="44"/>
  <c r="Y44" i="44"/>
  <c r="AB49" i="44"/>
  <c r="C53" i="44"/>
  <c r="AB54" i="44"/>
  <c r="Q56" i="44"/>
  <c r="AG57" i="44"/>
  <c r="S59" i="44"/>
  <c r="M61" i="44"/>
  <c r="AG62" i="44"/>
  <c r="N64" i="44"/>
  <c r="AB65" i="44"/>
  <c r="AA66" i="44"/>
  <c r="AB67" i="44"/>
  <c r="AE68" i="44"/>
  <c r="AB69" i="44"/>
  <c r="P70" i="44"/>
  <c r="M71" i="44"/>
  <c r="J72" i="44"/>
  <c r="S73" i="44"/>
  <c r="AJ74" i="44"/>
  <c r="AE75" i="44"/>
  <c r="G77" i="44"/>
  <c r="X77" i="44"/>
  <c r="AD4" i="44"/>
  <c r="J4" i="44"/>
  <c r="J62" i="46"/>
  <c r="O45" i="46"/>
  <c r="N33" i="46"/>
  <c r="T11" i="46"/>
  <c r="AC4" i="46"/>
  <c r="AC21" i="44"/>
  <c r="D49" i="44"/>
  <c r="AB8" i="44"/>
  <c r="T12" i="44"/>
  <c r="C19" i="44"/>
  <c r="P22" i="44"/>
  <c r="AE25" i="44"/>
  <c r="AG28" i="44"/>
  <c r="F31" i="44"/>
  <c r="M33" i="44"/>
  <c r="S35" i="44"/>
  <c r="S37" i="44"/>
  <c r="S39" i="44"/>
  <c r="N41" i="44"/>
  <c r="AH42" i="44"/>
  <c r="AA44" i="44"/>
  <c r="P46" i="44"/>
  <c r="AJ47" i="44"/>
  <c r="AD49" i="44"/>
  <c r="P51" i="44"/>
  <c r="E53" i="44"/>
  <c r="AD54" i="44"/>
  <c r="R56" i="44"/>
  <c r="T73" i="44"/>
  <c r="AB66" i="44"/>
  <c r="N61" i="44"/>
  <c r="S51" i="44"/>
  <c r="K16" i="44"/>
  <c r="AG77" i="44"/>
  <c r="F75" i="44"/>
  <c r="M72" i="44"/>
  <c r="AG68" i="44"/>
  <c r="R64" i="44"/>
  <c r="G58" i="44"/>
  <c r="Q46" i="44"/>
  <c r="G31" i="44"/>
  <c r="D50" i="44"/>
  <c r="D20" i="46"/>
  <c r="AF229" i="23"/>
  <c r="AG24" i="23"/>
  <c r="AI25" i="46" s="1"/>
  <c r="AG232" i="23"/>
  <c r="AG200" i="23"/>
  <c r="AG168" i="23"/>
  <c r="AF165" i="23"/>
  <c r="AG136" i="23"/>
  <c r="AF101" i="23"/>
  <c r="AG104" i="23"/>
  <c r="AF57" i="23"/>
  <c r="AH68" i="49" s="1"/>
  <c r="AG40" i="23"/>
  <c r="AI42" i="44" s="1"/>
  <c r="AF34" i="23"/>
  <c r="AH34" i="49" s="1"/>
  <c r="AF26" i="23"/>
  <c r="AH26" i="44" s="1"/>
  <c r="AG23" i="23"/>
  <c r="AI23" i="49" s="1"/>
  <c r="AF221" i="23"/>
  <c r="AF157" i="23"/>
  <c r="AF93" i="23"/>
  <c r="AF50" i="23"/>
  <c r="AH61" i="49" s="1"/>
  <c r="AF21" i="23"/>
  <c r="AH21" i="49" s="1"/>
  <c r="AG227" i="23"/>
  <c r="AG195" i="23"/>
  <c r="AG163" i="23"/>
  <c r="AG131" i="23"/>
  <c r="AG99" i="23"/>
  <c r="AG67" i="23"/>
  <c r="AI49" i="49" s="1"/>
  <c r="AG39" i="23"/>
  <c r="AI41" i="49" s="1"/>
  <c r="AF213" i="23"/>
  <c r="AF149" i="23"/>
  <c r="AF85" i="23"/>
  <c r="AF49" i="23"/>
  <c r="AH60" i="44" s="1"/>
  <c r="AF18" i="23"/>
  <c r="AH18" i="49" s="1"/>
  <c r="AG224" i="23"/>
  <c r="AG192" i="23"/>
  <c r="AG160" i="23"/>
  <c r="AG128" i="23"/>
  <c r="AG96" i="23"/>
  <c r="AG63" i="23"/>
  <c r="AI74" i="49" s="1"/>
  <c r="AG35" i="23"/>
  <c r="AI35" i="49" s="1"/>
  <c r="AG71" i="23"/>
  <c r="AI53" i="44" s="1"/>
  <c r="AF205" i="23"/>
  <c r="AF141" i="23"/>
  <c r="AF77" i="23"/>
  <c r="AF45" i="23"/>
  <c r="AH48" i="46" s="1"/>
  <c r="AF13" i="23"/>
  <c r="AH13" i="46" s="1"/>
  <c r="AG219" i="23"/>
  <c r="AG187" i="23"/>
  <c r="AG155" i="23"/>
  <c r="AG123" i="23"/>
  <c r="AG91" i="23"/>
  <c r="AG59" i="23"/>
  <c r="AI70" i="49" s="1"/>
  <c r="AG32" i="23"/>
  <c r="AI32" i="46" s="1"/>
  <c r="AD168" i="23"/>
  <c r="AF197" i="23"/>
  <c r="AF133" i="23"/>
  <c r="AF73" i="23"/>
  <c r="AH46" i="49" s="1"/>
  <c r="AF42" i="23"/>
  <c r="AH44" i="49" s="1"/>
  <c r="AF10" i="23"/>
  <c r="AH10" i="46" s="1"/>
  <c r="AG216" i="23"/>
  <c r="AG184" i="23"/>
  <c r="AG152" i="23"/>
  <c r="AG120" i="23"/>
  <c r="AG88" i="23"/>
  <c r="AG55" i="23"/>
  <c r="AI66" i="46" s="1"/>
  <c r="AG31" i="23"/>
  <c r="AI31" i="49" s="1"/>
  <c r="AD81" i="23"/>
  <c r="AF189" i="23"/>
  <c r="AF125" i="23"/>
  <c r="AF66" i="23"/>
  <c r="AH55" i="44" s="1"/>
  <c r="AF37" i="23"/>
  <c r="AH39" i="49" s="1"/>
  <c r="AF5" i="23"/>
  <c r="AG211" i="23"/>
  <c r="AG179" i="23"/>
  <c r="AG147" i="23"/>
  <c r="AG115" i="23"/>
  <c r="AG83" i="23"/>
  <c r="AG51" i="23"/>
  <c r="AI62" i="49" s="1"/>
  <c r="AG27" i="23"/>
  <c r="AI27" i="46" s="1"/>
  <c r="AD31" i="23"/>
  <c r="AF31" i="46" s="1"/>
  <c r="AF181" i="23"/>
  <c r="AF117" i="23"/>
  <c r="AF65" i="23"/>
  <c r="AH76" i="46" s="1"/>
  <c r="AF2" i="23"/>
  <c r="AH56" i="49" s="1"/>
  <c r="AG208" i="23"/>
  <c r="AG176" i="23"/>
  <c r="AG144" i="23"/>
  <c r="AG112" i="23"/>
  <c r="AG80" i="23"/>
  <c r="AG47" i="23"/>
  <c r="AI58" i="49" s="1"/>
  <c r="AF237" i="23"/>
  <c r="AF173" i="23"/>
  <c r="AF109" i="23"/>
  <c r="AF58" i="23"/>
  <c r="AH69" i="44" s="1"/>
  <c r="AF29" i="23"/>
  <c r="AG235" i="23"/>
  <c r="AG203" i="23"/>
  <c r="AG171" i="23"/>
  <c r="AG139" i="23"/>
  <c r="AG107" i="23"/>
  <c r="AG75" i="23"/>
  <c r="AG43" i="23"/>
  <c r="AI45" i="46" s="1"/>
  <c r="AD104" i="23"/>
  <c r="AF19" i="23"/>
  <c r="AH19" i="49" s="1"/>
  <c r="AF11" i="23"/>
  <c r="AH11" i="49" s="1"/>
  <c r="AF3" i="23"/>
  <c r="AG233" i="23"/>
  <c r="AG225" i="23"/>
  <c r="AG217" i="23"/>
  <c r="AG209" i="23"/>
  <c r="AG201" i="23"/>
  <c r="AG193" i="23"/>
  <c r="AG185" i="23"/>
  <c r="AG177" i="23"/>
  <c r="AG169" i="23"/>
  <c r="AG161" i="23"/>
  <c r="AG153" i="23"/>
  <c r="AG145" i="23"/>
  <c r="AG137" i="23"/>
  <c r="AG129" i="23"/>
  <c r="AG121" i="23"/>
  <c r="AG113" i="23"/>
  <c r="AG105" i="23"/>
  <c r="AG97" i="23"/>
  <c r="AG89" i="23"/>
  <c r="AG81" i="23"/>
  <c r="AG41" i="23"/>
  <c r="AI43" i="46" s="1"/>
  <c r="AG33" i="23"/>
  <c r="AI33" i="49" s="1"/>
  <c r="AG25" i="23"/>
  <c r="AI24" i="44" s="1"/>
  <c r="AG17" i="23"/>
  <c r="AI17" i="49" s="1"/>
  <c r="AG9" i="23"/>
  <c r="AI9" i="49" s="1"/>
  <c r="AF234" i="23"/>
  <c r="AF226" i="23"/>
  <c r="AF218" i="23"/>
  <c r="AF210" i="23"/>
  <c r="AF202" i="23"/>
  <c r="AF194" i="23"/>
  <c r="AF186" i="23"/>
  <c r="AF178" i="23"/>
  <c r="AF170" i="23"/>
  <c r="AF162" i="23"/>
  <c r="AF154" i="23"/>
  <c r="AF146" i="23"/>
  <c r="AF138" i="23"/>
  <c r="AF130" i="23"/>
  <c r="AF122" i="23"/>
  <c r="AF114" i="23"/>
  <c r="AF106" i="23"/>
  <c r="AF98" i="23"/>
  <c r="AF90" i="23"/>
  <c r="AF82" i="23"/>
  <c r="AF74" i="23"/>
  <c r="AG72" i="23"/>
  <c r="AI54" i="49" s="1"/>
  <c r="AG64" i="23"/>
  <c r="AI75" i="49" s="1"/>
  <c r="AG56" i="23"/>
  <c r="AI67" i="46" s="1"/>
  <c r="AG48" i="23"/>
  <c r="AI59" i="46" s="1"/>
  <c r="AG16" i="23"/>
  <c r="AI16" i="44" s="1"/>
  <c r="AG8" i="23"/>
  <c r="AI8" i="49" s="1"/>
  <c r="AG239" i="23"/>
  <c r="AG231" i="23"/>
  <c r="AG223" i="23"/>
  <c r="AG215" i="23"/>
  <c r="AG207" i="23"/>
  <c r="AG199" i="23"/>
  <c r="AG191" i="23"/>
  <c r="AG183" i="23"/>
  <c r="AG175" i="23"/>
  <c r="AG167" i="23"/>
  <c r="AG159" i="23"/>
  <c r="AG151" i="23"/>
  <c r="AG143" i="23"/>
  <c r="AG135" i="23"/>
  <c r="AG127" i="23"/>
  <c r="AG119" i="23"/>
  <c r="AG111" i="23"/>
  <c r="AG103" i="23"/>
  <c r="AG95" i="23"/>
  <c r="AG87" i="23"/>
  <c r="AG79" i="23"/>
  <c r="AG15" i="23"/>
  <c r="AI15" i="46" s="1"/>
  <c r="AG7" i="23"/>
  <c r="AI7" i="44" s="1"/>
  <c r="AC17" i="23"/>
  <c r="AE17" i="44" s="1"/>
  <c r="AD24" i="23"/>
  <c r="AF25" i="49" s="1"/>
  <c r="AG238" i="23"/>
  <c r="AG230" i="23"/>
  <c r="AG222" i="23"/>
  <c r="AG214" i="23"/>
  <c r="AG206" i="23"/>
  <c r="AG198" i="23"/>
  <c r="AG190" i="23"/>
  <c r="AG182" i="23"/>
  <c r="AG174" i="23"/>
  <c r="AG166" i="23"/>
  <c r="AG158" i="23"/>
  <c r="AG150" i="23"/>
  <c r="AG142" i="23"/>
  <c r="AG134" i="23"/>
  <c r="AG126" i="23"/>
  <c r="AG118" i="23"/>
  <c r="AG110" i="23"/>
  <c r="AG102" i="23"/>
  <c r="AG94" i="23"/>
  <c r="AG86" i="23"/>
  <c r="AG78" i="23"/>
  <c r="AG70" i="23"/>
  <c r="AI52" i="46" s="1"/>
  <c r="AG62" i="23"/>
  <c r="AI73" i="46" s="1"/>
  <c r="AG54" i="23"/>
  <c r="AI65" i="49" s="1"/>
  <c r="AG46" i="23"/>
  <c r="AI57" i="49" s="1"/>
  <c r="AG38" i="23"/>
  <c r="AI40" i="49" s="1"/>
  <c r="AG30" i="23"/>
  <c r="AI30" i="49" s="1"/>
  <c r="AG22" i="23"/>
  <c r="AI22" i="44" s="1"/>
  <c r="AG14" i="23"/>
  <c r="AI14" i="49" s="1"/>
  <c r="AG6" i="23"/>
  <c r="AI6" i="46" s="1"/>
  <c r="AD232" i="23"/>
  <c r="AG69" i="23"/>
  <c r="AI51" i="49" s="1"/>
  <c r="AG61" i="23"/>
  <c r="AI72" i="49" s="1"/>
  <c r="AG53" i="23"/>
  <c r="AI64" i="49" s="1"/>
  <c r="AD191" i="23"/>
  <c r="AG236" i="23"/>
  <c r="AG228" i="23"/>
  <c r="AG220" i="23"/>
  <c r="AG212" i="23"/>
  <c r="AG204" i="23"/>
  <c r="AG196" i="23"/>
  <c r="AG188" i="23"/>
  <c r="AG180" i="23"/>
  <c r="AG172" i="23"/>
  <c r="AG164" i="23"/>
  <c r="AG156" i="23"/>
  <c r="AG148" i="23"/>
  <c r="AG140" i="23"/>
  <c r="AG132" i="23"/>
  <c r="AG124" i="23"/>
  <c r="AG116" i="23"/>
  <c r="AG108" i="23"/>
  <c r="AG100" i="23"/>
  <c r="AG92" i="23"/>
  <c r="AG84" i="23"/>
  <c r="AG76" i="23"/>
  <c r="AG68" i="23"/>
  <c r="AI50" i="44" s="1"/>
  <c r="AG60" i="23"/>
  <c r="AI71" i="49" s="1"/>
  <c r="AG52" i="23"/>
  <c r="AI63" i="49" s="1"/>
  <c r="AG44" i="23"/>
  <c r="AI47" i="44" s="1"/>
  <c r="AG36" i="23"/>
  <c r="AI36" i="49" s="1"/>
  <c r="AG28" i="23"/>
  <c r="AI28" i="46" s="1"/>
  <c r="AG20" i="23"/>
  <c r="AI20" i="44" s="1"/>
  <c r="AG12" i="23"/>
  <c r="AI12" i="44" s="1"/>
  <c r="AG4" i="23"/>
  <c r="AI38" i="49" s="1"/>
  <c r="AD127" i="23"/>
  <c r="AD145" i="23"/>
  <c r="AC202" i="23"/>
  <c r="AC138" i="23"/>
  <c r="AC74" i="23"/>
  <c r="AE4" i="46" s="1"/>
  <c r="AC34" i="23"/>
  <c r="AE34" i="49" s="1"/>
  <c r="AC11" i="23"/>
  <c r="AE11" i="49" s="1"/>
  <c r="AD231" i="23"/>
  <c r="AD208" i="23"/>
  <c r="AD185" i="23"/>
  <c r="AD167" i="23"/>
  <c r="AD144" i="23"/>
  <c r="AD121" i="23"/>
  <c r="AD103" i="23"/>
  <c r="AD80" i="23"/>
  <c r="AD49" i="23"/>
  <c r="AF60" i="44" s="1"/>
  <c r="AD25" i="23"/>
  <c r="AF24" i="49" s="1"/>
  <c r="AD209" i="23"/>
  <c r="AD55" i="23"/>
  <c r="AF66" i="49" s="1"/>
  <c r="L188" i="23"/>
  <c r="AC194" i="23"/>
  <c r="AC130" i="23"/>
  <c r="AC67" i="23"/>
  <c r="AE49" i="44" s="1"/>
  <c r="AC33" i="23"/>
  <c r="AE33" i="49" s="1"/>
  <c r="AC10" i="23"/>
  <c r="AE10" i="46" s="1"/>
  <c r="AD225" i="23"/>
  <c r="AD207" i="23"/>
  <c r="AD184" i="23"/>
  <c r="AD161" i="23"/>
  <c r="AD143" i="23"/>
  <c r="AD120" i="23"/>
  <c r="AD97" i="23"/>
  <c r="AD79" i="23"/>
  <c r="AD47" i="23"/>
  <c r="AF58" i="46" s="1"/>
  <c r="AC210" i="23"/>
  <c r="AC146" i="23"/>
  <c r="AC82" i="23"/>
  <c r="AC35" i="23"/>
  <c r="AE35" i="46" s="1"/>
  <c r="M146" i="23"/>
  <c r="AC186" i="23"/>
  <c r="AC122" i="23"/>
  <c r="AC59" i="23"/>
  <c r="AE70" i="44" s="1"/>
  <c r="AC27" i="23"/>
  <c r="AE27" i="49" s="1"/>
  <c r="AC9" i="23"/>
  <c r="AE9" i="46" s="1"/>
  <c r="AD224" i="23"/>
  <c r="AD201" i="23"/>
  <c r="AD183" i="23"/>
  <c r="AD160" i="23"/>
  <c r="AD137" i="23"/>
  <c r="AD119" i="23"/>
  <c r="AD96" i="23"/>
  <c r="AD73" i="23"/>
  <c r="AF46" i="49" s="1"/>
  <c r="AD41" i="23"/>
  <c r="AF43" i="46" s="1"/>
  <c r="AD23" i="23"/>
  <c r="AF23" i="49" s="1"/>
  <c r="M114" i="23"/>
  <c r="AC178" i="23"/>
  <c r="AC114" i="23"/>
  <c r="AC51" i="23"/>
  <c r="AE62" i="44" s="1"/>
  <c r="AC26" i="23"/>
  <c r="AE26" i="49" s="1"/>
  <c r="AC3" i="23"/>
  <c r="AE37" i="49" s="1"/>
  <c r="AD223" i="23"/>
  <c r="AD200" i="23"/>
  <c r="AD177" i="23"/>
  <c r="AD159" i="23"/>
  <c r="AD136" i="23"/>
  <c r="AD113" i="23"/>
  <c r="AD95" i="23"/>
  <c r="AD71" i="23"/>
  <c r="AF53" i="46" s="1"/>
  <c r="AD40" i="23"/>
  <c r="AF42" i="44" s="1"/>
  <c r="M82" i="23"/>
  <c r="AC234" i="23"/>
  <c r="AC170" i="23"/>
  <c r="AC106" i="23"/>
  <c r="AC43" i="23"/>
  <c r="AE45" i="46" s="1"/>
  <c r="AC2" i="23"/>
  <c r="AE56" i="49" s="1"/>
  <c r="AD217" i="23"/>
  <c r="AD199" i="23"/>
  <c r="AD176" i="23"/>
  <c r="AD153" i="23"/>
  <c r="AD135" i="23"/>
  <c r="AD112" i="23"/>
  <c r="AD89" i="23"/>
  <c r="AD65" i="23"/>
  <c r="AF76" i="49" s="1"/>
  <c r="AD39" i="23"/>
  <c r="AF41" i="49" s="1"/>
  <c r="AD15" i="23"/>
  <c r="AF15" i="44" s="1"/>
  <c r="AC226" i="23"/>
  <c r="AC162" i="23"/>
  <c r="AC98" i="23"/>
  <c r="AC42" i="23"/>
  <c r="AE44" i="46" s="1"/>
  <c r="AC19" i="23"/>
  <c r="AE19" i="49" s="1"/>
  <c r="AD239" i="23"/>
  <c r="AD216" i="23"/>
  <c r="AD193" i="23"/>
  <c r="AD175" i="23"/>
  <c r="AD152" i="23"/>
  <c r="AD129" i="23"/>
  <c r="AD111" i="23"/>
  <c r="AD88" i="23"/>
  <c r="AD63" i="23"/>
  <c r="AF74" i="49" s="1"/>
  <c r="AC218" i="23"/>
  <c r="AC154" i="23"/>
  <c r="AC90" i="23"/>
  <c r="AC18" i="23"/>
  <c r="AE18" i="49" s="1"/>
  <c r="AD233" i="23"/>
  <c r="AD215" i="23"/>
  <c r="AD192" i="23"/>
  <c r="AD169" i="23"/>
  <c r="AD151" i="23"/>
  <c r="AD128" i="23"/>
  <c r="AD105" i="23"/>
  <c r="AD87" i="23"/>
  <c r="AD57" i="23"/>
  <c r="AF68" i="44" s="1"/>
  <c r="AD32" i="23"/>
  <c r="AF32" i="49" s="1"/>
  <c r="AD7" i="23"/>
  <c r="AF7" i="49" s="1"/>
  <c r="AC219" i="23"/>
  <c r="AC179" i="23"/>
  <c r="AC155" i="23"/>
  <c r="AC107" i="23"/>
  <c r="AC211" i="23"/>
  <c r="AC187" i="23"/>
  <c r="AC163" i="23"/>
  <c r="AC139" i="23"/>
  <c r="AC123" i="23"/>
  <c r="AC91" i="23"/>
  <c r="L156" i="23"/>
  <c r="AC66" i="23"/>
  <c r="AE55" i="49" s="1"/>
  <c r="AC58" i="23"/>
  <c r="AE69" i="44" s="1"/>
  <c r="AC50" i="23"/>
  <c r="AE61" i="49" s="1"/>
  <c r="AD72" i="23"/>
  <c r="AF54" i="46" s="1"/>
  <c r="AD64" i="23"/>
  <c r="AF75" i="49" s="1"/>
  <c r="AD56" i="23"/>
  <c r="AF67" i="49" s="1"/>
  <c r="AD48" i="23"/>
  <c r="AF59" i="49" s="1"/>
  <c r="AD16" i="23"/>
  <c r="AF16" i="49" s="1"/>
  <c r="AD8" i="23"/>
  <c r="AF8" i="44" s="1"/>
  <c r="AC227" i="23"/>
  <c r="L92" i="23"/>
  <c r="M42" i="23"/>
  <c r="O44" i="49" s="1"/>
  <c r="AD238" i="23"/>
  <c r="AD230" i="23"/>
  <c r="AD222" i="23"/>
  <c r="AD214" i="23"/>
  <c r="AD206" i="23"/>
  <c r="AD198" i="23"/>
  <c r="AD190" i="23"/>
  <c r="AD182" i="23"/>
  <c r="AD174" i="23"/>
  <c r="AD166" i="23"/>
  <c r="AD158" i="23"/>
  <c r="AD150" i="23"/>
  <c r="AD142" i="23"/>
  <c r="AD134" i="23"/>
  <c r="AD126" i="23"/>
  <c r="AD118" i="23"/>
  <c r="AD110" i="23"/>
  <c r="AD102" i="23"/>
  <c r="AD94" i="23"/>
  <c r="AD86" i="23"/>
  <c r="AD78" i="23"/>
  <c r="AD70" i="23"/>
  <c r="AF52" i="46" s="1"/>
  <c r="AD62" i="23"/>
  <c r="AF73" i="49" s="1"/>
  <c r="AD54" i="23"/>
  <c r="AF65" i="49" s="1"/>
  <c r="AD46" i="23"/>
  <c r="AF57" i="49" s="1"/>
  <c r="AD38" i="23"/>
  <c r="AF40" i="49" s="1"/>
  <c r="AD30" i="23"/>
  <c r="AF30" i="44" s="1"/>
  <c r="AD22" i="23"/>
  <c r="AF22" i="46" s="1"/>
  <c r="AD14" i="23"/>
  <c r="AF14" i="49" s="1"/>
  <c r="AD6" i="23"/>
  <c r="AF6" i="46" s="1"/>
  <c r="AC195" i="23"/>
  <c r="L60" i="23"/>
  <c r="N71" i="49" s="1"/>
  <c r="M34" i="23"/>
  <c r="O34" i="49" s="1"/>
  <c r="AD237" i="23"/>
  <c r="AD229" i="23"/>
  <c r="AD221" i="23"/>
  <c r="AD213" i="23"/>
  <c r="AD205" i="23"/>
  <c r="AD197" i="23"/>
  <c r="AD189" i="23"/>
  <c r="AD181" i="23"/>
  <c r="AD173" i="23"/>
  <c r="AD165" i="23"/>
  <c r="AD157" i="23"/>
  <c r="AD149" i="23"/>
  <c r="AD141" i="23"/>
  <c r="AD133" i="23"/>
  <c r="AD125" i="23"/>
  <c r="AD117" i="23"/>
  <c r="AD109" i="23"/>
  <c r="AD101" i="23"/>
  <c r="AD93" i="23"/>
  <c r="AD85" i="23"/>
  <c r="AD77" i="23"/>
  <c r="AD69" i="23"/>
  <c r="AF51" i="49" s="1"/>
  <c r="AD61" i="23"/>
  <c r="AF72" i="49" s="1"/>
  <c r="AD53" i="23"/>
  <c r="AF64" i="49" s="1"/>
  <c r="AD45" i="23"/>
  <c r="AF48" i="44" s="1"/>
  <c r="AD37" i="23"/>
  <c r="AF39" i="46" s="1"/>
  <c r="AD29" i="23"/>
  <c r="AF29" i="49" s="1"/>
  <c r="AD21" i="23"/>
  <c r="AF21" i="49" s="1"/>
  <c r="AD13" i="23"/>
  <c r="AF13" i="44" s="1"/>
  <c r="AD5" i="23"/>
  <c r="AF5" i="44" s="1"/>
  <c r="AC235" i="23"/>
  <c r="AC203" i="23"/>
  <c r="AC171" i="23"/>
  <c r="AC147" i="23"/>
  <c r="AC131" i="23"/>
  <c r="AC115" i="23"/>
  <c r="AC99" i="23"/>
  <c r="AC83" i="23"/>
  <c r="AC75" i="23"/>
  <c r="L43" i="23"/>
  <c r="N45" i="46" s="1"/>
  <c r="AD236" i="23"/>
  <c r="AD228" i="23"/>
  <c r="AD220" i="23"/>
  <c r="AD212" i="23"/>
  <c r="AD204" i="23"/>
  <c r="AD196" i="23"/>
  <c r="AD188" i="23"/>
  <c r="AD180" i="23"/>
  <c r="AD172" i="23"/>
  <c r="AD164" i="23"/>
  <c r="AD156" i="23"/>
  <c r="AD148" i="23"/>
  <c r="AD140" i="23"/>
  <c r="AD132" i="23"/>
  <c r="AD124" i="23"/>
  <c r="AD116" i="23"/>
  <c r="AD108" i="23"/>
  <c r="AD100" i="23"/>
  <c r="AD92" i="23"/>
  <c r="AD84" i="23"/>
  <c r="AD76" i="23"/>
  <c r="AD68" i="23"/>
  <c r="AF50" i="46" s="1"/>
  <c r="AD60" i="23"/>
  <c r="AF71" i="46" s="1"/>
  <c r="AD52" i="23"/>
  <c r="AF63" i="49" s="1"/>
  <c r="AD44" i="23"/>
  <c r="AF47" i="46" s="1"/>
  <c r="AD36" i="23"/>
  <c r="AF36" i="49" s="1"/>
  <c r="AD28" i="23"/>
  <c r="AF28" i="44" s="1"/>
  <c r="AD20" i="23"/>
  <c r="AF20" i="46" s="1"/>
  <c r="AD12" i="23"/>
  <c r="AF12" i="46" s="1"/>
  <c r="AD4" i="23"/>
  <c r="AF38" i="49" s="1"/>
  <c r="L124" i="23"/>
  <c r="L35" i="23"/>
  <c r="N35" i="44" s="1"/>
  <c r="L220" i="23"/>
  <c r="M178" i="23"/>
  <c r="L28" i="23"/>
  <c r="N28" i="44" s="1"/>
  <c r="M210" i="23"/>
  <c r="L219" i="23"/>
  <c r="L187" i="23"/>
  <c r="L155" i="23"/>
  <c r="L123" i="23"/>
  <c r="L91" i="23"/>
  <c r="L59" i="23"/>
  <c r="N70" i="49" s="1"/>
  <c r="L27" i="23"/>
  <c r="N27" i="46" s="1"/>
  <c r="M209" i="23"/>
  <c r="M177" i="23"/>
  <c r="M145" i="23"/>
  <c r="M113" i="23"/>
  <c r="M81" i="23"/>
  <c r="M33" i="23"/>
  <c r="O33" i="46" s="1"/>
  <c r="M2" i="23"/>
  <c r="O56" i="49" s="1"/>
  <c r="J169" i="23"/>
  <c r="L212" i="23"/>
  <c r="L180" i="23"/>
  <c r="L148" i="23"/>
  <c r="L116" i="23"/>
  <c r="L84" i="23"/>
  <c r="L52" i="23"/>
  <c r="N63" i="49" s="1"/>
  <c r="M234" i="23"/>
  <c r="M202" i="23"/>
  <c r="M170" i="23"/>
  <c r="M138" i="23"/>
  <c r="M106" i="23"/>
  <c r="M74" i="23"/>
  <c r="O4" i="46" s="1"/>
  <c r="M26" i="23"/>
  <c r="O26" i="44" s="1"/>
  <c r="J137" i="23"/>
  <c r="L211" i="23"/>
  <c r="L179" i="23"/>
  <c r="L147" i="23"/>
  <c r="L115" i="23"/>
  <c r="L83" i="23"/>
  <c r="L51" i="23"/>
  <c r="N62" i="49" s="1"/>
  <c r="M233" i="23"/>
  <c r="M201" i="23"/>
  <c r="M169" i="23"/>
  <c r="M137" i="23"/>
  <c r="M105" i="23"/>
  <c r="M66" i="23"/>
  <c r="O55" i="44" s="1"/>
  <c r="M25" i="23"/>
  <c r="O24" i="46" s="1"/>
  <c r="L236" i="23"/>
  <c r="L204" i="23"/>
  <c r="L172" i="23"/>
  <c r="L140" i="23"/>
  <c r="L108" i="23"/>
  <c r="L76" i="23"/>
  <c r="L44" i="23"/>
  <c r="N47" i="46" s="1"/>
  <c r="M226" i="23"/>
  <c r="M194" i="23"/>
  <c r="M162" i="23"/>
  <c r="M130" i="23"/>
  <c r="M98" i="23"/>
  <c r="M58" i="23"/>
  <c r="O69" i="44" s="1"/>
  <c r="M18" i="23"/>
  <c r="O18" i="49" s="1"/>
  <c r="L235" i="23"/>
  <c r="L203" i="23"/>
  <c r="L171" i="23"/>
  <c r="L139" i="23"/>
  <c r="L107" i="23"/>
  <c r="L75" i="23"/>
  <c r="M225" i="23"/>
  <c r="M193" i="23"/>
  <c r="M161" i="23"/>
  <c r="M129" i="23"/>
  <c r="M97" i="23"/>
  <c r="M50" i="23"/>
  <c r="O61" i="49" s="1"/>
  <c r="M17" i="23"/>
  <c r="O17" i="49" s="1"/>
  <c r="L228" i="23"/>
  <c r="L196" i="23"/>
  <c r="L164" i="23"/>
  <c r="L132" i="23"/>
  <c r="L100" i="23"/>
  <c r="L68" i="23"/>
  <c r="N50" i="49" s="1"/>
  <c r="L36" i="23"/>
  <c r="N36" i="44" s="1"/>
  <c r="M218" i="23"/>
  <c r="M186" i="23"/>
  <c r="M154" i="23"/>
  <c r="M122" i="23"/>
  <c r="M90" i="23"/>
  <c r="M10" i="23"/>
  <c r="O10" i="49" s="1"/>
  <c r="L227" i="23"/>
  <c r="L195" i="23"/>
  <c r="L163" i="23"/>
  <c r="L131" i="23"/>
  <c r="L99" i="23"/>
  <c r="L67" i="23"/>
  <c r="N49" i="49" s="1"/>
  <c r="M217" i="23"/>
  <c r="M185" i="23"/>
  <c r="M153" i="23"/>
  <c r="M121" i="23"/>
  <c r="M89" i="23"/>
  <c r="M41" i="23"/>
  <c r="O43" i="49" s="1"/>
  <c r="M9" i="23"/>
  <c r="O9" i="44" s="1"/>
  <c r="L12" i="23"/>
  <c r="N12" i="49" s="1"/>
  <c r="M65" i="23"/>
  <c r="O76" i="44" s="1"/>
  <c r="M57" i="23"/>
  <c r="O68" i="46" s="1"/>
  <c r="J105" i="23"/>
  <c r="M232" i="23"/>
  <c r="M224" i="23"/>
  <c r="M216" i="23"/>
  <c r="M208" i="23"/>
  <c r="M200" i="23"/>
  <c r="M192" i="23"/>
  <c r="M184" i="23"/>
  <c r="M176" i="23"/>
  <c r="M168" i="23"/>
  <c r="M160" i="23"/>
  <c r="M152" i="23"/>
  <c r="M144" i="23"/>
  <c r="M136" i="23"/>
  <c r="M128" i="23"/>
  <c r="M120" i="23"/>
  <c r="M112" i="23"/>
  <c r="M104" i="23"/>
  <c r="M96" i="23"/>
  <c r="M88" i="23"/>
  <c r="M80" i="23"/>
  <c r="M72" i="23"/>
  <c r="O54" i="49" s="1"/>
  <c r="M64" i="23"/>
  <c r="O75" i="46" s="1"/>
  <c r="M56" i="23"/>
  <c r="O67" i="44" s="1"/>
  <c r="M48" i="23"/>
  <c r="O59" i="49" s="1"/>
  <c r="M40" i="23"/>
  <c r="O42" i="49" s="1"/>
  <c r="M32" i="23"/>
  <c r="O32" i="49" s="1"/>
  <c r="M24" i="23"/>
  <c r="O25" i="46" s="1"/>
  <c r="M16" i="23"/>
  <c r="O16" i="49" s="1"/>
  <c r="M8" i="23"/>
  <c r="O8" i="44" s="1"/>
  <c r="L4" i="23"/>
  <c r="N38" i="49" s="1"/>
  <c r="L19" i="23"/>
  <c r="N19" i="46" s="1"/>
  <c r="L11" i="23"/>
  <c r="N11" i="44" s="1"/>
  <c r="L3" i="23"/>
  <c r="N4" i="49" s="1"/>
  <c r="M73" i="23"/>
  <c r="O46" i="46" s="1"/>
  <c r="M49" i="23"/>
  <c r="O60" i="44" s="1"/>
  <c r="I211" i="23"/>
  <c r="J73" i="23"/>
  <c r="L46" i="46" s="1"/>
  <c r="M239" i="23"/>
  <c r="M231" i="23"/>
  <c r="M223" i="23"/>
  <c r="M215" i="23"/>
  <c r="M207" i="23"/>
  <c r="M199" i="23"/>
  <c r="M191" i="23"/>
  <c r="M183" i="23"/>
  <c r="M175" i="23"/>
  <c r="M167" i="23"/>
  <c r="M159" i="23"/>
  <c r="M151" i="23"/>
  <c r="M143" i="23"/>
  <c r="M135" i="23"/>
  <c r="M127" i="23"/>
  <c r="M119" i="23"/>
  <c r="M111" i="23"/>
  <c r="M103" i="23"/>
  <c r="M95" i="23"/>
  <c r="M87" i="23"/>
  <c r="M79" i="23"/>
  <c r="M71" i="23"/>
  <c r="O53" i="44" s="1"/>
  <c r="M63" i="23"/>
  <c r="O74" i="49" s="1"/>
  <c r="M55" i="23"/>
  <c r="O66" i="49" s="1"/>
  <c r="M47" i="23"/>
  <c r="O58" i="49" s="1"/>
  <c r="M39" i="23"/>
  <c r="O41" i="44" s="1"/>
  <c r="M31" i="23"/>
  <c r="O31" i="49" s="1"/>
  <c r="M23" i="23"/>
  <c r="O23" i="49" s="1"/>
  <c r="M15" i="23"/>
  <c r="O15" i="44" s="1"/>
  <c r="M7" i="23"/>
  <c r="O7" i="49" s="1"/>
  <c r="I147" i="23"/>
  <c r="J41" i="23"/>
  <c r="L43" i="49" s="1"/>
  <c r="M238" i="23"/>
  <c r="M230" i="23"/>
  <c r="M222" i="23"/>
  <c r="M214" i="23"/>
  <c r="M206" i="23"/>
  <c r="M198" i="23"/>
  <c r="M190" i="23"/>
  <c r="M182" i="23"/>
  <c r="M174" i="23"/>
  <c r="M166" i="23"/>
  <c r="M158" i="23"/>
  <c r="M150" i="23"/>
  <c r="M142" i="23"/>
  <c r="M134" i="23"/>
  <c r="M126" i="23"/>
  <c r="M118" i="23"/>
  <c r="M110" i="23"/>
  <c r="M102" i="23"/>
  <c r="M94" i="23"/>
  <c r="M86" i="23"/>
  <c r="M78" i="23"/>
  <c r="M70" i="23"/>
  <c r="O52" i="44" s="1"/>
  <c r="M62" i="23"/>
  <c r="O73" i="44" s="1"/>
  <c r="M54" i="23"/>
  <c r="O65" i="49" s="1"/>
  <c r="M46" i="23"/>
  <c r="O57" i="46" s="1"/>
  <c r="M38" i="23"/>
  <c r="O40" i="44" s="1"/>
  <c r="M30" i="23"/>
  <c r="O30" i="49" s="1"/>
  <c r="M22" i="23"/>
  <c r="O22" i="49" s="1"/>
  <c r="M14" i="23"/>
  <c r="O14" i="49" s="1"/>
  <c r="M6" i="23"/>
  <c r="O6" i="49" s="1"/>
  <c r="I83" i="23"/>
  <c r="M237" i="23"/>
  <c r="M229" i="23"/>
  <c r="M221" i="23"/>
  <c r="M213" i="23"/>
  <c r="M205" i="23"/>
  <c r="M197" i="23"/>
  <c r="M189" i="23"/>
  <c r="M181" i="23"/>
  <c r="M173" i="23"/>
  <c r="M165" i="23"/>
  <c r="M157" i="23"/>
  <c r="M149" i="23"/>
  <c r="M141" i="23"/>
  <c r="M133" i="23"/>
  <c r="M125" i="23"/>
  <c r="M117" i="23"/>
  <c r="M109" i="23"/>
  <c r="M101" i="23"/>
  <c r="M93" i="23"/>
  <c r="M85" i="23"/>
  <c r="M77" i="23"/>
  <c r="M69" i="23"/>
  <c r="O51" i="46" s="1"/>
  <c r="M61" i="23"/>
  <c r="O72" i="46" s="1"/>
  <c r="M53" i="23"/>
  <c r="O64" i="44" s="1"/>
  <c r="M45" i="23"/>
  <c r="O48" i="44" s="1"/>
  <c r="M37" i="23"/>
  <c r="O39" i="46" s="1"/>
  <c r="M29" i="23"/>
  <c r="O29" i="44" s="1"/>
  <c r="M21" i="23"/>
  <c r="O21" i="46" s="1"/>
  <c r="M13" i="23"/>
  <c r="O13" i="49" s="1"/>
  <c r="M5" i="23"/>
  <c r="L20" i="23"/>
  <c r="N20" i="46" s="1"/>
  <c r="J233" i="23"/>
  <c r="J201" i="23"/>
  <c r="G199" i="23"/>
  <c r="I203" i="23"/>
  <c r="I139" i="23"/>
  <c r="I75" i="23"/>
  <c r="I27" i="23"/>
  <c r="K27" i="46" s="1"/>
  <c r="J232" i="23"/>
  <c r="J200" i="23"/>
  <c r="J168" i="23"/>
  <c r="J136" i="23"/>
  <c r="J104" i="23"/>
  <c r="J72" i="23"/>
  <c r="L54" i="49" s="1"/>
  <c r="J40" i="23"/>
  <c r="L42" i="44" s="1"/>
  <c r="G177" i="23"/>
  <c r="I195" i="23"/>
  <c r="I131" i="23"/>
  <c r="I67" i="23"/>
  <c r="K49" i="44" s="1"/>
  <c r="I26" i="23"/>
  <c r="K26" i="49" s="1"/>
  <c r="J225" i="23"/>
  <c r="J193" i="23"/>
  <c r="J161" i="23"/>
  <c r="J129" i="23"/>
  <c r="J97" i="23"/>
  <c r="J65" i="23"/>
  <c r="L76" i="49" s="1"/>
  <c r="J33" i="23"/>
  <c r="L33" i="46" s="1"/>
  <c r="G70" i="23"/>
  <c r="I52" i="49" s="1"/>
  <c r="I187" i="23"/>
  <c r="I123" i="23"/>
  <c r="I59" i="23"/>
  <c r="K70" i="49" s="1"/>
  <c r="I19" i="23"/>
  <c r="K19" i="44" s="1"/>
  <c r="J224" i="23"/>
  <c r="J192" i="23"/>
  <c r="J160" i="23"/>
  <c r="J128" i="23"/>
  <c r="J96" i="23"/>
  <c r="J64" i="23"/>
  <c r="L75" i="44" s="1"/>
  <c r="J32" i="23"/>
  <c r="L32" i="44" s="1"/>
  <c r="F104" i="23"/>
  <c r="G63" i="23"/>
  <c r="I74" i="46" s="1"/>
  <c r="I179" i="23"/>
  <c r="I115" i="23"/>
  <c r="I51" i="23"/>
  <c r="K62" i="44" s="1"/>
  <c r="I18" i="23"/>
  <c r="K18" i="44" s="1"/>
  <c r="J217" i="23"/>
  <c r="J185" i="23"/>
  <c r="J153" i="23"/>
  <c r="J121" i="23"/>
  <c r="J89" i="23"/>
  <c r="J57" i="23"/>
  <c r="L68" i="46" s="1"/>
  <c r="J25" i="23"/>
  <c r="L24" i="49" s="1"/>
  <c r="I34" i="23"/>
  <c r="K34" i="44" s="1"/>
  <c r="I235" i="23"/>
  <c r="I171" i="23"/>
  <c r="I107" i="23"/>
  <c r="I43" i="23"/>
  <c r="K45" i="49" s="1"/>
  <c r="I11" i="23"/>
  <c r="K11" i="44" s="1"/>
  <c r="J216" i="23"/>
  <c r="J184" i="23"/>
  <c r="J152" i="23"/>
  <c r="J120" i="23"/>
  <c r="J88" i="23"/>
  <c r="J56" i="23"/>
  <c r="L67" i="49" s="1"/>
  <c r="J24" i="23"/>
  <c r="L25" i="46" s="1"/>
  <c r="I227" i="23"/>
  <c r="I163" i="23"/>
  <c r="I99" i="23"/>
  <c r="I42" i="23"/>
  <c r="K44" i="49" s="1"/>
  <c r="I10" i="23"/>
  <c r="K10" i="49" s="1"/>
  <c r="J209" i="23"/>
  <c r="J177" i="23"/>
  <c r="J145" i="23"/>
  <c r="J113" i="23"/>
  <c r="J81" i="23"/>
  <c r="J49" i="23"/>
  <c r="L60" i="46" s="1"/>
  <c r="J17" i="23"/>
  <c r="L17" i="49" s="1"/>
  <c r="F123" i="23"/>
  <c r="I219" i="23"/>
  <c r="I155" i="23"/>
  <c r="I91" i="23"/>
  <c r="I35" i="23"/>
  <c r="K35" i="46" s="1"/>
  <c r="I3" i="23"/>
  <c r="J208" i="23"/>
  <c r="J176" i="23"/>
  <c r="J144" i="23"/>
  <c r="J112" i="23"/>
  <c r="J80" i="23"/>
  <c r="J48" i="23"/>
  <c r="L59" i="44" s="1"/>
  <c r="J9" i="23"/>
  <c r="L9" i="46" s="1"/>
  <c r="I226" i="23"/>
  <c r="I210" i="23"/>
  <c r="I178" i="23"/>
  <c r="J16" i="23"/>
  <c r="L16" i="46" s="1"/>
  <c r="J8" i="23"/>
  <c r="L8" i="46" s="1"/>
  <c r="F99" i="23"/>
  <c r="G158" i="23"/>
  <c r="G33" i="23"/>
  <c r="I33" i="49" s="1"/>
  <c r="J239" i="23"/>
  <c r="J231" i="23"/>
  <c r="J223" i="23"/>
  <c r="J215" i="23"/>
  <c r="J207" i="23"/>
  <c r="J199" i="23"/>
  <c r="J191" i="23"/>
  <c r="J183" i="23"/>
  <c r="J175" i="23"/>
  <c r="J167" i="23"/>
  <c r="J159" i="23"/>
  <c r="J151" i="23"/>
  <c r="J143" i="23"/>
  <c r="J135" i="23"/>
  <c r="J127" i="23"/>
  <c r="J119" i="23"/>
  <c r="J111" i="23"/>
  <c r="J103" i="23"/>
  <c r="J95" i="23"/>
  <c r="J87" i="23"/>
  <c r="J79" i="23"/>
  <c r="J71" i="23"/>
  <c r="L53" i="44" s="1"/>
  <c r="J63" i="23"/>
  <c r="L74" i="49" s="1"/>
  <c r="J55" i="23"/>
  <c r="L66" i="44" s="1"/>
  <c r="J47" i="23"/>
  <c r="L58" i="49" s="1"/>
  <c r="J39" i="23"/>
  <c r="L41" i="44" s="1"/>
  <c r="J31" i="23"/>
  <c r="L31" i="49" s="1"/>
  <c r="J23" i="23"/>
  <c r="L23" i="49" s="1"/>
  <c r="J15" i="23"/>
  <c r="L15" i="49" s="1"/>
  <c r="J7" i="23"/>
  <c r="L7" i="46" s="1"/>
  <c r="F81" i="23"/>
  <c r="G135" i="23"/>
  <c r="G31" i="23"/>
  <c r="I31" i="49" s="1"/>
  <c r="J238" i="23"/>
  <c r="J230" i="23"/>
  <c r="J222" i="23"/>
  <c r="J214" i="23"/>
  <c r="J206" i="23"/>
  <c r="J198" i="23"/>
  <c r="J190" i="23"/>
  <c r="J182" i="23"/>
  <c r="J174" i="23"/>
  <c r="J166" i="23"/>
  <c r="J158" i="23"/>
  <c r="J150" i="23"/>
  <c r="J142" i="23"/>
  <c r="J134" i="23"/>
  <c r="J126" i="23"/>
  <c r="J118" i="23"/>
  <c r="J110" i="23"/>
  <c r="J102" i="23"/>
  <c r="J94" i="23"/>
  <c r="J86" i="23"/>
  <c r="J78" i="23"/>
  <c r="J70" i="23"/>
  <c r="L52" i="46" s="1"/>
  <c r="J62" i="23"/>
  <c r="L73" i="44" s="1"/>
  <c r="J54" i="23"/>
  <c r="L65" i="49" s="1"/>
  <c r="J46" i="23"/>
  <c r="L57" i="46" s="1"/>
  <c r="J38" i="23"/>
  <c r="L40" i="46" s="1"/>
  <c r="J30" i="23"/>
  <c r="L30" i="49" s="1"/>
  <c r="J22" i="23"/>
  <c r="L22" i="44" s="1"/>
  <c r="J14" i="23"/>
  <c r="L14" i="49" s="1"/>
  <c r="J6" i="23"/>
  <c r="L6" i="49" s="1"/>
  <c r="I154" i="23"/>
  <c r="I146" i="23"/>
  <c r="I138" i="23"/>
  <c r="I130" i="23"/>
  <c r="I122" i="23"/>
  <c r="I114" i="23"/>
  <c r="I106" i="23"/>
  <c r="I98" i="23"/>
  <c r="I90" i="23"/>
  <c r="I82" i="23"/>
  <c r="I74" i="23"/>
  <c r="K4" i="44" s="1"/>
  <c r="I66" i="23"/>
  <c r="K55" i="46" s="1"/>
  <c r="I58" i="23"/>
  <c r="K69" i="49" s="1"/>
  <c r="I50" i="23"/>
  <c r="K61" i="49" s="1"/>
  <c r="F209" i="23"/>
  <c r="F80" i="23"/>
  <c r="G134" i="23"/>
  <c r="J237" i="23"/>
  <c r="J229" i="23"/>
  <c r="J221" i="23"/>
  <c r="J213" i="23"/>
  <c r="J205" i="23"/>
  <c r="J197" i="23"/>
  <c r="J189" i="23"/>
  <c r="J181" i="23"/>
  <c r="J173" i="23"/>
  <c r="J165" i="23"/>
  <c r="J157" i="23"/>
  <c r="J149" i="23"/>
  <c r="J141" i="23"/>
  <c r="J133" i="23"/>
  <c r="J125" i="23"/>
  <c r="J117" i="23"/>
  <c r="J109" i="23"/>
  <c r="J101" i="23"/>
  <c r="J93" i="23"/>
  <c r="J85" i="23"/>
  <c r="J77" i="23"/>
  <c r="J69" i="23"/>
  <c r="L51" i="44" s="1"/>
  <c r="J61" i="23"/>
  <c r="L72" i="49" s="1"/>
  <c r="J53" i="23"/>
  <c r="L64" i="49" s="1"/>
  <c r="J45" i="23"/>
  <c r="L48" i="44" s="1"/>
  <c r="J37" i="23"/>
  <c r="L39" i="44" s="1"/>
  <c r="J29" i="23"/>
  <c r="L29" i="46" s="1"/>
  <c r="J21" i="23"/>
  <c r="L21" i="44" s="1"/>
  <c r="J13" i="23"/>
  <c r="L13" i="49" s="1"/>
  <c r="J5" i="23"/>
  <c r="L5" i="46" s="1"/>
  <c r="I234" i="23"/>
  <c r="I218" i="23"/>
  <c r="I202" i="23"/>
  <c r="I194" i="23"/>
  <c r="I186" i="23"/>
  <c r="I170" i="23"/>
  <c r="I162" i="23"/>
  <c r="I2" i="23"/>
  <c r="K5" i="49" s="1"/>
  <c r="F187" i="23"/>
  <c r="G113" i="23"/>
  <c r="J236" i="23"/>
  <c r="J228" i="23"/>
  <c r="J220" i="23"/>
  <c r="J212" i="23"/>
  <c r="J204" i="23"/>
  <c r="J196" i="23"/>
  <c r="J188" i="23"/>
  <c r="J180" i="23"/>
  <c r="J172" i="23"/>
  <c r="J164" i="23"/>
  <c r="J156" i="23"/>
  <c r="J148" i="23"/>
  <c r="J140" i="23"/>
  <c r="J132" i="23"/>
  <c r="J124" i="23"/>
  <c r="J116" i="23"/>
  <c r="J108" i="23"/>
  <c r="J100" i="23"/>
  <c r="J92" i="23"/>
  <c r="J84" i="23"/>
  <c r="J76" i="23"/>
  <c r="J68" i="23"/>
  <c r="L50" i="46" s="1"/>
  <c r="J60" i="23"/>
  <c r="L71" i="49" s="1"/>
  <c r="J52" i="23"/>
  <c r="L63" i="44" s="1"/>
  <c r="J44" i="23"/>
  <c r="L47" i="44" s="1"/>
  <c r="J36" i="23"/>
  <c r="L36" i="49" s="1"/>
  <c r="J28" i="23"/>
  <c r="L28" i="44" s="1"/>
  <c r="J20" i="23"/>
  <c r="L20" i="46" s="1"/>
  <c r="J12" i="23"/>
  <c r="L12" i="46" s="1"/>
  <c r="J4" i="23"/>
  <c r="L38" i="46" s="1"/>
  <c r="F163" i="23"/>
  <c r="F27" i="23"/>
  <c r="H27" i="44" s="1"/>
  <c r="G111" i="23"/>
  <c r="F145" i="23"/>
  <c r="G222" i="23"/>
  <c r="G94" i="23"/>
  <c r="F232" i="23"/>
  <c r="F3" i="23"/>
  <c r="F227" i="23"/>
  <c r="F208" i="23"/>
  <c r="F185" i="23"/>
  <c r="F144" i="23"/>
  <c r="F121" i="23"/>
  <c r="G239" i="23"/>
  <c r="G217" i="23"/>
  <c r="G198" i="23"/>
  <c r="G175" i="23"/>
  <c r="G153" i="23"/>
  <c r="G89" i="23"/>
  <c r="F225" i="23"/>
  <c r="F203" i="23"/>
  <c r="F184" i="23"/>
  <c r="F161" i="23"/>
  <c r="F139" i="23"/>
  <c r="F120" i="23"/>
  <c r="F97" i="23"/>
  <c r="F75" i="23"/>
  <c r="F26" i="23"/>
  <c r="H26" i="49" s="1"/>
  <c r="G238" i="23"/>
  <c r="G215" i="23"/>
  <c r="G193" i="23"/>
  <c r="G174" i="23"/>
  <c r="G151" i="23"/>
  <c r="G129" i="23"/>
  <c r="G110" i="23"/>
  <c r="G87" i="23"/>
  <c r="G62" i="23"/>
  <c r="I73" i="49" s="1"/>
  <c r="G25" i="23"/>
  <c r="I24" i="46" s="1"/>
  <c r="F224" i="23"/>
  <c r="F201" i="23"/>
  <c r="F179" i="23"/>
  <c r="F160" i="23"/>
  <c r="F137" i="23"/>
  <c r="F115" i="23"/>
  <c r="F96" i="23"/>
  <c r="F43" i="23"/>
  <c r="H45" i="44" s="1"/>
  <c r="G233" i="23"/>
  <c r="G214" i="23"/>
  <c r="G191" i="23"/>
  <c r="G169" i="23"/>
  <c r="G150" i="23"/>
  <c r="G127" i="23"/>
  <c r="G105" i="23"/>
  <c r="G86" i="23"/>
  <c r="G55" i="23"/>
  <c r="I66" i="46" s="1"/>
  <c r="G23" i="23"/>
  <c r="I23" i="46" s="1"/>
  <c r="F219" i="23"/>
  <c r="F200" i="23"/>
  <c r="F155" i="23"/>
  <c r="F136" i="23"/>
  <c r="F91" i="23"/>
  <c r="F42" i="23"/>
  <c r="H44" i="49" s="1"/>
  <c r="F19" i="23"/>
  <c r="H19" i="49" s="1"/>
  <c r="G231" i="23"/>
  <c r="G190" i="23"/>
  <c r="G167" i="23"/>
  <c r="G126" i="23"/>
  <c r="G103" i="23"/>
  <c r="G54" i="23"/>
  <c r="I65" i="49" s="1"/>
  <c r="G17" i="23"/>
  <c r="I17" i="46" s="1"/>
  <c r="F168" i="23"/>
  <c r="F195" i="23"/>
  <c r="F176" i="23"/>
  <c r="F131" i="23"/>
  <c r="F112" i="23"/>
  <c r="F41" i="23"/>
  <c r="H43" i="46" s="1"/>
  <c r="G230" i="23"/>
  <c r="G207" i="23"/>
  <c r="G166" i="23"/>
  <c r="G143" i="23"/>
  <c r="G102" i="23"/>
  <c r="G79" i="23"/>
  <c r="G47" i="23"/>
  <c r="I58" i="49" s="1"/>
  <c r="G15" i="23"/>
  <c r="I15" i="46" s="1"/>
  <c r="F235" i="23"/>
  <c r="F216" i="23"/>
  <c r="F171" i="23"/>
  <c r="F152" i="23"/>
  <c r="F107" i="23"/>
  <c r="F88" i="23"/>
  <c r="F35" i="23"/>
  <c r="H35" i="49" s="1"/>
  <c r="F11" i="23"/>
  <c r="H11" i="44" s="1"/>
  <c r="G206" i="23"/>
  <c r="G183" i="23"/>
  <c r="G142" i="23"/>
  <c r="G119" i="23"/>
  <c r="G78" i="23"/>
  <c r="G9" i="23"/>
  <c r="I9" i="49" s="1"/>
  <c r="F211" i="23"/>
  <c r="F192" i="23"/>
  <c r="F147" i="23"/>
  <c r="F128" i="23"/>
  <c r="F83" i="23"/>
  <c r="F34" i="23"/>
  <c r="H34" i="49" s="1"/>
  <c r="G223" i="23"/>
  <c r="G182" i="23"/>
  <c r="G159" i="23"/>
  <c r="G118" i="23"/>
  <c r="G95" i="23"/>
  <c r="G71" i="23"/>
  <c r="I53" i="46" s="1"/>
  <c r="G39" i="23"/>
  <c r="I41" i="44" s="1"/>
  <c r="G7" i="23"/>
  <c r="I7" i="49" s="1"/>
  <c r="F59" i="23"/>
  <c r="H70" i="49" s="1"/>
  <c r="F67" i="23"/>
  <c r="H49" i="46" s="1"/>
  <c r="F51" i="23"/>
  <c r="H62" i="49" s="1"/>
  <c r="G73" i="23"/>
  <c r="I46" i="44" s="1"/>
  <c r="G65" i="23"/>
  <c r="I76" i="49" s="1"/>
  <c r="G57" i="23"/>
  <c r="I68" i="49" s="1"/>
  <c r="G49" i="23"/>
  <c r="I60" i="44" s="1"/>
  <c r="F234" i="23"/>
  <c r="F226" i="23"/>
  <c r="F218" i="23"/>
  <c r="F210" i="23"/>
  <c r="F202" i="23"/>
  <c r="F194" i="23"/>
  <c r="F186" i="23"/>
  <c r="F178" i="23"/>
  <c r="F170" i="23"/>
  <c r="F162" i="23"/>
  <c r="F154" i="23"/>
  <c r="F146" i="23"/>
  <c r="F138" i="23"/>
  <c r="F130" i="23"/>
  <c r="F122" i="23"/>
  <c r="F114" i="23"/>
  <c r="F106" i="23"/>
  <c r="F98" i="23"/>
  <c r="F90" i="23"/>
  <c r="F82" i="23"/>
  <c r="F74" i="23"/>
  <c r="F66" i="23"/>
  <c r="H55" i="49" s="1"/>
  <c r="F58" i="23"/>
  <c r="H69" i="49" s="1"/>
  <c r="F50" i="23"/>
  <c r="H61" i="49" s="1"/>
  <c r="F18" i="23"/>
  <c r="H18" i="49" s="1"/>
  <c r="F10" i="23"/>
  <c r="H10" i="49" s="1"/>
  <c r="F2" i="23"/>
  <c r="G72" i="23"/>
  <c r="I54" i="49" s="1"/>
  <c r="G64" i="23"/>
  <c r="I75" i="46" s="1"/>
  <c r="G56" i="23"/>
  <c r="I67" i="46" s="1"/>
  <c r="G48" i="23"/>
  <c r="I59" i="49" s="1"/>
  <c r="G40" i="23"/>
  <c r="I42" i="49" s="1"/>
  <c r="G32" i="23"/>
  <c r="I32" i="49" s="1"/>
  <c r="G24" i="23"/>
  <c r="I25" i="49" s="1"/>
  <c r="G16" i="23"/>
  <c r="I16" i="46" s="1"/>
  <c r="G8" i="23"/>
  <c r="I8" i="49" s="1"/>
  <c r="G6" i="23"/>
  <c r="I6" i="46" s="1"/>
  <c r="G237" i="23"/>
  <c r="G229" i="23"/>
  <c r="G221" i="23"/>
  <c r="G213" i="23"/>
  <c r="G205" i="23"/>
  <c r="G197" i="23"/>
  <c r="G189" i="23"/>
  <c r="G181" i="23"/>
  <c r="G173" i="23"/>
  <c r="G165" i="23"/>
  <c r="G157" i="23"/>
  <c r="G149" i="23"/>
  <c r="G141" i="23"/>
  <c r="G133" i="23"/>
  <c r="G125" i="23"/>
  <c r="G117" i="23"/>
  <c r="G109" i="23"/>
  <c r="G101" i="23"/>
  <c r="G93" i="23"/>
  <c r="G85" i="23"/>
  <c r="G77" i="23"/>
  <c r="G69" i="23"/>
  <c r="I51" i="44" s="1"/>
  <c r="G61" i="23"/>
  <c r="I72" i="44" s="1"/>
  <c r="G53" i="23"/>
  <c r="I64" i="46" s="1"/>
  <c r="G45" i="23"/>
  <c r="I48" i="46" s="1"/>
  <c r="G37" i="23"/>
  <c r="I39" i="49" s="1"/>
  <c r="G29" i="23"/>
  <c r="I29" i="49" s="1"/>
  <c r="G21" i="23"/>
  <c r="I21" i="49" s="1"/>
  <c r="G13" i="23"/>
  <c r="I13" i="46" s="1"/>
  <c r="G5" i="23"/>
  <c r="I5" i="44" s="1"/>
  <c r="F46" i="23"/>
  <c r="H57" i="49" s="1"/>
  <c r="F38" i="23"/>
  <c r="H40" i="46" s="1"/>
  <c r="F30" i="23"/>
  <c r="H30" i="49" s="1"/>
  <c r="F22" i="23"/>
  <c r="H22" i="44" s="1"/>
  <c r="F14" i="23"/>
  <c r="H14" i="49" s="1"/>
  <c r="G236" i="23"/>
  <c r="G228" i="23"/>
  <c r="G220" i="23"/>
  <c r="G212" i="23"/>
  <c r="G204" i="23"/>
  <c r="G196" i="23"/>
  <c r="G188" i="23"/>
  <c r="G180" i="23"/>
  <c r="G172" i="23"/>
  <c r="G164" i="23"/>
  <c r="G156" i="23"/>
  <c r="G148" i="23"/>
  <c r="G140" i="23"/>
  <c r="G132" i="23"/>
  <c r="G124" i="23"/>
  <c r="G116" i="23"/>
  <c r="G108" i="23"/>
  <c r="G100" i="23"/>
  <c r="G92" i="23"/>
  <c r="G84" i="23"/>
  <c r="G76" i="23"/>
  <c r="G68" i="23"/>
  <c r="I50" i="49" s="1"/>
  <c r="G60" i="23"/>
  <c r="I71" i="44" s="1"/>
  <c r="G52" i="23"/>
  <c r="I63" i="49" s="1"/>
  <c r="G44" i="23"/>
  <c r="I47" i="49" s="1"/>
  <c r="G36" i="23"/>
  <c r="I36" i="49" s="1"/>
  <c r="G28" i="23"/>
  <c r="I28" i="46" s="1"/>
  <c r="G20" i="23"/>
  <c r="I20" i="44" s="1"/>
  <c r="G12" i="23"/>
  <c r="I12" i="49" s="1"/>
  <c r="G4" i="23"/>
  <c r="I38" i="44" s="1"/>
  <c r="G23" i="6"/>
  <c r="G24" i="6"/>
  <c r="G25" i="6"/>
  <c r="G26" i="6"/>
  <c r="G27" i="6"/>
  <c r="G28" i="6"/>
  <c r="G29" i="6"/>
  <c r="G30" i="6"/>
  <c r="G31" i="6"/>
  <c r="G32" i="6"/>
  <c r="G33" i="6"/>
  <c r="G22" i="6"/>
  <c r="G19" i="6"/>
  <c r="G9" i="6"/>
  <c r="G10" i="6"/>
  <c r="G11" i="6"/>
  <c r="G12" i="6"/>
  <c r="G13" i="6"/>
  <c r="G14" i="6"/>
  <c r="G15" i="6"/>
  <c r="G16" i="6"/>
  <c r="G17" i="6"/>
  <c r="G18" i="6"/>
  <c r="G8" i="6"/>
  <c r="AI20" i="49" l="1"/>
  <c r="AH4" i="49"/>
  <c r="AE9" i="49"/>
  <c r="AI22" i="49"/>
  <c r="AF53" i="49"/>
  <c r="K4" i="49"/>
  <c r="AF12" i="49"/>
  <c r="L21" i="49"/>
  <c r="AF42" i="49"/>
  <c r="AI50" i="49"/>
  <c r="AF50" i="49"/>
  <c r="O76" i="49"/>
  <c r="AF30" i="49"/>
  <c r="N11" i="49"/>
  <c r="O75" i="49"/>
  <c r="AI6" i="49"/>
  <c r="AF54" i="49"/>
  <c r="L25" i="49"/>
  <c r="AF39" i="49"/>
  <c r="AI52" i="49"/>
  <c r="H4" i="49"/>
  <c r="AF5" i="49"/>
  <c r="O4" i="49"/>
  <c r="AI24" i="49"/>
  <c r="AI15" i="49"/>
  <c r="I20" i="49"/>
  <c r="L8" i="49"/>
  <c r="AI32" i="49"/>
  <c r="O9" i="49"/>
  <c r="H27" i="49"/>
  <c r="L29" i="49"/>
  <c r="L40" i="49"/>
  <c r="N47" i="49"/>
  <c r="L48" i="49"/>
  <c r="AH60" i="49"/>
  <c r="AE49" i="49"/>
  <c r="O46" i="49"/>
  <c r="H45" i="49"/>
  <c r="L47" i="49"/>
  <c r="I67" i="49"/>
  <c r="O48" i="49"/>
  <c r="AI59" i="49"/>
  <c r="I71" i="49"/>
  <c r="AH69" i="49"/>
  <c r="O57" i="49"/>
  <c r="AE10" i="49"/>
  <c r="I16" i="49"/>
  <c r="L50" i="49"/>
  <c r="I75" i="49"/>
  <c r="H43" i="49"/>
  <c r="I66" i="49"/>
  <c r="L75" i="49"/>
  <c r="K18" i="49"/>
  <c r="I13" i="49"/>
  <c r="K34" i="49"/>
  <c r="L22" i="49"/>
  <c r="AI7" i="49"/>
  <c r="AH10" i="49"/>
  <c r="I23" i="49"/>
  <c r="AF8" i="49"/>
  <c r="AI45" i="49"/>
  <c r="L32" i="49"/>
  <c r="K35" i="49"/>
  <c r="I41" i="49"/>
  <c r="N35" i="49"/>
  <c r="O51" i="49"/>
  <c r="AE44" i="49"/>
  <c r="I51" i="49"/>
  <c r="AI66" i="49"/>
  <c r="K55" i="49"/>
  <c r="AF47" i="49"/>
  <c r="I53" i="49"/>
  <c r="O60" i="49"/>
  <c r="L68" i="49"/>
  <c r="O72" i="49"/>
  <c r="AF58" i="49"/>
  <c r="I17" i="49"/>
  <c r="AI16" i="49"/>
  <c r="H11" i="49"/>
  <c r="K62" i="49"/>
  <c r="L28" i="49"/>
  <c r="O33" i="49"/>
  <c r="AF31" i="49"/>
  <c r="L46" i="49"/>
  <c r="AI27" i="49"/>
  <c r="AI42" i="49"/>
  <c r="O53" i="49"/>
  <c r="AF43" i="49"/>
  <c r="AF60" i="49"/>
  <c r="O67" i="49"/>
  <c r="O68" i="49"/>
  <c r="L5" i="49"/>
  <c r="AF22" i="49"/>
  <c r="L9" i="49"/>
  <c r="H22" i="49"/>
  <c r="K49" i="49"/>
  <c r="O41" i="49"/>
  <c r="K27" i="49"/>
  <c r="O29" i="49"/>
  <c r="AE35" i="49"/>
  <c r="N36" i="49"/>
  <c r="I48" i="49"/>
  <c r="N27" i="49"/>
  <c r="H40" i="49"/>
  <c r="I28" i="49"/>
  <c r="AE69" i="49"/>
  <c r="AF68" i="49"/>
  <c r="O73" i="49"/>
  <c r="AF71" i="49"/>
  <c r="AE70" i="49"/>
  <c r="L7" i="49"/>
  <c r="AF15" i="49"/>
  <c r="AI28" i="49"/>
  <c r="AF13" i="49"/>
  <c r="AH13" i="49"/>
  <c r="L20" i="49"/>
  <c r="K19" i="49"/>
  <c r="O21" i="49"/>
  <c r="O26" i="49"/>
  <c r="L41" i="49"/>
  <c r="AI47" i="49"/>
  <c r="AF28" i="49"/>
  <c r="N37" i="49"/>
  <c r="O25" i="49"/>
  <c r="I38" i="49"/>
  <c r="L42" i="49"/>
  <c r="I46" i="49"/>
  <c r="L38" i="49"/>
  <c r="K56" i="49"/>
  <c r="L52" i="49"/>
  <c r="L63" i="49"/>
  <c r="AI53" i="49"/>
  <c r="L60" i="49"/>
  <c r="AH55" i="49"/>
  <c r="AI67" i="49"/>
  <c r="I72" i="49"/>
  <c r="O69" i="49"/>
  <c r="H5" i="44"/>
  <c r="D10" i="54"/>
  <c r="E10" i="54" s="1"/>
  <c r="D21" i="54"/>
  <c r="E21" i="54" s="1"/>
  <c r="C7" i="54"/>
  <c r="C15" i="54"/>
  <c r="C26" i="54"/>
  <c r="D11" i="54"/>
  <c r="E11" i="54" s="1"/>
  <c r="D22" i="54"/>
  <c r="E22" i="54" s="1"/>
  <c r="C8" i="54"/>
  <c r="C19" i="54"/>
  <c r="C27" i="54"/>
  <c r="D12" i="54"/>
  <c r="E12" i="54" s="1"/>
  <c r="D23" i="54"/>
  <c r="E23" i="54" s="1"/>
  <c r="C9" i="54"/>
  <c r="C20" i="54"/>
  <c r="D13" i="54"/>
  <c r="E13" i="54" s="1"/>
  <c r="D24" i="54"/>
  <c r="E24" i="54" s="1"/>
  <c r="C10" i="54"/>
  <c r="C21" i="54"/>
  <c r="D6" i="54"/>
  <c r="E6" i="54" s="1"/>
  <c r="D14" i="54"/>
  <c r="E14" i="54" s="1"/>
  <c r="D25" i="54"/>
  <c r="E25" i="54" s="1"/>
  <c r="C11" i="54"/>
  <c r="C22" i="54"/>
  <c r="D8" i="54"/>
  <c r="E8" i="54" s="1"/>
  <c r="D19" i="54"/>
  <c r="E19" i="54" s="1"/>
  <c r="D27" i="54"/>
  <c r="E27" i="54" s="1"/>
  <c r="C13" i="54"/>
  <c r="C24" i="54"/>
  <c r="D9" i="54"/>
  <c r="E9" i="54" s="1"/>
  <c r="D20" i="54"/>
  <c r="E20" i="54" s="1"/>
  <c r="C6" i="54"/>
  <c r="C14" i="54"/>
  <c r="C25" i="54"/>
  <c r="D7" i="54"/>
  <c r="E7" i="54" s="1"/>
  <c r="D15" i="54"/>
  <c r="E15" i="54" s="1"/>
  <c r="D26" i="54"/>
  <c r="E26" i="54" s="1"/>
  <c r="C12" i="54"/>
  <c r="C23" i="54"/>
  <c r="AF6" i="49"/>
  <c r="N20" i="49"/>
  <c r="O24" i="49"/>
  <c r="O15" i="49"/>
  <c r="L16" i="49"/>
  <c r="N45" i="49"/>
  <c r="N28" i="49"/>
  <c r="O55" i="49"/>
  <c r="K37" i="49"/>
  <c r="O39" i="49"/>
  <c r="L59" i="49"/>
  <c r="AH48" i="49"/>
  <c r="AE62" i="49"/>
  <c r="H56" i="49"/>
  <c r="L57" i="49"/>
  <c r="AI73" i="49"/>
  <c r="L66" i="49"/>
  <c r="AI12" i="49"/>
  <c r="O8" i="49"/>
  <c r="I6" i="49"/>
  <c r="N19" i="49"/>
  <c r="AE17" i="49"/>
  <c r="I24" i="49"/>
  <c r="L12" i="49"/>
  <c r="AF20" i="49"/>
  <c r="K11" i="49"/>
  <c r="AH26" i="49"/>
  <c r="L33" i="49"/>
  <c r="AH37" i="49"/>
  <c r="AI25" i="49"/>
  <c r="AI43" i="49"/>
  <c r="AF48" i="49"/>
  <c r="O64" i="49"/>
  <c r="H37" i="49"/>
  <c r="L39" i="49"/>
  <c r="O40" i="49"/>
  <c r="AE45" i="49"/>
  <c r="AF52" i="49"/>
  <c r="I60" i="49"/>
  <c r="H49" i="49"/>
  <c r="L51" i="49"/>
  <c r="O52" i="49"/>
  <c r="L53" i="49"/>
  <c r="I64" i="49"/>
  <c r="L73" i="49"/>
  <c r="I74" i="49"/>
  <c r="AH76" i="49"/>
  <c r="I15" i="49"/>
  <c r="I5" i="49"/>
  <c r="B31" i="54"/>
  <c r="K5" i="46"/>
  <c r="O56" i="44"/>
  <c r="O5" i="49"/>
  <c r="O5" i="44"/>
  <c r="AH56" i="46"/>
  <c r="AH5" i="49"/>
  <c r="AE56" i="46"/>
  <c r="AE5" i="49"/>
  <c r="N4" i="44"/>
  <c r="K5" i="44"/>
  <c r="H56" i="46"/>
  <c r="H5" i="49"/>
  <c r="AE37" i="44"/>
  <c r="AE4" i="49"/>
  <c r="H4" i="44"/>
  <c r="H5" i="46"/>
  <c r="AE5" i="44"/>
  <c r="AF14" i="46"/>
  <c r="I52" i="46"/>
  <c r="AI27" i="44"/>
  <c r="AF25" i="46"/>
  <c r="L36" i="44"/>
  <c r="AF52" i="44"/>
  <c r="AI65" i="46"/>
  <c r="O58" i="46"/>
  <c r="AI45" i="44"/>
  <c r="L6" i="46"/>
  <c r="O68" i="44"/>
  <c r="I12" i="46"/>
  <c r="AH61" i="44"/>
  <c r="K37" i="44"/>
  <c r="I76" i="46"/>
  <c r="AI73" i="44"/>
  <c r="O18" i="46"/>
  <c r="N27" i="44"/>
  <c r="L29" i="44"/>
  <c r="AI32" i="44"/>
  <c r="AH19" i="44"/>
  <c r="K35" i="44"/>
  <c r="AI6" i="44"/>
  <c r="AI42" i="46"/>
  <c r="AI25" i="44"/>
  <c r="N35" i="46"/>
  <c r="AH5" i="44"/>
  <c r="I76" i="44"/>
  <c r="AI23" i="44"/>
  <c r="H43" i="44"/>
  <c r="AH39" i="44"/>
  <c r="AH29" i="44"/>
  <c r="AI43" i="44"/>
  <c r="I50" i="46"/>
  <c r="AF15" i="46"/>
  <c r="K4" i="46"/>
  <c r="O69" i="46"/>
  <c r="I6" i="44"/>
  <c r="AI35" i="46"/>
  <c r="K44" i="46"/>
  <c r="AI28" i="44"/>
  <c r="K26" i="44"/>
  <c r="N28" i="46"/>
  <c r="AF50" i="44"/>
  <c r="AH4" i="44"/>
  <c r="I75" i="44"/>
  <c r="AI66" i="44"/>
  <c r="AE33" i="44"/>
  <c r="AI53" i="46"/>
  <c r="H27" i="46"/>
  <c r="AI72" i="44"/>
  <c r="O58" i="44"/>
  <c r="H26" i="44"/>
  <c r="AH26" i="46"/>
  <c r="I73" i="46"/>
  <c r="I50" i="44"/>
  <c r="AE18" i="44"/>
  <c r="AE11" i="44"/>
  <c r="L60" i="44"/>
  <c r="AI51" i="44"/>
  <c r="H26" i="46"/>
  <c r="O29" i="46"/>
  <c r="O60" i="46"/>
  <c r="L63" i="46"/>
  <c r="AI72" i="46"/>
  <c r="L36" i="46"/>
  <c r="AH39" i="46"/>
  <c r="AE69" i="46"/>
  <c r="AI71" i="46"/>
  <c r="AI33" i="44"/>
  <c r="AF73" i="44"/>
  <c r="AF6" i="44"/>
  <c r="H40" i="44"/>
  <c r="AI74" i="46"/>
  <c r="I64" i="44"/>
  <c r="K44" i="44"/>
  <c r="AH21" i="44"/>
  <c r="H30" i="44"/>
  <c r="H4" i="46"/>
  <c r="AF60" i="46"/>
  <c r="AI7" i="46"/>
  <c r="AF16" i="46"/>
  <c r="AI51" i="46"/>
  <c r="AH29" i="46"/>
  <c r="O40" i="46"/>
  <c r="H56" i="44"/>
  <c r="AI64" i="44"/>
  <c r="AI65" i="44"/>
  <c r="AF25" i="44"/>
  <c r="AI52" i="44"/>
  <c r="L57" i="44"/>
  <c r="AH4" i="46"/>
  <c r="AF5" i="46"/>
  <c r="O73" i="46"/>
  <c r="L76" i="46"/>
  <c r="AF51" i="46"/>
  <c r="I33" i="46"/>
  <c r="AH21" i="46"/>
  <c r="I73" i="44"/>
  <c r="AH76" i="44"/>
  <c r="AF38" i="44"/>
  <c r="L28" i="46"/>
  <c r="K62" i="46"/>
  <c r="I48" i="44"/>
  <c r="L64" i="46"/>
  <c r="L6" i="44"/>
  <c r="I33" i="44"/>
  <c r="L17" i="46"/>
  <c r="AE33" i="46"/>
  <c r="O55" i="46"/>
  <c r="O41" i="46"/>
  <c r="AI8" i="46"/>
  <c r="N11" i="46"/>
  <c r="O64" i="46"/>
  <c r="I46" i="46"/>
  <c r="K11" i="46"/>
  <c r="AF73" i="46"/>
  <c r="L66" i="46"/>
  <c r="O67" i="46"/>
  <c r="AE4" i="44"/>
  <c r="O10" i="44"/>
  <c r="I38" i="46"/>
  <c r="AF16" i="44"/>
  <c r="AF22" i="44"/>
  <c r="H30" i="46"/>
  <c r="AI50" i="46"/>
  <c r="AH19" i="46"/>
  <c r="O43" i="46"/>
  <c r="K26" i="46"/>
  <c r="O57" i="44"/>
  <c r="O24" i="44"/>
  <c r="AF43" i="44"/>
  <c r="L9" i="44"/>
  <c r="O16" i="46"/>
  <c r="AH5" i="46"/>
  <c r="AI16" i="46"/>
  <c r="L24" i="46"/>
  <c r="O39" i="44"/>
  <c r="L40" i="44"/>
  <c r="L17" i="44"/>
  <c r="N38" i="44"/>
  <c r="K55" i="44"/>
  <c r="I67" i="44"/>
  <c r="N19" i="44"/>
  <c r="AI57" i="46"/>
  <c r="O16" i="44"/>
  <c r="I52" i="44"/>
  <c r="I15" i="44"/>
  <c r="AE18" i="46"/>
  <c r="AF42" i="46"/>
  <c r="AE27" i="46"/>
  <c r="O76" i="46"/>
  <c r="AE49" i="46"/>
  <c r="O9" i="46"/>
  <c r="AE11" i="46"/>
  <c r="L41" i="46"/>
  <c r="L39" i="46"/>
  <c r="O48" i="46"/>
  <c r="AI23" i="46"/>
  <c r="AF51" i="44"/>
  <c r="AF32" i="46"/>
  <c r="AF13" i="46"/>
  <c r="AI12" i="46"/>
  <c r="AH60" i="46"/>
  <c r="AF28" i="46"/>
  <c r="I32" i="46"/>
  <c r="I32" i="44"/>
  <c r="L14" i="44"/>
  <c r="L22" i="46"/>
  <c r="L15" i="44"/>
  <c r="L15" i="46"/>
  <c r="O22" i="44"/>
  <c r="O22" i="46"/>
  <c r="N37" i="46"/>
  <c r="O42" i="46"/>
  <c r="O61" i="44"/>
  <c r="O61" i="46"/>
  <c r="AF64" i="44"/>
  <c r="O34" i="44"/>
  <c r="O34" i="46"/>
  <c r="AF75" i="44"/>
  <c r="AF75" i="46"/>
  <c r="AF7" i="44"/>
  <c r="AI63" i="46"/>
  <c r="AI30" i="46"/>
  <c r="AI30" i="44"/>
  <c r="AI75" i="44"/>
  <c r="AH37" i="44"/>
  <c r="AI58" i="44"/>
  <c r="O46" i="44"/>
  <c r="N70" i="44"/>
  <c r="AI71" i="44"/>
  <c r="L52" i="44"/>
  <c r="O65" i="44"/>
  <c r="I59" i="44"/>
  <c r="O13" i="44"/>
  <c r="AE45" i="44"/>
  <c r="AF53" i="44"/>
  <c r="K37" i="46"/>
  <c r="AH56" i="44"/>
  <c r="AF30" i="46"/>
  <c r="H61" i="46"/>
  <c r="AF72" i="46"/>
  <c r="O54" i="44"/>
  <c r="AH68" i="44"/>
  <c r="I66" i="44"/>
  <c r="I42" i="44"/>
  <c r="L5" i="44"/>
  <c r="K27" i="44"/>
  <c r="I17" i="44"/>
  <c r="AE10" i="44"/>
  <c r="AE26" i="44"/>
  <c r="O65" i="46"/>
  <c r="L54" i="46"/>
  <c r="K45" i="46"/>
  <c r="L59" i="46"/>
  <c r="H35" i="46"/>
  <c r="AE62" i="46"/>
  <c r="AF64" i="46"/>
  <c r="O14" i="44"/>
  <c r="AI17" i="46"/>
  <c r="AF63" i="46"/>
  <c r="AE34" i="46"/>
  <c r="AI36" i="46"/>
  <c r="K69" i="46"/>
  <c r="I47" i="46"/>
  <c r="L38" i="44"/>
  <c r="I63" i="44"/>
  <c r="H69" i="46"/>
  <c r="H69" i="44"/>
  <c r="I68" i="44"/>
  <c r="I68" i="46"/>
  <c r="H44" i="44"/>
  <c r="L30" i="46"/>
  <c r="L23" i="46"/>
  <c r="L23" i="44"/>
  <c r="K10" i="46"/>
  <c r="O21" i="44"/>
  <c r="O30" i="46"/>
  <c r="O31" i="46"/>
  <c r="O59" i="44"/>
  <c r="O59" i="46"/>
  <c r="N62" i="46"/>
  <c r="O4" i="44"/>
  <c r="AF71" i="44"/>
  <c r="N71" i="46"/>
  <c r="N71" i="44"/>
  <c r="AF65" i="46"/>
  <c r="AF24" i="44"/>
  <c r="AI40" i="44"/>
  <c r="AI40" i="46"/>
  <c r="AH11" i="46"/>
  <c r="AH46" i="44"/>
  <c r="AH46" i="46"/>
  <c r="AE27" i="44"/>
  <c r="K45" i="44"/>
  <c r="AH13" i="44"/>
  <c r="O43" i="44"/>
  <c r="AF65" i="44"/>
  <c r="AI36" i="44"/>
  <c r="O33" i="44"/>
  <c r="O8" i="46"/>
  <c r="AI14" i="44"/>
  <c r="AF24" i="46"/>
  <c r="L13" i="46"/>
  <c r="L14" i="46"/>
  <c r="H61" i="44"/>
  <c r="AF23" i="44"/>
  <c r="O18" i="44"/>
  <c r="I5" i="46"/>
  <c r="AH37" i="46"/>
  <c r="L42" i="46"/>
  <c r="N50" i="46"/>
  <c r="AH68" i="46"/>
  <c r="AI54" i="46"/>
  <c r="AI31" i="46"/>
  <c r="AF23" i="46"/>
  <c r="L51" i="46"/>
  <c r="AF57" i="46"/>
  <c r="AI20" i="46"/>
  <c r="O52" i="46"/>
  <c r="H19" i="46"/>
  <c r="L21" i="46"/>
  <c r="H22" i="46"/>
  <c r="L32" i="46"/>
  <c r="I74" i="44"/>
  <c r="N50" i="44"/>
  <c r="K49" i="46"/>
  <c r="AF57" i="44"/>
  <c r="N63" i="44"/>
  <c r="AE35" i="44"/>
  <c r="I13" i="44"/>
  <c r="O66" i="44"/>
  <c r="I42" i="46"/>
  <c r="AI67" i="44"/>
  <c r="L48" i="46"/>
  <c r="K70" i="46"/>
  <c r="K61" i="44"/>
  <c r="N62" i="44"/>
  <c r="I47" i="44"/>
  <c r="AE70" i="46"/>
  <c r="L12" i="44"/>
  <c r="AH18" i="46"/>
  <c r="AI64" i="46"/>
  <c r="O14" i="46"/>
  <c r="AF59" i="46"/>
  <c r="L72" i="46"/>
  <c r="AF21" i="44"/>
  <c r="H19" i="44"/>
  <c r="K10" i="44"/>
  <c r="AH44" i="46"/>
  <c r="O44" i="46"/>
  <c r="I60" i="46"/>
  <c r="I21" i="46"/>
  <c r="I7" i="46"/>
  <c r="H57" i="44"/>
  <c r="I8" i="44"/>
  <c r="I8" i="46"/>
  <c r="I54" i="46"/>
  <c r="I54" i="44"/>
  <c r="H62" i="44"/>
  <c r="L58" i="44"/>
  <c r="L58" i="46"/>
  <c r="L68" i="44"/>
  <c r="L33" i="44"/>
  <c r="L43" i="44"/>
  <c r="N12" i="46"/>
  <c r="N12" i="44"/>
  <c r="AE55" i="46"/>
  <c r="AI62" i="44"/>
  <c r="AH55" i="46"/>
  <c r="AH34" i="46"/>
  <c r="AF74" i="44"/>
  <c r="N20" i="44"/>
  <c r="AF63" i="44"/>
  <c r="O26" i="46"/>
  <c r="AH11" i="44"/>
  <c r="O53" i="46"/>
  <c r="O44" i="44"/>
  <c r="I21" i="44"/>
  <c r="K70" i="44"/>
  <c r="AH44" i="44"/>
  <c r="O7" i="44"/>
  <c r="AF58" i="44"/>
  <c r="L54" i="44"/>
  <c r="AF36" i="44"/>
  <c r="H34" i="44"/>
  <c r="N45" i="44"/>
  <c r="N37" i="44"/>
  <c r="O17" i="44"/>
  <c r="AI8" i="44"/>
  <c r="I39" i="46"/>
  <c r="I71" i="46"/>
  <c r="I59" i="46"/>
  <c r="L7" i="44"/>
  <c r="L65" i="46"/>
  <c r="H45" i="46"/>
  <c r="L47" i="46"/>
  <c r="N63" i="46"/>
  <c r="AF74" i="46"/>
  <c r="H37" i="46"/>
  <c r="H18" i="46"/>
  <c r="L13" i="44"/>
  <c r="I72" i="46"/>
  <c r="I58" i="46"/>
  <c r="I58" i="44"/>
  <c r="N49" i="46"/>
  <c r="N49" i="44"/>
  <c r="AF8" i="46"/>
  <c r="AH69" i="46"/>
  <c r="I28" i="44"/>
  <c r="I51" i="46"/>
  <c r="I16" i="44"/>
  <c r="H49" i="44"/>
  <c r="I9" i="44"/>
  <c r="AF72" i="44"/>
  <c r="O72" i="44"/>
  <c r="I63" i="46"/>
  <c r="L65" i="44"/>
  <c r="I23" i="44"/>
  <c r="H14" i="46"/>
  <c r="AI58" i="46"/>
  <c r="N70" i="46"/>
  <c r="AI63" i="44"/>
  <c r="O23" i="44"/>
  <c r="L20" i="44"/>
  <c r="H14" i="44"/>
  <c r="L46" i="44"/>
  <c r="I39" i="44"/>
  <c r="I31" i="44"/>
  <c r="L25" i="44"/>
  <c r="I31" i="46"/>
  <c r="O42" i="44"/>
  <c r="AF14" i="44"/>
  <c r="AI47" i="46"/>
  <c r="I25" i="44"/>
  <c r="AE19" i="44"/>
  <c r="H62" i="46"/>
  <c r="I20" i="46"/>
  <c r="O23" i="46"/>
  <c r="L75" i="46"/>
  <c r="I24" i="44"/>
  <c r="AE26" i="46"/>
  <c r="K56" i="46"/>
  <c r="K56" i="44"/>
  <c r="L53" i="46"/>
  <c r="I36" i="44"/>
  <c r="I36" i="46"/>
  <c r="H10" i="46"/>
  <c r="H10" i="44"/>
  <c r="H70" i="46"/>
  <c r="H70" i="44"/>
  <c r="L71" i="46"/>
  <c r="L74" i="46"/>
  <c r="L74" i="44"/>
  <c r="O6" i="44"/>
  <c r="O6" i="46"/>
  <c r="O25" i="44"/>
  <c r="O56" i="46"/>
  <c r="AF41" i="46"/>
  <c r="AF41" i="44"/>
  <c r="AE37" i="46"/>
  <c r="AF46" i="46"/>
  <c r="AI70" i="46"/>
  <c r="AI70" i="44"/>
  <c r="AI41" i="44"/>
  <c r="AI41" i="46"/>
  <c r="O51" i="44"/>
  <c r="AF20" i="44"/>
  <c r="AH18" i="44"/>
  <c r="H18" i="44"/>
  <c r="AI59" i="44"/>
  <c r="AF32" i="44"/>
  <c r="I53" i="44"/>
  <c r="O31" i="44"/>
  <c r="AE9" i="44"/>
  <c r="AH61" i="46"/>
  <c r="AF7" i="46"/>
  <c r="AF59" i="44"/>
  <c r="AF21" i="46"/>
  <c r="AF47" i="44"/>
  <c r="AF39" i="44"/>
  <c r="H37" i="44"/>
  <c r="AE34" i="44"/>
  <c r="AI17" i="44"/>
  <c r="O66" i="46"/>
  <c r="AE44" i="44"/>
  <c r="AI14" i="46"/>
  <c r="AI22" i="46"/>
  <c r="O7" i="46"/>
  <c r="O17" i="46"/>
  <c r="AE19" i="46"/>
  <c r="H34" i="46"/>
  <c r="N36" i="46"/>
  <c r="L43" i="46"/>
  <c r="H57" i="46"/>
  <c r="AI24" i="46"/>
  <c r="I29" i="46"/>
  <c r="L67" i="46"/>
  <c r="K19" i="46"/>
  <c r="O5" i="46"/>
  <c r="O15" i="46"/>
  <c r="O32" i="44"/>
  <c r="O32" i="46"/>
  <c r="AF48" i="46"/>
  <c r="AF40" i="46"/>
  <c r="AF40" i="44"/>
  <c r="AF67" i="44"/>
  <c r="AF67" i="46"/>
  <c r="AF76" i="44"/>
  <c r="AE56" i="44"/>
  <c r="AF66" i="44"/>
  <c r="AF66" i="46"/>
  <c r="AI9" i="44"/>
  <c r="AI9" i="46"/>
  <c r="AH10" i="44"/>
  <c r="AI49" i="46"/>
  <c r="AI49" i="44"/>
  <c r="H35" i="44"/>
  <c r="L67" i="44"/>
  <c r="L50" i="44"/>
  <c r="L16" i="44"/>
  <c r="AF36" i="46"/>
  <c r="AF46" i="44"/>
  <c r="AI15" i="44"/>
  <c r="AI62" i="46"/>
  <c r="AF54" i="44"/>
  <c r="L30" i="44"/>
  <c r="L8" i="44"/>
  <c r="L72" i="44"/>
  <c r="K69" i="44"/>
  <c r="AH34" i="44"/>
  <c r="L71" i="44"/>
  <c r="AI54" i="44"/>
  <c r="AI31" i="44"/>
  <c r="I29" i="44"/>
  <c r="AE55" i="44"/>
  <c r="AE17" i="46"/>
  <c r="O30" i="44"/>
  <c r="AF76" i="46"/>
  <c r="I7" i="44"/>
  <c r="I9" i="46"/>
  <c r="O54" i="46"/>
  <c r="O13" i="46"/>
  <c r="H44" i="46"/>
  <c r="I25" i="46"/>
  <c r="I41" i="46"/>
  <c r="K61" i="46"/>
  <c r="AI75" i="46"/>
  <c r="O74" i="44"/>
  <c r="AF12" i="44"/>
  <c r="AI38" i="44"/>
  <c r="AI38" i="46"/>
  <c r="AE61" i="44"/>
  <c r="AI35" i="44"/>
  <c r="O74" i="46"/>
  <c r="AF29" i="44"/>
  <c r="N38" i="46"/>
  <c r="AF68" i="46"/>
  <c r="K34" i="46"/>
  <c r="AE61" i="46"/>
  <c r="L76" i="44"/>
  <c r="AI74" i="44"/>
  <c r="AH48" i="44"/>
  <c r="I65" i="44"/>
  <c r="L73" i="46"/>
  <c r="L24" i="44"/>
  <c r="H11" i="46"/>
  <c r="AI57" i="44"/>
  <c r="AF31" i="44"/>
  <c r="K18" i="46"/>
  <c r="AI33" i="46"/>
  <c r="H55" i="46"/>
  <c r="L31" i="46"/>
  <c r="O75" i="44"/>
  <c r="N47" i="44"/>
  <c r="L64" i="44"/>
  <c r="I12" i="44"/>
  <c r="H55" i="44"/>
  <c r="L31" i="44"/>
  <c r="O10" i="46"/>
  <c r="AF29" i="46"/>
  <c r="I65" i="46"/>
  <c r="AF38" i="46"/>
  <c r="H39" i="6"/>
  <c r="H41" i="6"/>
  <c r="H40" i="6"/>
  <c r="G35" i="6" l="1"/>
  <c r="H37" i="6" s="1"/>
  <c r="H33" i="6"/>
  <c r="I33" i="6" s="1"/>
  <c r="H25" i="6"/>
  <c r="I25" i="6" s="1"/>
  <c r="H19" i="6"/>
  <c r="H18" i="6"/>
  <c r="H17" i="6"/>
  <c r="H16" i="6"/>
  <c r="H15" i="6"/>
  <c r="H14" i="6"/>
  <c r="H13" i="6"/>
  <c r="H12" i="6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11" i="6"/>
  <c r="H10" i="6"/>
  <c r="I15" i="6" l="1"/>
  <c r="I16" i="6"/>
  <c r="I11" i="6"/>
  <c r="I17" i="6"/>
  <c r="I18" i="6"/>
  <c r="I10" i="6"/>
  <c r="I19" i="6"/>
  <c r="I12" i="6"/>
  <c r="I13" i="6"/>
  <c r="I14" i="6"/>
  <c r="H38" i="6"/>
  <c r="O7" i="6"/>
  <c r="N7" i="6"/>
  <c r="M7" i="6"/>
  <c r="N77" i="1" l="1"/>
  <c r="N78" i="1"/>
  <c r="M77" i="1"/>
  <c r="N79" i="1"/>
  <c r="M78" i="1"/>
  <c r="M79" i="1"/>
  <c r="M74" i="1"/>
  <c r="N71" i="1"/>
  <c r="M76" i="1"/>
  <c r="N73" i="1"/>
  <c r="N70" i="1"/>
  <c r="N72" i="1"/>
  <c r="M73" i="1"/>
  <c r="N76" i="1"/>
  <c r="M70" i="1"/>
  <c r="M75" i="1"/>
  <c r="M72" i="1"/>
  <c r="N75" i="1"/>
  <c r="M71" i="1"/>
  <c r="N74" i="1"/>
  <c r="M8" i="1"/>
  <c r="M27" i="1"/>
  <c r="M42" i="1"/>
  <c r="M18" i="1"/>
  <c r="M10" i="1"/>
  <c r="M58" i="1"/>
  <c r="M49" i="1"/>
  <c r="M41" i="1"/>
  <c r="M33" i="1"/>
  <c r="M25" i="1"/>
  <c r="M17" i="1"/>
  <c r="M9" i="1"/>
  <c r="M65" i="1"/>
  <c r="M57" i="1"/>
  <c r="M43" i="1"/>
  <c r="M59" i="1"/>
  <c r="M26" i="1"/>
  <c r="M66" i="1"/>
  <c r="M48" i="1"/>
  <c r="M40" i="1"/>
  <c r="M32" i="1"/>
  <c r="M24" i="1"/>
  <c r="M16" i="1"/>
  <c r="M64" i="1"/>
  <c r="M56" i="1"/>
  <c r="M19" i="1"/>
  <c r="M15" i="1"/>
  <c r="M55" i="1"/>
  <c r="M35" i="1"/>
  <c r="M47" i="1"/>
  <c r="M23" i="1"/>
  <c r="M46" i="1"/>
  <c r="M38" i="1"/>
  <c r="M30" i="1"/>
  <c r="M22" i="1"/>
  <c r="M14" i="1"/>
  <c r="M62" i="1"/>
  <c r="M54" i="1"/>
  <c r="M11" i="1"/>
  <c r="M50" i="1"/>
  <c r="M31" i="1"/>
  <c r="M63" i="1"/>
  <c r="M45" i="1"/>
  <c r="M37" i="1"/>
  <c r="M29" i="1"/>
  <c r="M21" i="1"/>
  <c r="M13" i="1"/>
  <c r="M69" i="1"/>
  <c r="M61" i="1"/>
  <c r="M53" i="1"/>
  <c r="M51" i="1"/>
  <c r="M67" i="1"/>
  <c r="M34" i="1"/>
  <c r="M39" i="1"/>
  <c r="M44" i="1"/>
  <c r="M36" i="1"/>
  <c r="M28" i="1"/>
  <c r="M20" i="1"/>
  <c r="M12" i="1"/>
  <c r="M68" i="1"/>
  <c r="M60" i="1"/>
  <c r="M52" i="1"/>
  <c r="N24" i="1"/>
  <c r="N39" i="1"/>
  <c r="N31" i="1"/>
  <c r="N23" i="1"/>
  <c r="N25" i="1"/>
  <c r="N38" i="1"/>
  <c r="N30" i="1"/>
  <c r="N22" i="1"/>
  <c r="N62" i="1"/>
  <c r="N37" i="1"/>
  <c r="N29" i="1"/>
  <c r="N21" i="1"/>
  <c r="N33" i="1"/>
  <c r="N54" i="1"/>
  <c r="N36" i="1"/>
  <c r="N28" i="1"/>
  <c r="N20" i="1"/>
  <c r="N40" i="1"/>
  <c r="N45" i="1"/>
  <c r="N35" i="1"/>
  <c r="N27" i="1"/>
  <c r="N17" i="1"/>
  <c r="N41" i="1"/>
  <c r="N32" i="1"/>
  <c r="N42" i="1"/>
  <c r="N34" i="1"/>
  <c r="N26" i="1"/>
  <c r="N16" i="1"/>
  <c r="N69" i="1"/>
  <c r="N61" i="1"/>
  <c r="N53" i="1"/>
  <c r="N15" i="1"/>
  <c r="N68" i="1"/>
  <c r="N60" i="1"/>
  <c r="N52" i="1"/>
  <c r="T46" i="23" s="1"/>
  <c r="AK46" i="23" s="1"/>
  <c r="N67" i="1"/>
  <c r="N13" i="1"/>
  <c r="N66" i="1"/>
  <c r="N58" i="1"/>
  <c r="N14" i="1"/>
  <c r="N59" i="1"/>
  <c r="N12" i="1"/>
  <c r="N65" i="1"/>
  <c r="N57" i="1"/>
  <c r="N8" i="1"/>
  <c r="N19" i="1"/>
  <c r="N11" i="1"/>
  <c r="N64" i="1"/>
  <c r="N56" i="1"/>
  <c r="N18" i="1"/>
  <c r="N63" i="1"/>
  <c r="N55" i="1"/>
  <c r="N43" i="1"/>
  <c r="N9" i="1"/>
  <c r="N50" i="1"/>
  <c r="N49" i="1"/>
  <c r="N10" i="1"/>
  <c r="N48" i="1"/>
  <c r="N47" i="1"/>
  <c r="N46" i="1"/>
  <c r="N51" i="1"/>
  <c r="N44" i="1"/>
  <c r="Z52" i="1" l="1"/>
  <c r="AJ46" i="23" s="1"/>
  <c r="S46" i="23"/>
  <c r="T38" i="23"/>
  <c r="T11" i="23"/>
  <c r="T65" i="23"/>
  <c r="V76" i="49" s="1"/>
  <c r="T45" i="23"/>
  <c r="T37" i="23"/>
  <c r="T2" i="23"/>
  <c r="T7" i="23"/>
  <c r="T63" i="23"/>
  <c r="T21" i="23"/>
  <c r="T27" i="23"/>
  <c r="T19" i="23"/>
  <c r="T13" i="23"/>
  <c r="T49" i="23"/>
  <c r="T15" i="23"/>
  <c r="T70" i="23"/>
  <c r="T20" i="23"/>
  <c r="S72" i="23"/>
  <c r="T12" i="23"/>
  <c r="T6" i="23"/>
  <c r="T54" i="23"/>
  <c r="T28" i="23"/>
  <c r="T34" i="23"/>
  <c r="T31" i="23"/>
  <c r="T33" i="23"/>
  <c r="T68" i="23"/>
  <c r="T66" i="23"/>
  <c r="T73" i="23"/>
  <c r="T51" i="23"/>
  <c r="T29" i="23"/>
  <c r="S73" i="23"/>
  <c r="T59" i="23"/>
  <c r="T25" i="23"/>
  <c r="T4" i="23"/>
  <c r="T50" i="23"/>
  <c r="T53" i="23"/>
  <c r="T62" i="23"/>
  <c r="T36" i="23"/>
  <c r="T14" i="23"/>
  <c r="T56" i="23"/>
  <c r="T18" i="23"/>
  <c r="T64" i="23"/>
  <c r="S71" i="23"/>
  <c r="T3" i="23"/>
  <c r="T55" i="23"/>
  <c r="T48" i="23"/>
  <c r="T32" i="23"/>
  <c r="T40" i="23"/>
  <c r="T10" i="23"/>
  <c r="T41" i="23"/>
  <c r="T39" i="23"/>
  <c r="T42" i="23"/>
  <c r="T43" i="23"/>
  <c r="T58" i="23"/>
  <c r="T8" i="23"/>
  <c r="T9" i="23"/>
  <c r="T26" i="23"/>
  <c r="T22" i="23"/>
  <c r="T16" i="23"/>
  <c r="T69" i="23"/>
  <c r="T67" i="23"/>
  <c r="T72" i="23"/>
  <c r="T60" i="23"/>
  <c r="T61" i="23"/>
  <c r="T17" i="23"/>
  <c r="T57" i="23"/>
  <c r="T23" i="23"/>
  <c r="T44" i="23"/>
  <c r="T5" i="23"/>
  <c r="T52" i="23"/>
  <c r="T47" i="23"/>
  <c r="T35" i="23"/>
  <c r="T30" i="23"/>
  <c r="T24" i="23"/>
  <c r="S59" i="23"/>
  <c r="T71" i="23"/>
  <c r="Z67" i="1"/>
  <c r="AJ61" i="23" s="1"/>
  <c r="S61" i="23"/>
  <c r="Z40" i="1"/>
  <c r="AJ34" i="23" s="1"/>
  <c r="S34" i="23"/>
  <c r="Z63" i="1"/>
  <c r="AJ57" i="23" s="1"/>
  <c r="S57" i="23"/>
  <c r="Z30" i="1"/>
  <c r="AJ24" i="23" s="1"/>
  <c r="C17" i="54" s="1"/>
  <c r="S24" i="23"/>
  <c r="Z66" i="1"/>
  <c r="AJ60" i="23" s="1"/>
  <c r="S60" i="23"/>
  <c r="Z28" i="1"/>
  <c r="AJ22" i="23" s="1"/>
  <c r="S22" i="23"/>
  <c r="Z61" i="1"/>
  <c r="AJ55" i="23" s="1"/>
  <c r="S55" i="23"/>
  <c r="Z31" i="1"/>
  <c r="AJ25" i="23" s="1"/>
  <c r="S25" i="23"/>
  <c r="Z38" i="1"/>
  <c r="AJ32" i="23" s="1"/>
  <c r="S32" i="23"/>
  <c r="Z56" i="1"/>
  <c r="AJ50" i="23" s="1"/>
  <c r="S50" i="23"/>
  <c r="Z33" i="1"/>
  <c r="AJ27" i="23" s="1"/>
  <c r="S27" i="23"/>
  <c r="Z73" i="1"/>
  <c r="AJ67" i="23" s="1"/>
  <c r="S67" i="23"/>
  <c r="Z51" i="1"/>
  <c r="AJ45" i="23" s="1"/>
  <c r="S45" i="23"/>
  <c r="Z48" i="1"/>
  <c r="AJ42" i="23" s="1"/>
  <c r="S42" i="23"/>
  <c r="Z36" i="1"/>
  <c r="AJ30" i="23" s="1"/>
  <c r="S30" i="23"/>
  <c r="Z37" i="1"/>
  <c r="AJ31" i="23" s="1"/>
  <c r="S31" i="23"/>
  <c r="Z45" i="1"/>
  <c r="AJ39" i="23" s="1"/>
  <c r="S39" i="23"/>
  <c r="Z42" i="1"/>
  <c r="AJ36" i="23" s="1"/>
  <c r="S36" i="23"/>
  <c r="Z69" i="1"/>
  <c r="AJ63" i="23" s="1"/>
  <c r="S63" i="23"/>
  <c r="Z64" i="1"/>
  <c r="AJ58" i="23" s="1"/>
  <c r="S58" i="23"/>
  <c r="Z44" i="1"/>
  <c r="AJ38" i="23" s="1"/>
  <c r="S38" i="23"/>
  <c r="Z43" i="1"/>
  <c r="AJ37" i="23" s="1"/>
  <c r="S37" i="23"/>
  <c r="Z49" i="1"/>
  <c r="AJ43" i="23" s="1"/>
  <c r="S43" i="23"/>
  <c r="Z71" i="1"/>
  <c r="AJ65" i="23" s="1"/>
  <c r="AL76" i="49" s="1"/>
  <c r="S65" i="23"/>
  <c r="U76" i="49" s="1"/>
  <c r="Z55" i="1"/>
  <c r="AJ49" i="23" s="1"/>
  <c r="S49" i="23"/>
  <c r="Z75" i="1"/>
  <c r="AJ69" i="23" s="1"/>
  <c r="S69" i="23"/>
  <c r="Z74" i="1"/>
  <c r="AJ68" i="23" s="1"/>
  <c r="S68" i="23"/>
  <c r="Z46" i="1"/>
  <c r="AJ40" i="23" s="1"/>
  <c r="S40" i="23"/>
  <c r="Z41" i="1"/>
  <c r="AJ35" i="23" s="1"/>
  <c r="S35" i="23"/>
  <c r="Z39" i="1"/>
  <c r="AJ33" i="23" s="1"/>
  <c r="S33" i="23"/>
  <c r="Z54" i="1"/>
  <c r="AJ48" i="23" s="1"/>
  <c r="S48" i="23"/>
  <c r="Z47" i="1"/>
  <c r="AJ41" i="23" s="1"/>
  <c r="S41" i="23"/>
  <c r="Z57" i="1"/>
  <c r="AJ51" i="23" s="1"/>
  <c r="S51" i="23"/>
  <c r="Z58" i="1"/>
  <c r="AJ52" i="23" s="1"/>
  <c r="S52" i="23"/>
  <c r="Z68" i="1"/>
  <c r="AJ62" i="23" s="1"/>
  <c r="S62" i="23"/>
  <c r="Z70" i="1"/>
  <c r="AJ64" i="23" s="1"/>
  <c r="AL75" i="49" s="1"/>
  <c r="S64" i="23"/>
  <c r="U75" i="49" s="1"/>
  <c r="Z53" i="1"/>
  <c r="AJ47" i="23" s="1"/>
  <c r="S47" i="23"/>
  <c r="Z50" i="1"/>
  <c r="AJ44" i="23" s="1"/>
  <c r="S44" i="23"/>
  <c r="Z59" i="1"/>
  <c r="AJ53" i="23" s="1"/>
  <c r="S53" i="23"/>
  <c r="Z60" i="1"/>
  <c r="AJ54" i="23" s="1"/>
  <c r="S54" i="23"/>
  <c r="Z34" i="1"/>
  <c r="AJ28" i="23" s="1"/>
  <c r="S28" i="23"/>
  <c r="Z29" i="1"/>
  <c r="AJ23" i="23" s="1"/>
  <c r="S23" i="23"/>
  <c r="Z62" i="1"/>
  <c r="AJ56" i="23" s="1"/>
  <c r="S56" i="23"/>
  <c r="Z35" i="1"/>
  <c r="AJ29" i="23" s="1"/>
  <c r="S29" i="23"/>
  <c r="Z32" i="1"/>
  <c r="AJ26" i="23" s="1"/>
  <c r="S26" i="23"/>
  <c r="Z72" i="1"/>
  <c r="AJ66" i="23" s="1"/>
  <c r="S66" i="23"/>
  <c r="Z76" i="1"/>
  <c r="AJ70" i="23" s="1"/>
  <c r="S70" i="23"/>
  <c r="Z18" i="1"/>
  <c r="AJ12" i="23" s="1"/>
  <c r="S12" i="23"/>
  <c r="Z22" i="1"/>
  <c r="AJ16" i="23" s="1"/>
  <c r="S16" i="23"/>
  <c r="Z20" i="1"/>
  <c r="AJ14" i="23" s="1"/>
  <c r="S14" i="23"/>
  <c r="Z25" i="1"/>
  <c r="AJ19" i="23" s="1"/>
  <c r="S19" i="23"/>
  <c r="Z26" i="1"/>
  <c r="AJ20" i="23" s="1"/>
  <c r="S20" i="23"/>
  <c r="Z14" i="1"/>
  <c r="AJ8" i="23" s="1"/>
  <c r="S8" i="23"/>
  <c r="Z9" i="1"/>
  <c r="AJ3" i="23" s="1"/>
  <c r="C5" i="54" s="1"/>
  <c r="S3" i="23"/>
  <c r="Z12" i="1"/>
  <c r="AJ6" i="23" s="1"/>
  <c r="S6" i="23"/>
  <c r="Z15" i="1"/>
  <c r="AJ9" i="23" s="1"/>
  <c r="S9" i="23"/>
  <c r="Z13" i="1"/>
  <c r="AJ7" i="23" s="1"/>
  <c r="S7" i="23"/>
  <c r="Z11" i="1"/>
  <c r="AJ5" i="23" s="1"/>
  <c r="S5" i="23"/>
  <c r="Z23" i="1"/>
  <c r="AJ17" i="23" s="1"/>
  <c r="S17" i="23"/>
  <c r="Z16" i="1"/>
  <c r="AJ10" i="23" s="1"/>
  <c r="S10" i="23"/>
  <c r="Z17" i="1"/>
  <c r="AJ11" i="23" s="1"/>
  <c r="S11" i="23"/>
  <c r="Z19" i="1"/>
  <c r="AJ13" i="23" s="1"/>
  <c r="S13" i="23"/>
  <c r="U13" i="49" s="1"/>
  <c r="Z27" i="1"/>
  <c r="AJ21" i="23" s="1"/>
  <c r="S21" i="23"/>
  <c r="Z21" i="1"/>
  <c r="AJ15" i="23" s="1"/>
  <c r="S15" i="23"/>
  <c r="Z24" i="1"/>
  <c r="AJ18" i="23" s="1"/>
  <c r="S18" i="23"/>
  <c r="Z10" i="1"/>
  <c r="AJ4" i="23" s="1"/>
  <c r="C16" i="54" s="1"/>
  <c r="S4" i="23"/>
  <c r="Z8" i="1"/>
  <c r="AJ2" i="23" s="1"/>
  <c r="S2" i="23"/>
  <c r="U56" i="49" s="1"/>
  <c r="Z78" i="1"/>
  <c r="AJ72" i="23" s="1"/>
  <c r="Y78" i="1"/>
  <c r="Z79" i="1"/>
  <c r="AJ73" i="23" s="1"/>
  <c r="Y79" i="1"/>
  <c r="Y77" i="1"/>
  <c r="Z77" i="1"/>
  <c r="AJ71" i="23" s="1"/>
  <c r="O79" i="1"/>
  <c r="O78" i="1"/>
  <c r="O77" i="1"/>
  <c r="H22" i="6"/>
  <c r="I22" i="6" s="1"/>
  <c r="Z65" i="1"/>
  <c r="AJ59" i="23" s="1"/>
  <c r="O75" i="1"/>
  <c r="Y75" i="1"/>
  <c r="O76" i="1"/>
  <c r="Y76" i="1"/>
  <c r="O71" i="1"/>
  <c r="Y71" i="1"/>
  <c r="Y70" i="1"/>
  <c r="O70" i="1"/>
  <c r="O73" i="1"/>
  <c r="Y73" i="1"/>
  <c r="O72" i="1"/>
  <c r="Y72" i="1"/>
  <c r="O74" i="1"/>
  <c r="Y74" i="1"/>
  <c r="H8" i="6"/>
  <c r="I8" i="6" s="1"/>
  <c r="H9" i="6"/>
  <c r="I9" i="6" s="1"/>
  <c r="O8" i="1"/>
  <c r="Y8" i="1"/>
  <c r="H24" i="6"/>
  <c r="I24" i="6" s="1"/>
  <c r="H23" i="6"/>
  <c r="I23" i="6" s="1"/>
  <c r="Y19" i="1"/>
  <c r="Y9" i="1"/>
  <c r="Y12" i="1"/>
  <c r="Y26" i="1"/>
  <c r="Y28" i="1"/>
  <c r="Y24" i="1"/>
  <c r="Y27" i="1"/>
  <c r="Y10" i="1"/>
  <c r="Y23" i="1"/>
  <c r="Y16" i="1"/>
  <c r="Y40" i="1"/>
  <c r="Y51" i="1"/>
  <c r="Y37" i="1"/>
  <c r="Y62" i="1"/>
  <c r="Y65" i="1"/>
  <c r="Y52" i="1"/>
  <c r="AI46" i="23" s="1"/>
  <c r="Y55" i="1"/>
  <c r="Y56" i="1"/>
  <c r="Y33" i="1"/>
  <c r="Y58" i="1"/>
  <c r="Y69" i="1"/>
  <c r="Y41" i="1"/>
  <c r="Y66" i="1"/>
  <c r="Y44" i="1"/>
  <c r="Y34" i="1"/>
  <c r="Y59" i="1"/>
  <c r="Y64" i="1"/>
  <c r="Y67" i="1"/>
  <c r="Y30" i="1"/>
  <c r="Y35" i="1"/>
  <c r="Y13" i="1"/>
  <c r="Y38" i="1"/>
  <c r="Y39" i="1"/>
  <c r="Y49" i="1"/>
  <c r="Y68" i="1"/>
  <c r="Y21" i="1"/>
  <c r="Y63" i="1"/>
  <c r="Y57" i="1"/>
  <c r="Y18" i="1"/>
  <c r="Y20" i="1"/>
  <c r="Y43" i="1"/>
  <c r="Y29" i="1"/>
  <c r="Y47" i="1"/>
  <c r="Y54" i="1"/>
  <c r="Y48" i="1"/>
  <c r="Y14" i="1"/>
  <c r="Y45" i="1"/>
  <c r="Y17" i="1"/>
  <c r="Y60" i="1"/>
  <c r="Y42" i="1"/>
  <c r="Y32" i="1"/>
  <c r="Y36" i="1"/>
  <c r="Y53" i="1"/>
  <c r="Y25" i="1"/>
  <c r="Y50" i="1"/>
  <c r="Y11" i="1"/>
  <c r="Y61" i="1"/>
  <c r="Y22" i="1"/>
  <c r="Y15" i="1"/>
  <c r="Y31" i="1"/>
  <c r="Y46" i="1"/>
  <c r="L7" i="6"/>
  <c r="P7" i="6" s="1"/>
  <c r="O36" i="1"/>
  <c r="O61" i="1"/>
  <c r="O63" i="1"/>
  <c r="O22" i="1"/>
  <c r="O26" i="1"/>
  <c r="O33" i="1"/>
  <c r="O27" i="1"/>
  <c r="O44" i="1"/>
  <c r="O31" i="1"/>
  <c r="O30" i="1"/>
  <c r="O35" i="1"/>
  <c r="O41" i="1"/>
  <c r="O29" i="1"/>
  <c r="O65" i="1"/>
  <c r="O69" i="1"/>
  <c r="O59" i="1"/>
  <c r="O34" i="1"/>
  <c r="O68" i="1"/>
  <c r="O54" i="1"/>
  <c r="O40" i="1"/>
  <c r="O52" i="1"/>
  <c r="O13" i="1"/>
  <c r="O50" i="1"/>
  <c r="O38" i="1"/>
  <c r="O55" i="1"/>
  <c r="O24" i="1"/>
  <c r="O43" i="1"/>
  <c r="O49" i="1"/>
  <c r="O16" i="1"/>
  <c r="O60" i="1"/>
  <c r="O39" i="1"/>
  <c r="O21" i="1"/>
  <c r="O11" i="1"/>
  <c r="O46" i="1"/>
  <c r="O15" i="1"/>
  <c r="O32" i="1"/>
  <c r="O57" i="1"/>
  <c r="O12" i="1"/>
  <c r="O67" i="1"/>
  <c r="O37" i="1"/>
  <c r="O62" i="1"/>
  <c r="O19" i="1"/>
  <c r="O48" i="1"/>
  <c r="O9" i="1"/>
  <c r="O10" i="1"/>
  <c r="O20" i="1"/>
  <c r="O51" i="1"/>
  <c r="O45" i="1"/>
  <c r="O23" i="1"/>
  <c r="O56" i="1"/>
  <c r="O17" i="1"/>
  <c r="O18" i="1"/>
  <c r="O58" i="1"/>
  <c r="O28" i="1"/>
  <c r="O53" i="1"/>
  <c r="O14" i="1"/>
  <c r="O47" i="1"/>
  <c r="O64" i="1"/>
  <c r="O66" i="1"/>
  <c r="O25" i="1"/>
  <c r="O42" i="1"/>
  <c r="AL13" i="49" l="1"/>
  <c r="P52" i="1"/>
  <c r="V46" i="23" s="1"/>
  <c r="U46" i="23"/>
  <c r="AL54" i="49"/>
  <c r="V75" i="49"/>
  <c r="V74" i="49"/>
  <c r="V54" i="49"/>
  <c r="U52" i="49"/>
  <c r="AL74" i="49"/>
  <c r="AL46" i="49"/>
  <c r="V67" i="49"/>
  <c r="V62" i="49"/>
  <c r="U74" i="49"/>
  <c r="U54" i="49"/>
  <c r="V46" i="49"/>
  <c r="V58" i="49"/>
  <c r="AL17" i="49"/>
  <c r="AL66" i="49"/>
  <c r="AL73" i="49"/>
  <c r="AL47" i="49"/>
  <c r="C18" i="54"/>
  <c r="AL56" i="49"/>
  <c r="C4" i="54"/>
  <c r="AL52" i="49"/>
  <c r="AL67" i="49"/>
  <c r="AL59" i="49"/>
  <c r="AL45" i="49"/>
  <c r="V30" i="49"/>
  <c r="V18" i="49"/>
  <c r="V73" i="49"/>
  <c r="AL68" i="49"/>
  <c r="U55" i="49"/>
  <c r="V35" i="49"/>
  <c r="V56" i="49"/>
  <c r="U51" i="49"/>
  <c r="V53" i="49"/>
  <c r="U67" i="49"/>
  <c r="U47" i="49"/>
  <c r="AL64" i="49"/>
  <c r="U62" i="49"/>
  <c r="U41" i="49"/>
  <c r="V49" i="49"/>
  <c r="AL69" i="49"/>
  <c r="U73" i="49"/>
  <c r="AL53" i="49"/>
  <c r="U63" i="49"/>
  <c r="U44" i="49"/>
  <c r="U61" i="49"/>
  <c r="V72" i="49"/>
  <c r="V70" i="49"/>
  <c r="U48" i="49"/>
  <c r="U71" i="49"/>
  <c r="V63" i="49"/>
  <c r="V59" i="49"/>
  <c r="AL62" i="49"/>
  <c r="V48" i="49"/>
  <c r="U65" i="49"/>
  <c r="V41" i="49"/>
  <c r="V52" i="49"/>
  <c r="AL55" i="49"/>
  <c r="U72" i="49"/>
  <c r="V61" i="49"/>
  <c r="U66" i="49"/>
  <c r="V26" i="49"/>
  <c r="V24" i="49"/>
  <c r="U14" i="49"/>
  <c r="U39" i="49"/>
  <c r="U38" i="49"/>
  <c r="U37" i="49"/>
  <c r="V31" i="49"/>
  <c r="V22" i="49"/>
  <c r="AL19" i="49"/>
  <c r="AL14" i="49"/>
  <c r="AL21" i="49"/>
  <c r="AL6" i="49"/>
  <c r="AL27" i="49"/>
  <c r="V33" i="49"/>
  <c r="V20" i="49"/>
  <c r="U7" i="49"/>
  <c r="U16" i="49"/>
  <c r="V17" i="49"/>
  <c r="U33" i="49"/>
  <c r="U11" i="49"/>
  <c r="U26" i="49"/>
  <c r="AL15" i="49"/>
  <c r="V36" i="49"/>
  <c r="AL7" i="49"/>
  <c r="U8" i="49"/>
  <c r="U29" i="49"/>
  <c r="V10" i="49"/>
  <c r="U19" i="49"/>
  <c r="AL63" i="49"/>
  <c r="U58" i="49"/>
  <c r="U60" i="49"/>
  <c r="U57" i="49"/>
  <c r="U57" i="44"/>
  <c r="U57" i="46"/>
  <c r="V69" i="49"/>
  <c r="V60" i="49"/>
  <c r="V57" i="49"/>
  <c r="V57" i="44"/>
  <c r="V57" i="46"/>
  <c r="AL70" i="49"/>
  <c r="AL18" i="49"/>
  <c r="AL16" i="49"/>
  <c r="AL26" i="49"/>
  <c r="AL58" i="49"/>
  <c r="AL60" i="49"/>
  <c r="AL57" i="49"/>
  <c r="AL57" i="44"/>
  <c r="AL57" i="46"/>
  <c r="AL41" i="49"/>
  <c r="AL48" i="49"/>
  <c r="AL71" i="49"/>
  <c r="AL72" i="49"/>
  <c r="V66" i="49"/>
  <c r="V65" i="49"/>
  <c r="U10" i="49"/>
  <c r="U9" i="49"/>
  <c r="U20" i="49"/>
  <c r="U12" i="49"/>
  <c r="U42" i="49"/>
  <c r="U69" i="49"/>
  <c r="U31" i="49"/>
  <c r="U49" i="49"/>
  <c r="V47" i="49"/>
  <c r="V51" i="49"/>
  <c r="V64" i="49"/>
  <c r="AL51" i="49"/>
  <c r="AL10" i="49"/>
  <c r="AL9" i="49"/>
  <c r="AL20" i="49"/>
  <c r="AL12" i="49"/>
  <c r="AL29" i="49"/>
  <c r="AL65" i="49"/>
  <c r="AL42" i="49"/>
  <c r="AL31" i="49"/>
  <c r="AL49" i="49"/>
  <c r="U70" i="49"/>
  <c r="U53" i="49"/>
  <c r="V55" i="49"/>
  <c r="AL50" i="49"/>
  <c r="U36" i="49"/>
  <c r="U22" i="49"/>
  <c r="V9" i="49"/>
  <c r="AL61" i="49"/>
  <c r="V71" i="49"/>
  <c r="U21" i="49"/>
  <c r="U6" i="49"/>
  <c r="U64" i="49"/>
  <c r="U59" i="49"/>
  <c r="U50" i="49"/>
  <c r="U27" i="49"/>
  <c r="U68" i="49"/>
  <c r="V25" i="49"/>
  <c r="V68" i="49"/>
  <c r="V43" i="49"/>
  <c r="V50" i="49"/>
  <c r="V37" i="49"/>
  <c r="V27" i="49"/>
  <c r="V40" i="49"/>
  <c r="U5" i="49"/>
  <c r="AL5" i="49"/>
  <c r="V42" i="49"/>
  <c r="V7" i="49"/>
  <c r="AL38" i="49"/>
  <c r="AL37" i="49"/>
  <c r="AL23" i="49"/>
  <c r="AL4" i="49"/>
  <c r="AL33" i="49"/>
  <c r="AL39" i="49"/>
  <c r="AL36" i="49"/>
  <c r="AL44" i="49"/>
  <c r="AL22" i="49"/>
  <c r="AL34" i="49"/>
  <c r="V8" i="49"/>
  <c r="V32" i="49"/>
  <c r="V14" i="49"/>
  <c r="U46" i="49"/>
  <c r="V34" i="49"/>
  <c r="V15" i="49"/>
  <c r="U18" i="49"/>
  <c r="U28" i="49"/>
  <c r="U35" i="49"/>
  <c r="U40" i="49"/>
  <c r="U32" i="49"/>
  <c r="V29" i="49"/>
  <c r="V28" i="49"/>
  <c r="V39" i="49"/>
  <c r="U23" i="49"/>
  <c r="U4" i="49"/>
  <c r="U34" i="49"/>
  <c r="AL11" i="49"/>
  <c r="AL8" i="49"/>
  <c r="AL28" i="49"/>
  <c r="AL35" i="49"/>
  <c r="AL40" i="49"/>
  <c r="AL32" i="49"/>
  <c r="V5" i="49"/>
  <c r="V45" i="49"/>
  <c r="V13" i="49"/>
  <c r="U15" i="49"/>
  <c r="U43" i="49"/>
  <c r="U24" i="49"/>
  <c r="U25" i="49"/>
  <c r="V44" i="49"/>
  <c r="V6" i="49"/>
  <c r="V19" i="49"/>
  <c r="AL30" i="49"/>
  <c r="AL43" i="49"/>
  <c r="AL24" i="49"/>
  <c r="AL25" i="49"/>
  <c r="V23" i="49"/>
  <c r="V4" i="49"/>
  <c r="V16" i="49"/>
  <c r="V12" i="49"/>
  <c r="V11" i="49"/>
  <c r="U17" i="49"/>
  <c r="U45" i="49"/>
  <c r="U30" i="49"/>
  <c r="V38" i="49"/>
  <c r="V21" i="49"/>
  <c r="AK35" i="23"/>
  <c r="AK9" i="23"/>
  <c r="AK31" i="23"/>
  <c r="AK15" i="23"/>
  <c r="AK58" i="23"/>
  <c r="AK29" i="23"/>
  <c r="AK49" i="23"/>
  <c r="AK5" i="23"/>
  <c r="AK67" i="23"/>
  <c r="AK43" i="23"/>
  <c r="AK55" i="23"/>
  <c r="AK62" i="23"/>
  <c r="AK51" i="23"/>
  <c r="AK54" i="23"/>
  <c r="AK13" i="23"/>
  <c r="AK45" i="23"/>
  <c r="AK26" i="23"/>
  <c r="AK33" i="23"/>
  <c r="AK61" i="23"/>
  <c r="AK40" i="23"/>
  <c r="AK56" i="23"/>
  <c r="AK59" i="23"/>
  <c r="AK7" i="23"/>
  <c r="AK60" i="23"/>
  <c r="AK32" i="23"/>
  <c r="AK14" i="23"/>
  <c r="AK2" i="23"/>
  <c r="AK52" i="23"/>
  <c r="AK48" i="23"/>
  <c r="AK36" i="23"/>
  <c r="AK28" i="23"/>
  <c r="AK71" i="23"/>
  <c r="AK44" i="23"/>
  <c r="AM47" i="49" s="1"/>
  <c r="AK69" i="23"/>
  <c r="AK42" i="23"/>
  <c r="AK3" i="23"/>
  <c r="AK53" i="23"/>
  <c r="AK73" i="23"/>
  <c r="AK6" i="23"/>
  <c r="AK19" i="23"/>
  <c r="AK65" i="23"/>
  <c r="AM76" i="49" s="1"/>
  <c r="AK30" i="23"/>
  <c r="AK10" i="23"/>
  <c r="AK25" i="23"/>
  <c r="AK63" i="23"/>
  <c r="AK70" i="23"/>
  <c r="AK23" i="23"/>
  <c r="AK16" i="23"/>
  <c r="AK39" i="23"/>
  <c r="AK50" i="23"/>
  <c r="AK66" i="23"/>
  <c r="AK12" i="23"/>
  <c r="AK27" i="23"/>
  <c r="AK11" i="23"/>
  <c r="AK17" i="23"/>
  <c r="AK18" i="23"/>
  <c r="AK20" i="23"/>
  <c r="AK47" i="23"/>
  <c r="AK8" i="23"/>
  <c r="AK34" i="23"/>
  <c r="AK72" i="23"/>
  <c r="AK37" i="23"/>
  <c r="AK24" i="23"/>
  <c r="AK57" i="23"/>
  <c r="AK22" i="23"/>
  <c r="AK41" i="23"/>
  <c r="AK64" i="23"/>
  <c r="AK4" i="23"/>
  <c r="AK68" i="23"/>
  <c r="AK21" i="23"/>
  <c r="AK38" i="23"/>
  <c r="U4" i="46"/>
  <c r="V4" i="46"/>
  <c r="V26" i="46"/>
  <c r="V33" i="46"/>
  <c r="U38" i="46"/>
  <c r="U13" i="46"/>
  <c r="U5" i="46"/>
  <c r="U37" i="46"/>
  <c r="U14" i="46"/>
  <c r="U55" i="46"/>
  <c r="U23" i="46"/>
  <c r="U47" i="46"/>
  <c r="U63" i="46"/>
  <c r="U33" i="46"/>
  <c r="U51" i="46"/>
  <c r="U39" i="46"/>
  <c r="U36" i="46"/>
  <c r="U44" i="46"/>
  <c r="U61" i="46"/>
  <c r="U22" i="46"/>
  <c r="U34" i="46"/>
  <c r="V35" i="46"/>
  <c r="V72" i="46"/>
  <c r="V9" i="46"/>
  <c r="V42" i="46"/>
  <c r="V67" i="46"/>
  <c r="V70" i="46"/>
  <c r="V31" i="46"/>
  <c r="V52" i="46"/>
  <c r="V7" i="46"/>
  <c r="V10" i="46"/>
  <c r="V74" i="46"/>
  <c r="V58" i="46"/>
  <c r="V8" i="46"/>
  <c r="U46" i="46"/>
  <c r="V15" i="46"/>
  <c r="U18" i="46"/>
  <c r="U11" i="46"/>
  <c r="U7" i="46"/>
  <c r="U8" i="46"/>
  <c r="U16" i="46"/>
  <c r="U26" i="46"/>
  <c r="U28" i="46"/>
  <c r="U58" i="46"/>
  <c r="U62" i="46"/>
  <c r="U35" i="46"/>
  <c r="U60" i="46"/>
  <c r="U40" i="46"/>
  <c r="U41" i="46"/>
  <c r="U48" i="46"/>
  <c r="U32" i="46"/>
  <c r="U71" i="46"/>
  <c r="U72" i="46"/>
  <c r="V63" i="46"/>
  <c r="V54" i="46"/>
  <c r="V69" i="46"/>
  <c r="V59" i="46"/>
  <c r="V36" i="46"/>
  <c r="V29" i="46"/>
  <c r="V28" i="46"/>
  <c r="V60" i="46"/>
  <c r="V39" i="46"/>
  <c r="V17" i="46"/>
  <c r="V24" i="46"/>
  <c r="V71" i="46"/>
  <c r="V32" i="46"/>
  <c r="V14" i="46"/>
  <c r="V34" i="46"/>
  <c r="V56" i="46"/>
  <c r="V5" i="46"/>
  <c r="V49" i="46"/>
  <c r="V45" i="46"/>
  <c r="V66" i="46"/>
  <c r="V73" i="46"/>
  <c r="V62" i="46"/>
  <c r="V65" i="46"/>
  <c r="V13" i="46"/>
  <c r="V48" i="46"/>
  <c r="V30" i="46"/>
  <c r="V18" i="46"/>
  <c r="U15" i="46"/>
  <c r="U10" i="46"/>
  <c r="U9" i="46"/>
  <c r="U20" i="46"/>
  <c r="U12" i="46"/>
  <c r="U29" i="46"/>
  <c r="U65" i="46"/>
  <c r="U75" i="46"/>
  <c r="U43" i="46"/>
  <c r="U42" i="46"/>
  <c r="U76" i="46"/>
  <c r="U69" i="46"/>
  <c r="U31" i="46"/>
  <c r="U49" i="46"/>
  <c r="U24" i="46"/>
  <c r="U25" i="46"/>
  <c r="V53" i="46"/>
  <c r="V47" i="46"/>
  <c r="V51" i="46"/>
  <c r="V44" i="46"/>
  <c r="V37" i="46"/>
  <c r="V64" i="46"/>
  <c r="V46" i="46"/>
  <c r="V6" i="46"/>
  <c r="V19" i="46"/>
  <c r="V76" i="46"/>
  <c r="U70" i="46"/>
  <c r="V23" i="46"/>
  <c r="V16" i="46"/>
  <c r="V41" i="46"/>
  <c r="U53" i="46"/>
  <c r="V61" i="46"/>
  <c r="V55" i="46"/>
  <c r="V12" i="46"/>
  <c r="V27" i="46"/>
  <c r="V11" i="46"/>
  <c r="V20" i="46"/>
  <c r="U56" i="46"/>
  <c r="U21" i="46"/>
  <c r="U17" i="46"/>
  <c r="U6" i="46"/>
  <c r="U19" i="46"/>
  <c r="U52" i="46"/>
  <c r="U67" i="46"/>
  <c r="U64" i="46"/>
  <c r="U73" i="46"/>
  <c r="U59" i="46"/>
  <c r="U50" i="46"/>
  <c r="U45" i="46"/>
  <c r="U74" i="46"/>
  <c r="U30" i="46"/>
  <c r="U27" i="46"/>
  <c r="U66" i="46"/>
  <c r="U68" i="46"/>
  <c r="V25" i="46"/>
  <c r="V68" i="46"/>
  <c r="V22" i="46"/>
  <c r="V43" i="46"/>
  <c r="V75" i="46"/>
  <c r="V38" i="46"/>
  <c r="V50" i="46"/>
  <c r="U54" i="46"/>
  <c r="V21" i="46"/>
  <c r="V40" i="46"/>
  <c r="V22" i="44"/>
  <c r="U54" i="44"/>
  <c r="U26" i="44"/>
  <c r="U35" i="44"/>
  <c r="U40" i="44"/>
  <c r="U48" i="44"/>
  <c r="U72" i="44"/>
  <c r="V30" i="44"/>
  <c r="V5" i="44"/>
  <c r="V17" i="44"/>
  <c r="V49" i="44"/>
  <c r="V45" i="44"/>
  <c r="V66" i="44"/>
  <c r="V18" i="44"/>
  <c r="V73" i="44"/>
  <c r="V24" i="44"/>
  <c r="V62" i="44"/>
  <c r="V33" i="44"/>
  <c r="V65" i="44"/>
  <c r="V74" i="44"/>
  <c r="V48" i="44"/>
  <c r="V63" i="44"/>
  <c r="V69" i="44"/>
  <c r="V75" i="44"/>
  <c r="V50" i="44"/>
  <c r="V40" i="44"/>
  <c r="U20" i="44"/>
  <c r="U12" i="44"/>
  <c r="U65" i="44"/>
  <c r="U75" i="44"/>
  <c r="U43" i="44"/>
  <c r="U42" i="44"/>
  <c r="U76" i="44"/>
  <c r="U69" i="44"/>
  <c r="U49" i="44"/>
  <c r="U24" i="44"/>
  <c r="V54" i="44"/>
  <c r="V36" i="44"/>
  <c r="V60" i="44"/>
  <c r="U62" i="44"/>
  <c r="U60" i="44"/>
  <c r="U41" i="44"/>
  <c r="U71" i="44"/>
  <c r="V53" i="44"/>
  <c r="V47" i="44"/>
  <c r="V72" i="44"/>
  <c r="V51" i="44"/>
  <c r="V44" i="44"/>
  <c r="V42" i="44"/>
  <c r="V67" i="44"/>
  <c r="V64" i="44"/>
  <c r="V70" i="44"/>
  <c r="V46" i="44"/>
  <c r="V52" i="44"/>
  <c r="V76" i="44"/>
  <c r="V39" i="44"/>
  <c r="U18" i="44"/>
  <c r="U58" i="44"/>
  <c r="U56" i="44"/>
  <c r="U19" i="44"/>
  <c r="U52" i="44"/>
  <c r="U67" i="44"/>
  <c r="U64" i="44"/>
  <c r="U73" i="44"/>
  <c r="U59" i="44"/>
  <c r="U50" i="44"/>
  <c r="U45" i="44"/>
  <c r="U74" i="44"/>
  <c r="U66" i="44"/>
  <c r="U68" i="44"/>
  <c r="V25" i="44"/>
  <c r="V43" i="44"/>
  <c r="V38" i="44"/>
  <c r="V21" i="44"/>
  <c r="U70" i="44"/>
  <c r="V58" i="44"/>
  <c r="V23" i="44"/>
  <c r="V71" i="44"/>
  <c r="V16" i="44"/>
  <c r="V8" i="44"/>
  <c r="V41" i="44"/>
  <c r="U53" i="44"/>
  <c r="V14" i="44"/>
  <c r="V61" i="44"/>
  <c r="U46" i="44"/>
  <c r="V55" i="44"/>
  <c r="V27" i="44"/>
  <c r="V56" i="44"/>
  <c r="V68" i="44"/>
  <c r="V59" i="44"/>
  <c r="V29" i="44"/>
  <c r="U16" i="44"/>
  <c r="U38" i="44"/>
  <c r="U13" i="44"/>
  <c r="U14" i="44"/>
  <c r="U55" i="44"/>
  <c r="U23" i="44"/>
  <c r="U47" i="44"/>
  <c r="U63" i="44"/>
  <c r="U33" i="44"/>
  <c r="U51" i="44"/>
  <c r="U44" i="44"/>
  <c r="U61" i="44"/>
  <c r="U34" i="44"/>
  <c r="U11" i="44"/>
  <c r="U8" i="44"/>
  <c r="V10" i="44"/>
  <c r="U10" i="44"/>
  <c r="V6" i="44"/>
  <c r="U32" i="44"/>
  <c r="U15" i="44"/>
  <c r="U9" i="44"/>
  <c r="U29" i="44"/>
  <c r="U31" i="44"/>
  <c r="U25" i="44"/>
  <c r="U7" i="44"/>
  <c r="U4" i="44"/>
  <c r="V20" i="44"/>
  <c r="V35" i="44"/>
  <c r="V9" i="44"/>
  <c r="V37" i="44"/>
  <c r="V31" i="44"/>
  <c r="V19" i="44"/>
  <c r="V7" i="44"/>
  <c r="V4" i="44"/>
  <c r="V28" i="44"/>
  <c r="V26" i="44"/>
  <c r="V13" i="44"/>
  <c r="U21" i="44"/>
  <c r="U17" i="44"/>
  <c r="U6" i="44"/>
  <c r="U30" i="44"/>
  <c r="U27" i="44"/>
  <c r="V32" i="44"/>
  <c r="V34" i="44"/>
  <c r="V12" i="44"/>
  <c r="V15" i="44"/>
  <c r="V11" i="44"/>
  <c r="U28" i="44"/>
  <c r="U5" i="44"/>
  <c r="U37" i="44"/>
  <c r="U39" i="44"/>
  <c r="U36" i="44"/>
  <c r="U22" i="44"/>
  <c r="AI72" i="23"/>
  <c r="AI16" i="23"/>
  <c r="AI36" i="23"/>
  <c r="AI23" i="23"/>
  <c r="AI43" i="23"/>
  <c r="AI53" i="23"/>
  <c r="AI50" i="23"/>
  <c r="AI10" i="23"/>
  <c r="AI3" i="23"/>
  <c r="D5" i="54" s="1"/>
  <c r="E5" i="54" s="1"/>
  <c r="AI68" i="23"/>
  <c r="AI65" i="23"/>
  <c r="AK76" i="49" s="1"/>
  <c r="AI66" i="23"/>
  <c r="AI70" i="23"/>
  <c r="AI26" i="23"/>
  <c r="AI27" i="23"/>
  <c r="AI41" i="23"/>
  <c r="AI34" i="23"/>
  <c r="AI28" i="23"/>
  <c r="AI19" i="23"/>
  <c r="AI8" i="23"/>
  <c r="AI51" i="23"/>
  <c r="AI29" i="23"/>
  <c r="AI35" i="23"/>
  <c r="AI56" i="23"/>
  <c r="AI18" i="23"/>
  <c r="AI2" i="23"/>
  <c r="D4" i="54" s="1"/>
  <c r="E4" i="54" s="1"/>
  <c r="AI67" i="23"/>
  <c r="AI69" i="23"/>
  <c r="AI71" i="23"/>
  <c r="AI55" i="23"/>
  <c r="AI37" i="23"/>
  <c r="AI49" i="23"/>
  <c r="AI13" i="23"/>
  <c r="AI5" i="23"/>
  <c r="AI14" i="23"/>
  <c r="AI38" i="23"/>
  <c r="AI4" i="23"/>
  <c r="AI44" i="23"/>
  <c r="AI12" i="23"/>
  <c r="AI60" i="23"/>
  <c r="AI59" i="23"/>
  <c r="AI40" i="23"/>
  <c r="AI47" i="23"/>
  <c r="AI42" i="23"/>
  <c r="AI57" i="23"/>
  <c r="AI24" i="23"/>
  <c r="AI63" i="23"/>
  <c r="AI31" i="23"/>
  <c r="AI22" i="23"/>
  <c r="AI73" i="23"/>
  <c r="AI9" i="23"/>
  <c r="AI62" i="23"/>
  <c r="AI58" i="23"/>
  <c r="AI6" i="23"/>
  <c r="AI64" i="23"/>
  <c r="AI54" i="23"/>
  <c r="AI33" i="23"/>
  <c r="AI17" i="23"/>
  <c r="AI11" i="23"/>
  <c r="AI32" i="23"/>
  <c r="AI39" i="23"/>
  <c r="AI7" i="23"/>
  <c r="AI21" i="23"/>
  <c r="AI25" i="23"/>
  <c r="AI30" i="23"/>
  <c r="AI48" i="23"/>
  <c r="AI15" i="23"/>
  <c r="AI61" i="23"/>
  <c r="AI52" i="23"/>
  <c r="AI45" i="23"/>
  <c r="AI20" i="23"/>
  <c r="P53" i="1"/>
  <c r="U47" i="23"/>
  <c r="P39" i="1"/>
  <c r="U33" i="23"/>
  <c r="P28" i="1"/>
  <c r="U22" i="23"/>
  <c r="P60" i="1"/>
  <c r="U54" i="23"/>
  <c r="P65" i="1"/>
  <c r="U59" i="23"/>
  <c r="P40" i="1"/>
  <c r="U34" i="23"/>
  <c r="P66" i="1"/>
  <c r="U60" i="23"/>
  <c r="P48" i="1"/>
  <c r="U42" i="23"/>
  <c r="P54" i="1"/>
  <c r="U48" i="23"/>
  <c r="P74" i="1"/>
  <c r="U68" i="23"/>
  <c r="P30" i="1"/>
  <c r="U24" i="23"/>
  <c r="P79" i="1"/>
  <c r="U73" i="23"/>
  <c r="P51" i="1"/>
  <c r="U45" i="23"/>
  <c r="P50" i="1"/>
  <c r="U44" i="23"/>
  <c r="P75" i="1"/>
  <c r="U69" i="23"/>
  <c r="P33" i="1"/>
  <c r="U27" i="23"/>
  <c r="P42" i="1"/>
  <c r="U36" i="23"/>
  <c r="P58" i="1"/>
  <c r="U52" i="23"/>
  <c r="P57" i="1"/>
  <c r="U51" i="23"/>
  <c r="P29" i="1"/>
  <c r="U23" i="23"/>
  <c r="P32" i="1"/>
  <c r="U26" i="23"/>
  <c r="P41" i="1"/>
  <c r="U35" i="23"/>
  <c r="P43" i="1"/>
  <c r="U37" i="23"/>
  <c r="P63" i="1"/>
  <c r="U57" i="23"/>
  <c r="P71" i="1"/>
  <c r="U65" i="23"/>
  <c r="W76" i="49" s="1"/>
  <c r="P56" i="1"/>
  <c r="U50" i="23"/>
  <c r="P46" i="1"/>
  <c r="U40" i="23"/>
  <c r="P68" i="1"/>
  <c r="U62" i="23"/>
  <c r="P47" i="1"/>
  <c r="U41" i="23"/>
  <c r="P62" i="1"/>
  <c r="U56" i="23"/>
  <c r="P55" i="1"/>
  <c r="U49" i="23"/>
  <c r="P31" i="1"/>
  <c r="U25" i="23"/>
  <c r="P72" i="1"/>
  <c r="U66" i="23"/>
  <c r="P76" i="1"/>
  <c r="U70" i="23"/>
  <c r="P67" i="1"/>
  <c r="U61" i="23"/>
  <c r="P69" i="1"/>
  <c r="U63" i="23"/>
  <c r="P73" i="1"/>
  <c r="U67" i="23"/>
  <c r="P49" i="1"/>
  <c r="U43" i="23"/>
  <c r="P77" i="1"/>
  <c r="U71" i="23"/>
  <c r="P35" i="1"/>
  <c r="U29" i="23"/>
  <c r="P78" i="1"/>
  <c r="U72" i="23"/>
  <c r="W54" i="49" s="1"/>
  <c r="P64" i="1"/>
  <c r="U58" i="23"/>
  <c r="P61" i="1"/>
  <c r="U55" i="23"/>
  <c r="P34" i="1"/>
  <c r="U28" i="23"/>
  <c r="P36" i="1"/>
  <c r="U30" i="23"/>
  <c r="P45" i="1"/>
  <c r="U39" i="23"/>
  <c r="P37" i="1"/>
  <c r="U31" i="23"/>
  <c r="P38" i="1"/>
  <c r="U32" i="23"/>
  <c r="P59" i="1"/>
  <c r="U53" i="23"/>
  <c r="P44" i="1"/>
  <c r="U38" i="23"/>
  <c r="P70" i="1"/>
  <c r="U64" i="23"/>
  <c r="P17" i="1"/>
  <c r="U11" i="23"/>
  <c r="P15" i="1"/>
  <c r="U9" i="23"/>
  <c r="P19" i="1"/>
  <c r="U13" i="23"/>
  <c r="P24" i="1"/>
  <c r="U18" i="23"/>
  <c r="P23" i="1"/>
  <c r="U17" i="23"/>
  <c r="P11" i="1"/>
  <c r="U5" i="23"/>
  <c r="P14" i="1"/>
  <c r="U8" i="23"/>
  <c r="P21" i="1"/>
  <c r="U15" i="23"/>
  <c r="P27" i="1"/>
  <c r="U21" i="23"/>
  <c r="P20" i="1"/>
  <c r="U14" i="23"/>
  <c r="P12" i="1"/>
  <c r="U6" i="23"/>
  <c r="P13" i="1"/>
  <c r="U7" i="23"/>
  <c r="P10" i="1"/>
  <c r="U4" i="23"/>
  <c r="P16" i="1"/>
  <c r="U10" i="23"/>
  <c r="P26" i="1"/>
  <c r="U20" i="23"/>
  <c r="P25" i="1"/>
  <c r="U19" i="23"/>
  <c r="P18" i="1"/>
  <c r="U12" i="23"/>
  <c r="P9" i="1"/>
  <c r="U3" i="23"/>
  <c r="P22" i="1"/>
  <c r="U16" i="23"/>
  <c r="P8" i="1"/>
  <c r="U2" i="23"/>
  <c r="H35" i="6"/>
  <c r="I41" i="6" s="1"/>
  <c r="W55" i="49" l="1"/>
  <c r="AM58" i="49"/>
  <c r="AM64" i="49"/>
  <c r="AK75" i="49"/>
  <c r="AM54" i="49"/>
  <c r="W75" i="49"/>
  <c r="AM75" i="49"/>
  <c r="AK54" i="49"/>
  <c r="W74" i="49"/>
  <c r="AK74" i="49"/>
  <c r="AM74" i="49"/>
  <c r="C34" i="54"/>
  <c r="D17" i="54"/>
  <c r="E17" i="54" s="1"/>
  <c r="C33" i="54"/>
  <c r="T8" i="52" s="1"/>
  <c r="C32" i="54"/>
  <c r="AM68" i="49"/>
  <c r="C30" i="54"/>
  <c r="T5" i="52" s="1"/>
  <c r="AM59" i="49"/>
  <c r="D18" i="54"/>
  <c r="E18" i="54" s="1"/>
  <c r="D16" i="54"/>
  <c r="E16" i="54" s="1"/>
  <c r="AM63" i="49"/>
  <c r="W67" i="49"/>
  <c r="W8" i="49"/>
  <c r="W52" i="49"/>
  <c r="W61" i="49"/>
  <c r="AK48" i="49"/>
  <c r="AK44" i="49"/>
  <c r="W47" i="49"/>
  <c r="W73" i="49"/>
  <c r="AK47" i="49"/>
  <c r="W66" i="49"/>
  <c r="W53" i="49"/>
  <c r="AK52" i="49"/>
  <c r="W56" i="49"/>
  <c r="AK73" i="49"/>
  <c r="AM51" i="49"/>
  <c r="AK66" i="49"/>
  <c r="AM50" i="49"/>
  <c r="AM67" i="49"/>
  <c r="AM62" i="49"/>
  <c r="AM69" i="49"/>
  <c r="W71" i="49"/>
  <c r="AK72" i="49"/>
  <c r="W62" i="49"/>
  <c r="AK58" i="49"/>
  <c r="AK41" i="49"/>
  <c r="AK69" i="49"/>
  <c r="AK68" i="49"/>
  <c r="AK53" i="49"/>
  <c r="AK62" i="49"/>
  <c r="AM42" i="49"/>
  <c r="AM73" i="49"/>
  <c r="AK55" i="49"/>
  <c r="AM55" i="49"/>
  <c r="AM22" i="49"/>
  <c r="AK64" i="49"/>
  <c r="AK25" i="49"/>
  <c r="W20" i="49"/>
  <c r="W15" i="49"/>
  <c r="W31" i="49"/>
  <c r="AK38" i="49"/>
  <c r="AM37" i="49"/>
  <c r="W19" i="49"/>
  <c r="W18" i="49"/>
  <c r="AK8" i="49"/>
  <c r="W25" i="49"/>
  <c r="AM24" i="49"/>
  <c r="AM18" i="49"/>
  <c r="AK6" i="49"/>
  <c r="AK29" i="49"/>
  <c r="AM27" i="49"/>
  <c r="AK7" i="49"/>
  <c r="AM12" i="49"/>
  <c r="AM10" i="49"/>
  <c r="AM31" i="49"/>
  <c r="W16" i="49"/>
  <c r="W13" i="49"/>
  <c r="W39" i="49"/>
  <c r="AM34" i="49"/>
  <c r="AK32" i="49"/>
  <c r="AM66" i="49"/>
  <c r="AM14" i="49"/>
  <c r="AK59" i="49"/>
  <c r="AK17" i="49"/>
  <c r="AK46" i="49"/>
  <c r="AK5" i="49"/>
  <c r="AK56" i="49"/>
  <c r="AK50" i="49"/>
  <c r="AK16" i="49"/>
  <c r="AM20" i="49"/>
  <c r="AM41" i="49"/>
  <c r="AM32" i="49"/>
  <c r="AM49" i="49"/>
  <c r="W60" i="49"/>
  <c r="W57" i="49"/>
  <c r="W57" i="44"/>
  <c r="W57" i="46"/>
  <c r="AK45" i="49"/>
  <c r="AM56" i="49"/>
  <c r="W69" i="49"/>
  <c r="W63" i="49"/>
  <c r="AM61" i="49"/>
  <c r="W10" i="49"/>
  <c r="W9" i="49"/>
  <c r="W26" i="49"/>
  <c r="W48" i="49"/>
  <c r="W70" i="49"/>
  <c r="AK70" i="49"/>
  <c r="AM53" i="49"/>
  <c r="AM71" i="49"/>
  <c r="AM48" i="49"/>
  <c r="W72" i="49"/>
  <c r="AK63" i="49"/>
  <c r="W40" i="49"/>
  <c r="W50" i="49"/>
  <c r="AK49" i="49"/>
  <c r="W14" i="49"/>
  <c r="W64" i="49"/>
  <c r="W30" i="49"/>
  <c r="W49" i="49"/>
  <c r="W43" i="49"/>
  <c r="W36" i="49"/>
  <c r="W59" i="49"/>
  <c r="W58" i="49"/>
  <c r="AK22" i="49"/>
  <c r="AK18" i="49"/>
  <c r="AK65" i="49"/>
  <c r="AK31" i="49"/>
  <c r="AK71" i="49"/>
  <c r="AK60" i="49"/>
  <c r="AK57" i="49"/>
  <c r="AK57" i="44"/>
  <c r="AK57" i="46"/>
  <c r="AK67" i="49"/>
  <c r="AM17" i="49"/>
  <c r="AM60" i="49"/>
  <c r="AM57" i="49"/>
  <c r="W51" i="49"/>
  <c r="AK51" i="49"/>
  <c r="AM72" i="49"/>
  <c r="W38" i="49"/>
  <c r="W32" i="49"/>
  <c r="W68" i="49"/>
  <c r="W65" i="49"/>
  <c r="AK61" i="49"/>
  <c r="AM11" i="49"/>
  <c r="AM52" i="49"/>
  <c r="AM36" i="49"/>
  <c r="AM70" i="49"/>
  <c r="AM65" i="49"/>
  <c r="W17" i="49"/>
  <c r="W11" i="49"/>
  <c r="W29" i="49"/>
  <c r="AK12" i="49"/>
  <c r="W7" i="49"/>
  <c r="W42" i="49"/>
  <c r="W22" i="49"/>
  <c r="AM26" i="49"/>
  <c r="W5" i="49"/>
  <c r="AK26" i="49"/>
  <c r="AK40" i="49"/>
  <c r="W6" i="49"/>
  <c r="W41" i="49"/>
  <c r="W45" i="49"/>
  <c r="W35" i="49"/>
  <c r="W34" i="49"/>
  <c r="W33" i="49"/>
  <c r="AK15" i="49"/>
  <c r="AK11" i="49"/>
  <c r="AK9" i="49"/>
  <c r="AK14" i="49"/>
  <c r="AK19" i="49"/>
  <c r="AK36" i="49"/>
  <c r="AM43" i="49"/>
  <c r="AM30" i="49"/>
  <c r="AM33" i="49"/>
  <c r="AM45" i="49"/>
  <c r="AM9" i="49"/>
  <c r="AK42" i="49"/>
  <c r="AM35" i="49"/>
  <c r="AK23" i="49"/>
  <c r="AK4" i="49"/>
  <c r="AM44" i="49"/>
  <c r="AK28" i="49"/>
  <c r="W37" i="49"/>
  <c r="AK33" i="49"/>
  <c r="AK13" i="49"/>
  <c r="AK37" i="49"/>
  <c r="AM16" i="49"/>
  <c r="AM19" i="49"/>
  <c r="AM5" i="49"/>
  <c r="AM38" i="49"/>
  <c r="AM8" i="49"/>
  <c r="AK30" i="49"/>
  <c r="AK34" i="49"/>
  <c r="AK24" i="49"/>
  <c r="AK43" i="49"/>
  <c r="AK10" i="49"/>
  <c r="AM40" i="49"/>
  <c r="AM25" i="49"/>
  <c r="AM23" i="49"/>
  <c r="AM4" i="49"/>
  <c r="AM6" i="49"/>
  <c r="AM28" i="49"/>
  <c r="AM7" i="49"/>
  <c r="AM13" i="49"/>
  <c r="AM15" i="49"/>
  <c r="W12" i="49"/>
  <c r="W21" i="49"/>
  <c r="W28" i="49"/>
  <c r="W24" i="49"/>
  <c r="W23" i="49"/>
  <c r="W4" i="49"/>
  <c r="W27" i="49"/>
  <c r="W46" i="49"/>
  <c r="W44" i="49"/>
  <c r="AK20" i="49"/>
  <c r="AK21" i="49"/>
  <c r="AK39" i="49"/>
  <c r="AK35" i="49"/>
  <c r="AK27" i="49"/>
  <c r="AM21" i="49"/>
  <c r="AM39" i="49"/>
  <c r="AM46" i="49"/>
  <c r="AM29" i="49"/>
  <c r="AK4" i="46"/>
  <c r="AL4" i="46"/>
  <c r="W4" i="46"/>
  <c r="W56" i="46"/>
  <c r="W31" i="46"/>
  <c r="W39" i="46"/>
  <c r="W25" i="46"/>
  <c r="AK63" i="46"/>
  <c r="AK62" i="46"/>
  <c r="AL44" i="46"/>
  <c r="AL35" i="46"/>
  <c r="AK72" i="46"/>
  <c r="AK32" i="46"/>
  <c r="AK73" i="46"/>
  <c r="AK44" i="46"/>
  <c r="AK40" i="46"/>
  <c r="AK51" i="46"/>
  <c r="AK8" i="46"/>
  <c r="AK55" i="46"/>
  <c r="AK23" i="46"/>
  <c r="AL36" i="46"/>
  <c r="AL14" i="46"/>
  <c r="AL27" i="46"/>
  <c r="AL67" i="46"/>
  <c r="AL24" i="46"/>
  <c r="AL65" i="46"/>
  <c r="AL72" i="46"/>
  <c r="AL62" i="46"/>
  <c r="AL18" i="46"/>
  <c r="W66" i="46"/>
  <c r="W51" i="46"/>
  <c r="AK41" i="46"/>
  <c r="AK52" i="46"/>
  <c r="AL64" i="46"/>
  <c r="W20" i="46"/>
  <c r="W40" i="46"/>
  <c r="W67" i="46"/>
  <c r="W34" i="46"/>
  <c r="AK14" i="46"/>
  <c r="AL49" i="46"/>
  <c r="AK59" i="46"/>
  <c r="AK46" i="46"/>
  <c r="AK42" i="46"/>
  <c r="AK5" i="46"/>
  <c r="AK56" i="46"/>
  <c r="AK28" i="46"/>
  <c r="AK50" i="46"/>
  <c r="AK16" i="46"/>
  <c r="AL51" i="46"/>
  <c r="AL5" i="46"/>
  <c r="AL74" i="46"/>
  <c r="AL19" i="46"/>
  <c r="AL31" i="46"/>
  <c r="AL12" i="46"/>
  <c r="AL32" i="46"/>
  <c r="AL28" i="46"/>
  <c r="AL70" i="46"/>
  <c r="W15" i="46"/>
  <c r="W53" i="46"/>
  <c r="W62" i="46"/>
  <c r="W22" i="46"/>
  <c r="AK38" i="46"/>
  <c r="AL66" i="46"/>
  <c r="AL54" i="46"/>
  <c r="W6" i="46"/>
  <c r="W41" i="46"/>
  <c r="W52" i="46"/>
  <c r="W50" i="46"/>
  <c r="AK58" i="46"/>
  <c r="AL52" i="46"/>
  <c r="AK17" i="46"/>
  <c r="W37" i="46"/>
  <c r="W10" i="46"/>
  <c r="W14" i="46"/>
  <c r="W5" i="46"/>
  <c r="W9" i="46"/>
  <c r="W64" i="46"/>
  <c r="W30" i="46"/>
  <c r="W54" i="46"/>
  <c r="W49" i="46"/>
  <c r="W55" i="46"/>
  <c r="W43" i="46"/>
  <c r="W76" i="46"/>
  <c r="W26" i="46"/>
  <c r="W36" i="46"/>
  <c r="W48" i="46"/>
  <c r="W59" i="46"/>
  <c r="W70" i="46"/>
  <c r="W58" i="46"/>
  <c r="AK30" i="46"/>
  <c r="AK33" i="46"/>
  <c r="AK22" i="46"/>
  <c r="AK70" i="46"/>
  <c r="AK13" i="46"/>
  <c r="AK18" i="46"/>
  <c r="AK34" i="46"/>
  <c r="AK37" i="46"/>
  <c r="AK54" i="46"/>
  <c r="AL33" i="46"/>
  <c r="AL13" i="46"/>
  <c r="AL45" i="46"/>
  <c r="AL6" i="46"/>
  <c r="AL69" i="46"/>
  <c r="AL20" i="46"/>
  <c r="AL48" i="46"/>
  <c r="AL26" i="46"/>
  <c r="W18" i="46"/>
  <c r="W42" i="46"/>
  <c r="AK69" i="46"/>
  <c r="AL55" i="46"/>
  <c r="AL75" i="46"/>
  <c r="AL11" i="46"/>
  <c r="W16" i="46"/>
  <c r="W8" i="46"/>
  <c r="W69" i="46"/>
  <c r="W61" i="46"/>
  <c r="W63" i="46"/>
  <c r="W33" i="46"/>
  <c r="AK11" i="46"/>
  <c r="AK49" i="46"/>
  <c r="AK76" i="46"/>
  <c r="AK36" i="46"/>
  <c r="AL37" i="46"/>
  <c r="AL71" i="46"/>
  <c r="AL46" i="46"/>
  <c r="AK65" i="46"/>
  <c r="AK60" i="46"/>
  <c r="AL34" i="46"/>
  <c r="AL38" i="46"/>
  <c r="AL76" i="46"/>
  <c r="W19" i="46"/>
  <c r="W75" i="46"/>
  <c r="W72" i="46"/>
  <c r="W71" i="46"/>
  <c r="AK68" i="46"/>
  <c r="AK45" i="46"/>
  <c r="AL25" i="46"/>
  <c r="W13" i="46"/>
  <c r="W45" i="46"/>
  <c r="W35" i="46"/>
  <c r="W47" i="46"/>
  <c r="AK15" i="46"/>
  <c r="AK9" i="46"/>
  <c r="AK19" i="46"/>
  <c r="AL39" i="46"/>
  <c r="AL30" i="46"/>
  <c r="AL29" i="46"/>
  <c r="AL58" i="46"/>
  <c r="AK24" i="46"/>
  <c r="AK31" i="46"/>
  <c r="AK71" i="46"/>
  <c r="AK67" i="46"/>
  <c r="AK43" i="46"/>
  <c r="AK10" i="46"/>
  <c r="AL63" i="46"/>
  <c r="AL50" i="46"/>
  <c r="AL17" i="46"/>
  <c r="AL9" i="46"/>
  <c r="AL41" i="46"/>
  <c r="AL16" i="46"/>
  <c r="W12" i="46"/>
  <c r="W38" i="46"/>
  <c r="W21" i="46"/>
  <c r="W17" i="46"/>
  <c r="W11" i="46"/>
  <c r="W32" i="46"/>
  <c r="W28" i="46"/>
  <c r="W29" i="46"/>
  <c r="W74" i="46"/>
  <c r="W24" i="46"/>
  <c r="W73" i="46"/>
  <c r="W68" i="46"/>
  <c r="W23" i="46"/>
  <c r="W27" i="46"/>
  <c r="W46" i="46"/>
  <c r="W44" i="46"/>
  <c r="W65" i="46"/>
  <c r="AK20" i="46"/>
  <c r="AK21" i="46"/>
  <c r="AK75" i="46"/>
  <c r="AK74" i="46"/>
  <c r="AK12" i="46"/>
  <c r="AK39" i="46"/>
  <c r="AK35" i="46"/>
  <c r="AK27" i="46"/>
  <c r="AK61" i="46"/>
  <c r="AL22" i="46"/>
  <c r="AL47" i="46"/>
  <c r="AL53" i="46"/>
  <c r="AL59" i="46"/>
  <c r="AL21" i="46"/>
  <c r="AL42" i="46"/>
  <c r="AL10" i="46"/>
  <c r="AL40" i="46"/>
  <c r="AL8" i="46"/>
  <c r="W7" i="46"/>
  <c r="W60" i="46"/>
  <c r="AK53" i="46"/>
  <c r="AK48" i="46"/>
  <c r="AK7" i="46"/>
  <c r="AK6" i="46"/>
  <c r="AK25" i="46"/>
  <c r="AK47" i="46"/>
  <c r="AK66" i="46"/>
  <c r="AK29" i="46"/>
  <c r="AK26" i="46"/>
  <c r="AK64" i="46"/>
  <c r="AL61" i="46"/>
  <c r="AL23" i="46"/>
  <c r="AL68" i="46"/>
  <c r="AL73" i="46"/>
  <c r="AL56" i="46"/>
  <c r="AL43" i="46"/>
  <c r="AL15" i="46"/>
  <c r="AL60" i="46"/>
  <c r="AL7" i="46"/>
  <c r="W15" i="44"/>
  <c r="AK38" i="44"/>
  <c r="AL39" i="44"/>
  <c r="AL30" i="44"/>
  <c r="AL21" i="44"/>
  <c r="AL71" i="44"/>
  <c r="AK72" i="44"/>
  <c r="AK40" i="44"/>
  <c r="W20" i="44"/>
  <c r="W13" i="44"/>
  <c r="W45" i="44"/>
  <c r="W61" i="44"/>
  <c r="W35" i="44"/>
  <c r="W47" i="44"/>
  <c r="W50" i="44"/>
  <c r="W34" i="44"/>
  <c r="AK11" i="44"/>
  <c r="AK58" i="44"/>
  <c r="AL61" i="44"/>
  <c r="AL51" i="44"/>
  <c r="AL68" i="44"/>
  <c r="AL74" i="44"/>
  <c r="AL73" i="44"/>
  <c r="AL56" i="44"/>
  <c r="AL31" i="44"/>
  <c r="AL43" i="44"/>
  <c r="AL15" i="44"/>
  <c r="AL32" i="44"/>
  <c r="AL60" i="44"/>
  <c r="AL70" i="44"/>
  <c r="W75" i="44"/>
  <c r="W53" i="44"/>
  <c r="W42" i="44"/>
  <c r="W51" i="44"/>
  <c r="AK69" i="44"/>
  <c r="AK52" i="44"/>
  <c r="AL47" i="44"/>
  <c r="AL52" i="44"/>
  <c r="AL42" i="44"/>
  <c r="AL58" i="44"/>
  <c r="W6" i="44"/>
  <c r="W41" i="44"/>
  <c r="W67" i="44"/>
  <c r="W63" i="44"/>
  <c r="AK14" i="44"/>
  <c r="AK49" i="44"/>
  <c r="AK19" i="44"/>
  <c r="AK76" i="44"/>
  <c r="AL19" i="44"/>
  <c r="AK59" i="44"/>
  <c r="AK17" i="44"/>
  <c r="AK46" i="44"/>
  <c r="AK42" i="44"/>
  <c r="AK56" i="44"/>
  <c r="AK28" i="44"/>
  <c r="AK50" i="44"/>
  <c r="AK16" i="44"/>
  <c r="AK63" i="44"/>
  <c r="AK62" i="44"/>
  <c r="AL37" i="44"/>
  <c r="AL46" i="44"/>
  <c r="AK51" i="44"/>
  <c r="W16" i="44"/>
  <c r="W40" i="44"/>
  <c r="W52" i="44"/>
  <c r="W10" i="44"/>
  <c r="W14" i="44"/>
  <c r="W5" i="44"/>
  <c r="W64" i="44"/>
  <c r="W54" i="44"/>
  <c r="W55" i="44"/>
  <c r="W76" i="44"/>
  <c r="W48" i="44"/>
  <c r="W70" i="44"/>
  <c r="W58" i="44"/>
  <c r="AK30" i="44"/>
  <c r="AK33" i="44"/>
  <c r="AK70" i="44"/>
  <c r="AK18" i="44"/>
  <c r="AK34" i="44"/>
  <c r="AK37" i="44"/>
  <c r="AK54" i="44"/>
  <c r="AL44" i="44"/>
  <c r="AL33" i="44"/>
  <c r="AL55" i="44"/>
  <c r="AL66" i="44"/>
  <c r="AL45" i="44"/>
  <c r="AL64" i="44"/>
  <c r="AL25" i="44"/>
  <c r="AL69" i="44"/>
  <c r="AL75" i="44"/>
  <c r="AL20" i="44"/>
  <c r="AL54" i="44"/>
  <c r="AL48" i="44"/>
  <c r="AL35" i="44"/>
  <c r="AL26" i="44"/>
  <c r="W56" i="44"/>
  <c r="AK53" i="44"/>
  <c r="AL53" i="44"/>
  <c r="AK73" i="44"/>
  <c r="AK55" i="44"/>
  <c r="W8" i="44"/>
  <c r="W69" i="44"/>
  <c r="W37" i="44"/>
  <c r="W30" i="44"/>
  <c r="W49" i="44"/>
  <c r="W43" i="44"/>
  <c r="W26" i="44"/>
  <c r="W36" i="44"/>
  <c r="W59" i="44"/>
  <c r="AK22" i="44"/>
  <c r="AK65" i="44"/>
  <c r="AK31" i="44"/>
  <c r="AK71" i="44"/>
  <c r="AK60" i="44"/>
  <c r="AK67" i="44"/>
  <c r="AK43" i="44"/>
  <c r="W66" i="44"/>
  <c r="W60" i="44"/>
  <c r="W71" i="44"/>
  <c r="AK68" i="44"/>
  <c r="AK45" i="44"/>
  <c r="AK44" i="44"/>
  <c r="W12" i="44"/>
  <c r="W38" i="44"/>
  <c r="W17" i="44"/>
  <c r="W24" i="44"/>
  <c r="W73" i="44"/>
  <c r="W68" i="44"/>
  <c r="W23" i="44"/>
  <c r="W46" i="44"/>
  <c r="W44" i="44"/>
  <c r="W65" i="44"/>
  <c r="AK20" i="44"/>
  <c r="AK21" i="44"/>
  <c r="AK75" i="44"/>
  <c r="AK74" i="44"/>
  <c r="AK61" i="44"/>
  <c r="AL63" i="44"/>
  <c r="AL14" i="44"/>
  <c r="AL50" i="44"/>
  <c r="AL67" i="44"/>
  <c r="AL76" i="44"/>
  <c r="AL65" i="44"/>
  <c r="AL72" i="44"/>
  <c r="AL41" i="44"/>
  <c r="AL62" i="44"/>
  <c r="W31" i="44"/>
  <c r="W72" i="44"/>
  <c r="W62" i="44"/>
  <c r="AK41" i="44"/>
  <c r="AL22" i="44"/>
  <c r="AL59" i="44"/>
  <c r="AL49" i="44"/>
  <c r="AL40" i="44"/>
  <c r="W74" i="44"/>
  <c r="AK48" i="44"/>
  <c r="AK47" i="44"/>
  <c r="AK66" i="44"/>
  <c r="AK64" i="44"/>
  <c r="AL5" i="44"/>
  <c r="AK5" i="44"/>
  <c r="AK13" i="44"/>
  <c r="AL13" i="44"/>
  <c r="W9" i="44"/>
  <c r="AL6" i="44"/>
  <c r="AK10" i="44"/>
  <c r="AK12" i="44"/>
  <c r="AL9" i="44"/>
  <c r="W11" i="44"/>
  <c r="W28" i="44"/>
  <c r="W29" i="44"/>
  <c r="W27" i="44"/>
  <c r="AK39" i="44"/>
  <c r="AK35" i="44"/>
  <c r="AK27" i="44"/>
  <c r="AL34" i="44"/>
  <c r="AL36" i="44"/>
  <c r="AL38" i="44"/>
  <c r="AL27" i="44"/>
  <c r="AL17" i="44"/>
  <c r="AL24" i="44"/>
  <c r="AL16" i="44"/>
  <c r="AL18" i="44"/>
  <c r="AK24" i="44"/>
  <c r="W21" i="44"/>
  <c r="W32" i="44"/>
  <c r="AK7" i="44"/>
  <c r="AK4" i="44"/>
  <c r="AK6" i="44"/>
  <c r="AK25" i="44"/>
  <c r="AK29" i="44"/>
  <c r="AK26" i="44"/>
  <c r="AL11" i="44"/>
  <c r="W25" i="44"/>
  <c r="AL10" i="44"/>
  <c r="AL8" i="44"/>
  <c r="W19" i="44"/>
  <c r="W7" i="44"/>
  <c r="W4" i="44"/>
  <c r="W18" i="44"/>
  <c r="W39" i="44"/>
  <c r="W22" i="44"/>
  <c r="AL29" i="44"/>
  <c r="AK32" i="44"/>
  <c r="AK8" i="44"/>
  <c r="AK23" i="44"/>
  <c r="W33" i="44"/>
  <c r="AK15" i="44"/>
  <c r="AK9" i="44"/>
  <c r="AK36" i="44"/>
  <c r="AL23" i="44"/>
  <c r="AL12" i="44"/>
  <c r="AL28" i="44"/>
  <c r="AL7" i="44"/>
  <c r="AL4" i="44"/>
  <c r="V6" i="23"/>
  <c r="V58" i="23"/>
  <c r="V50" i="23"/>
  <c r="V44" i="23"/>
  <c r="V68" i="23"/>
  <c r="V34" i="23"/>
  <c r="V33" i="23"/>
  <c r="V16" i="23"/>
  <c r="V39" i="23"/>
  <c r="V52" i="23"/>
  <c r="V5" i="23"/>
  <c r="V72" i="23"/>
  <c r="V65" i="23"/>
  <c r="X76" i="49" s="1"/>
  <c r="V48" i="23"/>
  <c r="V8" i="23"/>
  <c r="V70" i="23"/>
  <c r="V10" i="23"/>
  <c r="V53" i="23"/>
  <c r="V41" i="23"/>
  <c r="V59" i="23"/>
  <c r="V12" i="23"/>
  <c r="V21" i="23"/>
  <c r="V11" i="23"/>
  <c r="V28" i="23"/>
  <c r="V29" i="23"/>
  <c r="V63" i="23"/>
  <c r="V62" i="23"/>
  <c r="V57" i="23"/>
  <c r="V23" i="23"/>
  <c r="V27" i="23"/>
  <c r="V73" i="23"/>
  <c r="V42" i="23"/>
  <c r="V54" i="23"/>
  <c r="V20" i="23"/>
  <c r="V43" i="23"/>
  <c r="V3" i="23"/>
  <c r="V30" i="23"/>
  <c r="V36" i="23"/>
  <c r="V4" i="23"/>
  <c r="V17" i="23"/>
  <c r="V32" i="23"/>
  <c r="V25" i="23"/>
  <c r="V13" i="23"/>
  <c r="V35" i="23"/>
  <c r="V14" i="23"/>
  <c r="V67" i="23"/>
  <c r="V26" i="23"/>
  <c r="V47" i="23"/>
  <c r="V2" i="23"/>
  <c r="V7" i="23"/>
  <c r="V15" i="23"/>
  <c r="V64" i="23"/>
  <c r="V31" i="23"/>
  <c r="V55" i="23"/>
  <c r="V71" i="23"/>
  <c r="V61" i="23"/>
  <c r="V49" i="23"/>
  <c r="V40" i="23"/>
  <c r="V37" i="23"/>
  <c r="V51" i="23"/>
  <c r="V69" i="23"/>
  <c r="V24" i="23"/>
  <c r="V60" i="23"/>
  <c r="V22" i="23"/>
  <c r="V38" i="23"/>
  <c r="V56" i="23"/>
  <c r="V9" i="23"/>
  <c r="V66" i="23"/>
  <c r="V45" i="23"/>
  <c r="V19" i="23"/>
  <c r="V18" i="23"/>
  <c r="I40" i="6"/>
  <c r="I39" i="6"/>
  <c r="I37" i="6"/>
  <c r="I38" i="6"/>
  <c r="X74" i="49" l="1"/>
  <c r="X48" i="49"/>
  <c r="X75" i="49"/>
  <c r="X54" i="49"/>
  <c r="D34" i="54"/>
  <c r="C31" i="54"/>
  <c r="D33" i="54"/>
  <c r="AC8" i="52" s="1"/>
  <c r="E32" i="54"/>
  <c r="D32" i="54"/>
  <c r="D30" i="54"/>
  <c r="AC5" i="52" s="1"/>
  <c r="X42" i="49"/>
  <c r="X69" i="49"/>
  <c r="X55" i="49"/>
  <c r="X50" i="49"/>
  <c r="X62" i="49"/>
  <c r="X70" i="49"/>
  <c r="X58" i="49"/>
  <c r="X71" i="49"/>
  <c r="X53" i="49"/>
  <c r="X66" i="49"/>
  <c r="X49" i="49"/>
  <c r="X59" i="49"/>
  <c r="X14" i="49"/>
  <c r="X31" i="49"/>
  <c r="X68" i="49"/>
  <c r="X9" i="49"/>
  <c r="X13" i="49"/>
  <c r="X73" i="49"/>
  <c r="X43" i="49"/>
  <c r="X61" i="49"/>
  <c r="X51" i="49"/>
  <c r="X35" i="49"/>
  <c r="X64" i="49"/>
  <c r="X47" i="49"/>
  <c r="X67" i="49"/>
  <c r="X20" i="49"/>
  <c r="X60" i="49"/>
  <c r="X57" i="49"/>
  <c r="X57" i="44"/>
  <c r="X57" i="46"/>
  <c r="X65" i="49"/>
  <c r="X7" i="49"/>
  <c r="X63" i="49"/>
  <c r="X56" i="49"/>
  <c r="X29" i="49"/>
  <c r="X72" i="49"/>
  <c r="X52" i="49"/>
  <c r="X40" i="49"/>
  <c r="X19" i="49"/>
  <c r="X25" i="49"/>
  <c r="X36" i="49"/>
  <c r="X21" i="49"/>
  <c r="X34" i="49"/>
  <c r="X5" i="49"/>
  <c r="X27" i="49"/>
  <c r="X30" i="49"/>
  <c r="X23" i="49"/>
  <c r="X4" i="49"/>
  <c r="X12" i="49"/>
  <c r="X24" i="49"/>
  <c r="X39" i="49"/>
  <c r="X32" i="49"/>
  <c r="X10" i="49"/>
  <c r="X41" i="49"/>
  <c r="X6" i="49"/>
  <c r="X37" i="49"/>
  <c r="X15" i="49"/>
  <c r="X22" i="49"/>
  <c r="X17" i="49"/>
  <c r="X44" i="49"/>
  <c r="X28" i="49"/>
  <c r="X16" i="49"/>
  <c r="X45" i="49"/>
  <c r="X18" i="49"/>
  <c r="X26" i="49"/>
  <c r="X38" i="49"/>
  <c r="X46" i="49"/>
  <c r="X11" i="49"/>
  <c r="X8" i="49"/>
  <c r="X33" i="49"/>
  <c r="X4" i="46"/>
  <c r="X66" i="46"/>
  <c r="X51" i="46"/>
  <c r="X14" i="46"/>
  <c r="X30" i="46"/>
  <c r="X23" i="46"/>
  <c r="X12" i="46"/>
  <c r="X76" i="46"/>
  <c r="X50" i="46"/>
  <c r="X36" i="46"/>
  <c r="X48" i="46"/>
  <c r="X55" i="46"/>
  <c r="X62" i="46"/>
  <c r="X70" i="46"/>
  <c r="X15" i="46"/>
  <c r="X13" i="46"/>
  <c r="X45" i="46"/>
  <c r="X73" i="46"/>
  <c r="X43" i="46"/>
  <c r="X5" i="46"/>
  <c r="X61" i="46"/>
  <c r="X19" i="46"/>
  <c r="X27" i="46"/>
  <c r="X34" i="46"/>
  <c r="X75" i="46"/>
  <c r="X47" i="46"/>
  <c r="X9" i="46"/>
  <c r="X67" i="46"/>
  <c r="X42" i="46"/>
  <c r="X7" i="46"/>
  <c r="X24" i="46"/>
  <c r="X20" i="46"/>
  <c r="X74" i="46"/>
  <c r="X64" i="46"/>
  <c r="X63" i="46"/>
  <c r="X69" i="46"/>
  <c r="X21" i="46"/>
  <c r="X31" i="46"/>
  <c r="X37" i="46"/>
  <c r="X32" i="46"/>
  <c r="X65" i="46"/>
  <c r="X29" i="46"/>
  <c r="X10" i="46"/>
  <c r="X41" i="46"/>
  <c r="X6" i="46"/>
  <c r="X49" i="46"/>
  <c r="X59" i="46"/>
  <c r="X35" i="46"/>
  <c r="X54" i="46"/>
  <c r="X40" i="46"/>
  <c r="X56" i="46"/>
  <c r="X22" i="46"/>
  <c r="X72" i="46"/>
  <c r="X58" i="46"/>
  <c r="X17" i="46"/>
  <c r="X44" i="46"/>
  <c r="X28" i="46"/>
  <c r="X52" i="46"/>
  <c r="X16" i="46"/>
  <c r="X25" i="46"/>
  <c r="X68" i="46"/>
  <c r="X39" i="46"/>
  <c r="X60" i="46"/>
  <c r="X18" i="46"/>
  <c r="X71" i="46"/>
  <c r="X53" i="46"/>
  <c r="X26" i="46"/>
  <c r="X38" i="46"/>
  <c r="X46" i="46"/>
  <c r="X11" i="46"/>
  <c r="X8" i="46"/>
  <c r="X33" i="46"/>
  <c r="X60" i="44"/>
  <c r="X50" i="44"/>
  <c r="X55" i="44"/>
  <c r="X62" i="44"/>
  <c r="X72" i="44"/>
  <c r="X75" i="44"/>
  <c r="X58" i="44"/>
  <c r="X35" i="44"/>
  <c r="X44" i="44"/>
  <c r="X68" i="44"/>
  <c r="X28" i="44"/>
  <c r="X70" i="44"/>
  <c r="X52" i="44"/>
  <c r="X54" i="44"/>
  <c r="X47" i="44"/>
  <c r="X41" i="44"/>
  <c r="X18" i="44"/>
  <c r="X9" i="44"/>
  <c r="X71" i="44"/>
  <c r="X53" i="44"/>
  <c r="X15" i="44"/>
  <c r="X38" i="44"/>
  <c r="X45" i="44"/>
  <c r="X46" i="44"/>
  <c r="X73" i="44"/>
  <c r="X43" i="44"/>
  <c r="X61" i="44"/>
  <c r="X40" i="44"/>
  <c r="X31" i="44"/>
  <c r="X14" i="44"/>
  <c r="X23" i="44"/>
  <c r="X76" i="44"/>
  <c r="X48" i="44"/>
  <c r="X32" i="44"/>
  <c r="X19" i="44"/>
  <c r="X67" i="44"/>
  <c r="X42" i="44"/>
  <c r="X66" i="44"/>
  <c r="X49" i="44"/>
  <c r="X24" i="44"/>
  <c r="X36" i="44"/>
  <c r="X27" i="44"/>
  <c r="X74" i="44"/>
  <c r="X64" i="44"/>
  <c r="X59" i="44"/>
  <c r="X63" i="44"/>
  <c r="X69" i="44"/>
  <c r="X51" i="44"/>
  <c r="X56" i="44"/>
  <c r="X30" i="44"/>
  <c r="X65" i="44"/>
  <c r="X10" i="44"/>
  <c r="X6" i="44"/>
  <c r="X13" i="44"/>
  <c r="X12" i="44"/>
  <c r="X22" i="44"/>
  <c r="X17" i="44"/>
  <c r="X37" i="44"/>
  <c r="X16" i="44"/>
  <c r="X39" i="44"/>
  <c r="X26" i="44"/>
  <c r="X11" i="44"/>
  <c r="X8" i="44"/>
  <c r="X5" i="44"/>
  <c r="X33" i="44"/>
  <c r="X29" i="44"/>
  <c r="X25" i="44"/>
  <c r="X7" i="44"/>
  <c r="X4" i="44"/>
  <c r="X20" i="44"/>
  <c r="X21" i="44"/>
  <c r="X34" i="44"/>
  <c r="E33" i="54" l="1"/>
  <c r="AL8" i="52" s="1"/>
  <c r="E34" i="54"/>
  <c r="E30" i="54"/>
  <c r="D31" i="54"/>
  <c r="E31" i="54" l="1"/>
  <c r="AL5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" authorId="0" shapeId="0" xr:uid="{9E87115A-6013-4374-A867-6A4C1E48842B}">
      <text>
        <r>
          <rPr>
            <b/>
            <sz val="9"/>
            <color indexed="81"/>
            <rFont val="Segoe UI"/>
            <charset val="1"/>
          </rPr>
          <t>Usuario:</t>
        </r>
        <r>
          <rPr>
            <sz val="9"/>
            <color indexed="81"/>
            <rFont val="Segoe UI"/>
            <charset val="1"/>
          </rPr>
          <t xml:space="preserve">
Inserir os dados manualmente</t>
        </r>
      </text>
    </comment>
  </commentList>
</comments>
</file>

<file path=xl/sharedStrings.xml><?xml version="1.0" encoding="utf-8"?>
<sst xmlns="http://schemas.openxmlformats.org/spreadsheetml/2006/main" count="1209" uniqueCount="209">
  <si>
    <t>Matriz</t>
  </si>
  <si>
    <t>Filial</t>
  </si>
  <si>
    <t>DOC./NF</t>
  </si>
  <si>
    <t>VENDEDORES</t>
  </si>
  <si>
    <t>Número de Negociações Feitas</t>
  </si>
  <si>
    <t>Título Quitado? (Sim/Não)</t>
  </si>
  <si>
    <t>Data da Entrada/Primeira Parcela</t>
  </si>
  <si>
    <t>Beta</t>
  </si>
  <si>
    <t>Delta</t>
  </si>
  <si>
    <t>Zeta</t>
  </si>
  <si>
    <t>Theta</t>
  </si>
  <si>
    <t>MundoInovador</t>
  </si>
  <si>
    <t>SoftLink</t>
  </si>
  <si>
    <t>BemEstar</t>
  </si>
  <si>
    <t>GlobalTech</t>
  </si>
  <si>
    <t>InvestPro</t>
  </si>
  <si>
    <t>NovaHorizonte</t>
  </si>
  <si>
    <t>João</t>
  </si>
  <si>
    <t>Maria</t>
  </si>
  <si>
    <t>Carlos</t>
  </si>
  <si>
    <t>Ana</t>
  </si>
  <si>
    <t>Beatriz</t>
  </si>
  <si>
    <t>Lucas</t>
  </si>
  <si>
    <t>Carla</t>
  </si>
  <si>
    <t>Roberto</t>
  </si>
  <si>
    <t>Juliana</t>
  </si>
  <si>
    <t>Gustavo</t>
  </si>
  <si>
    <t>Fernanda</t>
  </si>
  <si>
    <t>Felipe</t>
  </si>
  <si>
    <t>Camila</t>
  </si>
  <si>
    <t>Patrícia</t>
  </si>
  <si>
    <t>Tiago</t>
  </si>
  <si>
    <t>André</t>
  </si>
  <si>
    <t>Luana</t>
  </si>
  <si>
    <t>Pedro</t>
  </si>
  <si>
    <t>Sabrina</t>
  </si>
  <si>
    <t>Marcos</t>
  </si>
  <si>
    <t>Status de Cobrança</t>
  </si>
  <si>
    <t>Dias em Atraso</t>
  </si>
  <si>
    <t>Valor a Faturar</t>
  </si>
  <si>
    <t>Alpha &amp; CIA</t>
  </si>
  <si>
    <t>Gamma &amp; CIA</t>
  </si>
  <si>
    <t>Título Elegível</t>
  </si>
  <si>
    <t>Faixa de Atraso</t>
  </si>
  <si>
    <t xml:space="preserve">Bloqueio de sistema </t>
  </si>
  <si>
    <t>UNIDADE</t>
  </si>
  <si>
    <t>GRUPO</t>
  </si>
  <si>
    <t>EMPRESA</t>
  </si>
  <si>
    <t>DATA DE EMISSÃO</t>
  </si>
  <si>
    <t>VENCIMENTO ORIGINAL</t>
  </si>
  <si>
    <t>VALOR ORIGINAL</t>
  </si>
  <si>
    <t>Cobrança amigável: Títulos vencidos entre 1 e 30 dias costumam ser tratados apenas com lembretes e contato direto.</t>
  </si>
  <si>
    <t>Cobrança ativa (negociação mais intensa): A partir de 30 dias de atraso, muitas empresas já consideram o título elegível para negociação formal.</t>
  </si>
  <si>
    <t>Cobrança extrajudicial (protesto, negativação, assessoria de cobrança): Normalmente ocorre a partir de 60 a 90 dias de atraso.</t>
  </si>
  <si>
    <t>Cobrança judicial: Algumas empresas consideram títulos com mais de 120 dias vencidos elegíveis para ação judicial, dependendo do valor envolvido.</t>
  </si>
  <si>
    <t>SIM</t>
  </si>
  <si>
    <t>NÃO</t>
  </si>
  <si>
    <t>PAGO</t>
  </si>
  <si>
    <t>VENCIMENTO ATUAL</t>
  </si>
  <si>
    <t>Status de Pagamento</t>
  </si>
  <si>
    <t>-</t>
  </si>
  <si>
    <t>Sim</t>
  </si>
  <si>
    <t>Não</t>
  </si>
  <si>
    <t>Promessa de pagamento não cumprida</t>
  </si>
  <si>
    <t>Acordo de pagamento pendente</t>
  </si>
  <si>
    <t>Situação com comercial (aguardando análise comercial)</t>
  </si>
  <si>
    <t>Aguardando aprovação de crédito</t>
  </si>
  <si>
    <t>Cliente não localizado</t>
  </si>
  <si>
    <t>Promessa de pagamento refeito</t>
  </si>
  <si>
    <t>Proposta de renegociação pendente</t>
  </si>
  <si>
    <t>Bloqueio de sistema por inadimplência</t>
  </si>
  <si>
    <t>Acordo em andamento (aguardando pagamento)</t>
  </si>
  <si>
    <t>Negociação finalizada, pendente de pagamento</t>
  </si>
  <si>
    <t>Cliente em processo de análise para reativação</t>
  </si>
  <si>
    <t>Acordo cumprido parcialmente</t>
  </si>
  <si>
    <t>Aguardando liberação do financeiro</t>
  </si>
  <si>
    <t>Pagamento em processo (aguardando confirmação bancária)</t>
  </si>
  <si>
    <t>Cliente em inadimplência sem previsão de pagamento</t>
  </si>
  <si>
    <t>Situação jurídica em andamento (em processo judicial)</t>
  </si>
  <si>
    <t>Cancelamento de cobrança solicitado</t>
  </si>
  <si>
    <t>Cliente alegando dificuldades financeiras</t>
  </si>
  <si>
    <t>Aguardando resolução interna da empresa</t>
  </si>
  <si>
    <t>ANALISTA LUCAS</t>
  </si>
  <si>
    <t>CARTEIRA</t>
  </si>
  <si>
    <t>ANALISTA GUSTAVO</t>
  </si>
  <si>
    <t>ANALISTA SIMONE</t>
  </si>
  <si>
    <t>Acordo Fechado?</t>
  </si>
  <si>
    <t>Data de Negociação</t>
  </si>
  <si>
    <t>Statuts de Negociação</t>
  </si>
  <si>
    <t>Acompanhando</t>
  </si>
  <si>
    <t>VLR FATURAMENTO</t>
  </si>
  <si>
    <t>%</t>
  </si>
  <si>
    <t>VALOR INADIMPLETES</t>
  </si>
  <si>
    <t>média</t>
  </si>
  <si>
    <t>Contagem de valores</t>
  </si>
  <si>
    <t>SOMA</t>
  </si>
  <si>
    <t>Desvio padrão</t>
  </si>
  <si>
    <t>TOTAL DE INADIMPLÊNCIA</t>
  </si>
  <si>
    <t>Valores Vencidos</t>
  </si>
  <si>
    <t>PERIODO 2024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</si>
  <si>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</si>
  <si>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</si>
  <si>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</si>
  <si>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</si>
  <si>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</si>
  <si>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</si>
  <si>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</si>
  <si>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</si>
  <si>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</si>
  <si>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</si>
  <si>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</si>
  <si>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</si>
  <si>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</t>
  </si>
  <si>
    <t>Variação Amostral</t>
  </si>
  <si>
    <t>Faturamento</t>
  </si>
  <si>
    <t>Valor</t>
  </si>
  <si>
    <t>PERIODO de 2025</t>
  </si>
  <si>
    <t>%FATURAMENTO</t>
  </si>
  <si>
    <t>DATA</t>
  </si>
  <si>
    <t>Total Geral</t>
  </si>
  <si>
    <t>Soma de Valores Vencidos</t>
  </si>
  <si>
    <t>(vazio)</t>
  </si>
  <si>
    <t>STATUS DE COBRANÇA</t>
  </si>
  <si>
    <t>Valores a Vencer</t>
  </si>
  <si>
    <t>TITULOS VENCIDOS</t>
  </si>
  <si>
    <t>TITULOS A VENCER</t>
  </si>
  <si>
    <t>Soma(Vencidos)</t>
  </si>
  <si>
    <t>Soma( A Vencer)</t>
  </si>
  <si>
    <t>Soma de Dias em Atraso</t>
  </si>
  <si>
    <t>DIAS EM ATRASO</t>
  </si>
  <si>
    <t>Soma (Dias Atraso)</t>
  </si>
  <si>
    <t>Sem Retorno</t>
  </si>
  <si>
    <t xml:space="preserve">DESVIO PADRÃO </t>
  </si>
  <si>
    <t>FATURAMENTO TOTAL</t>
  </si>
  <si>
    <t xml:space="preserve"> </t>
  </si>
  <si>
    <t>MÊS EMISSOR</t>
  </si>
  <si>
    <t>ANO EMISSOR</t>
  </si>
  <si>
    <t>MÊS VENCIMENTO ORIGINAL</t>
  </si>
  <si>
    <t>ANO VENCIMENTO ORIGINAL</t>
  </si>
  <si>
    <t>MÊS ATUAL</t>
  </si>
  <si>
    <t>ANO ATUAL</t>
  </si>
  <si>
    <t>MÊS NEGOCIAÇÃO</t>
  </si>
  <si>
    <t>ANO NEGOCIAÇÃO</t>
  </si>
  <si>
    <t>MÊS PRIMEIRA PARCELA</t>
  </si>
  <si>
    <t>ANO PRIMERA PARCELA</t>
  </si>
  <si>
    <t>Rótulos de Linha</t>
  </si>
  <si>
    <t>fev-25</t>
  </si>
  <si>
    <t>jan-25</t>
  </si>
  <si>
    <t>mar-25</t>
  </si>
  <si>
    <t>Soma de VALOR ORIGINAL</t>
  </si>
  <si>
    <t>Soma de DOC./NF</t>
  </si>
  <si>
    <t>Contagem de DOC./NF</t>
  </si>
  <si>
    <t>Vencido</t>
  </si>
  <si>
    <t>abr-25</t>
  </si>
  <si>
    <t>Soma de Valores Vencidos2</t>
  </si>
  <si>
    <t>Atraso Médio</t>
  </si>
  <si>
    <t>Soma de VALOR ORIGINAL2</t>
  </si>
  <si>
    <t>BASE COBRANÇA</t>
  </si>
  <si>
    <t>DATA:</t>
  </si>
  <si>
    <t>DADOS FINANCEIROS</t>
  </si>
  <si>
    <t>ACOMPANHAMENTO DA COBRANÇA</t>
  </si>
  <si>
    <t>STATUS DA NEGOCIAÇÃO</t>
  </si>
  <si>
    <t>Cobrança</t>
  </si>
  <si>
    <t>Cobrança2</t>
  </si>
  <si>
    <t>Cobrança3</t>
  </si>
  <si>
    <t>Cobrança Ativa</t>
  </si>
  <si>
    <t>Contagem de Cobrança</t>
  </si>
  <si>
    <t>Contagem de Cobrança2</t>
  </si>
  <si>
    <t>MESES</t>
  </si>
  <si>
    <t>VALOR ORIGINAL.</t>
  </si>
  <si>
    <t>VALORES VENCIDOS.</t>
  </si>
  <si>
    <t>VALORES A VENCER.</t>
  </si>
  <si>
    <t>VALOR FATURAMENTO</t>
  </si>
  <si>
    <t>VALORES A VENCER</t>
  </si>
  <si>
    <t>VALORES VENCIDOS</t>
  </si>
  <si>
    <t>MÉDIA</t>
  </si>
  <si>
    <t>CONTAGEM DE VALORES</t>
  </si>
  <si>
    <t>DESVIO PADRÃO</t>
  </si>
  <si>
    <t>VARIAÇÃO AMOSTRAL</t>
  </si>
  <si>
    <t>TABELA</t>
  </si>
  <si>
    <t>jan-00</t>
  </si>
  <si>
    <t>jan-24</t>
  </si>
  <si>
    <t>fev-24</t>
  </si>
  <si>
    <t>CONTAGEM</t>
  </si>
  <si>
    <t>% INADIMPLENTES</t>
  </si>
  <si>
    <t>OS IMPUTS DEVERÃO SER LANÇADOS NA ABA "DADOS FINANCEIROS"</t>
  </si>
  <si>
    <t>OS FILTROS AVANÇADOS ESTÃO CONECTADOS NAS SEGUINTES ABAS</t>
  </si>
  <si>
    <t>DASHBOARD</t>
  </si>
  <si>
    <t>PAINEL</t>
  </si>
  <si>
    <t>DADOS FINANCEIROS - TABELA</t>
  </si>
  <si>
    <t>ACOMPANHAMENTO - TABELA</t>
  </si>
  <si>
    <t>STATUS NEGOCIAÇÃO - TABELA</t>
  </si>
  <si>
    <t>O RELATÓRIO DE COBRANÇA NÃO TEM VÍNCULO COM AS OUTRAS ABAS NA PLANILHA E É PREENCHIDO MANUALMENTE</t>
  </si>
  <si>
    <t>OBSERVAÇÕES</t>
  </si>
  <si>
    <t>ATUALIZAÇÃO DA PLANILHA IR EM "DADOS" e DEPOIS NO ÍCONE "ATUALIZAR TUDO"</t>
  </si>
  <si>
    <t>QUALQUER FILTRO SE COMUNICARÁ COM AS ABAS</t>
  </si>
  <si>
    <t xml:space="preserve">DADOS FINANCEIROS </t>
  </si>
  <si>
    <t>STATUS DE NEGOCIAÇÃO</t>
  </si>
  <si>
    <t>DIA SEMANA</t>
  </si>
  <si>
    <t>DATA ATUAL</t>
  </si>
  <si>
    <t/>
  </si>
  <si>
    <t xml:space="preserve"> FVC</t>
  </si>
  <si>
    <t>mai-25</t>
  </si>
  <si>
    <t>Atraso Crítico</t>
  </si>
  <si>
    <t>Quitado</t>
  </si>
  <si>
    <t>Cobrança Extrajudicial</t>
  </si>
  <si>
    <t>Cobrança Amigável</t>
  </si>
  <si>
    <t>A Vencer</t>
  </si>
  <si>
    <t>Cobrança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</si>
</sst>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\ * #,##0.000000_-;\-&quot;R$&quot;\ * #,##0.000000_-;_-&quot;R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7" tint="0.39997558519241921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7" tint="0.39997558519241921"/>
      <name val="Calibri"/>
      <family val="2"/>
      <scheme val="minor"/>
    </font>
    <font>
      <b/>
      <sz val="1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44" fontId="0" fillId="0" borderId="0" xfId="0" applyNumberFormat="1"/>
    <xf numFmtId="44" fontId="0" fillId="0" borderId="1" xfId="0" applyNumberFormat="1" applyBorder="1"/>
    <xf numFmtId="0" fontId="0" fillId="0" borderId="0" xfId="0" applyAlignment="1">
      <alignment vertical="center"/>
    </xf>
    <xf numFmtId="9" fontId="0" fillId="0" borderId="0" xfId="1" applyFont="1"/>
    <xf numFmtId="9" fontId="0" fillId="0" borderId="0" xfId="1" applyFont="1" applyBorder="1"/>
    <xf numFmtId="17" fontId="0" fillId="0" borderId="0" xfId="0" applyNumberFormat="1"/>
    <xf numFmtId="17" fontId="0" fillId="0" borderId="1" xfId="0" applyNumberFormat="1" applyBorder="1"/>
    <xf numFmtId="17" fontId="2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5" borderId="1" xfId="0" applyNumberFormat="1" applyFill="1" applyBorder="1"/>
    <xf numFmtId="17" fontId="0" fillId="5" borderId="1" xfId="0" applyNumberFormat="1" applyFill="1" applyBorder="1"/>
    <xf numFmtId="17" fontId="0" fillId="6" borderId="1" xfId="0" applyNumberFormat="1" applyFill="1" applyBorder="1"/>
    <xf numFmtId="44" fontId="0" fillId="6" borderId="1" xfId="0" applyNumberFormat="1" applyFill="1" applyBorder="1"/>
    <xf numFmtId="17" fontId="0" fillId="7" borderId="1" xfId="0" applyNumberFormat="1" applyFill="1" applyBorder="1"/>
    <xf numFmtId="17" fontId="0" fillId="8" borderId="1" xfId="0" applyNumberFormat="1" applyFill="1" applyBorder="1"/>
    <xf numFmtId="17" fontId="0" fillId="9" borderId="1" xfId="0" applyNumberFormat="1" applyFill="1" applyBorder="1"/>
    <xf numFmtId="10" fontId="0" fillId="0" borderId="1" xfId="1" applyNumberFormat="1" applyFont="1" applyBorder="1"/>
    <xf numFmtId="10" fontId="0" fillId="0" borderId="0" xfId="1" applyNumberFormat="1" applyFont="1" applyFill="1" applyBorder="1"/>
    <xf numFmtId="17" fontId="0" fillId="10" borderId="1" xfId="0" applyNumberFormat="1" applyFill="1" applyBorder="1"/>
    <xf numFmtId="17" fontId="0" fillId="11" borderId="1" xfId="0" applyNumberFormat="1" applyFill="1" applyBorder="1"/>
    <xf numFmtId="44" fontId="0" fillId="11" borderId="1" xfId="0" applyNumberFormat="1" applyFill="1" applyBorder="1"/>
    <xf numFmtId="10" fontId="0" fillId="11" borderId="1" xfId="1" applyNumberFormat="1" applyFont="1" applyFill="1" applyBorder="1"/>
    <xf numFmtId="44" fontId="0" fillId="11" borderId="1" xfId="1" applyNumberFormat="1" applyFont="1" applyFill="1" applyBorder="1"/>
    <xf numFmtId="9" fontId="0" fillId="11" borderId="1" xfId="1" applyFont="1" applyFill="1" applyBorder="1"/>
    <xf numFmtId="0" fontId="0" fillId="11" borderId="1" xfId="1" applyNumberFormat="1" applyFont="1" applyFill="1" applyBorder="1"/>
    <xf numFmtId="17" fontId="0" fillId="0" borderId="0" xfId="0" applyNumberFormat="1" applyAlignment="1">
      <alignment horizontal="right"/>
    </xf>
    <xf numFmtId="17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1" xfId="1" applyFont="1" applyBorder="1"/>
    <xf numFmtId="0" fontId="2" fillId="0" borderId="0" xfId="0" applyFont="1" applyAlignment="1">
      <alignment horizontal="center"/>
    </xf>
    <xf numFmtId="10" fontId="0" fillId="0" borderId="0" xfId="1" applyNumberFormat="1" applyFont="1" applyBorder="1"/>
    <xf numFmtId="17" fontId="0" fillId="0" borderId="0" xfId="0" applyNumberFormat="1" applyAlignment="1">
      <alignment horizontal="center" vertical="center"/>
    </xf>
    <xf numFmtId="10" fontId="0" fillId="11" borderId="0" xfId="1" applyNumberFormat="1" applyFont="1" applyFill="1" applyBorder="1"/>
    <xf numFmtId="9" fontId="0" fillId="11" borderId="0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6" fillId="0" borderId="0" xfId="0" applyFont="1"/>
    <xf numFmtId="8" fontId="0" fillId="0" borderId="0" xfId="0" applyNumberFormat="1"/>
    <xf numFmtId="15" fontId="0" fillId="0" borderId="0" xfId="0" applyNumberFormat="1" applyAlignment="1">
      <alignment horizontal="center"/>
    </xf>
    <xf numFmtId="15" fontId="0" fillId="3" borderId="0" xfId="0" applyNumberFormat="1" applyFill="1" applyAlignment="1">
      <alignment horizontal="center"/>
    </xf>
    <xf numFmtId="8" fontId="0" fillId="0" borderId="0" xfId="0" applyNumberFormat="1" applyAlignment="1">
      <alignment horizontal="center"/>
    </xf>
    <xf numFmtId="0" fontId="8" fillId="13" borderId="0" xfId="0" applyFont="1" applyFill="1" applyAlignment="1">
      <alignment vertical="center"/>
    </xf>
    <xf numFmtId="0" fontId="7" fillId="13" borderId="0" xfId="0" applyFont="1" applyFill="1" applyAlignment="1">
      <alignment horizontal="right" vertical="center"/>
    </xf>
    <xf numFmtId="0" fontId="0" fillId="14" borderId="0" xfId="0" applyFill="1" applyAlignment="1">
      <alignment horizontal="center"/>
    </xf>
    <xf numFmtId="0" fontId="9" fillId="14" borderId="0" xfId="0" applyFont="1" applyFill="1" applyAlignment="1">
      <alignment horizontal="center"/>
    </xf>
    <xf numFmtId="15" fontId="0" fillId="14" borderId="0" xfId="0" applyNumberFormat="1" applyFill="1" applyAlignment="1">
      <alignment horizontal="center"/>
    </xf>
    <xf numFmtId="8" fontId="8" fillId="14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3" borderId="0" xfId="0" applyFill="1" applyAlignment="1">
      <alignment horizontal="center"/>
    </xf>
    <xf numFmtId="15" fontId="8" fillId="3" borderId="0" xfId="0" applyNumberFormat="1" applyFont="1" applyFill="1" applyAlignment="1">
      <alignment horizontal="center"/>
    </xf>
    <xf numFmtId="8" fontId="8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15" fontId="11" fillId="15" borderId="4" xfId="0" applyNumberFormat="1" applyFont="1" applyFill="1" applyBorder="1" applyAlignment="1">
      <alignment horizontal="center" vertical="center" wrapText="1"/>
    </xf>
    <xf numFmtId="8" fontId="11" fillId="15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5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0" fontId="11" fillId="16" borderId="4" xfId="0" applyFont="1" applyFill="1" applyBorder="1" applyAlignment="1">
      <alignment horizontal="center" vertical="center" wrapText="1"/>
    </xf>
    <xf numFmtId="0" fontId="12" fillId="17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8" fillId="18" borderId="4" xfId="0" applyFont="1" applyFill="1" applyBorder="1" applyAlignment="1">
      <alignment horizontal="center" vertical="center" wrapText="1"/>
    </xf>
    <xf numFmtId="15" fontId="8" fillId="18" borderId="4" xfId="0" applyNumberFormat="1" applyFont="1" applyFill="1" applyBorder="1" applyAlignment="1">
      <alignment horizontal="center" vertical="center" wrapText="1"/>
    </xf>
    <xf numFmtId="8" fontId="8" fillId="18" borderId="4" xfId="0" applyNumberFormat="1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/>
    </xf>
    <xf numFmtId="0" fontId="13" fillId="15" borderId="6" xfId="0" applyFont="1" applyFill="1" applyBorder="1" applyAlignment="1">
      <alignment horizontal="center" vertical="center"/>
    </xf>
    <xf numFmtId="15" fontId="14" fillId="15" borderId="6" xfId="0" applyNumberFormat="1" applyFont="1" applyFill="1" applyBorder="1" applyAlignment="1">
      <alignment horizontal="center" vertical="center"/>
    </xf>
    <xf numFmtId="15" fontId="13" fillId="15" borderId="6" xfId="0" applyNumberFormat="1" applyFont="1" applyFill="1" applyBorder="1" applyAlignment="1">
      <alignment horizontal="center" vertical="center"/>
    </xf>
    <xf numFmtId="8" fontId="13" fillId="15" borderId="6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0" fontId="15" fillId="16" borderId="6" xfId="0" applyFont="1" applyFill="1" applyBorder="1" applyAlignment="1">
      <alignment horizontal="center" vertical="center"/>
    </xf>
    <xf numFmtId="0" fontId="17" fillId="16" borderId="6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15" fontId="16" fillId="18" borderId="6" xfId="0" applyNumberFormat="1" applyFont="1" applyFill="1" applyBorder="1" applyAlignment="1">
      <alignment horizontal="center" vertical="center"/>
    </xf>
    <xf numFmtId="15" fontId="17" fillId="18" borderId="6" xfId="0" applyNumberFormat="1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8" fontId="16" fillId="18" borderId="7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/>
    </xf>
    <xf numFmtId="0" fontId="15" fillId="18" borderId="7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 wrapText="1"/>
    </xf>
    <xf numFmtId="0" fontId="13" fillId="18" borderId="6" xfId="0" applyFont="1" applyFill="1" applyBorder="1" applyAlignment="1">
      <alignment horizontal="center" vertical="center"/>
    </xf>
    <xf numFmtId="15" fontId="14" fillId="18" borderId="6" xfId="0" applyNumberFormat="1" applyFont="1" applyFill="1" applyBorder="1" applyAlignment="1">
      <alignment horizontal="center" vertical="center"/>
    </xf>
    <xf numFmtId="15" fontId="13" fillId="18" borderId="6" xfId="0" applyNumberFormat="1" applyFont="1" applyFill="1" applyBorder="1" applyAlignment="1">
      <alignment horizontal="center" vertical="center"/>
    </xf>
    <xf numFmtId="8" fontId="13" fillId="18" borderId="6" xfId="0" applyNumberFormat="1" applyFont="1" applyFill="1" applyBorder="1" applyAlignment="1">
      <alignment horizontal="center" vertical="center"/>
    </xf>
    <xf numFmtId="0" fontId="13" fillId="18" borderId="7" xfId="0" applyFont="1" applyFill="1" applyBorder="1" applyAlignment="1">
      <alignment horizontal="center" vertical="center"/>
    </xf>
    <xf numFmtId="15" fontId="11" fillId="18" borderId="4" xfId="0" applyNumberFormat="1" applyFont="1" applyFill="1" applyBorder="1" applyAlignment="1">
      <alignment horizontal="center" vertical="center" wrapText="1"/>
    </xf>
    <xf numFmtId="8" fontId="11" fillId="18" borderId="4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8" fontId="8" fillId="18" borderId="0" xfId="0" applyNumberFormat="1" applyFont="1" applyFill="1" applyAlignment="1">
      <alignment horizontal="center"/>
    </xf>
    <xf numFmtId="8" fontId="16" fillId="18" borderId="6" xfId="0" applyNumberFormat="1" applyFont="1" applyFill="1" applyBorder="1" applyAlignment="1">
      <alignment horizontal="center" vertical="center"/>
    </xf>
    <xf numFmtId="0" fontId="0" fillId="0" borderId="4" xfId="0" applyBorder="1"/>
    <xf numFmtId="8" fontId="8" fillId="3" borderId="4" xfId="0" applyNumberFormat="1" applyFont="1" applyFill="1" applyBorder="1" applyAlignment="1">
      <alignment horizontal="center" vertical="center" wrapText="1"/>
    </xf>
    <xf numFmtId="0" fontId="0" fillId="19" borderId="0" xfId="0" applyFill="1"/>
    <xf numFmtId="9" fontId="0" fillId="0" borderId="4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3" fillId="11" borderId="4" xfId="0" applyFont="1" applyFill="1" applyBorder="1" applyAlignment="1">
      <alignment horizontal="left" vertical="center"/>
    </xf>
    <xf numFmtId="0" fontId="3" fillId="21" borderId="4" xfId="0" applyFont="1" applyFill="1" applyBorder="1" applyAlignment="1">
      <alignment horizontal="left" vertical="center"/>
    </xf>
    <xf numFmtId="0" fontId="3" fillId="22" borderId="4" xfId="0" applyFont="1" applyFill="1" applyBorder="1" applyAlignment="1">
      <alignment horizontal="left" vertical="center"/>
    </xf>
    <xf numFmtId="0" fontId="3" fillId="23" borderId="4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left" vertical="center"/>
    </xf>
    <xf numFmtId="3" fontId="0" fillId="0" borderId="0" xfId="0" applyNumberFormat="1"/>
    <xf numFmtId="8" fontId="8" fillId="28" borderId="4" xfId="0" applyNumberFormat="1" applyFont="1" applyFill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8" fontId="0" fillId="30" borderId="4" xfId="0" applyNumberForma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0" fontId="8" fillId="29" borderId="4" xfId="0" applyFont="1" applyFill="1" applyBorder="1" applyAlignment="1">
      <alignment horizontal="center" vertical="center"/>
    </xf>
    <xf numFmtId="8" fontId="0" fillId="2" borderId="4" xfId="0" applyNumberFormat="1" applyFill="1" applyBorder="1" applyAlignment="1">
      <alignment horizontal="center" vertical="center"/>
    </xf>
    <xf numFmtId="8" fontId="7" fillId="28" borderId="4" xfId="0" applyNumberFormat="1" applyFont="1" applyFill="1" applyBorder="1" applyAlignment="1">
      <alignment horizontal="center" vertical="center"/>
    </xf>
    <xf numFmtId="0" fontId="7" fillId="29" borderId="4" xfId="0" applyFont="1" applyFill="1" applyBorder="1" applyAlignment="1">
      <alignment horizontal="center" vertical="center"/>
    </xf>
    <xf numFmtId="8" fontId="2" fillId="2" borderId="4" xfId="0" applyNumberFormat="1" applyFont="1" applyFill="1" applyBorder="1" applyAlignment="1">
      <alignment horizontal="center" vertical="center"/>
    </xf>
    <xf numFmtId="8" fontId="2" fillId="30" borderId="4" xfId="0" applyNumberFormat="1" applyFont="1" applyFill="1" applyBorder="1" applyAlignment="1">
      <alignment horizontal="center" vertical="center"/>
    </xf>
    <xf numFmtId="0" fontId="7" fillId="20" borderId="4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5" borderId="0" xfId="0" applyFill="1" applyAlignment="1">
      <alignment vertical="center"/>
    </xf>
    <xf numFmtId="0" fontId="7" fillId="15" borderId="0" xfId="0" applyFont="1" applyFill="1" applyAlignment="1">
      <alignment vertical="center"/>
    </xf>
    <xf numFmtId="0" fontId="2" fillId="25" borderId="0" xfId="0" applyFont="1" applyFill="1" applyAlignment="1">
      <alignment horizontal="center" vertical="center"/>
    </xf>
    <xf numFmtId="0" fontId="0" fillId="25" borderId="0" xfId="0" applyFill="1" applyAlignment="1">
      <alignment vertical="center"/>
    </xf>
    <xf numFmtId="0" fontId="11" fillId="15" borderId="9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0" fontId="23" fillId="15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2" borderId="0" xfId="0" applyFill="1" applyAlignment="1">
      <alignment horizontal="center" vertical="center"/>
    </xf>
    <xf numFmtId="44" fontId="0" fillId="32" borderId="0" xfId="0" applyNumberFormat="1" applyFill="1" applyAlignment="1">
      <alignment horizontal="center" vertical="center"/>
    </xf>
    <xf numFmtId="0" fontId="0" fillId="0" borderId="11" xfId="0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3" fillId="0" borderId="4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0" borderId="0" xfId="0" applyAlignment="1">
      <alignment horizontal="center" vertical="center"/>
    </xf>
    <xf numFmtId="15" fontId="14" fillId="18" borderId="4" xfId="0" applyNumberFormat="1" applyFont="1" applyFill="1" applyBorder="1" applyAlignment="1">
      <alignment horizontal="center" vertical="center"/>
    </xf>
    <xf numFmtId="15" fontId="14" fillId="15" borderId="4" xfId="0" applyNumberFormat="1" applyFont="1" applyFill="1" applyBorder="1" applyAlignment="1">
      <alignment horizontal="center" vertical="center"/>
    </xf>
    <xf numFmtId="15" fontId="24" fillId="31" borderId="4" xfId="0" applyNumberFormat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4" fontId="7" fillId="13" borderId="0" xfId="0" applyNumberFormat="1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9" fontId="19" fillId="26" borderId="0" xfId="0" applyNumberFormat="1" applyFont="1" applyFill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8" fontId="20" fillId="25" borderId="0" xfId="0" applyNumberFormat="1" applyFont="1" applyFill="1" applyAlignment="1">
      <alignment horizontal="center" vertical="center"/>
    </xf>
    <xf numFmtId="8" fontId="20" fillId="21" borderId="0" xfId="0" applyNumberFormat="1" applyFont="1" applyFill="1" applyAlignment="1">
      <alignment horizontal="center" vertical="center"/>
    </xf>
    <xf numFmtId="8" fontId="19" fillId="21" borderId="0" xfId="0" applyNumberFormat="1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8" fontId="19" fillId="26" borderId="0" xfId="0" applyNumberFormat="1" applyFont="1" applyFill="1" applyAlignment="1">
      <alignment horizontal="center" vertical="center"/>
    </xf>
    <xf numFmtId="8" fontId="19" fillId="27" borderId="0" xfId="0" applyNumberFormat="1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8" fontId="18" fillId="19" borderId="0" xfId="0" applyNumberFormat="1" applyFont="1" applyFill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4" borderId="0" xfId="0" applyNumberFormat="1" applyFill="1" applyAlignment="1">
      <alignment horizontal="center" vertical="center"/>
    </xf>
    <xf numFmtId="17" fontId="0" fillId="4" borderId="2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86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bgColor theme="2" tint="-0.24994659260841701"/>
        </patternFill>
      </fill>
    </dxf>
    <dxf>
      <fill>
        <patternFill>
          <bgColor theme="6" tint="0.59996337778862885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12" formatCode="&quot;R$&quot;\ #,##0.00;[Red]\-&quot;R$&quot;\ #,##0.00"/>
    </dxf>
    <dxf>
      <numFmt numFmtId="12" formatCode="&quot;R$&quot;\ #,##0.00;[Red]\-&quot;R$&quot;\ #,##0.0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7" tint="0.39997558519241921"/>
      </font>
    </dxf>
    <dxf>
      <fill>
        <patternFill patternType="solid">
          <bgColor theme="3" tint="-0.249977111117893"/>
        </patternFill>
      </fill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4" formatCode="0.00%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textRotation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FFD0C5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42" Type="http://schemas.microsoft.com/office/2007/relationships/slicerCache" Target="slicerCaches/slicerCache6.xml"/><Relationship Id="rId47" Type="http://schemas.microsoft.com/office/2007/relationships/slicerCache" Target="slicerCaches/slicerCache1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microsoft.com/office/2007/relationships/slicerCache" Target="slicerCaches/slicerCache1.xml"/><Relationship Id="rId40" Type="http://schemas.microsoft.com/office/2007/relationships/slicerCache" Target="slicerCaches/slicerCache4.xml"/><Relationship Id="rId45" Type="http://schemas.microsoft.com/office/2007/relationships/slicerCache" Target="slicerCaches/slicerCache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5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07/relationships/slicerCache" Target="slicerCaches/slicerCache8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43" Type="http://schemas.microsoft.com/office/2007/relationships/slicerCache" Target="slicerCaches/slicerCache7.xml"/><Relationship Id="rId48" Type="http://schemas.microsoft.com/office/2007/relationships/slicerCache" Target="slicerCaches/slicerCache1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microsoft.com/office/2007/relationships/slicerCache" Target="slicerCaches/slicerCache2.xml"/><Relationship Id="rId46" Type="http://schemas.microsoft.com/office/2007/relationships/slicerCache" Target="slicerCaches/slicerCache10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EMISSOR!Tabela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B-409A-8B58-75F17018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EMISSOR!Tabela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FAAC-44F2-BF89-6181B0E1EAD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AAC-44F2-BF89-6181B0E1EAD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FAAC-44F2-BF89-6181B0E1EAD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AE2-4DC7-9363-1775D561D660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AE2-4DC7-9363-1775D561D660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0960-443C-B562-D3696BF77D92}"/>
              </c:ext>
            </c:extLst>
          </c:dPt>
          <c:dLbls>
            <c:dLbl>
              <c:idx val="1"/>
              <c:layout>
                <c:manualLayout>
                  <c:x val="0.1527777777777777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AC-44F2-BF89-6181B0E1EAD7}"/>
                </c:ext>
              </c:extLst>
            </c:dLbl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E2-4DC7-9363-1775D561D660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60-443C-B562-D3696BF77D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C-44F2-BF89-6181B0E1EA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ORIGINAL!Tabela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447-9892-244FFCD94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ORIGINAL!Tabela dinâmica2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EEE-4514-B62F-B313966116D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EEEE-4514-B62F-B313966116D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EEEE-4514-B62F-B313966116D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9D1-4801-B30E-3DD9F213C99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9D1-4801-B30E-3DD9F213C992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E321-489F-B43B-43A0087E1BE7}"/>
              </c:ext>
            </c:extLst>
          </c:dPt>
          <c:dLbls>
            <c:dLbl>
              <c:idx val="1"/>
              <c:layout>
                <c:manualLayout>
                  <c:x val="0.13888888888888898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EE-4514-B62F-B313966116D3}"/>
                </c:ext>
              </c:extLst>
            </c:dLbl>
            <c:dLbl>
              <c:idx val="4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D1-4801-B30E-3DD9F213C9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E-4514-B62F-B31396611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ATUAL!Tabela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B-4C65-BA8C-4771F182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ATUAL!Tabela dinâmica3</c:name>
    <c:fmtId val="3"/>
  </c:pivotSource>
  <c:chart>
    <c:title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019586614173228"/>
          <c:y val="0.12075167687372412"/>
          <c:w val="0.46830511811023623"/>
          <c:h val="0.78050853018372701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2AB-4860-8148-AA272ED7DF0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2AB-4860-8148-AA272ED7DF0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2AB-4860-8148-AA272ED7DF0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F78-4D97-A8AD-AE6A8D86F07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F78-4D97-A8AD-AE6A8D86F07C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91A-496A-8B6D-812F660BA5A4}"/>
              </c:ext>
            </c:extLst>
          </c:dPt>
          <c:dLbls>
            <c:dLbl>
              <c:idx val="1"/>
              <c:layout>
                <c:manualLayout>
                  <c:x val="9.1666666666666563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AB-4860-8148-AA272ED7DF0D}"/>
                </c:ext>
              </c:extLst>
            </c:dLbl>
            <c:dLbl>
              <c:idx val="4"/>
              <c:layout>
                <c:manualLayout>
                  <c:x val="7.7777777777777779E-2"/>
                  <c:y val="0.13425925925925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78-4D97-A8AD-AE6A8D86F07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B-4860-8148-AA272ED7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COBRANÇA.xlsx]CARTEIRA!Tabela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7-4332-9D8F-1039D871B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COBRANÇA.xlsx]CARTEIRA!Tabela dinâmica5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3EFE-4BF9-B279-E766218A985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3EFE-4BF9-B279-E766218A985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EFE-4BF9-B279-E766218A985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A55-4B00-86B1-D9C8120ED599}"/>
              </c:ext>
            </c:extLst>
          </c:dPt>
          <c:dLbls>
            <c:dLbl>
              <c:idx val="1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FE-4BF9-B279-E766218A98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4BF9-B279-E766218A9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COBRANÇA.xlsx]VENDEDORES!Tabela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7-4040-9A1A-599C46A4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277695"/>
        <c:axId val="411272287"/>
      </c:bar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COBRANÇA.xlsx]VALORES VENCIDO!Tabela dinâmica8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7-4B88-AD65-4D61E1671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COBRANÇA.xlsx]VALORES VENCIDO!Tabela dinâmica8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3-4A47-AAFE-2FCF38E50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3-4A47-AAFE-2FCF38E50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E3-4A47-AAFE-2FCF38E50E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2-47FD-BB94-D3B0653E9473}"/>
              </c:ext>
            </c:extLst>
          </c:dPt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A-4F19-84C1-CA097D2E4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COBRANÇA.xlsx]TÍTULO ELEGÍVEL!Tabela dinâmica9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F-4A68-8ADE-F05CBF35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COBRANÇA.xlsx]TÍTULO ELEGÍVEL!Tabela dinâmica9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109-4FFF-AFC7-9EC86371A20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91A-4B04-96F8-FE6D46314BE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4109-4FFF-AFC7-9EC86371A20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109-4FFF-AFC7-9EC86371A203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09-4FFF-AFC7-9EC86371A20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9-4FFF-AFC7-9EC86371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PAGAMENTO!Tabela dinâmica7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95A-A17F-8385AFDD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PAGAMENTO!Tabela dinâmica7</c:name>
    <c:fmtId val="3"/>
  </c:pivotSource>
  <c:chart>
    <c:title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BD7-4FD4-9E3A-E935FC6E163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BD7-4FD4-9E3A-E935FC6E163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CC9-49B0-BFEE-2AAB71CA371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3E9-4947-921B-AB32D754D2D3}"/>
              </c:ext>
            </c:extLst>
          </c:dPt>
          <c:dLbls>
            <c:dLbl>
              <c:idx val="2"/>
              <c:layout>
                <c:manualLayout>
                  <c:x val="-3.0555555555555555E-2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C9-49B0-BFEE-2AAB71CA371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FD4-9E3A-E935FC6E1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COBRANÇA!Tabela dinâmica6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C79-8709-4B7B8AD3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976943"/>
        <c:axId val="412977775"/>
      </c:barChart>
      <c:catAx>
        <c:axId val="4129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COBRANÇA.xlsx]UNIDADE!Tabela dinâmica10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A-492E-86F8-CADAB686E41C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A-492E-86F8-CADAB686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COBRANÇA.xlsx]GRUPO!Tabela dinâmica11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9-4FA1-B6F1-E4C291323BEC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9-4FA1-B6F1-E4C291323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COBRANÇA.xlsx]EMPRESA - QUANTIDADE!Tabela dinâmica12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4-48B7-97A9-B1FC3385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COBRANÇA.xlsx]EMPRESA - VALORES!Tabela dinâmica13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2-44CC-AF4C-21323AAB12C9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2-44CC-AF4C-21323AAB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COBRANÇA.xlsx]$ COBRANÇAS!Tabela dinâmica1</c:name>
    <c:fmtId val="1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7-4DA9-828B-7166271310C2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7-4DA9-828B-71662713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COBRANÇA.xlsx]$ COBRANÇAS!Tabela dinâmica1</c:name>
    <c:fmtId val="5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C9E-4C30-92E2-D6C17241457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C9E-4C30-92E2-D6C17241457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C9E-4C30-92E2-D6C17241457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C9E-4C30-92E2-D6C17241457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96E-4819-9AA1-0A5C5878294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6-4226-95BB-2FA175E34FAF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666-4226-95BB-2FA175E34FA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666-4226-95BB-2FA175E34FA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9666-4226-95BB-2FA175E34FA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666-4226-95BB-2FA175E34FA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F96E-4819-9AA1-0A5C58782948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66-4226-95BB-2FA175E34FAF}"/>
                </c:ext>
              </c:extLst>
            </c:dLbl>
            <c:dLbl>
              <c:idx val="3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66-4226-95BB-2FA175E34F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6-4226-95BB-2FA175E34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COBRANÇA.xlsx]QTDE COBRANÇAS!Tabela dinâmica1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7-4AEB-8144-470B3049547A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7-4AEB-8144-470B30495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COBRANÇA.xlsx]QTDE COBRANÇAS!Tabela dinâmica1</c:name>
    <c:fmtId val="3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7724190726159231"/>
          <c:y val="0.19355132691746865"/>
          <c:w val="0.45940507436570427"/>
          <c:h val="0.76567512394284043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1AA-495B-BECC-81FD604564C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1AA-495B-BECC-81FD604564C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1AA-495B-BECC-81FD604564C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1AA-495B-BECC-81FD604564C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AEC-4F4F-AEFB-F70B589135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9-4F26-ABFC-393D6C7A7DC9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DE9-4F26-ABFC-393D6C7A7DC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DDE9-4F26-ABFC-393D6C7A7DC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DDE9-4F26-ABFC-393D6C7A7DC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1AA-495B-BECC-81FD604564C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5AEC-4F4F-AEFB-F70B589135A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E9-4F26-ABFC-393D6C7A7DC9}"/>
                </c:ext>
              </c:extLst>
            </c:dLbl>
            <c:dLbl>
              <c:idx val="1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E9-4F26-ABFC-393D6C7A7DC9}"/>
                </c:ext>
              </c:extLst>
            </c:dLbl>
            <c:dLbl>
              <c:idx val="4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AEC-4F4F-AEFB-F70B589135A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9-4F26-ABFC-393D6C7A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COBRANÇA.xlsx]DADOS FINANCEIROS - TABELA!Tabela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COBRANÇA.xlsx]ACOMPANHAMENTO DA COB. - TABELA!Tabela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NEGOCIAÇÃO - TABELA!Tabela dinâmica1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08303"/>
        <c:axId val="403402063"/>
      </c:barChart>
      <c:catAx>
        <c:axId val="403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2063"/>
        <c:crosses val="autoZero"/>
        <c:auto val="1"/>
        <c:lblAlgn val="ctr"/>
        <c:lblOffset val="100"/>
        <c:noMultiLvlLbl val="0"/>
      </c:catAx>
      <c:valAx>
        <c:axId val="40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COBRANÇA.xlsx]MÊS EMISSOR!Tabela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MÊS EMISSOR</a:t>
            </a:r>
          </a:p>
        </c:rich>
      </c:tx>
      <c:layout>
        <c:manualLayout>
          <c:xMode val="edge"/>
          <c:yMode val="edge"/>
          <c:x val="0.43275725644588542"/>
          <c:y val="3.5653196879262689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3-436F-ACD2-E64E8580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COBRANÇA.xlsx]MÊS ORIGINAL!Tabela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38046454767726168"/>
          <c:y val="6.711865376500962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E-46FD-AAEF-D5087671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COBRANÇA.xlsx]MÊS ATUAL!Tabela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42862127528176625"/>
          <c:y val="5.05919539154992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1BF-8EC8-B8D523B1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[11. BASE COBRANÇA.xlsx]VENDEDORES!Tabela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VENDEDORES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1-4FDA-ADDF-F4300EF8B6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1277695"/>
        <c:axId val="411272287"/>
      </c:line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COBRANÇA.xlsx]CARTEIRA!Tabela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4320216428922774"/>
          <c:y val="5.48662293430289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C-4512-996C-4AEA0D73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[11. BASE COBRANÇA.xlsx]STATUS DE COBRANÇA!Tabela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DE COBRANÇA</a:t>
            </a:r>
          </a:p>
        </c:rich>
      </c:tx>
      <c:layout>
        <c:manualLayout>
          <c:xMode val="edge"/>
          <c:yMode val="edge"/>
          <c:x val="0.4398544234015358"/>
          <c:y val="2.4201719768540301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49CD-9C2A-6B209F9FD7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12976943"/>
        <c:axId val="412977775"/>
      </c:barChart>
      <c:catAx>
        <c:axId val="41297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297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COBRANÇA.xlsx]STATUS DE PAGAMENTO!Tabela dinâmica7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C-494C-B94E-50CC64BA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COBRANÇA.xlsx]VALORES VENCIDO!Tabela dinâmica8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D-4F72-B252-C42C2BF7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EMISSOR!Tabela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EMISSOR</a:t>
            </a:r>
          </a:p>
        </c:rich>
      </c:tx>
      <c:layout>
        <c:manualLayout>
          <c:xMode val="edge"/>
          <c:yMode val="edge"/>
          <c:x val="0.63147157055239556"/>
          <c:y val="4.944737412410604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5739185879400034"/>
          <c:y val="0.16669797009318785"/>
          <c:w val="0.41066635629415221"/>
          <c:h val="0.73279455320378539"/>
        </c:manualLayout>
      </c:layout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734-4210-9670-422A2B7C1EE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734-4210-9670-422A2B7C1EE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734-4210-9670-422A2B7C1EE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E19-4187-8F25-88F452B5D2D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E19-4187-8F25-88F452B5D2DD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2D1E-4E1B-8A35-E3E339FB7461}"/>
              </c:ext>
            </c:extLst>
          </c:dPt>
          <c:dLbls>
            <c:dLbl>
              <c:idx val="1"/>
              <c:layout>
                <c:manualLayout>
                  <c:x val="0.1527777777777777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34-4210-9670-422A2B7C1EE8}"/>
                </c:ext>
              </c:extLst>
            </c:dLbl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19-4187-8F25-88F452B5D2DD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1E-4E1B-8A35-E3E339FB746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4-4210-9670-422A2B7C1E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ORIGINAL!Tabela dinâmica2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73292620399194275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8218376772670856"/>
          <c:y val="0.12538130650335372"/>
          <c:w val="0.44338460599401819"/>
          <c:h val="0.79439741907261596"/>
        </c:manualLayout>
      </c:layout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B6B-4E6A-B90A-E4A35BE81EE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B6B-4E6A-B90A-E4A35BE81EE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B6B-4E6A-B90A-E4A35BE81EE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718-40C2-9370-34C5375AF1D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718-40C2-9370-34C5375AF1D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51C-4ECD-AEDA-EDDDC959EA54}"/>
              </c:ext>
            </c:extLst>
          </c:dPt>
          <c:dLbls>
            <c:dLbl>
              <c:idx val="1"/>
              <c:layout>
                <c:manualLayout>
                  <c:x val="0.13888888888888898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B-4E6A-B90A-E4A35BE81EE0}"/>
                </c:ext>
              </c:extLst>
            </c:dLbl>
            <c:dLbl>
              <c:idx val="4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18-40C2-9370-34C5375AF1D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6B-4E6A-B90A-E4A35BE81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ATUAL!Tabela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4010288984495498"/>
          <c:y val="0.1147712785901762"/>
          <c:w val="0.54562464485753714"/>
          <c:h val="0.84008873890763658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56C-432F-B770-1A01EE7B529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56C-432F-B770-1A01EE7B529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56C-432F-B770-1A01EE7B529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2D2-438C-BFE5-2FC4A8A63589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2D2-438C-BFE5-2FC4A8A63589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DBF-409A-B48C-F52BFDAB8D51}"/>
              </c:ext>
            </c:extLst>
          </c:dPt>
          <c:dLbls>
            <c:dLbl>
              <c:idx val="1"/>
              <c:layout>
                <c:manualLayout>
                  <c:x val="9.1666666666666563E-2"/>
                  <c:y val="-9.7222222222222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6C-432F-B770-1A01EE7B529A}"/>
                </c:ext>
              </c:extLst>
            </c:dLbl>
            <c:dLbl>
              <c:idx val="4"/>
              <c:layout>
                <c:manualLayout>
                  <c:x val="7.7777777777777779E-2"/>
                  <c:y val="0.13425925925925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D2-438C-BFE5-2FC4A8A6358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C-432F-B770-1A01EE7B5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COBRANÇA.xlsx]CARTEIRA!Tabela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79267292549969703"/>
          <c:y val="3.06976488078850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8173187966888751"/>
          <c:y val="0.14192362755354879"/>
          <c:w val="0.56217746820109027"/>
          <c:h val="0.76660563845603213"/>
        </c:manualLayout>
      </c:layout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85A-4BB3-91DF-1DBB406EF3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85A-4BB3-91DF-1DBB406EF3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85A-4BB3-91DF-1DBB406EF3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D81-42D3-8004-F9CBD46475E0}"/>
              </c:ext>
            </c:extLst>
          </c:dPt>
          <c:dLbls>
            <c:dLbl>
              <c:idx val="1"/>
              <c:layout>
                <c:manualLayout>
                  <c:x val="0.11388888888888879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5A-4BB3-91DF-1DBB406EF3D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5A-4BB3-91DF-1DBB406E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PAGAMENTO!Tabela dinâmica7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FA4-4E1D-88D6-C8E1FFE944B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FA4-4E1D-88D6-C8E1FFE944B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37D-49C2-ABDD-9D2DDCBF3BB0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39D-4CE9-9115-3C28224ED781}"/>
              </c:ext>
            </c:extLst>
          </c:dPt>
          <c:dLbls>
            <c:dLbl>
              <c:idx val="2"/>
              <c:layout>
                <c:manualLayout>
                  <c:x val="-3.0555555555555555E-2"/>
                  <c:y val="-0.157407407407407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D-49C2-ABDD-9D2DDCBF3BB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4-4E1D-88D6-C8E1FFE9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COBRANÇA.xlsx]VALORES VENCIDO!Tabela dinâmica8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651156812339333"/>
          <c:y val="6.1949573376498666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926425520717365"/>
          <c:y val="0.15906856155175728"/>
          <c:w val="0.55301844017569779"/>
          <c:h val="0.74956157919284472"/>
        </c:manualLayout>
      </c:layout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9B1-48BB-9558-491F3977A78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9B1-48BB-9558-491F3977A78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9B1-48BB-9558-491F3977A78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D28-4EF7-A81C-FF2B2878B060}"/>
              </c:ext>
            </c:extLst>
          </c:dPt>
          <c:dLbls>
            <c:dLbl>
              <c:idx val="0"/>
              <c:layout>
                <c:manualLayout>
                  <c:x val="0.15167095115681242"/>
                  <c:y val="-0.149825783972125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B1-48BB-9558-491F3977A78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B1-48BB-9558-491F3977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COBRANÇA.xlsx]TÍTULO ELEGÍVEL!Tabela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39283406096515161"/>
          <c:y val="5.577180210964195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F-43A6-9A0D-E8A61AD1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COBRANÇA.xlsx]TÍTULO ELEGÍVEL!Tabela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72658725178632866"/>
          <c:y val="5.64104105307447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840657449952435"/>
          <c:y val="0.15250916631604253"/>
          <c:w val="0.54971661639981384"/>
          <c:h val="0.81618230450201368"/>
        </c:manualLayout>
      </c:layout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925-43E8-B8B0-B61AE343926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925-43E8-B8B0-B61AE343926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925-43E8-B8B0-B61AE343926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925-43E8-B8B0-B61AE343926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925-43E8-B8B0-B61AE343926D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25-43E8-B8B0-B61AE343926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25-43E8-B8B0-B61AE343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COBRANÇA.xlsx]UNIDADE!Tabela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UNIDADE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6F8-BABF-6F9CC64D069B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A-46F8-BABF-6F9CC64D0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COBRANÇA.xlsx]GRUPO!Tabela dinâmica11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GRUPO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0-4AEA-A953-955D854350E9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0-4AEA-A953-955D8543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COBRANÇA.xlsx]EMPRESA - QUANTIDADE!Tabela dinâmica12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QUANTIDADE</a:t>
            </a:r>
          </a:p>
        </c:rich>
      </c:tx>
      <c:layout>
        <c:manualLayout>
          <c:xMode val="edge"/>
          <c:yMode val="edge"/>
          <c:x val="0.34839694656488557"/>
          <c:y val="4.990522018081073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0820357981567"/>
          <c:y val="0.24735892388451444"/>
          <c:w val="0.85084167110690112"/>
          <c:h val="0.40101523767862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4-4EEE-AEF2-56D4CEFE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COBRANÇA.xlsx]EMPRESA - VALORES!Tabela dinâmica13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VALORES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D-4BBB-9E33-89CBF4509032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D-4BBB-9E33-89CBF4509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COBRANÇA.xlsx]QTDE COBRANÇAS!Tabela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QTDE DE COBRANÇAS</a:t>
            </a:r>
          </a:p>
        </c:rich>
      </c:tx>
      <c:layout>
        <c:manualLayout>
          <c:xMode val="edge"/>
          <c:yMode val="edge"/>
          <c:x val="0.48274922072829662"/>
          <c:y val="5.57464615322988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0E3-9E8C-26C3CBEDEBF3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F-40E3-9E8C-26C3CBED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[11. BASE COBRANÇA.xlsx]$ COBRANÇAS!Tabela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3456225200672425"/>
          <c:y val="6.677244976869346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6">
                  <a:tint val="77000"/>
                </a:schemeClr>
              </a:fgClr>
              <a:bgClr>
                <a:schemeClr val="accent6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3-4E6D-947C-7C2FCD1FC04D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6">
                  <a:shade val="76000"/>
                </a:schemeClr>
              </a:fgClr>
              <a:bgClr>
                <a:schemeClr val="accent6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shade val="76000"/>
                </a:schemeClr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3-4E6D-947C-7C2FCD1FC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COBRANÇA.xlsx]$ COBRANÇAS!Tabela dinâmica1</c:name>
    <c:fmtId val="7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5189655699113256"/>
          <c:y val="0.1723675086388973"/>
          <c:w val="0.56674654037456251"/>
          <c:h val="0.74841562913818227"/>
        </c:manualLayout>
      </c:layout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476-4D41-A01E-C5C35800C56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476-4D41-A01E-C5C35800C56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476-4D41-A01E-C5C35800C56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476-4D41-A01E-C5C35800C56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476-4D41-A01E-C5C35800C56C}"/>
              </c:ext>
            </c:extLst>
          </c:dPt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76-4D41-A01E-C5C35800C56C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9476-4D41-A01E-C5C35800C56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9476-4D41-A01E-C5C35800C56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9476-4D41-A01E-C5C35800C56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9476-4D41-A01E-C5C35800C56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9476-4D41-A01E-C5C35800C56C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76-4D41-A01E-C5C35800C56C}"/>
                </c:ext>
              </c:extLst>
            </c:dLbl>
            <c:dLbl>
              <c:idx val="3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76-4D41-A01E-C5C35800C56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476-4D41-A01E-C5C35800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COBRANÇA.xlsx]QTDE COBRANÇAS!Tabela dinâmica1</c:name>
    <c:fmtId val="5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637521443027933"/>
          <c:y val="0.19355132691746865"/>
          <c:w val="0.60017319504771593"/>
          <c:h val="0.70617390696296034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093-43E9-9870-EF57C124CF5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093-43E9-9870-EF57C124CF5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093-43E9-9870-EF57C124CF5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093-43E9-9870-EF57C124CF5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093-43E9-9870-EF57C124CF52}"/>
              </c:ext>
            </c:extLst>
          </c:dPt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93-43E9-9870-EF57C124CF52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F093-43E9-9870-EF57C124CF5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F093-43E9-9870-EF57C124CF5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F093-43E9-9870-EF57C124CF5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F093-43E9-9870-EF57C124CF5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F093-43E9-9870-EF57C124CF5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93-43E9-9870-EF57C124CF52}"/>
                </c:ext>
              </c:extLst>
            </c:dLbl>
            <c:dLbl>
              <c:idx val="1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93-43E9-9870-EF57C124CF52}"/>
                </c:ext>
              </c:extLst>
            </c:dLbl>
            <c:dLbl>
              <c:idx val="4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093-43E9-9870-EF57C124CF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093-43E9-9870-EF57C124C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COBRANÇA.xlsx]UNIDADE!Tabela dinâmica10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UNIDADE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UNIDADE!$B$2:$B$5</c:f>
              <c:numCache>
                <c:formatCode>"R$"#,##0.00_);[Red]\("R$"#,##0.00\)</c:formatCode>
                <c:ptCount val="3"/>
                <c:pt idx="0">
                  <c:v>0</c:v>
                </c:pt>
                <c:pt idx="1">
                  <c:v>69700</c:v>
                </c:pt>
                <c:pt idx="2">
                  <c:v>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C-41A5-9B1A-328ADA0A26B8}"/>
            </c:ext>
          </c:extLst>
        </c:ser>
        <c:ser>
          <c:idx val="1"/>
          <c:order val="1"/>
          <c:tx>
            <c:strRef>
              <c:f>UNIDADE!$C$1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shade val="76000"/>
                </a:schemeClr>
              </a:inn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0</c:v>
                </c:pt>
                <c:pt idx="1">
                  <c:v>Filial</c:v>
                </c:pt>
                <c:pt idx="2">
                  <c:v>Matriz</c:v>
                </c:pt>
              </c:strCache>
            </c:strRef>
          </c:cat>
          <c:val>
            <c:numRef>
              <c:f>UNIDADE!$C$2:$C$5</c:f>
              <c:numCache>
                <c:formatCode>0.00%</c:formatCode>
                <c:ptCount val="3"/>
                <c:pt idx="0">
                  <c:v>0</c:v>
                </c:pt>
                <c:pt idx="1">
                  <c:v>0.4652870493991989</c:v>
                </c:pt>
                <c:pt idx="2">
                  <c:v>0.53471295060080104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C-41A5-9B1A-328ADA0A2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69899247"/>
        <c:axId val="469899663"/>
      </c:barChart>
      <c:catAx>
        <c:axId val="469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663"/>
        <c:crosses val="autoZero"/>
        <c:auto val="1"/>
        <c:lblAlgn val="ctr"/>
        <c:lblOffset val="100"/>
        <c:noMultiLvlLbl val="0"/>
      </c:catAx>
      <c:valAx>
        <c:axId val="46989966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89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COBRANÇA.xlsx]GRUPO!Tabela dinâmica11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GRUPO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GRUPO!$B$1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GRUPO!$B$2:$B$5</c:f>
              <c:numCache>
                <c:formatCode>"R$"#,##0.00_);[Red]\("R$"#,##0.00\)</c:formatCode>
                <c:ptCount val="3"/>
                <c:pt idx="0">
                  <c:v>104800</c:v>
                </c:pt>
                <c:pt idx="1">
                  <c:v>24300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0-44E3-8E64-CB1BB0F6618E}"/>
            </c:ext>
          </c:extLst>
        </c:ser>
        <c:ser>
          <c:idx val="1"/>
          <c:order val="1"/>
          <c:tx>
            <c:strRef>
              <c:f>GRUPO!$C$1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shade val="76000"/>
                </a:schemeClr>
              </a:innerShdw>
            </a:effectLst>
          </c:spPr>
          <c:invertIfNegative val="0"/>
          <c:cat>
            <c:strRef>
              <c:f>GRUPO!$A$2:$A$5</c:f>
              <c:strCache>
                <c:ptCount val="3"/>
                <c:pt idx="0">
                  <c:v>0</c:v>
                </c:pt>
                <c:pt idx="1">
                  <c:v>Alpha &amp; CIA</c:v>
                </c:pt>
                <c:pt idx="2">
                  <c:v>Gamma &amp; CIA</c:v>
                </c:pt>
              </c:strCache>
            </c:strRef>
          </c:cat>
          <c:val>
            <c:numRef>
              <c:f>GRUPO!$C$2:$C$5</c:f>
              <c:numCache>
                <c:formatCode>0.00%</c:formatCode>
                <c:ptCount val="3"/>
                <c:pt idx="0">
                  <c:v>0.69959946595460609</c:v>
                </c:pt>
                <c:pt idx="1">
                  <c:v>0.16221628838451269</c:v>
                </c:pt>
                <c:pt idx="2">
                  <c:v>0.13818424566088117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0-44E3-8E64-CB1BB0F66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5518431"/>
        <c:axId val="475512607"/>
      </c:barChart>
      <c:catAx>
        <c:axId val="4755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2607"/>
        <c:crosses val="autoZero"/>
        <c:auto val="1"/>
        <c:lblAlgn val="ctr"/>
        <c:lblOffset val="100"/>
        <c:noMultiLvlLbl val="0"/>
      </c:catAx>
      <c:valAx>
        <c:axId val="47551260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51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COBRANÇA.xlsx]EMPRESA - QUANTIDADE!Tabela dinâmica12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QUANTIDADE</a:t>
            </a:r>
          </a:p>
        </c:rich>
      </c:tx>
      <c:layout>
        <c:manualLayout>
          <c:xMode val="edge"/>
          <c:yMode val="edge"/>
          <c:x val="0.34839694656488557"/>
          <c:y val="4.990522018081073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0820357981567"/>
          <c:y val="0.24735892388451444"/>
          <c:w val="0.85084167110690112"/>
          <c:h val="0.40101523767862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'EMPRESA -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'EMPRESA - QUANTIDADE'!$A$2:$A$15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QUANTIDADE'!$B$2:$B$15</c:f>
              <c:numCache>
                <c:formatCode>General</c:formatCode>
                <c:ptCount val="13"/>
                <c:pt idx="0">
                  <c:v>0</c:v>
                </c:pt>
                <c:pt idx="1">
                  <c:v>124</c:v>
                </c:pt>
                <c:pt idx="2">
                  <c:v>131</c:v>
                </c:pt>
                <c:pt idx="3">
                  <c:v>2</c:v>
                </c:pt>
                <c:pt idx="4">
                  <c:v>7</c:v>
                </c:pt>
                <c:pt idx="5">
                  <c:v>300</c:v>
                </c:pt>
                <c:pt idx="6">
                  <c:v>521</c:v>
                </c:pt>
                <c:pt idx="7">
                  <c:v>454</c:v>
                </c:pt>
                <c:pt idx="8">
                  <c:v>180</c:v>
                </c:pt>
                <c:pt idx="9">
                  <c:v>594</c:v>
                </c:pt>
                <c:pt idx="10">
                  <c:v>304</c:v>
                </c:pt>
                <c:pt idx="11">
                  <c:v>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3-4519-AB4A-842E522BB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9520175"/>
        <c:axId val="459516015"/>
      </c:barChart>
      <c:catAx>
        <c:axId val="459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16015"/>
        <c:crosses val="autoZero"/>
        <c:auto val="1"/>
        <c:lblAlgn val="ctr"/>
        <c:lblOffset val="100"/>
        <c:noMultiLvlLbl val="0"/>
      </c:catAx>
      <c:valAx>
        <c:axId val="45951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520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COBRANÇA.xlsx]EMPRESA - VALORES!Tabela dinâmica13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EMPRESA - VALORES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- VALORES'!$B$1</c:f>
              <c:strCache>
                <c:ptCount val="1"/>
                <c:pt idx="0">
                  <c:v>Soma de VALOR ORIGINAL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VALORES'!$B$2:$B$15</c:f>
              <c:numCache>
                <c:formatCode>"R$"#,##0.00_);[Red]\("R$"#,##0.00\)</c:formatCode>
                <c:ptCount val="13"/>
                <c:pt idx="0">
                  <c:v>0</c:v>
                </c:pt>
                <c:pt idx="1">
                  <c:v>12300</c:v>
                </c:pt>
                <c:pt idx="2">
                  <c:v>11800</c:v>
                </c:pt>
                <c:pt idx="3">
                  <c:v>1000</c:v>
                </c:pt>
                <c:pt idx="4">
                  <c:v>5000</c:v>
                </c:pt>
                <c:pt idx="5">
                  <c:v>20700</c:v>
                </c:pt>
                <c:pt idx="6">
                  <c:v>21000</c:v>
                </c:pt>
                <c:pt idx="7">
                  <c:v>17800</c:v>
                </c:pt>
                <c:pt idx="8">
                  <c:v>18200</c:v>
                </c:pt>
                <c:pt idx="9">
                  <c:v>19900</c:v>
                </c:pt>
                <c:pt idx="10">
                  <c:v>16100</c:v>
                </c:pt>
                <c:pt idx="11">
                  <c:v>3000</c:v>
                </c:pt>
                <c:pt idx="1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2-4181-BC23-A0BB50B1A764}"/>
            </c:ext>
          </c:extLst>
        </c:ser>
        <c:ser>
          <c:idx val="1"/>
          <c:order val="1"/>
          <c:tx>
            <c:strRef>
              <c:f>'EMPRESA - VALORES'!$C$1</c:f>
              <c:strCache>
                <c:ptCount val="1"/>
                <c:pt idx="0">
                  <c:v>Soma de VALOR ORIGINAL2</c:v>
                </c:pt>
              </c:strCache>
            </c:strRef>
          </c:tx>
          <c:spPr>
            <a:pattFill prst="narHorz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shade val="76000"/>
                </a:schemeClr>
              </a:innerShdw>
            </a:effectLst>
          </c:spPr>
          <c:invertIfNegative val="0"/>
          <c:cat>
            <c:strRef>
              <c:f>'EMPRESA - VALORES'!$A$2:$A$15</c:f>
              <c:strCache>
                <c:ptCount val="13"/>
                <c:pt idx="0">
                  <c:v>0</c:v>
                </c:pt>
                <c:pt idx="1">
                  <c:v>Alpha &amp; CIA</c:v>
                </c:pt>
                <c:pt idx="2">
                  <c:v>BemEstar</c:v>
                </c:pt>
                <c:pt idx="3">
                  <c:v>Beta</c:v>
                </c:pt>
                <c:pt idx="4">
                  <c:v>Delta</c:v>
                </c:pt>
                <c:pt idx="5">
                  <c:v>Gamma &amp; CIA</c:v>
                </c:pt>
                <c:pt idx="6">
                  <c:v>GlobalTech</c:v>
                </c:pt>
                <c:pt idx="7">
                  <c:v>InvestPro</c:v>
                </c:pt>
                <c:pt idx="8">
                  <c:v>MundoInovador</c:v>
                </c:pt>
                <c:pt idx="9">
                  <c:v>NovaHorizonte</c:v>
                </c:pt>
                <c:pt idx="10">
                  <c:v>SoftLink</c:v>
                </c:pt>
                <c:pt idx="11">
                  <c:v>Theta</c:v>
                </c:pt>
                <c:pt idx="12">
                  <c:v>Zeta</c:v>
                </c:pt>
              </c:strCache>
            </c:strRef>
          </c:cat>
          <c:val>
            <c:numRef>
              <c:f>'EMPRESA - VALORES'!$C$2:$C$15</c:f>
              <c:numCache>
                <c:formatCode>0.00%</c:formatCode>
                <c:ptCount val="13"/>
                <c:pt idx="0">
                  <c:v>0</c:v>
                </c:pt>
                <c:pt idx="1">
                  <c:v>8.2109479305740987E-2</c:v>
                </c:pt>
                <c:pt idx="2">
                  <c:v>7.8771695594125501E-2</c:v>
                </c:pt>
                <c:pt idx="3">
                  <c:v>6.6755674232309749E-3</c:v>
                </c:pt>
                <c:pt idx="4">
                  <c:v>3.3377837116154871E-2</c:v>
                </c:pt>
                <c:pt idx="5">
                  <c:v>0.13818424566088117</c:v>
                </c:pt>
                <c:pt idx="6">
                  <c:v>0.14018691588785046</c:v>
                </c:pt>
                <c:pt idx="7">
                  <c:v>0.11882510013351134</c:v>
                </c:pt>
                <c:pt idx="8">
                  <c:v>0.12149532710280374</c:v>
                </c:pt>
                <c:pt idx="9">
                  <c:v>0.13284379172229641</c:v>
                </c:pt>
                <c:pt idx="10">
                  <c:v>0.10747663551401869</c:v>
                </c:pt>
                <c:pt idx="11">
                  <c:v>2.0026702269692925E-2</c:v>
                </c:pt>
                <c:pt idx="12">
                  <c:v>2.0026702269692925E-2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2-4181-BC23-A0BB50B1A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459359"/>
        <c:axId val="475472671"/>
      </c:barChart>
      <c:catAx>
        <c:axId val="4754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72671"/>
        <c:crosses val="autoZero"/>
        <c:auto val="1"/>
        <c:lblAlgn val="ctr"/>
        <c:lblOffset val="100"/>
        <c:noMultiLvlLbl val="0"/>
      </c:catAx>
      <c:valAx>
        <c:axId val="47547267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5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COBRANÇA.xlsx]MÊS EMISSOR!Tabela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MÊS EMISSOR</a:t>
            </a:r>
          </a:p>
        </c:rich>
      </c:tx>
      <c:layout>
        <c:manualLayout>
          <c:xMode val="edge"/>
          <c:yMode val="edge"/>
          <c:x val="0.43275725644588542"/>
          <c:y val="3.5653196879262689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D-434C-924E-794FDE2B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06005487"/>
        <c:axId val="306005903"/>
      </c:barChart>
      <c:catAx>
        <c:axId val="3060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903"/>
        <c:crosses val="autoZero"/>
        <c:auto val="1"/>
        <c:lblAlgn val="ctr"/>
        <c:lblOffset val="100"/>
        <c:noMultiLvlLbl val="0"/>
      </c:catAx>
      <c:valAx>
        <c:axId val="30600590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00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COBRANÇA.xlsx]MÊS ORIGINAL!Tabela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38046454767726168"/>
          <c:y val="6.711865376500962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E-44B1-BD7F-81B0114D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11414191"/>
        <c:axId val="311413775"/>
      </c:barChart>
      <c:catAx>
        <c:axId val="311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3775"/>
        <c:crosses val="autoZero"/>
        <c:auto val="1"/>
        <c:lblAlgn val="ctr"/>
        <c:lblOffset val="100"/>
        <c:noMultiLvlLbl val="0"/>
      </c:catAx>
      <c:valAx>
        <c:axId val="311413775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1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EMISSOR!Tabela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EMISSOR</a:t>
            </a:r>
          </a:p>
        </c:rich>
      </c:tx>
      <c:layout>
        <c:manualLayout>
          <c:xMode val="edge"/>
          <c:yMode val="edge"/>
          <c:x val="0.63147157055239556"/>
          <c:y val="4.944737412410604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27777777777777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222222222222225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3333333333333333E-2"/>
              <c:y val="-0.1527777777777778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5961977935382197E-2"/>
          <c:y val="0.16669797009318785"/>
          <c:w val="0.58038967691095356"/>
          <c:h val="0.77938042328042323"/>
        </c:manualLayout>
      </c:layout>
      <c:doughnutChart>
        <c:varyColors val="1"/>
        <c:ser>
          <c:idx val="0"/>
          <c:order val="0"/>
          <c:tx>
            <c:strRef>
              <c:f>'MÊS EMISSOR'!$B$1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70C-46AE-A5E8-B430E241673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70C-46AE-A5E8-B430E241673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70C-46AE-A5E8-B430E241673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70C-46AE-A5E8-B430E241673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70C-46AE-A5E8-B430E241673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D70C-46AE-A5E8-B430E2416735}"/>
              </c:ext>
            </c:extLst>
          </c:dPt>
          <c:dLbls>
            <c:dLbl>
              <c:idx val="1"/>
              <c:layout>
                <c:manualLayout>
                  <c:x val="0.1527777777777777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0C-46AE-A5E8-B430E2416735}"/>
                </c:ext>
              </c:extLst>
            </c:dLbl>
            <c:dLbl>
              <c:idx val="4"/>
              <c:layout>
                <c:manualLayout>
                  <c:x val="-0.12222222222222225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0C-46AE-A5E8-B430E2416735}"/>
                </c:ext>
              </c:extLst>
            </c:dLbl>
            <c:dLbl>
              <c:idx val="5"/>
              <c:layout>
                <c:manualLayout>
                  <c:x val="-3.3333333333333333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0C-46AE-A5E8-B430E24167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EMISSOR'!$A$2:$A$8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EMISSOR'!$B$2:$B$8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85500</c:v>
                </c:pt>
                <c:pt idx="2">
                  <c:v>0</c:v>
                </c:pt>
                <c:pt idx="3">
                  <c:v>1400</c:v>
                </c:pt>
                <c:pt idx="4">
                  <c:v>43400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0C-46AE-A5E8-B430E24167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ORIGINAL!Tabela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ORIGINAL</a:t>
            </a:r>
          </a:p>
        </c:rich>
      </c:tx>
      <c:layout>
        <c:manualLayout>
          <c:xMode val="edge"/>
          <c:yMode val="edge"/>
          <c:x val="0.73292620399194275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888888888888898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5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8333333333333332"/>
              <c:y val="4.62962962962961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8218376772670856"/>
          <c:y val="0.12538130650335372"/>
          <c:w val="0.44338460599401819"/>
          <c:h val="0.79439741907261596"/>
        </c:manualLayout>
      </c:layout>
      <c:doughnutChart>
        <c:varyColors val="1"/>
        <c:ser>
          <c:idx val="0"/>
          <c:order val="0"/>
          <c:tx>
            <c:strRef>
              <c:f>'MÊS ORIGINAL'!$B$1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59F-494A-9881-25645844F82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59F-494A-9881-25645844F82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59F-494A-9881-25645844F82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59F-494A-9881-25645844F82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59F-494A-9881-25645844F82C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59F-494A-9881-25645844F82C}"/>
              </c:ext>
            </c:extLst>
          </c:dPt>
          <c:dLbls>
            <c:dLbl>
              <c:idx val="1"/>
              <c:layout>
                <c:manualLayout>
                  <c:x val="-0.10277777777777775"/>
                  <c:y val="-0.236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F-494A-9881-25645844F82C}"/>
                </c:ext>
              </c:extLst>
            </c:dLbl>
            <c:dLbl>
              <c:idx val="4"/>
              <c:layout>
                <c:manualLayout>
                  <c:x val="-0.1833333333333333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9F-494A-9881-25645844F82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ORIGINAL'!$A$2:$A$8</c:f>
              <c:strCache>
                <c:ptCount val="6"/>
                <c:pt idx="0">
                  <c:v> 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ORIGINAL'!$B$2:$B$8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80200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9F-494A-9881-25645844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COBRANÇA.xlsx]MÊS ATUAL!Tabela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42862127528176625"/>
          <c:y val="5.05919539154992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1FE-993D-74B11853A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114504287"/>
        <c:axId val="2114505951"/>
      </c:barChart>
      <c:catAx>
        <c:axId val="21145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5951"/>
        <c:crosses val="autoZero"/>
        <c:auto val="1"/>
        <c:lblAlgn val="ctr"/>
        <c:lblOffset val="100"/>
        <c:noMultiLvlLbl val="0"/>
      </c:catAx>
      <c:valAx>
        <c:axId val="2114505951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5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COBRANÇA.xlsx]CARTEIRA!Tabela dinâmica5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4320216428922774"/>
          <c:y val="5.48662293430289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9-4022-8C5D-54165CBB7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495551"/>
        <c:axId val="412495967"/>
      </c:barChart>
      <c:catAx>
        <c:axId val="412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967"/>
        <c:crosses val="autoZero"/>
        <c:auto val="1"/>
        <c:lblAlgn val="ctr"/>
        <c:lblOffset val="100"/>
        <c:noMultiLvlLbl val="0"/>
      </c:catAx>
      <c:valAx>
        <c:axId val="41249596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495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COBRANÇA.xlsx]MÊS ATUAL!Tabela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MÊS ATUAL</a:t>
            </a:r>
          </a:p>
        </c:rich>
      </c:tx>
      <c:layout>
        <c:manualLayout>
          <c:xMode val="edge"/>
          <c:yMode val="edge"/>
          <c:x val="0.75317344706911626"/>
          <c:y val="2.675707203266258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9.1666666666666563E-2"/>
              <c:y val="-9.72222222222222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1944444444444446"/>
              <c:y val="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7.7777777777777779E-2"/>
              <c:y val="0.134259259259259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4010288984495498"/>
          <c:y val="0.1147712785901762"/>
          <c:w val="0.54562464485753714"/>
          <c:h val="0.84008873890763658"/>
        </c:manualLayout>
      </c:layout>
      <c:doughnutChart>
        <c:varyColors val="1"/>
        <c:ser>
          <c:idx val="0"/>
          <c:order val="0"/>
          <c:tx>
            <c:strRef>
              <c:f>'MÊS ATUAL'!$B$1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AB8-4AD8-9917-576EA71B0FE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AB8-4AD8-9917-576EA71B0FE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AB8-4AD8-9917-576EA71B0FE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AB8-4AD8-9917-576EA71B0FE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AB8-4AD8-9917-576EA71B0FE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AB8-4AD8-9917-576EA71B0FEB}"/>
              </c:ext>
            </c:extLst>
          </c:dPt>
          <c:dLbls>
            <c:dLbl>
              <c:idx val="1"/>
              <c:layout>
                <c:manualLayout>
                  <c:x val="-0.11944444444444446"/>
                  <c:y val="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B8-4AD8-9917-576EA71B0FEB}"/>
                </c:ext>
              </c:extLst>
            </c:dLbl>
            <c:dLbl>
              <c:idx val="4"/>
              <c:layout>
                <c:manualLayout>
                  <c:x val="7.7777777777777779E-2"/>
                  <c:y val="0.134259259259259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B8-4AD8-9917-576EA71B0F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ATUAL'!$A$2:$A$8</c:f>
              <c:strCache>
                <c:ptCount val="6"/>
                <c:pt idx="0">
                  <c:v>fev-24</c:v>
                </c:pt>
                <c:pt idx="1">
                  <c:v>fev-25</c:v>
                </c:pt>
                <c:pt idx="2">
                  <c:v>jan-00</c:v>
                </c:pt>
                <c:pt idx="3">
                  <c:v>jan-24</c:v>
                </c:pt>
                <c:pt idx="4">
                  <c:v>jan-25</c:v>
                </c:pt>
                <c:pt idx="5">
                  <c:v>mar-25</c:v>
                </c:pt>
              </c:strCache>
            </c:strRef>
          </c:cat>
          <c:val>
            <c:numRef>
              <c:f>'MÊS ATUAL'!$B$2:$B$8</c:f>
              <c:numCache>
                <c:formatCode>"R$"#,##0.00_);[Red]\("R$"#,##0.00\)</c:formatCode>
                <c:ptCount val="6"/>
                <c:pt idx="0">
                  <c:v>2000</c:v>
                </c:pt>
                <c:pt idx="1">
                  <c:v>41000</c:v>
                </c:pt>
                <c:pt idx="2">
                  <c:v>0</c:v>
                </c:pt>
                <c:pt idx="3">
                  <c:v>1400</c:v>
                </c:pt>
                <c:pt idx="4">
                  <c:v>2000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B8-4AD8-9917-576EA71B0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COBRANÇA.xlsx]CARTEIRA!Tabela dinâmica5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CARTEIRA</a:t>
            </a:r>
          </a:p>
        </c:rich>
      </c:tx>
      <c:layout>
        <c:manualLayout>
          <c:xMode val="edge"/>
          <c:yMode val="edge"/>
          <c:x val="0.79267292549969703"/>
          <c:y val="3.06976488078850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388888888888879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66666666666666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833333333333337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8173187966888751"/>
          <c:y val="0.14192362755354879"/>
          <c:w val="0.56217746820109027"/>
          <c:h val="0.76660563845603213"/>
        </c:manualLayout>
      </c:layout>
      <c:doughnutChart>
        <c:varyColors val="1"/>
        <c:ser>
          <c:idx val="0"/>
          <c:order val="0"/>
          <c:tx>
            <c:strRef>
              <c:f>CARTEIRA!$B$1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868-4DD9-8D01-956BA9712EE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868-4DD9-8D01-956BA9712EE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868-4DD9-8D01-956BA9712EE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868-4DD9-8D01-956BA9712EEC}"/>
              </c:ext>
            </c:extLst>
          </c:dPt>
          <c:dLbls>
            <c:dLbl>
              <c:idx val="1"/>
              <c:layout>
                <c:manualLayout>
                  <c:x val="-0.20833333333333337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68-4DD9-8D01-956BA9712EE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CARTEIRA!$A$2:$A$6</c:f>
              <c:strCache>
                <c:ptCount val="4"/>
                <c:pt idx="0">
                  <c:v>0</c:v>
                </c:pt>
                <c:pt idx="1">
                  <c:v>ANALISTA GUSTAVO</c:v>
                </c:pt>
                <c:pt idx="2">
                  <c:v>ANALISTA LUCAS</c:v>
                </c:pt>
                <c:pt idx="3">
                  <c:v>ANALISTA SIMONE</c:v>
                </c:pt>
              </c:strCache>
            </c:strRef>
          </c:cat>
          <c:val>
            <c:numRef>
              <c:f>CARTEIRA!$B$2:$B$6</c:f>
              <c:numCache>
                <c:formatCode>"R$"#,##0.00_);[Red]\("R$"#,##0.00\)</c:formatCode>
                <c:ptCount val="4"/>
                <c:pt idx="0">
                  <c:v>0</c:v>
                </c:pt>
                <c:pt idx="1">
                  <c:v>54600</c:v>
                </c:pt>
                <c:pt idx="2">
                  <c:v>45600</c:v>
                </c:pt>
                <c:pt idx="3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68-4DD9-8D01-956BA971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COBRANÇA.xlsx]STATUS DE PAGAMENTO!Tabela dinâmica7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4AB4-BCFC-22DB81F5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PAGAMENTO!Tabela dinâmica7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6AD-4EB4-8D9E-7DBAE8F505A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6AD-4EB4-8D9E-7DBAE8F505A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6AD-4EB4-8D9E-7DBAE8F505A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6AD-4EB4-8D9E-7DBAE8F505A9}"/>
              </c:ext>
            </c:extLst>
          </c:dPt>
          <c:dLbls>
            <c:dLbl>
              <c:idx val="2"/>
              <c:layout>
                <c:manualLayout>
                  <c:x val="0.2361111111111111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D-4EB4-8D9E-7DBAE8F505A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AD-4EB4-8D9E-7DBAE8F50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[11. BASE COBRANÇA.xlsx]VENDEDORES!Tabela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VENDEDORES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VENDEDORES!$A$2:$A$23</c:f>
              <c:strCache>
                <c:ptCount val="21"/>
                <c:pt idx="0">
                  <c:v>0</c:v>
                </c:pt>
                <c:pt idx="1">
                  <c:v>Ana</c:v>
                </c:pt>
                <c:pt idx="2">
                  <c:v>André</c:v>
                </c:pt>
                <c:pt idx="3">
                  <c:v>Beatriz</c:v>
                </c:pt>
                <c:pt idx="4">
                  <c:v>Camila</c:v>
                </c:pt>
                <c:pt idx="5">
                  <c:v>Carla</c:v>
                </c:pt>
                <c:pt idx="6">
                  <c:v>Carlos</c:v>
                </c:pt>
                <c:pt idx="7">
                  <c:v>Felipe</c:v>
                </c:pt>
                <c:pt idx="8">
                  <c:v>Fernanda</c:v>
                </c:pt>
                <c:pt idx="9">
                  <c:v>Gustavo</c:v>
                </c:pt>
                <c:pt idx="10">
                  <c:v>João</c:v>
                </c:pt>
                <c:pt idx="11">
                  <c:v>Juliana</c:v>
                </c:pt>
                <c:pt idx="12">
                  <c:v>Luana</c:v>
                </c:pt>
                <c:pt idx="13">
                  <c:v>Lucas</c:v>
                </c:pt>
                <c:pt idx="14">
                  <c:v>Marcos</c:v>
                </c:pt>
                <c:pt idx="15">
                  <c:v>Maria</c:v>
                </c:pt>
                <c:pt idx="16">
                  <c:v>Patrícia</c:v>
                </c:pt>
                <c:pt idx="17">
                  <c:v>Pedro</c:v>
                </c:pt>
                <c:pt idx="18">
                  <c:v>Roberto</c:v>
                </c:pt>
                <c:pt idx="19">
                  <c:v>Sabrina</c:v>
                </c:pt>
                <c:pt idx="20">
                  <c:v>Tiago</c:v>
                </c:pt>
              </c:strCache>
            </c:strRef>
          </c:cat>
          <c:val>
            <c:numRef>
              <c:f>VENDEDORES!$B$2:$B$23</c:f>
              <c:numCache>
                <c:formatCode>"R$"#,##0.00_);[Red]\("R$"#,##0.00\)</c:formatCode>
                <c:ptCount val="21"/>
                <c:pt idx="0">
                  <c:v>0</c:v>
                </c:pt>
                <c:pt idx="1">
                  <c:v>6900</c:v>
                </c:pt>
                <c:pt idx="2">
                  <c:v>4800</c:v>
                </c:pt>
                <c:pt idx="3">
                  <c:v>9000</c:v>
                </c:pt>
                <c:pt idx="4">
                  <c:v>5100</c:v>
                </c:pt>
                <c:pt idx="5">
                  <c:v>8700</c:v>
                </c:pt>
                <c:pt idx="6">
                  <c:v>10700</c:v>
                </c:pt>
                <c:pt idx="7">
                  <c:v>7400</c:v>
                </c:pt>
                <c:pt idx="8">
                  <c:v>10900</c:v>
                </c:pt>
                <c:pt idx="9">
                  <c:v>5900</c:v>
                </c:pt>
                <c:pt idx="10">
                  <c:v>5300</c:v>
                </c:pt>
                <c:pt idx="11">
                  <c:v>8400</c:v>
                </c:pt>
                <c:pt idx="12">
                  <c:v>6200</c:v>
                </c:pt>
                <c:pt idx="13">
                  <c:v>5900</c:v>
                </c:pt>
                <c:pt idx="14">
                  <c:v>8100</c:v>
                </c:pt>
                <c:pt idx="15">
                  <c:v>9600</c:v>
                </c:pt>
                <c:pt idx="16">
                  <c:v>5600</c:v>
                </c:pt>
                <c:pt idx="17">
                  <c:v>3500</c:v>
                </c:pt>
                <c:pt idx="18">
                  <c:v>12000</c:v>
                </c:pt>
                <c:pt idx="19">
                  <c:v>6400</c:v>
                </c:pt>
                <c:pt idx="20">
                  <c:v>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D-4F95-8B68-550BAFCEDA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1277695"/>
        <c:axId val="411272287"/>
      </c:lineChart>
      <c:catAx>
        <c:axId val="4112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2287"/>
        <c:crosses val="autoZero"/>
        <c:auto val="1"/>
        <c:lblAlgn val="ctr"/>
        <c:lblOffset val="100"/>
        <c:noMultiLvlLbl val="0"/>
      </c:catAx>
      <c:valAx>
        <c:axId val="41127228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27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COBRANÇA.xlsx]STATUS DE PAGAMENTO!Tabela dinâmica7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7-422F-A428-5BDC4F6F1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2978191"/>
        <c:axId val="412972367"/>
      </c:barChart>
      <c:catAx>
        <c:axId val="4129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367"/>
        <c:crosses val="autoZero"/>
        <c:auto val="1"/>
        <c:lblAlgn val="ctr"/>
        <c:lblOffset val="100"/>
        <c:noMultiLvlLbl val="0"/>
      </c:catAx>
      <c:valAx>
        <c:axId val="41297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COBRANÇA.xlsx]VALORES VENCIDO!Tabela dinâmica8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1-4E23-942D-F7FB0DAD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9439"/>
        <c:axId val="412972783"/>
      </c:barChart>
      <c:catAx>
        <c:axId val="412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2783"/>
        <c:crosses val="autoZero"/>
        <c:auto val="1"/>
        <c:lblAlgn val="ctr"/>
        <c:lblOffset val="100"/>
        <c:noMultiLvlLbl val="0"/>
      </c:catAx>
      <c:valAx>
        <c:axId val="41297278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9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COBRANÇA.xlsx]STATUS DE PAGAMENTO!Tabela dinâmica7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PAGAMENTO</a:t>
            </a:r>
          </a:p>
        </c:rich>
      </c:tx>
      <c:layout>
        <c:manualLayout>
          <c:xMode val="edge"/>
          <c:yMode val="edge"/>
          <c:x val="0.7142845581802274"/>
          <c:y val="4.527559055118110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3.0555555555555555E-2"/>
              <c:y val="-0.157407407407407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361111111111111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6512040769439629"/>
          <c:y val="0.16964596309789634"/>
          <c:w val="0.57692119718456947"/>
          <c:h val="0.8115645199200846"/>
        </c:manualLayout>
      </c:layout>
      <c:doughnutChart>
        <c:varyColors val="1"/>
        <c:ser>
          <c:idx val="0"/>
          <c:order val="0"/>
          <c:tx>
            <c:strRef>
              <c:f>'STATUS DE PAGAMENTO'!$B$1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79D-4E17-AD52-07B263B550A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79D-4E17-AD52-07B263B550A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79D-4E17-AD52-07B263B550A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79D-4E17-AD52-07B263B550AF}"/>
              </c:ext>
            </c:extLst>
          </c:dPt>
          <c:dLbls>
            <c:dLbl>
              <c:idx val="2"/>
              <c:layout>
                <c:manualLayout>
                  <c:x val="0.2361111111111111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9D-4E17-AD52-07B263B550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DE PAGAMENTO'!$A$2:$A$6</c:f>
              <c:strCache>
                <c:ptCount val="4"/>
                <c:pt idx="0">
                  <c:v>0</c:v>
                </c:pt>
                <c:pt idx="1">
                  <c:v>A Vencer</c:v>
                </c:pt>
                <c:pt idx="2">
                  <c:v>Quitado</c:v>
                </c:pt>
                <c:pt idx="3">
                  <c:v>Vencido</c:v>
                </c:pt>
              </c:strCache>
            </c:strRef>
          </c:cat>
          <c:val>
            <c:numRef>
              <c:f>'STATUS DE PAGAMENTO'!$B$2:$B$6</c:f>
              <c:numCache>
                <c:formatCode>General</c:formatCode>
                <c:ptCount val="4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9D-4E17-AD52-07B263B5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COBRANÇA.xlsx]VALORES VENCIDO!Tabela dinâmica8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651156812339333"/>
          <c:y val="6.1949573376498666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4935732647814901"/>
              <c:y val="4.52961672473867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2596401028277635"/>
              <c:y val="-0.163763066202090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5167095115681242"/>
              <c:y val="-0.149825783972125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926425520717365"/>
          <c:y val="0.15906856155175728"/>
          <c:w val="0.55301844017569779"/>
          <c:h val="0.74956157919284472"/>
        </c:manualLayout>
      </c:layout>
      <c:doughnutChart>
        <c:varyColors val="1"/>
        <c:ser>
          <c:idx val="0"/>
          <c:order val="0"/>
          <c:tx>
            <c:strRef>
              <c:f>'VALORES VENCIDO'!$B$1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248-469F-A401-564AC7D0C22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248-469F-A401-564AC7D0C22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248-469F-A401-564AC7D0C22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248-469F-A401-564AC7D0C223}"/>
              </c:ext>
            </c:extLst>
          </c:dPt>
          <c:dLbls>
            <c:dLbl>
              <c:idx val="0"/>
              <c:layout>
                <c:manualLayout>
                  <c:x val="0.15167095115681242"/>
                  <c:y val="-0.149825783972125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48-469F-A401-564AC7D0C22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'VALORES VENCIDO'!$A$2:$A$6</c:f>
              <c:strCache>
                <c:ptCount val="4"/>
                <c:pt idx="0">
                  <c:v>abr-25</c:v>
                </c:pt>
                <c:pt idx="1">
                  <c:v>jan-00</c:v>
                </c:pt>
                <c:pt idx="2">
                  <c:v>mai-25</c:v>
                </c:pt>
                <c:pt idx="3">
                  <c:v>mar-25</c:v>
                </c:pt>
              </c:strCache>
            </c:strRef>
          </c:cat>
          <c:val>
            <c:numRef>
              <c:f>'VALORES VENCIDO'!$B$2:$B$6</c:f>
              <c:numCache>
                <c:formatCode>"R$"#,##0.00_);[Red]\("R$"#,##0.00\)</c:formatCode>
                <c:ptCount val="4"/>
                <c:pt idx="0">
                  <c:v>48100</c:v>
                </c:pt>
                <c:pt idx="1">
                  <c:v>0</c:v>
                </c:pt>
                <c:pt idx="2">
                  <c:v>43400</c:v>
                </c:pt>
                <c:pt idx="3">
                  <c:v>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8-469F-A401-564AC7D0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COBRANÇA.xlsx]TÍTULO ELEGÍVEL!Tabela dinâmica9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39283406096515161"/>
          <c:y val="5.577180210964195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B-43BF-A671-65B6593D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3858143"/>
        <c:axId val="513860639"/>
      </c:barChart>
      <c:catAx>
        <c:axId val="5138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60639"/>
        <c:crosses val="autoZero"/>
        <c:auto val="1"/>
        <c:lblAlgn val="ctr"/>
        <c:lblOffset val="100"/>
        <c:noMultiLvlLbl val="0"/>
      </c:catAx>
      <c:valAx>
        <c:axId val="5138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8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COBRANÇA.xlsx]TÍTULO ELEGÍVEL!Tabela dinâmica9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TÍTULO ELEGÍVEL</a:t>
            </a:r>
          </a:p>
        </c:rich>
      </c:tx>
      <c:layout>
        <c:manualLayout>
          <c:xMode val="edge"/>
          <c:yMode val="edge"/>
          <c:x val="0.72658725178632866"/>
          <c:y val="5.641041053074472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20277777777777781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388888888888889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3333333333333333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51"/>
              <c:y val="-0.115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840657449952435"/>
          <c:y val="0.15250916631604253"/>
          <c:w val="0.54971661639981384"/>
          <c:h val="0.81618230450201368"/>
        </c:manualLayout>
      </c:layout>
      <c:doughnutChart>
        <c:varyColors val="1"/>
        <c:ser>
          <c:idx val="0"/>
          <c:order val="0"/>
          <c:tx>
            <c:strRef>
              <c:f>'TÍTULO ELEGÍVEL'!$B$1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F67-4073-ADDE-7D99F6DC56B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F67-4073-ADDE-7D99F6DC56B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F67-4073-ADDE-7D99F6DC56B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F67-4073-ADDE-7D99F6DC56B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F67-4073-ADDE-7D99F6DC56B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67-4073-ADDE-7D99F6DC56B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'TÍTULO ELEGÍVEL'!$A$2:$A$6</c:f>
              <c:strCache>
                <c:ptCount val="4"/>
                <c:pt idx="0">
                  <c:v>0</c:v>
                </c:pt>
                <c:pt idx="2">
                  <c:v>Atraso Crítico</c:v>
                </c:pt>
                <c:pt idx="3">
                  <c:v>Atraso Médio</c:v>
                </c:pt>
              </c:strCache>
            </c:strRef>
          </c:cat>
          <c:val>
            <c:numRef>
              <c:f>'TÍTULO ELEGÍVEL'!$B$2:$B$6</c:f>
              <c:numCache>
                <c:formatCode>General</c:formatCode>
                <c:ptCount val="4"/>
                <c:pt idx="0">
                  <c:v>166</c:v>
                </c:pt>
                <c:pt idx="1">
                  <c:v>2</c:v>
                </c:pt>
                <c:pt idx="2">
                  <c:v>42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F67-4073-ADDE-7D99F6DC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[11. BASE COBRANÇA.xlsx]QTDE COBRANÇAS!Tabela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QTDE DE COBRANÇAS</a:t>
            </a:r>
          </a:p>
        </c:rich>
      </c:tx>
      <c:layout>
        <c:manualLayout>
          <c:xMode val="edge"/>
          <c:yMode val="edge"/>
          <c:x val="0.48274922072829662"/>
          <c:y val="5.5746461532298883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2-4D68-B50D-4E8BAB935D16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spPr>
            <a:pattFill prst="narHorz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shade val="76000"/>
                </a:schemeClr>
              </a:innerShdw>
            </a:effectLst>
          </c:spPr>
          <c:invertIfNegative val="0"/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2-4D68-B50D-4E8BAB93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COBRANÇA.xlsx]$ COBRANÇAS!Tabela dinâmica1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VENCIDOS</a:t>
            </a:r>
          </a:p>
        </c:rich>
      </c:tx>
      <c:layout>
        <c:manualLayout>
          <c:xMode val="edge"/>
          <c:yMode val="edge"/>
          <c:x val="0.53456225200672425"/>
          <c:y val="6.677244976869346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1-4DFB-A760-85798F2E4A71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1-4DFB-A760-85798F2E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2543"/>
        <c:axId val="1239962127"/>
      </c:barChart>
      <c:catAx>
        <c:axId val="12399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127"/>
        <c:crosses val="autoZero"/>
        <c:auto val="1"/>
        <c:lblAlgn val="ctr"/>
        <c:lblOffset val="100"/>
        <c:noMultiLvlLbl val="0"/>
      </c:catAx>
      <c:valAx>
        <c:axId val="1239962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96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COBRANÇA.xlsx]$ COBRANÇAS!Tabela dinâmica1</c:name>
    <c:fmtId val="11"/>
  </c:pivotSource>
  <c:chart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0.166666666666666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6944444444444445"/>
              <c:y val="-2.31481481481481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0833333333333334"/>
              <c:y val="0.1851851851851852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1944444444444444"/>
              <c:y val="-1.851851851851853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25189655699113256"/>
          <c:y val="0.1723675086388973"/>
          <c:w val="0.56674654037456251"/>
          <c:h val="0.74841562913818227"/>
        </c:manualLayout>
      </c:layout>
      <c:doughnutChart>
        <c:varyColors val="1"/>
        <c:ser>
          <c:idx val="0"/>
          <c:order val="0"/>
          <c:tx>
            <c:strRef>
              <c:f>'$ COBRANÇAS'!$B$1</c:f>
              <c:strCache>
                <c:ptCount val="1"/>
                <c:pt idx="0">
                  <c:v>Soma de Valores Vencidos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369-47B8-A882-CD0459574AB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369-47B8-A882-CD0459574AB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369-47B8-A882-CD0459574AB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369-47B8-A882-CD0459574AB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369-47B8-A882-CD0459574AB2}"/>
              </c:ext>
            </c:extLst>
          </c:dPt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COBRANÇAS'!$B$2:$B$7</c:f>
              <c:numCache>
                <c:formatCode>"R$"#,##0.00_);[Red]\("R$"#,##0.00\)</c:formatCode>
                <c:ptCount val="5"/>
                <c:pt idx="0">
                  <c:v>61500</c:v>
                </c:pt>
                <c:pt idx="1">
                  <c:v>80200</c:v>
                </c:pt>
                <c:pt idx="2">
                  <c:v>0</c:v>
                </c:pt>
                <c:pt idx="3">
                  <c:v>3400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69-47B8-A882-CD0459574AB2}"/>
            </c:ext>
          </c:extLst>
        </c:ser>
        <c:ser>
          <c:idx val="1"/>
          <c:order val="1"/>
          <c:tx>
            <c:strRef>
              <c:f>'$ COBRANÇAS'!$C$1</c:f>
              <c:strCache>
                <c:ptCount val="1"/>
                <c:pt idx="0">
                  <c:v>Soma de Valores Vencidos2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E369-47B8-A882-CD0459574AB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E369-47B8-A882-CD0459574AB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E369-47B8-A882-CD0459574AB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E369-47B8-A882-CD0459574AB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E369-47B8-A882-CD0459574AB2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0.185185185185185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69-47B8-A882-CD0459574AB2}"/>
                </c:ext>
              </c:extLst>
            </c:dLbl>
            <c:dLbl>
              <c:idx val="3"/>
              <c:layout>
                <c:manualLayout>
                  <c:x val="0.21944444444444444"/>
                  <c:y val="-1.85185185185185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69-47B8-A882-CD0459574AB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'$ COBRANÇAS'!$A$2:$A$7</c:f>
              <c:strCache>
                <c:ptCount val="5"/>
                <c:pt idx="0">
                  <c:v>Cobrança Ativa</c:v>
                </c:pt>
                <c:pt idx="1">
                  <c:v>Cobrança Extrajudicial</c:v>
                </c:pt>
                <c:pt idx="2">
                  <c:v>Cobrança Amigável</c:v>
                </c:pt>
                <c:pt idx="3">
                  <c:v>Cobrança Judicial</c:v>
                </c:pt>
              </c:strCache>
            </c:strRef>
          </c:cat>
          <c:val>
            <c:numRef>
              <c:f>'$ COBRANÇAS'!$C$2:$C$7</c:f>
              <c:numCache>
                <c:formatCode>0.00%</c:formatCode>
                <c:ptCount val="5"/>
                <c:pt idx="0">
                  <c:v>0.42384562370778772</c:v>
                </c:pt>
                <c:pt idx="1">
                  <c:v>0.55272226050999307</c:v>
                </c:pt>
                <c:pt idx="2">
                  <c:v>0</c:v>
                </c:pt>
                <c:pt idx="3">
                  <c:v>2.3432115782219161E-2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69-47B8-A882-CD045957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COBRANÇA.xlsx]QTDE COBRANÇAS!Tabela dinâmica1</c:name>
    <c:fmtId val="9"/>
  </c:pivotSource>
  <c:chart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1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11111111111111101"/>
              <c:y val="0.319444444444444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4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5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7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48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9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277777777777777"/>
              <c:y val="-0.180555555555555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3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0.28611111111111109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637521443027933"/>
          <c:y val="0.19355132691746865"/>
          <c:w val="0.60017319504771593"/>
          <c:h val="0.70617390696296034"/>
        </c:manualLayout>
      </c:layout>
      <c:doughnutChart>
        <c:varyColors val="1"/>
        <c:ser>
          <c:idx val="0"/>
          <c:order val="0"/>
          <c:tx>
            <c:strRef>
              <c:f>'QTDE COBRANÇAS'!$B$1</c:f>
              <c:strCache>
                <c:ptCount val="1"/>
                <c:pt idx="0">
                  <c:v>Contagem de Cobrança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97E-496E-9D60-468AB04FFD1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97E-496E-9D60-468AB04FFD1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97E-496E-9D60-468AB04FFD1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97E-496E-9D60-468AB04FFD1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97E-496E-9D60-468AB04FFD12}"/>
              </c:ext>
            </c:extLst>
          </c:dPt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COBRANÇAS'!$B$2:$B$7</c:f>
              <c:numCache>
                <c:formatCode>General</c:formatCode>
                <c:ptCount val="5"/>
                <c:pt idx="0">
                  <c:v>166</c:v>
                </c:pt>
                <c:pt idx="1">
                  <c:v>28</c:v>
                </c:pt>
                <c:pt idx="2">
                  <c:v>40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7E-496E-9D60-468AB04FFD12}"/>
            </c:ext>
          </c:extLst>
        </c:ser>
        <c:ser>
          <c:idx val="1"/>
          <c:order val="1"/>
          <c:tx>
            <c:strRef>
              <c:f>'QTDE COBRANÇAS'!$C$1</c:f>
              <c:strCache>
                <c:ptCount val="1"/>
                <c:pt idx="0">
                  <c:v>Contagem de Cobrança2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B97E-496E-9D60-468AB04FFD1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B97E-496E-9D60-468AB04FFD1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B97E-496E-9D60-468AB04FFD1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B97E-496E-9D60-468AB04FFD1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B97E-496E-9D60-468AB04FFD1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7E-496E-9D60-468AB04FFD12}"/>
                </c:ext>
              </c:extLst>
            </c:dLbl>
            <c:dLbl>
              <c:idx val="1"/>
              <c:layout>
                <c:manualLayout>
                  <c:x val="-0.10277777777777777"/>
                  <c:y val="-0.180555555555555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7E-496E-9D60-468AB04FFD12}"/>
                </c:ext>
              </c:extLst>
            </c:dLbl>
            <c:dLbl>
              <c:idx val="4"/>
              <c:layout>
                <c:manualLayout>
                  <c:x val="0.28611111111111109"/>
                  <c:y val="-5.555555555555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7E-496E-9D60-468AB04FFD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'QTDE COBRANÇAS'!$A$2:$A$7</c:f>
              <c:strCache>
                <c:ptCount val="5"/>
                <c:pt idx="1">
                  <c:v>Cobrança Ativa</c:v>
                </c:pt>
                <c:pt idx="2">
                  <c:v>Cobrança Extrajudicial</c:v>
                </c:pt>
                <c:pt idx="3">
                  <c:v>Cobrança Amigável</c:v>
                </c:pt>
                <c:pt idx="4">
                  <c:v>Cobrança Judicial</c:v>
                </c:pt>
              </c:strCache>
            </c:strRef>
          </c:cat>
          <c:val>
            <c:numRef>
              <c:f>'QTDE COBRANÇAS'!$C$2:$C$7</c:f>
              <c:numCache>
                <c:formatCode>0.00%</c:formatCode>
                <c:ptCount val="5"/>
                <c:pt idx="0">
                  <c:v>0.69747899159663862</c:v>
                </c:pt>
                <c:pt idx="1">
                  <c:v>0.11764705882352941</c:v>
                </c:pt>
                <c:pt idx="2">
                  <c:v>0.16806722689075632</c:v>
                </c:pt>
                <c:pt idx="3">
                  <c:v>4.2016806722689074E-3</c:v>
                </c:pt>
                <c:pt idx="4">
                  <c:v>1.2605042016806723E-2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7E-496E-9D60-468AB04F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[11. BASE COBRANÇA.xlsx]STATUS DE COBRANÇA!Tabela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5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STATUS DE COBRANÇA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5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DE COBRANÇA'!$B$1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DE COBRANÇA'!$A$2:$A$23</c:f>
              <c:strCache>
                <c:ptCount val="21"/>
                <c:pt idx="0">
                  <c:v>0</c:v>
                </c:pt>
                <c:pt idx="1">
                  <c:v>Acordo cumprido parcialmente</c:v>
                </c:pt>
                <c:pt idx="2">
                  <c:v>Acordo de pagamento pendente</c:v>
                </c:pt>
                <c:pt idx="3">
                  <c:v>Acordo em andamento (aguardando pagamento)</c:v>
                </c:pt>
                <c:pt idx="4">
                  <c:v>Aguardando aprovação de crédito</c:v>
                </c:pt>
                <c:pt idx="5">
                  <c:v>Aguardando liberação do financeiro</c:v>
                </c:pt>
                <c:pt idx="6">
                  <c:v>Aguardando resolução interna da empresa</c:v>
                </c:pt>
                <c:pt idx="7">
                  <c:v>Bloqueio de sistema por inadimplência</c:v>
                </c:pt>
                <c:pt idx="8">
                  <c:v>Cancelamento de cobrança solicitado</c:v>
                </c:pt>
                <c:pt idx="9">
                  <c:v>Cliente alegando dificuldades financeiras</c:v>
                </c:pt>
                <c:pt idx="10">
                  <c:v>Cliente em inadimplência sem previsão de pagamento</c:v>
                </c:pt>
                <c:pt idx="11">
                  <c:v>Cliente em processo de análise para reativação</c:v>
                </c:pt>
                <c:pt idx="12">
                  <c:v>Cliente não localizado</c:v>
                </c:pt>
                <c:pt idx="13">
                  <c:v>Negociação finalizada, pendente de pagamento</c:v>
                </c:pt>
                <c:pt idx="14">
                  <c:v>Pagamento em processo (aguardando confirmação bancária)</c:v>
                </c:pt>
                <c:pt idx="15">
                  <c:v>Promessa de pagamento não cumprida</c:v>
                </c:pt>
                <c:pt idx="16">
                  <c:v>Promessa de pagamento refeito</c:v>
                </c:pt>
                <c:pt idx="17">
                  <c:v>Proposta de renegociação pendente</c:v>
                </c:pt>
                <c:pt idx="18">
                  <c:v>Sem Retorno</c:v>
                </c:pt>
                <c:pt idx="19">
                  <c:v>Situação com comercial (aguardando análise comercial)</c:v>
                </c:pt>
                <c:pt idx="20">
                  <c:v>Situação jurídica em andamento (em processo judicial)</c:v>
                </c:pt>
              </c:strCache>
            </c:strRef>
          </c:cat>
          <c:val>
            <c:numRef>
              <c:f>'STATUS DE COBRANÇA'!$B$2:$B$23</c:f>
              <c:numCache>
                <c:formatCode>General</c:formatCode>
                <c:ptCount val="21"/>
                <c:pt idx="0">
                  <c:v>166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E-49D5-B739-6EEFFDBA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6943"/>
        <c:axId val="412977775"/>
      </c:barChart>
      <c:catAx>
        <c:axId val="4129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7775"/>
        <c:crosses val="autoZero"/>
        <c:auto val="1"/>
        <c:lblAlgn val="ctr"/>
        <c:lblOffset val="100"/>
        <c:noMultiLvlLbl val="0"/>
      </c:catAx>
      <c:valAx>
        <c:axId val="4129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97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[11. BASE COBRANÇA.xlsx]VALORES FATURADOS!Tabela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</a:rPr>
              <a:t>VALORES FATURADOS (MÊS)</a:t>
            </a:r>
          </a:p>
        </c:rich>
      </c:tx>
      <c:layout>
        <c:manualLayout>
          <c:xMode val="edge"/>
          <c:yMode val="edge"/>
          <c:x val="0.47412067336834945"/>
          <c:y val="6.8423738699329245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63261362552425"/>
          <c:y val="0.18717373869932924"/>
          <c:w val="0.79287461576095486"/>
          <c:h val="0.50106226305045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'VALORES FATURADOS'!$B$1</c:f>
              <c:strCache>
                <c:ptCount val="1"/>
                <c:pt idx="0">
                  <c:v>VALOR ORIGINAL.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'VALORES FATURADOS'!$A$2:$A$8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'VALORES FATURADOS'!$B$2:$B$8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2000</c:v>
                </c:pt>
                <c:pt idx="3">
                  <c:v>2000</c:v>
                </c:pt>
                <c:pt idx="4">
                  <c:v>41000</c:v>
                </c:pt>
                <c:pt idx="5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C-49D2-9105-69A677382EAA}"/>
            </c:ext>
          </c:extLst>
        </c:ser>
        <c:ser>
          <c:idx val="1"/>
          <c:order val="1"/>
          <c:tx>
            <c:strRef>
              <c:f>'VALORES FATURADOS'!$C$1</c:f>
              <c:strCache>
                <c:ptCount val="1"/>
                <c:pt idx="0">
                  <c:v>CONTAGEM</c:v>
                </c:pt>
              </c:strCache>
            </c:strRef>
          </c:tx>
          <c:spPr>
            <a:pattFill prst="narHorz">
              <a:fgClr>
                <a:schemeClr val="dk1">
                  <a:tint val="55000"/>
                </a:schemeClr>
              </a:fgClr>
              <a:bgClr>
                <a:schemeClr val="dk1">
                  <a:tint val="5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55000"/>
                </a:schemeClr>
              </a:innerShdw>
            </a:effectLst>
          </c:spPr>
          <c:invertIfNegative val="0"/>
          <c:cat>
            <c:strRef>
              <c:f>'VALORES FATURADOS'!$A$2:$A$8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'VALORES FATURADOS'!$C$2:$C$8</c:f>
              <c:numCache>
                <c:formatCode>#,##0</c:formatCode>
                <c:ptCount val="6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21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C-49D2-9105-69A67738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0241839"/>
        <c:axId val="2040246415"/>
      </c:barChart>
      <c:catAx>
        <c:axId val="204024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0246415"/>
        <c:crosses val="autoZero"/>
        <c:auto val="1"/>
        <c:lblAlgn val="ctr"/>
        <c:lblOffset val="100"/>
        <c:noMultiLvlLbl val="0"/>
      </c:catAx>
      <c:valAx>
        <c:axId val="20402464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024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COBRANÇA.xlsx]EMPRESA x DIAS EM ATRASO!Tabela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 x DIAS EM ATRASO'!$B$1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'EMPRESA x DIAS EM ATRASO'!$A$2:$A$60</c:f>
              <c:multiLvlStrCache>
                <c:ptCount val="45"/>
                <c:lvl>
                  <c:pt idx="0">
                    <c:v>0</c:v>
                  </c:pt>
                  <c:pt idx="1">
                    <c:v>39</c:v>
                  </c:pt>
                  <c:pt idx="2">
                    <c:v>68</c:v>
                  </c:pt>
                  <c:pt idx="3">
                    <c:v>70</c:v>
                  </c:pt>
                  <c:pt idx="4">
                    <c:v>86</c:v>
                  </c:pt>
                  <c:pt idx="5">
                    <c:v>74</c:v>
                  </c:pt>
                  <c:pt idx="6">
                    <c:v>72</c:v>
                  </c:pt>
                  <c:pt idx="7">
                    <c:v>78</c:v>
                  </c:pt>
                  <c:pt idx="8">
                    <c:v>463</c:v>
                  </c:pt>
                  <c:pt idx="9">
                    <c:v>87</c:v>
                  </c:pt>
                  <c:pt idx="10">
                    <c:v>86</c:v>
                  </c:pt>
                  <c:pt idx="11">
                    <c:v>77</c:v>
                  </c:pt>
                  <c:pt idx="12">
                    <c:v>76</c:v>
                  </c:pt>
                  <c:pt idx="13">
                    <c:v>86</c:v>
                  </c:pt>
                  <c:pt idx="14">
                    <c:v>86</c:v>
                  </c:pt>
                  <c:pt idx="15">
                    <c:v>61</c:v>
                  </c:pt>
                  <c:pt idx="16">
                    <c:v>62</c:v>
                  </c:pt>
                  <c:pt idx="17">
                    <c:v>64</c:v>
                  </c:pt>
                  <c:pt idx="18">
                    <c:v>66</c:v>
                  </c:pt>
                  <c:pt idx="19">
                    <c:v>68</c:v>
                  </c:pt>
                  <c:pt idx="21">
                    <c:v>32</c:v>
                  </c:pt>
                  <c:pt idx="22">
                    <c:v>39</c:v>
                  </c:pt>
                  <c:pt idx="23">
                    <c:v>38</c:v>
                  </c:pt>
                  <c:pt idx="24">
                    <c:v>37</c:v>
                  </c:pt>
                  <c:pt idx="25">
                    <c:v>36</c:v>
                  </c:pt>
                  <c:pt idx="26">
                    <c:v>35</c:v>
                  </c:pt>
                  <c:pt idx="27">
                    <c:v>34</c:v>
                  </c:pt>
                  <c:pt idx="28">
                    <c:v>0</c:v>
                  </c:pt>
                  <c:pt idx="29">
                    <c:v>39</c:v>
                  </c:pt>
                  <c:pt idx="30">
                    <c:v>61</c:v>
                  </c:pt>
                  <c:pt idx="31">
                    <c:v>63</c:v>
                  </c:pt>
                  <c:pt idx="32">
                    <c:v>65</c:v>
                  </c:pt>
                  <c:pt idx="33">
                    <c:v>67</c:v>
                  </c:pt>
                  <c:pt idx="34">
                    <c:v>69</c:v>
                  </c:pt>
                  <c:pt idx="35">
                    <c:v>75</c:v>
                  </c:pt>
                  <c:pt idx="36">
                    <c:v>73</c:v>
                  </c:pt>
                  <c:pt idx="37">
                    <c:v>71</c:v>
                  </c:pt>
                  <c:pt idx="38">
                    <c:v>39</c:v>
                  </c:pt>
                  <c:pt idx="39">
                    <c:v>98</c:v>
                  </c:pt>
                  <c:pt idx="40">
                    <c:v>61</c:v>
                  </c:pt>
                  <c:pt idx="41">
                    <c:v>47</c:v>
                  </c:pt>
                  <c:pt idx="42">
                    <c:v>40</c:v>
                  </c:pt>
                  <c:pt idx="43">
                    <c:v>86</c:v>
                  </c:pt>
                  <c:pt idx="44">
                    <c:v>86</c:v>
                  </c:pt>
                </c:lvl>
                <c:lvl>
                  <c:pt idx="0">
                    <c:v>0</c:v>
                  </c:pt>
                  <c:pt idx="1">
                    <c:v>Alpha &amp; CIA</c:v>
                  </c:pt>
                  <c:pt idx="7">
                    <c:v>BemEstar</c:v>
                  </c:pt>
                  <c:pt idx="13">
                    <c:v>Beta</c:v>
                  </c:pt>
                  <c:pt idx="14">
                    <c:v>Delta</c:v>
                  </c:pt>
                  <c:pt idx="15">
                    <c:v>Gamma &amp; CIA</c:v>
                  </c:pt>
                  <c:pt idx="21">
                    <c:v>GlobalTech</c:v>
                  </c:pt>
                  <c:pt idx="28">
                    <c:v>InvestPro</c:v>
                  </c:pt>
                  <c:pt idx="30">
                    <c:v>MundoInovador</c:v>
                  </c:pt>
                  <c:pt idx="38">
                    <c:v>NovaHorizonte</c:v>
                  </c:pt>
                  <c:pt idx="40">
                    <c:v>SoftLink</c:v>
                  </c:pt>
                  <c:pt idx="43">
                    <c:v>Theta</c:v>
                  </c:pt>
                  <c:pt idx="44">
                    <c:v>Zeta</c:v>
                  </c:pt>
                </c:lvl>
              </c:multiLvlStrCache>
            </c:multiLvlStrRef>
          </c:cat>
          <c:val>
            <c:numRef>
              <c:f>'EMPRESA x DIAS EM ATRASO'!$B$2:$B$60</c:f>
              <c:numCache>
                <c:formatCode>General</c:formatCode>
                <c:ptCount val="45"/>
                <c:pt idx="0">
                  <c:v>166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7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8</c:v>
                </c:pt>
                <c:pt idx="39">
                  <c:v>1</c:v>
                </c:pt>
                <c:pt idx="40">
                  <c:v>6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6-4B90-9B8C-C95CA595C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818575"/>
        <c:axId val="1509809839"/>
      </c:barChart>
      <c:catAx>
        <c:axId val="15098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809839"/>
        <c:crosses val="autoZero"/>
        <c:auto val="1"/>
        <c:lblAlgn val="ctr"/>
        <c:lblOffset val="100"/>
        <c:noMultiLvlLbl val="0"/>
      </c:catAx>
      <c:valAx>
        <c:axId val="15098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818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COBRANÇA.xlsx]TABELA - RELATÓRIO DE COBRANÇA!Tabela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VALORES A VENCER x valores vencidos</a:t>
            </a:r>
          </a:p>
        </c:rich>
      </c:tx>
      <c:layout>
        <c:manualLayout>
          <c:xMode val="edge"/>
          <c:yMode val="edge"/>
          <c:x val="0.47589369868902409"/>
          <c:y val="3.1228974394779938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- RELATÓRIO DE COBRANÇA'!$B$4</c:f>
              <c:strCache>
                <c:ptCount val="1"/>
                <c:pt idx="0">
                  <c:v>VALORES A VENCER.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COBRANÇA'!$B$5:$B$11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D-4121-9E0E-DFF6C18A1B04}"/>
            </c:ext>
          </c:extLst>
        </c:ser>
        <c:ser>
          <c:idx val="1"/>
          <c:order val="1"/>
          <c:tx>
            <c:strRef>
              <c:f>'TABELA - RELATÓRIO DE COBRANÇA'!$C$4</c:f>
              <c:strCache>
                <c:ptCount val="1"/>
                <c:pt idx="0">
                  <c:v>VALORES VENCIDOS.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COBRANÇA'!$C$5:$C$11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0</c:v>
                </c:pt>
                <c:pt idx="3">
                  <c:v>43400</c:v>
                </c:pt>
                <c:pt idx="4">
                  <c:v>82800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D-4121-9E0E-DFF6C18A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11981551"/>
        <c:axId val="711984047"/>
      </c:barChart>
      <c:catAx>
        <c:axId val="7119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4047"/>
        <c:crosses val="autoZero"/>
        <c:auto val="1"/>
        <c:lblAlgn val="ctr"/>
        <c:lblOffset val="100"/>
        <c:noMultiLvlLbl val="0"/>
      </c:catAx>
      <c:valAx>
        <c:axId val="711984047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1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COBRANÇA.xlsx]TABELA - RELATÓRIO DE COBRANÇA!Tabela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- RELATÓRIO DE COBRANÇA'!$B$4</c:f>
              <c:strCache>
                <c:ptCount val="1"/>
                <c:pt idx="0">
                  <c:v>VALORES A VENCER.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COBRANÇA'!$B$5:$B$11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9-4106-9BE8-AB10C2A8DB44}"/>
            </c:ext>
          </c:extLst>
        </c:ser>
        <c:ser>
          <c:idx val="1"/>
          <c:order val="1"/>
          <c:tx>
            <c:strRef>
              <c:f>'TABELA - RELATÓRIO DE COBRANÇA'!$C$4</c:f>
              <c:strCache>
                <c:ptCount val="1"/>
                <c:pt idx="0">
                  <c:v>VALORES VENCIDOS.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'TABELA - RELATÓRIO DE COBRANÇA'!$A$5:$A$11</c:f>
              <c:strCache>
                <c:ptCount val="6"/>
                <c:pt idx="0">
                  <c:v>jan-00</c:v>
                </c:pt>
                <c:pt idx="1">
                  <c:v>jan-24</c:v>
                </c:pt>
                <c:pt idx="2">
                  <c:v>fev-24</c:v>
                </c:pt>
                <c:pt idx="3">
                  <c:v>jan-25</c:v>
                </c:pt>
                <c:pt idx="4">
                  <c:v>fev-25</c:v>
                </c:pt>
                <c:pt idx="5">
                  <c:v>mar-25</c:v>
                </c:pt>
              </c:strCache>
            </c:strRef>
          </c:cat>
          <c:val>
            <c:numRef>
              <c:f>'TABELA - RELATÓRIO DE COBRANÇA'!$C$5:$C$11</c:f>
              <c:numCache>
                <c:formatCode>"R$"#,##0.00_);[Red]\("R$"#,##0.00\)</c:formatCode>
                <c:ptCount val="6"/>
                <c:pt idx="0">
                  <c:v>0</c:v>
                </c:pt>
                <c:pt idx="1">
                  <c:v>1400</c:v>
                </c:pt>
                <c:pt idx="2">
                  <c:v>0</c:v>
                </c:pt>
                <c:pt idx="3">
                  <c:v>43400</c:v>
                </c:pt>
                <c:pt idx="4">
                  <c:v>82800</c:v>
                </c:pt>
                <c:pt idx="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9-4106-9BE8-AB10C2A8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11981551"/>
        <c:axId val="711984047"/>
      </c:barChart>
      <c:catAx>
        <c:axId val="7119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4047"/>
        <c:crosses val="autoZero"/>
        <c:auto val="1"/>
        <c:lblAlgn val="ctr"/>
        <c:lblOffset val="100"/>
        <c:noMultiLvlLbl val="0"/>
      </c:catAx>
      <c:valAx>
        <c:axId val="71198404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981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COBRANÇA.xlsx]DINÂMICA!Tabela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Inadimplência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DINÂMICA!$M$3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B6-4938-BD7A-907043BFFE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6-4938-BD7A-907043BFFE1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B6-4938-BD7A-907043BFFE1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B6-4938-BD7A-907043BFFE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B6-4938-BD7A-907043BFFE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B6-4938-BD7A-907043BFFE1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B6-4938-BD7A-907043BFFE1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B6-4938-BD7A-907043BFFE1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B6-4938-BD7A-907043BFFE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B6-4938-BD7A-907043BFFE11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B6-4938-BD7A-907043BFFE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BB6-4938-BD7A-907043BFFE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DINÂMICA!$L$4:$L$16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DINÂMICA!$M$4:$M$16</c:f>
              <c:numCache>
                <c:formatCode>_("R$"* #,##0.00_);_("R$"* \(#,##0.00\);_("R$"* "-"??_);_(@_)</c:formatCode>
                <c:ptCount val="12"/>
                <c:pt idx="0">
                  <c:v>12300</c:v>
                </c:pt>
                <c:pt idx="1">
                  <c:v>11800</c:v>
                </c:pt>
                <c:pt idx="2">
                  <c:v>1000</c:v>
                </c:pt>
                <c:pt idx="3">
                  <c:v>5000</c:v>
                </c:pt>
                <c:pt idx="4">
                  <c:v>18700</c:v>
                </c:pt>
                <c:pt idx="5">
                  <c:v>21000</c:v>
                </c:pt>
                <c:pt idx="6">
                  <c:v>15100</c:v>
                </c:pt>
                <c:pt idx="7">
                  <c:v>18200</c:v>
                </c:pt>
                <c:pt idx="8">
                  <c:v>19900</c:v>
                </c:pt>
                <c:pt idx="9">
                  <c:v>16100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9-4A3A-B900-7393B0A6AD37}"/>
            </c:ext>
          </c:extLst>
        </c:ser>
        <c:ser>
          <c:idx val="1"/>
          <c:order val="1"/>
          <c:tx>
            <c:strRef>
              <c:f>DINÂMICA!$N$3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BB6-4938-BD7A-907043BFFE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BB6-4938-BD7A-907043BFFE1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BB6-4938-BD7A-907043BFFE1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BB6-4938-BD7A-907043BFFE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BB6-4938-BD7A-907043BFFE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BB6-4938-BD7A-907043BFFE1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BB6-4938-BD7A-907043BFFE1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BB6-4938-BD7A-907043BFFE1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BB6-4938-BD7A-907043BFFE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BB6-4938-BD7A-907043BFFE11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BB6-4938-BD7A-907043BFFE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BB6-4938-BD7A-907043BFFE11}"/>
              </c:ext>
            </c:extLst>
          </c:dPt>
          <c:cat>
            <c:strRef>
              <c:f>DINÂMICA!$L$4:$L$16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DINÂMICA!$N$4:$N$16</c:f>
              <c:numCache>
                <c:formatCode>0.00%</c:formatCode>
                <c:ptCount val="12"/>
                <c:pt idx="0">
                  <c:v>8.3333333333333329E-2</c:v>
                </c:pt>
                <c:pt idx="1">
                  <c:v>9.7222222222222224E-2</c:v>
                </c:pt>
                <c:pt idx="2">
                  <c:v>1.3888888888888888E-2</c:v>
                </c:pt>
                <c:pt idx="3">
                  <c:v>2.7777777777777776E-2</c:v>
                </c:pt>
                <c:pt idx="4">
                  <c:v>0.1388888888888889</c:v>
                </c:pt>
                <c:pt idx="5">
                  <c:v>0.1388888888888889</c:v>
                </c:pt>
                <c:pt idx="6">
                  <c:v>0.1111111111111111</c:v>
                </c:pt>
                <c:pt idx="7">
                  <c:v>0.125</c:v>
                </c:pt>
                <c:pt idx="8">
                  <c:v>0.125</c:v>
                </c:pt>
                <c:pt idx="9">
                  <c:v>0.1111111111111111</c:v>
                </c:pt>
                <c:pt idx="10">
                  <c:v>1.3888888888888888E-2</c:v>
                </c:pt>
                <c:pt idx="11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9-4A3A-B900-7393B0A6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57858054905295"/>
          <c:y val="9.2215422006138623E-2"/>
          <c:w val="0.18816015818968576"/>
          <c:h val="0.84333155751139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Status de Cobrança</a:t>
            </a:r>
          </a:p>
        </c:rich>
      </c:tx>
      <c:layout>
        <c:manualLayout>
          <c:xMode val="edge"/>
          <c:yMode val="edge"/>
          <c:x val="0.27046185256208438"/>
          <c:y val="3.944041242954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ysClr val="window" lastClr="FFFFF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5092935258092735"/>
          <c:y val="0.26791447944006996"/>
          <c:w val="1.0202537182852144E-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numFmt formatCode="_(* #,##0.00_);_(* \(#,##0.0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Acordo cumprido parcialmente</c:v>
              </c:pt>
              <c:pt idx="1">
                <c:v>Acordo de pagamento pendente</c:v>
              </c:pt>
              <c:pt idx="2">
                <c:v>Acordo em andamento (aguardando pagamento)</c:v>
              </c:pt>
              <c:pt idx="3">
                <c:v>Aguardando aprovação de crédito</c:v>
              </c:pt>
              <c:pt idx="4">
                <c:v>Aguardando liberação do financeiro</c:v>
              </c:pt>
              <c:pt idx="5">
                <c:v>Aguardando resolução interna da empresa</c:v>
              </c:pt>
              <c:pt idx="6">
                <c:v>Bloqueio de sistema por inadimplência</c:v>
              </c:pt>
              <c:pt idx="7">
                <c:v>Cancelamento de cobrança solicitado</c:v>
              </c:pt>
              <c:pt idx="8">
                <c:v>Cliente alegando dificuldades financeiras</c:v>
              </c:pt>
              <c:pt idx="9">
                <c:v>Cliente em inadimplência sem previsão de pagamento</c:v>
              </c:pt>
              <c:pt idx="10">
                <c:v>Cliente em processo de análise para reativação</c:v>
              </c:pt>
              <c:pt idx="11">
                <c:v>Cliente não localizado</c:v>
              </c:pt>
              <c:pt idx="12">
                <c:v>Negociação finalizada, pendente de pagamento</c:v>
              </c:pt>
              <c:pt idx="13">
                <c:v>Pagamento em processo (aguardando confirmação bancária)</c:v>
              </c:pt>
              <c:pt idx="14">
                <c:v>Promessa de pagamento não cumprida</c:v>
              </c:pt>
              <c:pt idx="15">
                <c:v>Promessa de pagamento refeito</c:v>
              </c:pt>
              <c:pt idx="16">
                <c:v>Proposta de renegociação pendente</c:v>
              </c:pt>
              <c:pt idx="17">
                <c:v>Sem Retorno</c:v>
              </c:pt>
              <c:pt idx="18">
                <c:v>Situação com comercial (aguardando análise comercial)</c:v>
              </c:pt>
              <c:pt idx="19">
                <c:v>Situação jurídica em andamento (em processo judicial)</c:v>
              </c:pt>
            </c:strLit>
          </c:cat>
          <c:val>
            <c:numLit>
              <c:formatCode>General</c:formatCode>
              <c:ptCount val="20"/>
              <c:pt idx="0">
                <c:v>5400</c:v>
              </c:pt>
              <c:pt idx="1">
                <c:v>5000</c:v>
              </c:pt>
              <c:pt idx="2">
                <c:v>8300</c:v>
              </c:pt>
              <c:pt idx="3">
                <c:v>3500</c:v>
              </c:pt>
              <c:pt idx="4">
                <c:v>2500</c:v>
              </c:pt>
              <c:pt idx="5">
                <c:v>4600</c:v>
              </c:pt>
              <c:pt idx="6">
                <c:v>6100</c:v>
              </c:pt>
              <c:pt idx="7">
                <c:v>4000</c:v>
              </c:pt>
              <c:pt idx="8">
                <c:v>4600</c:v>
              </c:pt>
              <c:pt idx="9">
                <c:v>3500</c:v>
              </c:pt>
              <c:pt idx="10">
                <c:v>5400</c:v>
              </c:pt>
              <c:pt idx="11">
                <c:v>8500</c:v>
              </c:pt>
              <c:pt idx="12">
                <c:v>3500</c:v>
              </c:pt>
              <c:pt idx="13">
                <c:v>6000</c:v>
              </c:pt>
              <c:pt idx="14">
                <c:v>5100</c:v>
              </c:pt>
              <c:pt idx="15">
                <c:v>7200</c:v>
              </c:pt>
              <c:pt idx="16">
                <c:v>4200</c:v>
              </c:pt>
              <c:pt idx="17">
                <c:v>45800</c:v>
              </c:pt>
              <c:pt idx="18">
                <c:v>3600</c:v>
              </c:pt>
              <c:pt idx="19">
                <c:v>4000</c:v>
              </c:pt>
            </c:numLit>
          </c:val>
          <c:extLst>
            <c:ext xmlns:c16="http://schemas.microsoft.com/office/drawing/2014/chart" uri="{C3380CC4-5D6E-409C-BE32-E72D297353CC}">
              <c16:uniqueId val="{00000000-8E8B-47BC-8B83-86562559F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159551"/>
        <c:axId val="1744160031"/>
      </c:barChart>
      <c:catAx>
        <c:axId val="174415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160031"/>
        <c:crosses val="autoZero"/>
        <c:auto val="1"/>
        <c:lblAlgn val="ctr"/>
        <c:lblOffset val="100"/>
        <c:noMultiLvlLbl val="0"/>
      </c:catAx>
      <c:valAx>
        <c:axId val="174416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15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COBRANÇA.xlsx]DINÂMICA!Tabela dinâmica1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DINÂMICA!$E$3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C-4034-8979-E6F9670DD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C-4034-8979-E6F9670DD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DINÂMICA!$D$4:$D$6</c:f>
              <c:strCache>
                <c:ptCount val="2"/>
                <c:pt idx="0">
                  <c:v>Filial</c:v>
                </c:pt>
                <c:pt idx="1">
                  <c:v>Matriz</c:v>
                </c:pt>
              </c:strCache>
            </c:strRef>
          </c:cat>
          <c:val>
            <c:numRef>
              <c:f>DINÂMICA!$E$4:$E$6</c:f>
              <c:numCache>
                <c:formatCode>_("R$"* #,##0.00_);_("R$"* \(#,##0.00\);_("R$"* "-"??_);_(@_)</c:formatCode>
                <c:ptCount val="2"/>
                <c:pt idx="0">
                  <c:v>65600</c:v>
                </c:pt>
                <c:pt idx="1">
                  <c:v>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9-4E91-AC1B-B55C36340145}"/>
            </c:ext>
          </c:extLst>
        </c:ser>
        <c:ser>
          <c:idx val="1"/>
          <c:order val="1"/>
          <c:tx>
            <c:strRef>
              <c:f>DINÂMICA!$F$3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C-4034-8979-E6F9670DD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C-4034-8979-E6F9670DD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DINÂMICA!$D$4:$D$6</c:f>
              <c:strCache>
                <c:ptCount val="2"/>
                <c:pt idx="0">
                  <c:v>Filial</c:v>
                </c:pt>
                <c:pt idx="1">
                  <c:v>Matriz</c:v>
                </c:pt>
              </c:strCache>
            </c:strRef>
          </c:cat>
          <c:val>
            <c:numRef>
              <c:f>DINÂMICA!$F$4:$F$6</c:f>
              <c:numCache>
                <c:formatCode>0.00%</c:formatCode>
                <c:ptCount val="2"/>
                <c:pt idx="0">
                  <c:v>0.48571428571428571</c:v>
                </c:pt>
                <c:pt idx="1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9-4E91-AC1B-B55C363401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[11. BASE COBRANÇA.xlsx]DINÂMICA!Tabela dinâmica10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DINÂMICA!$U$3</c:f>
              <c:strCache>
                <c:ptCount val="1"/>
                <c:pt idx="0">
                  <c:v>Soma (Dias Atraso)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C-4F17-8BAC-D7BDE1DF2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4C-4F17-8BAC-D7BDE1DF2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4C-4F17-8BAC-D7BDE1DF2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F17-8BAC-D7BDE1DF29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4C-4F17-8BAC-D7BDE1DF29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4C-4F17-8BAC-D7BDE1DF29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4C-4F17-8BAC-D7BDE1DF29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4C-4F17-8BAC-D7BDE1DF29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4C-4F17-8BAC-D7BDE1DF29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4C-4F17-8BAC-D7BDE1DF29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4C-4F17-8BAC-D7BDE1DF29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4C-4F17-8BAC-D7BDE1DF2997}"/>
              </c:ext>
            </c:extLst>
          </c:dPt>
          <c:cat>
            <c:strRef>
              <c:f>DINÂMICA!$T$4:$T$16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DINÂMICA!$U$4:$U$16</c:f>
              <c:numCache>
                <c:formatCode>General</c:formatCode>
                <c:ptCount val="12"/>
                <c:pt idx="0">
                  <c:v>409</c:v>
                </c:pt>
                <c:pt idx="1">
                  <c:v>953</c:v>
                </c:pt>
                <c:pt idx="2">
                  <c:v>86</c:v>
                </c:pt>
                <c:pt idx="3">
                  <c:v>172</c:v>
                </c:pt>
                <c:pt idx="4">
                  <c:v>#N/A</c:v>
                </c:pt>
                <c:pt idx="5">
                  <c:v>368</c:v>
                </c:pt>
                <c:pt idx="6">
                  <c:v>273</c:v>
                </c:pt>
                <c:pt idx="7">
                  <c:v>611</c:v>
                </c:pt>
                <c:pt idx="8">
                  <c:v>410</c:v>
                </c:pt>
                <c:pt idx="9">
                  <c:v>453</c:v>
                </c:pt>
                <c:pt idx="10">
                  <c:v>86</c:v>
                </c:pt>
                <c:pt idx="1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5-4C8D-8A78-B178B30359D7}"/>
            </c:ext>
          </c:extLst>
        </c:ser>
        <c:ser>
          <c:idx val="1"/>
          <c:order val="1"/>
          <c:tx>
            <c:strRef>
              <c:f>DINÂMICA!$V$3</c:f>
              <c:strCache>
                <c:ptCount val="1"/>
                <c:pt idx="0">
                  <c:v>Soma(Vencidos)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4C-4F17-8BAC-D7BDE1DF2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4C-4F17-8BAC-D7BDE1DF2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4C-4F17-8BAC-D7BDE1DF2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4C-4F17-8BAC-D7BDE1DF29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4C-4F17-8BAC-D7BDE1DF29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4C-4F17-8BAC-D7BDE1DF29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4C-4F17-8BAC-D7BDE1DF29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4C-4F17-8BAC-D7BDE1DF29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04C-4F17-8BAC-D7BDE1DF29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04C-4F17-8BAC-D7BDE1DF29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04C-4F17-8BAC-D7BDE1DF29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04C-4F17-8BAC-D7BDE1DF2997}"/>
              </c:ext>
            </c:extLst>
          </c:dPt>
          <c:cat>
            <c:strRef>
              <c:f>DINÂMICA!$T$4:$T$16</c:f>
              <c:strCache>
                <c:ptCount val="12"/>
                <c:pt idx="0">
                  <c:v>Alpha &amp; CIA</c:v>
                </c:pt>
                <c:pt idx="1">
                  <c:v>BemEstar</c:v>
                </c:pt>
                <c:pt idx="2">
                  <c:v>Beta</c:v>
                </c:pt>
                <c:pt idx="3">
                  <c:v>Delta</c:v>
                </c:pt>
                <c:pt idx="4">
                  <c:v>Gamma &amp; CIA</c:v>
                </c:pt>
                <c:pt idx="5">
                  <c:v>GlobalTech</c:v>
                </c:pt>
                <c:pt idx="6">
                  <c:v>InvestPro</c:v>
                </c:pt>
                <c:pt idx="7">
                  <c:v>MundoInovador</c:v>
                </c:pt>
                <c:pt idx="8">
                  <c:v>NovaHorizonte</c:v>
                </c:pt>
                <c:pt idx="9">
                  <c:v>SoftLink</c:v>
                </c:pt>
                <c:pt idx="10">
                  <c:v>Theta</c:v>
                </c:pt>
                <c:pt idx="11">
                  <c:v>Zeta</c:v>
                </c:pt>
              </c:strCache>
            </c:strRef>
          </c:cat>
          <c:val>
            <c:numRef>
              <c:f>DINÂMICA!$V$4:$V$16</c:f>
              <c:numCache>
                <c:formatCode>_("R$"* #,##0.00_);_("R$"* \(#,##0.00\);_("R$"* "-"??_);_(@_)</c:formatCode>
                <c:ptCount val="12"/>
                <c:pt idx="0">
                  <c:v>12300</c:v>
                </c:pt>
                <c:pt idx="1">
                  <c:v>11800</c:v>
                </c:pt>
                <c:pt idx="2">
                  <c:v>1000</c:v>
                </c:pt>
                <c:pt idx="3">
                  <c:v>5000</c:v>
                </c:pt>
                <c:pt idx="4">
                  <c:v>18700</c:v>
                </c:pt>
                <c:pt idx="5">
                  <c:v>21000</c:v>
                </c:pt>
                <c:pt idx="6">
                  <c:v>15100</c:v>
                </c:pt>
                <c:pt idx="7">
                  <c:v>18200</c:v>
                </c:pt>
                <c:pt idx="8">
                  <c:v>19900</c:v>
                </c:pt>
                <c:pt idx="9">
                  <c:v>16100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5-4C8D-8A78-B178B303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" Type="http://schemas.openxmlformats.org/officeDocument/2006/relationships/chart" Target="../charts/chart30.xml"/><Relationship Id="rId21" Type="http://schemas.openxmlformats.org/officeDocument/2006/relationships/chart" Target="../charts/chart48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0" Type="http://schemas.openxmlformats.org/officeDocument/2006/relationships/chart" Target="../charts/chart47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24" Type="http://schemas.openxmlformats.org/officeDocument/2006/relationships/chart" Target="../charts/chart51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23" Type="http://schemas.openxmlformats.org/officeDocument/2006/relationships/chart" Target="../charts/chart50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Relationship Id="rId22" Type="http://schemas.openxmlformats.org/officeDocument/2006/relationships/chart" Target="../charts/chart49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13" Type="http://schemas.openxmlformats.org/officeDocument/2006/relationships/chart" Target="../charts/chart64.xml"/><Relationship Id="rId18" Type="http://schemas.openxmlformats.org/officeDocument/2006/relationships/chart" Target="../charts/chart69.xml"/><Relationship Id="rId26" Type="http://schemas.openxmlformats.org/officeDocument/2006/relationships/chart" Target="../charts/chart77.xml"/><Relationship Id="rId3" Type="http://schemas.openxmlformats.org/officeDocument/2006/relationships/chart" Target="../charts/chart54.xml"/><Relationship Id="rId21" Type="http://schemas.openxmlformats.org/officeDocument/2006/relationships/chart" Target="../charts/chart72.xml"/><Relationship Id="rId7" Type="http://schemas.openxmlformats.org/officeDocument/2006/relationships/chart" Target="../charts/chart58.xml"/><Relationship Id="rId12" Type="http://schemas.openxmlformats.org/officeDocument/2006/relationships/chart" Target="../charts/chart63.xml"/><Relationship Id="rId17" Type="http://schemas.openxmlformats.org/officeDocument/2006/relationships/chart" Target="../charts/chart68.xml"/><Relationship Id="rId25" Type="http://schemas.openxmlformats.org/officeDocument/2006/relationships/chart" Target="../charts/chart76.xml"/><Relationship Id="rId2" Type="http://schemas.openxmlformats.org/officeDocument/2006/relationships/chart" Target="../charts/chart53.xml"/><Relationship Id="rId16" Type="http://schemas.openxmlformats.org/officeDocument/2006/relationships/chart" Target="../charts/chart67.xml"/><Relationship Id="rId20" Type="http://schemas.openxmlformats.org/officeDocument/2006/relationships/chart" Target="../charts/chart71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11" Type="http://schemas.openxmlformats.org/officeDocument/2006/relationships/chart" Target="../charts/chart62.xml"/><Relationship Id="rId24" Type="http://schemas.openxmlformats.org/officeDocument/2006/relationships/chart" Target="../charts/chart75.xml"/><Relationship Id="rId5" Type="http://schemas.openxmlformats.org/officeDocument/2006/relationships/chart" Target="../charts/chart56.xml"/><Relationship Id="rId15" Type="http://schemas.openxmlformats.org/officeDocument/2006/relationships/chart" Target="../charts/chart66.xml"/><Relationship Id="rId23" Type="http://schemas.openxmlformats.org/officeDocument/2006/relationships/chart" Target="../charts/chart74.xml"/><Relationship Id="rId10" Type="http://schemas.openxmlformats.org/officeDocument/2006/relationships/chart" Target="../charts/chart61.xml"/><Relationship Id="rId19" Type="http://schemas.openxmlformats.org/officeDocument/2006/relationships/chart" Target="../charts/chart70.xml"/><Relationship Id="rId4" Type="http://schemas.openxmlformats.org/officeDocument/2006/relationships/chart" Target="../charts/chart55.xml"/><Relationship Id="rId9" Type="http://schemas.openxmlformats.org/officeDocument/2006/relationships/chart" Target="../charts/chart60.xml"/><Relationship Id="rId14" Type="http://schemas.openxmlformats.org/officeDocument/2006/relationships/chart" Target="../charts/chart65.xml"/><Relationship Id="rId22" Type="http://schemas.openxmlformats.org/officeDocument/2006/relationships/chart" Target="../charts/chart7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4" Type="http://schemas.openxmlformats.org/officeDocument/2006/relationships/chart" Target="../charts/chart8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5</xdr:row>
      <xdr:rowOff>38099</xdr:rowOff>
    </xdr:from>
    <xdr:to>
      <xdr:col>1</xdr:col>
      <xdr:colOff>3284220</xdr:colOff>
      <xdr:row>9</xdr:row>
      <xdr:rowOff>280144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FFA1F5-7285-5B7C-D340-1B0C76784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" y="1028699"/>
          <a:ext cx="3147060" cy="1491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A3D0B-C830-9356-4F8D-7B18981DD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906780</xdr:colOff>
      <xdr:row>9</xdr:row>
      <xdr:rowOff>38100</xdr:rowOff>
    </xdr:from>
    <xdr:to>
      <xdr:col>8</xdr:col>
      <xdr:colOff>205740</xdr:colOff>
      <xdr:row>24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DC629D-C28E-39B1-A99E-35276B26C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16956D-5A52-2F91-18F4-3C4A1B80F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5</xdr:row>
      <xdr:rowOff>129540</xdr:rowOff>
    </xdr:from>
    <xdr:to>
      <xdr:col>10</xdr:col>
      <xdr:colOff>152400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4324EE-14DF-5034-A33A-88F42D956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3E432-3819-129A-B508-B27E63B38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5</xdr:row>
      <xdr:rowOff>129540</xdr:rowOff>
    </xdr:from>
    <xdr:to>
      <xdr:col>10</xdr:col>
      <xdr:colOff>152400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379E73-1B6B-41FD-FDCC-64C1AEF32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1356360</xdr:colOff>
      <xdr:row>9</xdr:row>
      <xdr:rowOff>106680</xdr:rowOff>
    </xdr:from>
    <xdr:to>
      <xdr:col>9</xdr:col>
      <xdr:colOff>45720</xdr:colOff>
      <xdr:row>24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691ED-2347-ED35-1A0F-4FB2D7AB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426720</xdr:colOff>
      <xdr:row>5</xdr:row>
      <xdr:rowOff>129540</xdr:rowOff>
    </xdr:from>
    <xdr:to>
      <xdr:col>10</xdr:col>
      <xdr:colOff>121920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EE0978-7E1B-4A00-AD7F-D1325AAF9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9A4660-5759-0C34-C391-0D34E5EAA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14115-9B94-83AC-C4EF-2529285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6</xdr:row>
      <xdr:rowOff>137160</xdr:rowOff>
    </xdr:from>
    <xdr:to>
      <xdr:col>5</xdr:col>
      <xdr:colOff>160020</xdr:colOff>
      <xdr:row>21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1D61DA-EAD7-E720-F19B-CC5D7624A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7</xdr:row>
      <xdr:rowOff>121920</xdr:rowOff>
    </xdr:from>
    <xdr:to>
      <xdr:col>8</xdr:col>
      <xdr:colOff>7620</xdr:colOff>
      <xdr:row>22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483A8F-B940-903B-7DA6-BE27897B0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2</xdr:row>
      <xdr:rowOff>106680</xdr:rowOff>
    </xdr:from>
    <xdr:to>
      <xdr:col>15</xdr:col>
      <xdr:colOff>53340</xdr:colOff>
      <xdr:row>17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F489F8-1B52-0AD7-558C-13BBF1C51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9</xdr:row>
      <xdr:rowOff>99060</xdr:rowOff>
    </xdr:from>
    <xdr:to>
      <xdr:col>6</xdr:col>
      <xdr:colOff>434340</xdr:colOff>
      <xdr:row>24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AC6A55-CD68-CC67-8276-87B2649E3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</xdr:colOff>
      <xdr:row>1</xdr:row>
      <xdr:rowOff>38100</xdr:rowOff>
    </xdr:from>
    <xdr:to>
      <xdr:col>13</xdr:col>
      <xdr:colOff>373380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3CB7AB-AB42-BCA8-37C4-F33A1BF9F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7C6565-F479-17EA-3C41-7B53F205D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6</xdr:row>
      <xdr:rowOff>38100</xdr:rowOff>
    </xdr:from>
    <xdr:to>
      <xdr:col>3</xdr:col>
      <xdr:colOff>297180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EE8BDA-002E-9461-E87B-A050FB052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507A3B-8087-DF88-292B-C012937F2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0</xdr:rowOff>
    </xdr:from>
    <xdr:to>
      <xdr:col>11</xdr:col>
      <xdr:colOff>335280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46E58A-1F91-51B0-ED67-A1C4AB54D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EF53B3-C4F0-4DFD-27AD-6E07EB198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7</xdr:row>
      <xdr:rowOff>60960</xdr:rowOff>
    </xdr:from>
    <xdr:to>
      <xdr:col>6</xdr:col>
      <xdr:colOff>541020</xdr:colOff>
      <xdr:row>22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D31747-DDEB-41CC-92BB-FCD3D0E75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518160</xdr:colOff>
      <xdr:row>1</xdr:row>
      <xdr:rowOff>144780</xdr:rowOff>
    </xdr:from>
    <xdr:to>
      <xdr:col>11</xdr:col>
      <xdr:colOff>213360</xdr:colOff>
      <xdr:row>16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3CEC3D-6593-855C-4D68-4126A4DB9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7</xdr:row>
      <xdr:rowOff>60960</xdr:rowOff>
    </xdr:from>
    <xdr:to>
      <xdr:col>6</xdr:col>
      <xdr:colOff>541020</xdr:colOff>
      <xdr:row>22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BE4B6C-CE29-5846-5754-0CA44DB5D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4</xdr:row>
      <xdr:rowOff>129540</xdr:rowOff>
    </xdr:from>
    <xdr:to>
      <xdr:col>8</xdr:col>
      <xdr:colOff>510540</xdr:colOff>
      <xdr:row>19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3540F1-1FFA-8B1F-4816-1F7F0A388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5A879D-2F50-C187-065D-9C4AF20D2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95992</xdr:colOff>
      <xdr:row>30</xdr:row>
      <xdr:rowOff>104206</xdr:rowOff>
    </xdr:from>
    <xdr:to>
      <xdr:col>0</xdr:col>
      <xdr:colOff>1924792</xdr:colOff>
      <xdr:row>37</xdr:row>
      <xdr:rowOff>71253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4">
              <a:extLst>
                <a:ext uri="{FF2B5EF4-FFF2-40B4-BE49-F238E27FC236}">
                  <a16:creationId xmlns:a16="http://schemas.microsoft.com/office/drawing/2014/main" id="{7D9BAE73-F698-387A-4C6A-846BC4399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92" y="6178435"/>
              <a:ext cx="1828800" cy="1262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123702</xdr:colOff>
      <xdr:row>23</xdr:row>
      <xdr:rowOff>92430</xdr:rowOff>
    </xdr:from>
    <xdr:to>
      <xdr:col>0</xdr:col>
      <xdr:colOff>1952502</xdr:colOff>
      <xdr:row>30</xdr:row>
      <xdr:rowOff>27709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4">
              <a:extLst>
                <a:ext uri="{FF2B5EF4-FFF2-40B4-BE49-F238E27FC236}">
                  <a16:creationId xmlns:a16="http://schemas.microsoft.com/office/drawing/2014/main" id="{74F7FE06-839C-E1B6-56F4-BA3501CBF0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02" y="4871259"/>
              <a:ext cx="1828800" cy="1230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55517</xdr:colOff>
      <xdr:row>37</xdr:row>
      <xdr:rowOff>147949</xdr:rowOff>
    </xdr:from>
    <xdr:to>
      <xdr:col>0</xdr:col>
      <xdr:colOff>1884317</xdr:colOff>
      <xdr:row>51</xdr:row>
      <xdr:rowOff>2970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4">
              <a:extLst>
                <a:ext uri="{FF2B5EF4-FFF2-40B4-BE49-F238E27FC236}">
                  <a16:creationId xmlns:a16="http://schemas.microsoft.com/office/drawing/2014/main" id="{F2AF196E-C6CE-3962-FEE6-44F62AD5D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17" y="7517578"/>
              <a:ext cx="1828800" cy="2445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98763</xdr:colOff>
      <xdr:row>15</xdr:row>
      <xdr:rowOff>90254</xdr:rowOff>
    </xdr:from>
    <xdr:to>
      <xdr:col>0</xdr:col>
      <xdr:colOff>1927563</xdr:colOff>
      <xdr:row>23</xdr:row>
      <xdr:rowOff>30678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1">
              <a:extLst>
                <a:ext uri="{FF2B5EF4-FFF2-40B4-BE49-F238E27FC236}">
                  <a16:creationId xmlns:a16="http://schemas.microsoft.com/office/drawing/2014/main" id="{7979EE99-2B60-2632-6C4D-5BE801BAE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63" y="3388625"/>
              <a:ext cx="1828800" cy="1420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80060</xdr:colOff>
      <xdr:row>8</xdr:row>
      <xdr:rowOff>57696</xdr:rowOff>
    </xdr:from>
    <xdr:to>
      <xdr:col>0</xdr:col>
      <xdr:colOff>1908860</xdr:colOff>
      <xdr:row>15</xdr:row>
      <xdr:rowOff>2971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EMISSOR 1">
              <a:extLst>
                <a:ext uri="{FF2B5EF4-FFF2-40B4-BE49-F238E27FC236}">
                  <a16:creationId xmlns:a16="http://schemas.microsoft.com/office/drawing/2014/main" id="{FB5C912D-B55A-E264-FE21-00591787EF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60" y="2060667"/>
              <a:ext cx="1828800" cy="124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61357</xdr:colOff>
      <xdr:row>51</xdr:row>
      <xdr:rowOff>80554</xdr:rowOff>
    </xdr:from>
    <xdr:to>
      <xdr:col>0</xdr:col>
      <xdr:colOff>1890157</xdr:colOff>
      <xdr:row>65</xdr:row>
      <xdr:rowOff>26001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1">
              <a:extLst>
                <a:ext uri="{FF2B5EF4-FFF2-40B4-BE49-F238E27FC236}">
                  <a16:creationId xmlns:a16="http://schemas.microsoft.com/office/drawing/2014/main" id="{367F83DD-2C29-9638-171D-8F96042E6A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57" y="10040983"/>
              <a:ext cx="1828800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98072</xdr:colOff>
      <xdr:row>65</xdr:row>
      <xdr:rowOff>61851</xdr:rowOff>
    </xdr:from>
    <xdr:to>
      <xdr:col>0</xdr:col>
      <xdr:colOff>1926872</xdr:colOff>
      <xdr:row>79</xdr:row>
      <xdr:rowOff>7299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1">
              <a:extLst>
                <a:ext uri="{FF2B5EF4-FFF2-40B4-BE49-F238E27FC236}">
                  <a16:creationId xmlns:a16="http://schemas.microsoft.com/office/drawing/2014/main" id="{EF93D0F1-DAC6-1624-3740-2AA0B4E07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72" y="12613080"/>
              <a:ext cx="1828800" cy="2536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84909</xdr:colOff>
      <xdr:row>0</xdr:row>
      <xdr:rowOff>265611</xdr:rowOff>
    </xdr:from>
    <xdr:to>
      <xdr:col>0</xdr:col>
      <xdr:colOff>1913709</xdr:colOff>
      <xdr:row>7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brança 3">
              <a:extLst>
                <a:ext uri="{FF2B5EF4-FFF2-40B4-BE49-F238E27FC236}">
                  <a16:creationId xmlns:a16="http://schemas.microsoft.com/office/drawing/2014/main" id="{C14AC5A2-8FCD-CF92-014F-A56F2861CA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09" y="265611"/>
              <a:ext cx="1828800" cy="1715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33C2BA-C887-456C-BF12-79BF13F3F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86253</xdr:colOff>
      <xdr:row>31</xdr:row>
      <xdr:rowOff>16480</xdr:rowOff>
    </xdr:from>
    <xdr:to>
      <xdr:col>0</xdr:col>
      <xdr:colOff>1915053</xdr:colOff>
      <xdr:row>37</xdr:row>
      <xdr:rowOff>162821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5">
              <a:extLst>
                <a:ext uri="{FF2B5EF4-FFF2-40B4-BE49-F238E27FC236}">
                  <a16:creationId xmlns:a16="http://schemas.microsoft.com/office/drawing/2014/main" id="{1E2E8BBC-1C53-44B3-9EDB-42E7EFE92E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6112480"/>
              <a:ext cx="1828800" cy="1222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24</xdr:row>
      <xdr:rowOff>4704</xdr:rowOff>
    </xdr:from>
    <xdr:to>
      <xdr:col>0</xdr:col>
      <xdr:colOff>1915053</xdr:colOff>
      <xdr:row>30</xdr:row>
      <xdr:rowOff>119277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5">
              <a:extLst>
                <a:ext uri="{FF2B5EF4-FFF2-40B4-BE49-F238E27FC236}">
                  <a16:creationId xmlns:a16="http://schemas.microsoft.com/office/drawing/2014/main" id="{8C8A2634-A3B2-48DC-8341-E9DFCC91BA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4845645"/>
              <a:ext cx="1828800" cy="1190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38</xdr:row>
      <xdr:rowOff>60223</xdr:rowOff>
    </xdr:from>
    <xdr:to>
      <xdr:col>0</xdr:col>
      <xdr:colOff>1915053</xdr:colOff>
      <xdr:row>51</xdr:row>
      <xdr:rowOff>94539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5">
              <a:extLst>
                <a:ext uri="{FF2B5EF4-FFF2-40B4-BE49-F238E27FC236}">
                  <a16:creationId xmlns:a16="http://schemas.microsoft.com/office/drawing/2014/main" id="{BED71BA5-7F06-44F6-AD98-3078D368BD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7411282"/>
              <a:ext cx="1828800" cy="2365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16</xdr:row>
      <xdr:rowOff>2528</xdr:rowOff>
    </xdr:from>
    <xdr:to>
      <xdr:col>0</xdr:col>
      <xdr:colOff>1915053</xdr:colOff>
      <xdr:row>23</xdr:row>
      <xdr:rowOff>122246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2">
              <a:extLst>
                <a:ext uri="{FF2B5EF4-FFF2-40B4-BE49-F238E27FC236}">
                  <a16:creationId xmlns:a16="http://schemas.microsoft.com/office/drawing/2014/main" id="{82A3F29C-E056-4082-B576-A69D9D417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3409116"/>
              <a:ext cx="1828800" cy="1374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8</xdr:row>
      <xdr:rowOff>149264</xdr:rowOff>
    </xdr:from>
    <xdr:to>
      <xdr:col>0</xdr:col>
      <xdr:colOff>1915053</xdr:colOff>
      <xdr:row>15</xdr:row>
      <xdr:rowOff>94539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EMISSOR 2">
              <a:extLst>
                <a:ext uri="{FF2B5EF4-FFF2-40B4-BE49-F238E27FC236}">
                  <a16:creationId xmlns:a16="http://schemas.microsoft.com/office/drawing/2014/main" id="{70C52043-C990-4FF1-BAFD-E3E82FDA4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2121499"/>
              <a:ext cx="1828800" cy="1200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51</xdr:row>
      <xdr:rowOff>172123</xdr:rowOff>
    </xdr:from>
    <xdr:to>
      <xdr:col>0</xdr:col>
      <xdr:colOff>1915053</xdr:colOff>
      <xdr:row>65</xdr:row>
      <xdr:rowOff>117569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2">
              <a:extLst>
                <a:ext uri="{FF2B5EF4-FFF2-40B4-BE49-F238E27FC236}">
                  <a16:creationId xmlns:a16="http://schemas.microsoft.com/office/drawing/2014/main" id="{D9C4B784-3B30-47DE-882E-F157CC1DC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9854005"/>
              <a:ext cx="1828800" cy="24555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86253</xdr:colOff>
      <xdr:row>65</xdr:row>
      <xdr:rowOff>153419</xdr:rowOff>
    </xdr:from>
    <xdr:to>
      <xdr:col>0</xdr:col>
      <xdr:colOff>1915053</xdr:colOff>
      <xdr:row>79</xdr:row>
      <xdr:rowOff>98867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2">
              <a:extLst>
                <a:ext uri="{FF2B5EF4-FFF2-40B4-BE49-F238E27FC236}">
                  <a16:creationId xmlns:a16="http://schemas.microsoft.com/office/drawing/2014/main" id="{3B994E7B-C576-4A40-97AB-229E0BFB9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3" y="12345419"/>
              <a:ext cx="1828800" cy="2455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86958</xdr:colOff>
      <xdr:row>1</xdr:row>
      <xdr:rowOff>47065</xdr:rowOff>
    </xdr:from>
    <xdr:to>
      <xdr:col>0</xdr:col>
      <xdr:colOff>1915758</xdr:colOff>
      <xdr:row>8</xdr:row>
      <xdr:rowOff>89648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brança 2">
              <a:extLst>
                <a:ext uri="{FF2B5EF4-FFF2-40B4-BE49-F238E27FC236}">
                  <a16:creationId xmlns:a16="http://schemas.microsoft.com/office/drawing/2014/main" id="{B53CF562-6265-CC54-A957-6D77DBFE01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58" y="396689"/>
              <a:ext cx="1828800" cy="1665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59168</xdr:colOff>
      <xdr:row>2</xdr:row>
      <xdr:rowOff>281492</xdr:rowOff>
    </xdr:from>
    <xdr:to>
      <xdr:col>83</xdr:col>
      <xdr:colOff>171227</xdr:colOff>
      <xdr:row>16</xdr:row>
      <xdr:rowOff>52892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250B5F-6003-4980-8701-C994049C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139534</xdr:colOff>
      <xdr:row>31</xdr:row>
      <xdr:rowOff>180406</xdr:rowOff>
    </xdr:from>
    <xdr:to>
      <xdr:col>0</xdr:col>
      <xdr:colOff>1968334</xdr:colOff>
      <xdr:row>38</xdr:row>
      <xdr:rowOff>147453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7">
              <a:extLst>
                <a:ext uri="{FF2B5EF4-FFF2-40B4-BE49-F238E27FC236}">
                  <a16:creationId xmlns:a16="http://schemas.microsoft.com/office/drawing/2014/main" id="{93EABF17-3D62-4EA5-A386-3FA51881B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34" y="6439692"/>
              <a:ext cx="1828800" cy="1262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167244</xdr:colOff>
      <xdr:row>24</xdr:row>
      <xdr:rowOff>168630</xdr:rowOff>
    </xdr:from>
    <xdr:to>
      <xdr:col>0</xdr:col>
      <xdr:colOff>1996044</xdr:colOff>
      <xdr:row>31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 7">
              <a:extLst>
                <a:ext uri="{FF2B5EF4-FFF2-40B4-BE49-F238E27FC236}">
                  <a16:creationId xmlns:a16="http://schemas.microsoft.com/office/drawing/2014/main" id="{84FF7F26-8DE0-42DA-949C-1B28D63BE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244" y="5132516"/>
              <a:ext cx="1828800" cy="1230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99059</xdr:colOff>
      <xdr:row>39</xdr:row>
      <xdr:rowOff>39092</xdr:rowOff>
    </xdr:from>
    <xdr:to>
      <xdr:col>0</xdr:col>
      <xdr:colOff>1927859</xdr:colOff>
      <xdr:row>52</xdr:row>
      <xdr:rowOff>79170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MPRESA 7">
              <a:extLst>
                <a:ext uri="{FF2B5EF4-FFF2-40B4-BE49-F238E27FC236}">
                  <a16:creationId xmlns:a16="http://schemas.microsoft.com/office/drawing/2014/main" id="{F1B955CB-D8B6-4235-9279-B740854F5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59" y="7778835"/>
              <a:ext cx="1828800" cy="2445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142305</xdr:colOff>
      <xdr:row>16</xdr:row>
      <xdr:rowOff>166453</xdr:rowOff>
    </xdr:from>
    <xdr:to>
      <xdr:col>0</xdr:col>
      <xdr:colOff>1971105</xdr:colOff>
      <xdr:row>24</xdr:row>
      <xdr:rowOff>106878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EMISSOR 4">
              <a:extLst>
                <a:ext uri="{FF2B5EF4-FFF2-40B4-BE49-F238E27FC236}">
                  <a16:creationId xmlns:a16="http://schemas.microsoft.com/office/drawing/2014/main" id="{2924E0F1-D414-49E0-839A-74707DA29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05" y="3649882"/>
              <a:ext cx="1828800" cy="1420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123602</xdr:colOff>
      <xdr:row>9</xdr:row>
      <xdr:rowOff>133895</xdr:rowOff>
    </xdr:from>
    <xdr:to>
      <xdr:col>0</xdr:col>
      <xdr:colOff>1952402</xdr:colOff>
      <xdr:row>16</xdr:row>
      <xdr:rowOff>79170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EMISSOR 4">
              <a:extLst>
                <a:ext uri="{FF2B5EF4-FFF2-40B4-BE49-F238E27FC236}">
                  <a16:creationId xmlns:a16="http://schemas.microsoft.com/office/drawing/2014/main" id="{CCFB4D93-82D3-4993-AD89-820F6D447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02" y="2321924"/>
              <a:ext cx="1828800" cy="124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104899</xdr:colOff>
      <xdr:row>52</xdr:row>
      <xdr:rowOff>156754</xdr:rowOff>
    </xdr:from>
    <xdr:to>
      <xdr:col>0</xdr:col>
      <xdr:colOff>1933699</xdr:colOff>
      <xdr:row>66</xdr:row>
      <xdr:rowOff>102201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ES 4">
              <a:extLst>
                <a:ext uri="{FF2B5EF4-FFF2-40B4-BE49-F238E27FC236}">
                  <a16:creationId xmlns:a16="http://schemas.microsoft.com/office/drawing/2014/main" id="{A97FEED0-25E0-4CF7-9BDF-746391646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99" y="10302240"/>
              <a:ext cx="1828800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141614</xdr:colOff>
      <xdr:row>66</xdr:row>
      <xdr:rowOff>138051</xdr:rowOff>
    </xdr:from>
    <xdr:to>
      <xdr:col>0</xdr:col>
      <xdr:colOff>1970414</xdr:colOff>
      <xdr:row>80</xdr:row>
      <xdr:rowOff>83499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RTEIRA 4">
              <a:extLst>
                <a:ext uri="{FF2B5EF4-FFF2-40B4-BE49-F238E27FC236}">
                  <a16:creationId xmlns:a16="http://schemas.microsoft.com/office/drawing/2014/main" id="{AA8E2940-E324-4B5C-B64A-3AA660C77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14" y="12874337"/>
              <a:ext cx="1828800" cy="2536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117566</xdr:colOff>
      <xdr:row>1</xdr:row>
      <xdr:rowOff>80553</xdr:rowOff>
    </xdr:from>
    <xdr:to>
      <xdr:col>0</xdr:col>
      <xdr:colOff>1946366</xdr:colOff>
      <xdr:row>9</xdr:row>
      <xdr:rowOff>32656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brança 4">
              <a:extLst>
                <a:ext uri="{FF2B5EF4-FFF2-40B4-BE49-F238E27FC236}">
                  <a16:creationId xmlns:a16="http://schemas.microsoft.com/office/drawing/2014/main" id="{C79CED98-1F3D-4AE0-B3FC-E5F1AE4C1A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66" y="428896"/>
              <a:ext cx="1828800" cy="1791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41</xdr:row>
      <xdr:rowOff>73660</xdr:rowOff>
    </xdr:from>
    <xdr:to>
      <xdr:col>9</xdr:col>
      <xdr:colOff>388620</xdr:colOff>
      <xdr:row>61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AA6B81-5196-4B16-A725-AB70B63BC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101600</xdr:colOff>
      <xdr:row>61</xdr:row>
      <xdr:rowOff>35560</xdr:rowOff>
    </xdr:from>
    <xdr:to>
      <xdr:col>9</xdr:col>
      <xdr:colOff>419100</xdr:colOff>
      <xdr:row>79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807A25-116C-45FD-B7A1-547CE02C0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</xdr:colOff>
      <xdr:row>80</xdr:row>
      <xdr:rowOff>119380</xdr:rowOff>
    </xdr:from>
    <xdr:to>
      <xdr:col>9</xdr:col>
      <xdr:colOff>403860</xdr:colOff>
      <xdr:row>98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0C56D7-3CE8-4B07-B7D4-8E2FB2A8F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114300</xdr:colOff>
      <xdr:row>119</xdr:row>
      <xdr:rowOff>63500</xdr:rowOff>
    </xdr:from>
    <xdr:to>
      <xdr:col>17</xdr:col>
      <xdr:colOff>546100</xdr:colOff>
      <xdr:row>140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D98D78-35F8-4A16-925A-27007F609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119380</xdr:colOff>
      <xdr:row>99</xdr:row>
      <xdr:rowOff>17780</xdr:rowOff>
    </xdr:from>
    <xdr:to>
      <xdr:col>9</xdr:col>
      <xdr:colOff>406400</xdr:colOff>
      <xdr:row>118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F5313D-DD24-4BD8-91C9-534D849D3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236</xdr:row>
      <xdr:rowOff>137885</xdr:rowOff>
    </xdr:from>
    <xdr:to>
      <xdr:col>17</xdr:col>
      <xdr:colOff>495300</xdr:colOff>
      <xdr:row>274</xdr:row>
      <xdr:rowOff>30843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4EBFC8D-C64E-4B9D-A5B3-3FDDC559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94342</xdr:colOff>
      <xdr:row>141</xdr:row>
      <xdr:rowOff>11612</xdr:rowOff>
    </xdr:from>
    <xdr:to>
      <xdr:col>9</xdr:col>
      <xdr:colOff>406400</xdr:colOff>
      <xdr:row>157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20D46F4-A4F6-43A4-9F64-4882069A7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76200</xdr:colOff>
      <xdr:row>158</xdr:row>
      <xdr:rowOff>364</xdr:rowOff>
    </xdr:from>
    <xdr:to>
      <xdr:col>9</xdr:col>
      <xdr:colOff>381000</xdr:colOff>
      <xdr:row>178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8B13C9-449B-492A-AF8D-65CDE2FAA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366181</xdr:colOff>
      <xdr:row>12</xdr:row>
      <xdr:rowOff>152400</xdr:rowOff>
    </xdr:from>
    <xdr:to>
      <xdr:col>21</xdr:col>
      <xdr:colOff>337381</xdr:colOff>
      <xdr:row>23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ÊS EMISSOR">
              <a:extLst>
                <a:ext uri="{FF2B5EF4-FFF2-40B4-BE49-F238E27FC236}">
                  <a16:creationId xmlns:a16="http://schemas.microsoft.com/office/drawing/2014/main" id="{1C9E0853-5969-972E-AAF7-509D941DD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2636" y="2326341"/>
              <a:ext cx="1788458" cy="1950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342900</xdr:colOff>
      <xdr:row>2</xdr:row>
      <xdr:rowOff>101600</xdr:rowOff>
    </xdr:from>
    <xdr:to>
      <xdr:col>21</xdr:col>
      <xdr:colOff>314100</xdr:colOff>
      <xdr:row>12</xdr:row>
      <xdr:rowOff>123600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NO EMISSOR">
              <a:extLst>
                <a:ext uri="{FF2B5EF4-FFF2-40B4-BE49-F238E27FC236}">
                  <a16:creationId xmlns:a16="http://schemas.microsoft.com/office/drawing/2014/main" id="{E3E2DCBF-68AB-02F7-04F6-3ABA6D86A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165" y="478790"/>
              <a:ext cx="1788458" cy="1820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82126</xdr:colOff>
      <xdr:row>13</xdr:row>
      <xdr:rowOff>139699</xdr:rowOff>
    </xdr:from>
    <xdr:to>
      <xdr:col>34</xdr:col>
      <xdr:colOff>53326</xdr:colOff>
      <xdr:row>23</xdr:row>
      <xdr:rowOff>161700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VENDEDORES">
              <a:extLst>
                <a:ext uri="{FF2B5EF4-FFF2-40B4-BE49-F238E27FC236}">
                  <a16:creationId xmlns:a16="http://schemas.microsoft.com/office/drawing/2014/main" id="{17443D51-6824-9AAE-7209-1A6CD55092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60825" y="2489124"/>
              <a:ext cx="1788458" cy="1820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444500</xdr:colOff>
      <xdr:row>41</xdr:row>
      <xdr:rowOff>76200</xdr:rowOff>
    </xdr:from>
    <xdr:to>
      <xdr:col>17</xdr:col>
      <xdr:colOff>508000</xdr:colOff>
      <xdr:row>61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1B963B4-09B0-4837-B492-04F70B2A4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457200</xdr:colOff>
      <xdr:row>61</xdr:row>
      <xdr:rowOff>50800</xdr:rowOff>
    </xdr:from>
    <xdr:to>
      <xdr:col>17</xdr:col>
      <xdr:colOff>495300</xdr:colOff>
      <xdr:row>79</xdr:row>
      <xdr:rowOff>127000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C57DD3D-615D-4B4D-9206-1020F9F3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457200</xdr:colOff>
      <xdr:row>80</xdr:row>
      <xdr:rowOff>88900</xdr:rowOff>
    </xdr:from>
    <xdr:to>
      <xdr:col>17</xdr:col>
      <xdr:colOff>508000</xdr:colOff>
      <xdr:row>98</xdr:row>
      <xdr:rowOff>88900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F6A63CF-6F60-4593-AED8-5B0958B85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457200</xdr:colOff>
      <xdr:row>99</xdr:row>
      <xdr:rowOff>25400</xdr:rowOff>
    </xdr:from>
    <xdr:to>
      <xdr:col>17</xdr:col>
      <xdr:colOff>533400</xdr:colOff>
      <xdr:row>118</xdr:row>
      <xdr:rowOff>101600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1A23E1E-AE47-4FFB-A41D-0C1B742D1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444500</xdr:colOff>
      <xdr:row>141</xdr:row>
      <xdr:rowOff>0</xdr:rowOff>
    </xdr:from>
    <xdr:to>
      <xdr:col>17</xdr:col>
      <xdr:colOff>533400</xdr:colOff>
      <xdr:row>157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5C641A0-7162-4AD5-AABE-3EB5BC07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444500</xdr:colOff>
      <xdr:row>158</xdr:row>
      <xdr:rowOff>0</xdr:rowOff>
    </xdr:from>
    <xdr:to>
      <xdr:col>17</xdr:col>
      <xdr:colOff>508000</xdr:colOff>
      <xdr:row>178</xdr:row>
      <xdr:rowOff>88900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0532627-E0B1-4239-80CE-0C8C66F4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88900</xdr:colOff>
      <xdr:row>178</xdr:row>
      <xdr:rowOff>127000</xdr:rowOff>
    </xdr:from>
    <xdr:to>
      <xdr:col>9</xdr:col>
      <xdr:colOff>342900</xdr:colOff>
      <xdr:row>196</xdr:row>
      <xdr:rowOff>114300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37C892D-F5D9-494A-983E-5BC1CB83A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431800</xdr:colOff>
      <xdr:row>178</xdr:row>
      <xdr:rowOff>165100</xdr:rowOff>
    </xdr:from>
    <xdr:to>
      <xdr:col>17</xdr:col>
      <xdr:colOff>495300</xdr:colOff>
      <xdr:row>196</xdr:row>
      <xdr:rowOff>114300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CE7FB99-B5D1-4F33-AF49-DEFAFDE63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31</xdr:col>
      <xdr:colOff>57149</xdr:colOff>
      <xdr:row>2</xdr:row>
      <xdr:rowOff>152400</xdr:rowOff>
    </xdr:from>
    <xdr:to>
      <xdr:col>34</xdr:col>
      <xdr:colOff>28349</xdr:colOff>
      <xdr:row>12</xdr:row>
      <xdr:rowOff>174400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CARTEIRA">
              <a:extLst>
                <a:ext uri="{FF2B5EF4-FFF2-40B4-BE49-F238E27FC236}">
                  <a16:creationId xmlns:a16="http://schemas.microsoft.com/office/drawing/2014/main" id="{968FE415-803F-2790-E3DC-BD2FEF3A2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37753" y="533400"/>
              <a:ext cx="1780838" cy="18111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113446</xdr:colOff>
      <xdr:row>2</xdr:row>
      <xdr:rowOff>114300</xdr:rowOff>
    </xdr:from>
    <xdr:to>
      <xdr:col>9</xdr:col>
      <xdr:colOff>368300</xdr:colOff>
      <xdr:row>22</xdr:row>
      <xdr:rowOff>12700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9E6BAD6-CCBB-4A67-ACFA-05B1114FE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431800</xdr:colOff>
      <xdr:row>2</xdr:row>
      <xdr:rowOff>101600</xdr:rowOff>
    </xdr:from>
    <xdr:to>
      <xdr:col>17</xdr:col>
      <xdr:colOff>482600</xdr:colOff>
      <xdr:row>22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4B5ED47-7F0B-4FF0-B885-AC5FF7A02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88900</xdr:colOff>
      <xdr:row>22</xdr:row>
      <xdr:rowOff>38100</xdr:rowOff>
    </xdr:from>
    <xdr:to>
      <xdr:col>9</xdr:col>
      <xdr:colOff>406400</xdr:colOff>
      <xdr:row>40</xdr:row>
      <xdr:rowOff>114300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F2EC40D-E35D-4E5D-9C26-05B41323E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444500</xdr:colOff>
      <xdr:row>22</xdr:row>
      <xdr:rowOff>50800</xdr:rowOff>
    </xdr:from>
    <xdr:to>
      <xdr:col>17</xdr:col>
      <xdr:colOff>533400</xdr:colOff>
      <xdr:row>40</xdr:row>
      <xdr:rowOff>127000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8A43AAB-B72B-4E21-87F3-7F69DE647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21</xdr:col>
      <xdr:colOff>486832</xdr:colOff>
      <xdr:row>2</xdr:row>
      <xdr:rowOff>127000</xdr:rowOff>
    </xdr:from>
    <xdr:to>
      <xdr:col>24</xdr:col>
      <xdr:colOff>458032</xdr:colOff>
      <xdr:row>12</xdr:row>
      <xdr:rowOff>149000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UNIDADE">
              <a:extLst>
                <a:ext uri="{FF2B5EF4-FFF2-40B4-BE49-F238E27FC236}">
                  <a16:creationId xmlns:a16="http://schemas.microsoft.com/office/drawing/2014/main" id="{4B34DA67-4598-C364-B319-81C7FB4082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0545" y="511810"/>
              <a:ext cx="1788458" cy="18111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494875</xdr:colOff>
      <xdr:row>13</xdr:row>
      <xdr:rowOff>76200</xdr:rowOff>
    </xdr:from>
    <xdr:to>
      <xdr:col>24</xdr:col>
      <xdr:colOff>466075</xdr:colOff>
      <xdr:row>23</xdr:row>
      <xdr:rowOff>98201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GRUPO">
              <a:extLst>
                <a:ext uri="{FF2B5EF4-FFF2-40B4-BE49-F238E27FC236}">
                  <a16:creationId xmlns:a16="http://schemas.microsoft.com/office/drawing/2014/main" id="{F0308AC2-F38A-DD5C-93C6-2703F810A9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20493" y="2429435"/>
              <a:ext cx="1788458" cy="1811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492760</xdr:colOff>
      <xdr:row>24</xdr:row>
      <xdr:rowOff>25400</xdr:rowOff>
    </xdr:from>
    <xdr:to>
      <xdr:col>24</xdr:col>
      <xdr:colOff>463960</xdr:colOff>
      <xdr:row>34</xdr:row>
      <xdr:rowOff>47399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EMPRESA">
              <a:extLst>
                <a:ext uri="{FF2B5EF4-FFF2-40B4-BE49-F238E27FC236}">
                  <a16:creationId xmlns:a16="http://schemas.microsoft.com/office/drawing/2014/main" id="{0DE8D3B2-B6AB-A5BE-00AC-C04435F026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8378" y="4347061"/>
              <a:ext cx="1788458" cy="182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543560</xdr:colOff>
      <xdr:row>2</xdr:row>
      <xdr:rowOff>162560</xdr:rowOff>
    </xdr:from>
    <xdr:to>
      <xdr:col>30</xdr:col>
      <xdr:colOff>584200</xdr:colOff>
      <xdr:row>34</xdr:row>
      <xdr:rowOff>57149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tatus de Cobrança">
              <a:extLst>
                <a:ext uri="{FF2B5EF4-FFF2-40B4-BE49-F238E27FC236}">
                  <a16:creationId xmlns:a16="http://schemas.microsoft.com/office/drawing/2014/main" id="{66D57F3A-8EC9-C51C-8A9B-944E8F9F6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e Cobranç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86436" y="545465"/>
              <a:ext cx="3673250" cy="5633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77470</xdr:colOff>
      <xdr:row>24</xdr:row>
      <xdr:rowOff>58421</xdr:rowOff>
    </xdr:from>
    <xdr:to>
      <xdr:col>34</xdr:col>
      <xdr:colOff>77470</xdr:colOff>
      <xdr:row>33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Status de Pagamento">
              <a:extLst>
                <a:ext uri="{FF2B5EF4-FFF2-40B4-BE49-F238E27FC236}">
                  <a16:creationId xmlns:a16="http://schemas.microsoft.com/office/drawing/2014/main" id="{A9AA2597-3E95-25D2-4CAA-A499E9CD4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e 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54264" y="4380082"/>
              <a:ext cx="1815353" cy="1673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98610</xdr:colOff>
      <xdr:row>197</xdr:row>
      <xdr:rowOff>35857</xdr:rowOff>
    </xdr:from>
    <xdr:to>
      <xdr:col>10</xdr:col>
      <xdr:colOff>510987</xdr:colOff>
      <xdr:row>217</xdr:row>
      <xdr:rowOff>44822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E9F9113D-3966-4F92-83B9-A21A47ABE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107576</xdr:colOff>
      <xdr:row>217</xdr:row>
      <xdr:rowOff>89646</xdr:rowOff>
    </xdr:from>
    <xdr:to>
      <xdr:col>10</xdr:col>
      <xdr:colOff>493059</xdr:colOff>
      <xdr:row>235</xdr:row>
      <xdr:rowOff>53788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D919B9C-771C-41D5-8F4A-3EF996BCB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528918</xdr:colOff>
      <xdr:row>217</xdr:row>
      <xdr:rowOff>80680</xdr:rowOff>
    </xdr:from>
    <xdr:to>
      <xdr:col>17</xdr:col>
      <xdr:colOff>582706</xdr:colOff>
      <xdr:row>235</xdr:row>
      <xdr:rowOff>125505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7631E8BB-A574-41A4-8603-3C16B7A08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573741</xdr:colOff>
      <xdr:row>197</xdr:row>
      <xdr:rowOff>35858</xdr:rowOff>
    </xdr:from>
    <xdr:to>
      <xdr:col>17</xdr:col>
      <xdr:colOff>546847</xdr:colOff>
      <xdr:row>217</xdr:row>
      <xdr:rowOff>53788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520FD5F4-98F6-4370-BA5F-8A74712B1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18</xdr:col>
      <xdr:colOff>340822</xdr:colOff>
      <xdr:row>24</xdr:row>
      <xdr:rowOff>36715</xdr:rowOff>
    </xdr:from>
    <xdr:to>
      <xdr:col>21</xdr:col>
      <xdr:colOff>340822</xdr:colOff>
      <xdr:row>34</xdr:row>
      <xdr:rowOff>27710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Cobrança">
              <a:extLst>
                <a:ext uri="{FF2B5EF4-FFF2-40B4-BE49-F238E27FC236}">
                  <a16:creationId xmlns:a16="http://schemas.microsoft.com/office/drawing/2014/main" id="{51A4EBCE-830A-8B55-D00C-09ADDC970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9528" y="4357703"/>
              <a:ext cx="1828800" cy="1783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52763</xdr:rowOff>
    </xdr:from>
    <xdr:to>
      <xdr:col>8</xdr:col>
      <xdr:colOff>294450</xdr:colOff>
      <xdr:row>31</xdr:row>
      <xdr:rowOff>22763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B3CD96-EDA1-4424-BEBD-8BE869B5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335059</xdr:colOff>
      <xdr:row>10</xdr:row>
      <xdr:rowOff>52763</xdr:rowOff>
    </xdr:from>
    <xdr:to>
      <xdr:col>16</xdr:col>
      <xdr:colOff>534259</xdr:colOff>
      <xdr:row>31</xdr:row>
      <xdr:rowOff>22763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081EB2-EBB4-4AEE-B968-89CCCFF92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5492</xdr:colOff>
      <xdr:row>10</xdr:row>
      <xdr:rowOff>52763</xdr:rowOff>
    </xdr:from>
    <xdr:to>
      <xdr:col>25</xdr:col>
      <xdr:colOff>204692</xdr:colOff>
      <xdr:row>31</xdr:row>
      <xdr:rowOff>22763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42DC67-1332-432B-BDC0-ADDFFDEAE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285525</xdr:colOff>
      <xdr:row>10</xdr:row>
      <xdr:rowOff>52763</xdr:rowOff>
    </xdr:from>
    <xdr:to>
      <xdr:col>33</xdr:col>
      <xdr:colOff>484725</xdr:colOff>
      <xdr:row>31</xdr:row>
      <xdr:rowOff>22763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8072AC-374F-4B7C-AB35-FF70F08E2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565558</xdr:colOff>
      <xdr:row>10</xdr:row>
      <xdr:rowOff>52763</xdr:rowOff>
    </xdr:from>
    <xdr:to>
      <xdr:col>42</xdr:col>
      <xdr:colOff>155158</xdr:colOff>
      <xdr:row>31</xdr:row>
      <xdr:rowOff>22763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8D15D2-F188-45AB-84B5-7FC7F872A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</xdr:colOff>
      <xdr:row>32</xdr:row>
      <xdr:rowOff>22167</xdr:rowOff>
    </xdr:from>
    <xdr:to>
      <xdr:col>8</xdr:col>
      <xdr:colOff>294450</xdr:colOff>
      <xdr:row>52</xdr:row>
      <xdr:rowOff>182667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5A686A-12F1-46DE-BB22-C211E68CB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265581</xdr:colOff>
      <xdr:row>10</xdr:row>
      <xdr:rowOff>52763</xdr:rowOff>
    </xdr:from>
    <xdr:to>
      <xdr:col>50</xdr:col>
      <xdr:colOff>464781</xdr:colOff>
      <xdr:row>31</xdr:row>
      <xdr:rowOff>22763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5BE81D-AB00-482B-897F-AB2D2D128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373156</xdr:colOff>
      <xdr:row>32</xdr:row>
      <xdr:rowOff>22167</xdr:rowOff>
    </xdr:from>
    <xdr:to>
      <xdr:col>16</xdr:col>
      <xdr:colOff>572356</xdr:colOff>
      <xdr:row>52</xdr:row>
      <xdr:rowOff>182667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163E54-BBEE-411A-9E6F-0BD759055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41462</xdr:colOff>
      <xdr:row>32</xdr:row>
      <xdr:rowOff>22167</xdr:rowOff>
    </xdr:from>
    <xdr:to>
      <xdr:col>25</xdr:col>
      <xdr:colOff>240662</xdr:colOff>
      <xdr:row>52</xdr:row>
      <xdr:rowOff>182667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98AE6E7-7598-43AD-A93D-B5BF6CAE7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597274</xdr:colOff>
      <xdr:row>32</xdr:row>
      <xdr:rowOff>22167</xdr:rowOff>
    </xdr:from>
    <xdr:to>
      <xdr:col>42</xdr:col>
      <xdr:colOff>186874</xdr:colOff>
      <xdr:row>52</xdr:row>
      <xdr:rowOff>182667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16BCCBB-3A3B-4D0D-8CFC-A28FAC6AB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319368</xdr:colOff>
      <xdr:row>32</xdr:row>
      <xdr:rowOff>22167</xdr:rowOff>
    </xdr:from>
    <xdr:to>
      <xdr:col>33</xdr:col>
      <xdr:colOff>518568</xdr:colOff>
      <xdr:row>52</xdr:row>
      <xdr:rowOff>182667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1A6E541-DF8E-45FA-821E-30FF7DF6D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265581</xdr:colOff>
      <xdr:row>32</xdr:row>
      <xdr:rowOff>22167</xdr:rowOff>
    </xdr:from>
    <xdr:to>
      <xdr:col>50</xdr:col>
      <xdr:colOff>464781</xdr:colOff>
      <xdr:row>52</xdr:row>
      <xdr:rowOff>182667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E43B2AF-C6D8-4499-9ED3-A673C526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53</xdr:row>
      <xdr:rowOff>76200</xdr:rowOff>
    </xdr:from>
    <xdr:to>
      <xdr:col>8</xdr:col>
      <xdr:colOff>294450</xdr:colOff>
      <xdr:row>74</xdr:row>
      <xdr:rowOff>46200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0029C04-474A-412D-83EE-9E8B52522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384483</xdr:colOff>
      <xdr:row>53</xdr:row>
      <xdr:rowOff>76200</xdr:rowOff>
    </xdr:from>
    <xdr:to>
      <xdr:col>16</xdr:col>
      <xdr:colOff>583683</xdr:colOff>
      <xdr:row>74</xdr:row>
      <xdr:rowOff>46200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95EB1D2-65C6-40E3-A014-D89CB857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64116</xdr:colOff>
      <xdr:row>53</xdr:row>
      <xdr:rowOff>76200</xdr:rowOff>
    </xdr:from>
    <xdr:to>
      <xdr:col>33</xdr:col>
      <xdr:colOff>495916</xdr:colOff>
      <xdr:row>74</xdr:row>
      <xdr:rowOff>46200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5DAC113-25AD-47A2-A2DF-4D9823843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585949</xdr:colOff>
      <xdr:row>53</xdr:row>
      <xdr:rowOff>76200</xdr:rowOff>
    </xdr:from>
    <xdr:to>
      <xdr:col>42</xdr:col>
      <xdr:colOff>175549</xdr:colOff>
      <xdr:row>74</xdr:row>
      <xdr:rowOff>46200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51D0157-AFE7-478D-A4E7-1B6DAD8FC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76200</xdr:colOff>
      <xdr:row>74</xdr:row>
      <xdr:rowOff>114300</xdr:rowOff>
    </xdr:from>
    <xdr:to>
      <xdr:col>8</xdr:col>
      <xdr:colOff>275400</xdr:colOff>
      <xdr:row>95</xdr:row>
      <xdr:rowOff>84300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532A133-AB3F-4259-A98B-99ABF41AA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42</xdr:col>
      <xdr:colOff>265581</xdr:colOff>
      <xdr:row>53</xdr:row>
      <xdr:rowOff>57150</xdr:rowOff>
    </xdr:from>
    <xdr:to>
      <xdr:col>50</xdr:col>
      <xdr:colOff>464781</xdr:colOff>
      <xdr:row>74</xdr:row>
      <xdr:rowOff>27150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2013433-364D-4506-BDFB-245CC62D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354106</xdr:colOff>
      <xdr:row>74</xdr:row>
      <xdr:rowOff>114300</xdr:rowOff>
    </xdr:from>
    <xdr:to>
      <xdr:col>16</xdr:col>
      <xdr:colOff>553306</xdr:colOff>
      <xdr:row>95</xdr:row>
      <xdr:rowOff>84300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B2F37A3-BA3F-4CC3-948C-E6B201F32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22412</xdr:colOff>
      <xdr:row>74</xdr:row>
      <xdr:rowOff>114300</xdr:rowOff>
    </xdr:from>
    <xdr:to>
      <xdr:col>25</xdr:col>
      <xdr:colOff>221612</xdr:colOff>
      <xdr:row>95</xdr:row>
      <xdr:rowOff>84300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9AA4F15-498B-454A-8BBD-7DB259F62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300318</xdr:colOff>
      <xdr:row>74</xdr:row>
      <xdr:rowOff>114300</xdr:rowOff>
    </xdr:from>
    <xdr:to>
      <xdr:col>33</xdr:col>
      <xdr:colOff>499518</xdr:colOff>
      <xdr:row>95</xdr:row>
      <xdr:rowOff>84300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FF07416-6C2F-404F-AAFE-87A0C3008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578224</xdr:colOff>
      <xdr:row>74</xdr:row>
      <xdr:rowOff>114300</xdr:rowOff>
    </xdr:from>
    <xdr:to>
      <xdr:col>42</xdr:col>
      <xdr:colOff>167824</xdr:colOff>
      <xdr:row>95</xdr:row>
      <xdr:rowOff>84300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DC42406-1E96-46D5-A540-B51D07C20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95250</xdr:colOff>
      <xdr:row>96</xdr:row>
      <xdr:rowOff>6722</xdr:rowOff>
    </xdr:from>
    <xdr:to>
      <xdr:col>8</xdr:col>
      <xdr:colOff>294450</xdr:colOff>
      <xdr:row>116</xdr:row>
      <xdr:rowOff>167222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D621D43-6593-4281-A1FE-7ED41D431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451466</xdr:colOff>
      <xdr:row>96</xdr:row>
      <xdr:rowOff>6722</xdr:rowOff>
    </xdr:from>
    <xdr:to>
      <xdr:col>17</xdr:col>
      <xdr:colOff>41066</xdr:colOff>
      <xdr:row>116</xdr:row>
      <xdr:rowOff>167222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6076E94-0811-4547-841D-2C97B0617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42</xdr:col>
      <xdr:colOff>246531</xdr:colOff>
      <xdr:row>74</xdr:row>
      <xdr:rowOff>114300</xdr:rowOff>
    </xdr:from>
    <xdr:to>
      <xdr:col>50</xdr:col>
      <xdr:colOff>445731</xdr:colOff>
      <xdr:row>95</xdr:row>
      <xdr:rowOff>84300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328BE56-0EB1-4047-834F-D7D3E2A0F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198081</xdr:colOff>
      <xdr:row>95</xdr:row>
      <xdr:rowOff>178172</xdr:rowOff>
    </xdr:from>
    <xdr:to>
      <xdr:col>50</xdr:col>
      <xdr:colOff>464781</xdr:colOff>
      <xdr:row>116</xdr:row>
      <xdr:rowOff>148172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D2185E3C-143A-4AFF-89B8-3FFB7BBEE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51</xdr:col>
      <xdr:colOff>171450</xdr:colOff>
      <xdr:row>1</xdr:row>
      <xdr:rowOff>60960</xdr:rowOff>
    </xdr:from>
    <xdr:to>
      <xdr:col>54</xdr:col>
      <xdr:colOff>171450</xdr:colOff>
      <xdr:row>9</xdr:row>
      <xdr:rowOff>20955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UNIDADE 1">
              <a:extLst>
                <a:ext uri="{FF2B5EF4-FFF2-40B4-BE49-F238E27FC236}">
                  <a16:creationId xmlns:a16="http://schemas.microsoft.com/office/drawing/2014/main" id="{75684F4B-394A-D1B9-8983-CFDFB031A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61050" y="308610"/>
              <a:ext cx="1828800" cy="228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198120</xdr:colOff>
      <xdr:row>10</xdr:row>
      <xdr:rowOff>15240</xdr:rowOff>
    </xdr:from>
    <xdr:to>
      <xdr:col>54</xdr:col>
      <xdr:colOff>198120</xdr:colOff>
      <xdr:row>23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GRUPO 1">
              <a:extLst>
                <a:ext uri="{FF2B5EF4-FFF2-40B4-BE49-F238E27FC236}">
                  <a16:creationId xmlns:a16="http://schemas.microsoft.com/office/drawing/2014/main" id="{4B23A929-D526-1A0B-D2EF-2F66B8D49E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87720" y="277749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251460</xdr:colOff>
      <xdr:row>24</xdr:row>
      <xdr:rowOff>3810</xdr:rowOff>
    </xdr:from>
    <xdr:to>
      <xdr:col>54</xdr:col>
      <xdr:colOff>251460</xdr:colOff>
      <xdr:row>36</xdr:row>
      <xdr:rowOff>177165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EMPRESA 1">
              <a:extLst>
                <a:ext uri="{FF2B5EF4-FFF2-40B4-BE49-F238E27FC236}">
                  <a16:creationId xmlns:a16="http://schemas.microsoft.com/office/drawing/2014/main" id="{324FCF45-4DDA-CDB9-712F-AEA4E5462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41060" y="543306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411480</xdr:colOff>
      <xdr:row>24</xdr:row>
      <xdr:rowOff>102870</xdr:rowOff>
    </xdr:from>
    <xdr:to>
      <xdr:col>57</xdr:col>
      <xdr:colOff>411480</xdr:colOff>
      <xdr:row>37</xdr:row>
      <xdr:rowOff>93345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VENDEDORES 3">
              <a:extLst>
                <a:ext uri="{FF2B5EF4-FFF2-40B4-BE49-F238E27FC236}">
                  <a16:creationId xmlns:a16="http://schemas.microsoft.com/office/drawing/2014/main" id="{AB9B0819-91C4-5A34-FB80-28FFA4C11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29880" y="55321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346710</xdr:colOff>
      <xdr:row>10</xdr:row>
      <xdr:rowOff>125730</xdr:rowOff>
    </xdr:from>
    <xdr:to>
      <xdr:col>57</xdr:col>
      <xdr:colOff>346710</xdr:colOff>
      <xdr:row>23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CARTEIRA 3">
              <a:extLst>
                <a:ext uri="{FF2B5EF4-FFF2-40B4-BE49-F238E27FC236}">
                  <a16:creationId xmlns:a16="http://schemas.microsoft.com/office/drawing/2014/main" id="{9A038E6E-CA1D-2F7A-F2AA-D607A8496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IR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65110" y="2887980"/>
              <a:ext cx="1828800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400050</xdr:colOff>
      <xdr:row>38</xdr:row>
      <xdr:rowOff>106680</xdr:rowOff>
    </xdr:from>
    <xdr:to>
      <xdr:col>57</xdr:col>
      <xdr:colOff>400050</xdr:colOff>
      <xdr:row>51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Cobrança 1">
              <a:extLst>
                <a:ext uri="{FF2B5EF4-FFF2-40B4-BE49-F238E27FC236}">
                  <a16:creationId xmlns:a16="http://schemas.microsoft.com/office/drawing/2014/main" id="{A3B372BE-98F3-6885-8904-EA0B5B342E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18450" y="820293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51</xdr:col>
      <xdr:colOff>247650</xdr:colOff>
      <xdr:row>37</xdr:row>
      <xdr:rowOff>163830</xdr:rowOff>
    </xdr:from>
    <xdr:to>
      <xdr:col>54</xdr:col>
      <xdr:colOff>247650</xdr:colOff>
      <xdr:row>50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MÊS EMISSOR 3">
              <a:extLst>
                <a:ext uri="{FF2B5EF4-FFF2-40B4-BE49-F238E27FC236}">
                  <a16:creationId xmlns:a16="http://schemas.microsoft.com/office/drawing/2014/main" id="{948C3C99-01BF-5D9F-2333-F20493CB3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EMISSO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37250" y="8069580"/>
              <a:ext cx="1828800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308610</xdr:colOff>
      <xdr:row>1</xdr:row>
      <xdr:rowOff>95250</xdr:rowOff>
    </xdr:from>
    <xdr:to>
      <xdr:col>57</xdr:col>
      <xdr:colOff>308610</xdr:colOff>
      <xdr:row>9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ANO EMISSOR 3">
              <a:extLst>
                <a:ext uri="{FF2B5EF4-FFF2-40B4-BE49-F238E27FC236}">
                  <a16:creationId xmlns:a16="http://schemas.microsoft.com/office/drawing/2014/main" id="{BD247BFF-DF49-7AC9-9058-DEF765C6B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EMISSO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27010" y="342900"/>
              <a:ext cx="1828800" cy="228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91440</xdr:rowOff>
    </xdr:from>
    <xdr:to>
      <xdr:col>7</xdr:col>
      <xdr:colOff>518160</xdr:colOff>
      <xdr:row>28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B89D3-CB0D-10AB-C614-BBE3DEB81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91440</xdr:rowOff>
    </xdr:from>
    <xdr:to>
      <xdr:col>13</xdr:col>
      <xdr:colOff>563880</xdr:colOff>
      <xdr:row>15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0E4707-7648-C49F-752E-22361B574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106680</xdr:colOff>
      <xdr:row>1</xdr:row>
      <xdr:rowOff>7620</xdr:rowOff>
    </xdr:from>
    <xdr:to>
      <xdr:col>17</xdr:col>
      <xdr:colOff>106680</xdr:colOff>
      <xdr:row>14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brança 5">
              <a:extLst>
                <a:ext uri="{FF2B5EF4-FFF2-40B4-BE49-F238E27FC236}">
                  <a16:creationId xmlns:a16="http://schemas.microsoft.com/office/drawing/2014/main" id="{4A2CFCE3-E090-1272-75D9-FB7041971E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branç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9820" y="1905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167640</xdr:colOff>
      <xdr:row>0</xdr:row>
      <xdr:rowOff>152400</xdr:rowOff>
    </xdr:from>
    <xdr:to>
      <xdr:col>20</xdr:col>
      <xdr:colOff>167640</xdr:colOff>
      <xdr:row>14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 2">
              <a:extLst>
                <a:ext uri="{FF2B5EF4-FFF2-40B4-BE49-F238E27FC236}">
                  <a16:creationId xmlns:a16="http://schemas.microsoft.com/office/drawing/2014/main" id="{7DF7BEE2-6FD2-9811-ABAB-F109A4977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9580" y="1524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255155</xdr:colOff>
      <xdr:row>35</xdr:row>
      <xdr:rowOff>69273</xdr:rowOff>
    </xdr:from>
    <xdr:to>
      <xdr:col>4</xdr:col>
      <xdr:colOff>1141847</xdr:colOff>
      <xdr:row>50</xdr:row>
      <xdr:rowOff>124692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E35843-8C9E-4C6E-96EF-376E84652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38100</xdr:rowOff>
    </xdr:from>
    <xdr:to>
      <xdr:col>7</xdr:col>
      <xdr:colOff>198120</xdr:colOff>
      <xdr:row>20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9B116E-5CEC-D5FD-AD1D-BD5A6800C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376966</xdr:colOff>
      <xdr:row>0</xdr:row>
      <xdr:rowOff>66563</xdr:rowOff>
    </xdr:from>
    <xdr:to>
      <xdr:col>16</xdr:col>
      <xdr:colOff>88303</xdr:colOff>
      <xdr:row>24</xdr:row>
      <xdr:rowOff>74407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92748A-98F3-6DE2-1C0B-6A271DF3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124162</xdr:colOff>
      <xdr:row>8</xdr:row>
      <xdr:rowOff>89647</xdr:rowOff>
    </xdr:from>
    <xdr:to>
      <xdr:col>4</xdr:col>
      <xdr:colOff>331694</xdr:colOff>
      <xdr:row>38</xdr:row>
      <xdr:rowOff>125955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3C05ED-60A4-48A7-8FCB-EA398AF65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37</xdr:row>
      <xdr:rowOff>114300</xdr:rowOff>
    </xdr:from>
    <xdr:to>
      <xdr:col>9</xdr:col>
      <xdr:colOff>518160</xdr:colOff>
      <xdr:row>49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D8D61E-D53D-B8A7-EB51-B11E8F581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</xdr:colOff>
      <xdr:row>34</xdr:row>
      <xdr:rowOff>179070</xdr:rowOff>
    </xdr:from>
    <xdr:to>
      <xdr:col>16</xdr:col>
      <xdr:colOff>335280</xdr:colOff>
      <xdr:row>49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20829D-B764-7E7A-4E6D-A50026038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548640</xdr:colOff>
      <xdr:row>2</xdr:row>
      <xdr:rowOff>99060</xdr:rowOff>
    </xdr:from>
    <xdr:to>
      <xdr:col>5</xdr:col>
      <xdr:colOff>83820</xdr:colOff>
      <xdr:row>4</xdr:row>
      <xdr:rowOff>129540</xdr:rowOff>
    </xdr:to>
    <xdr:sp macro="" textlink="'Relátório de cobrança'!H37">
      <xdr:nvSpPr>
        <xdr:cNvPr id="10" name="CaixaDeTexto 9">
          <a:extLst>
            <a:ext uri="{FF2B5EF4-FFF2-40B4-BE49-F238E27FC236}">
              <a16:creationId xmlns:a16="http://schemas.microsoft.com/office/drawing/2014/main" id="{190900A2-3B75-452B-93D0-FD2F16D30BF2}"/>
            </a:ext>
          </a:extLst>
        </xdr:cNvPr>
        <xdr:cNvSpPr txBox="1"/>
      </xdr:nvSpPr>
      <xdr:spPr>
        <a:xfrm>
          <a:off x="1158240" y="281940"/>
          <a:ext cx="271272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2D8817-BCED-4544-991A-799B84932EA2}" type="TxLink">
            <a:rPr lang="en-US" sz="16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 R$ 3.350.000.000,00 </a:t>
          </a:fld>
          <a:endParaRPr lang="pt-BR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582705</xdr:colOff>
      <xdr:row>5</xdr:row>
      <xdr:rowOff>313764</xdr:rowOff>
    </xdr:from>
    <xdr:to>
      <xdr:col>3</xdr:col>
      <xdr:colOff>2517737</xdr:colOff>
      <xdr:row>7</xdr:row>
      <xdr:rowOff>134470</xdr:rowOff>
    </xdr:to>
    <xdr:sp macro="" textlink="'Relátório de cobrança'!I40">
      <xdr:nvSpPr>
        <xdr:cNvPr id="14" name="CaixaDeTexto 13">
          <a:extLst>
            <a:ext uri="{FF2B5EF4-FFF2-40B4-BE49-F238E27FC236}">
              <a16:creationId xmlns:a16="http://schemas.microsoft.com/office/drawing/2014/main" id="{EF177FFB-57B3-42CB-AC22-C3B981C3D7EF}"/>
            </a:ext>
          </a:extLst>
        </xdr:cNvPr>
        <xdr:cNvSpPr txBox="1"/>
      </xdr:nvSpPr>
      <xdr:spPr>
        <a:xfrm>
          <a:off x="1801905" y="1362635"/>
          <a:ext cx="2544632" cy="3316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723A3ED-E79C-4D57-B982-5BDCA9A038BF}" type="TxLink">
            <a:rPr lang="en-US" sz="1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8%</a:t>
          </a:fld>
          <a:endParaRPr lang="pt-BR" sz="1800" b="1">
            <a:solidFill>
              <a:srgbClr val="FF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76.897811226852" createdVersion="8" refreshedVersion="8" minRefreshableVersion="3" recordCount="238" xr:uid="{BFFCA8CA-48E7-4889-B669-29DECA072981}">
  <cacheSource type="worksheet">
    <worksheetSource name="Tabela1"/>
  </cacheSource>
  <cacheFields count="41">
    <cacheField name="DOC./NF" numFmtId="0">
      <sharedItems containsSemiMixedTypes="0" containsString="0" containsNumber="1" containsInteger="1" minValue="0" maxValue="72" count="73">
        <n v="52"/>
        <n v="33"/>
        <n v="34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0"/>
        <n v="22"/>
        <n v="23"/>
        <n v="24"/>
        <n v="25"/>
        <n v="26"/>
        <n v="27"/>
        <n v="28"/>
        <n v="29"/>
        <n v="30"/>
        <n v="31"/>
        <n v="32"/>
        <n v="35"/>
        <n v="36"/>
        <n v="37"/>
        <n v="38"/>
        <n v="39"/>
        <n v="40"/>
        <n v="41"/>
        <n v="43"/>
        <n v="44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51"/>
        <n v="45"/>
        <n v="46"/>
        <n v="47"/>
        <n v="48"/>
        <n v="49"/>
        <n v="50"/>
        <n v="42"/>
        <n v="0"/>
      </sharedItems>
    </cacheField>
    <cacheField name="UNIDADE" numFmtId="0">
      <sharedItems containsMixedTypes="1" containsNumber="1" containsInteger="1" minValue="0" maxValue="0" count="3">
        <s v="Filial"/>
        <s v="Matriz"/>
        <n v="0"/>
      </sharedItems>
    </cacheField>
    <cacheField name="GRUPO" numFmtId="0">
      <sharedItems containsMixedTypes="1" containsNumber="1" containsInteger="1" minValue="0" maxValue="0" count="3">
        <n v="0"/>
        <s v="Gamma &amp; CIA"/>
        <s v="Alpha &amp; CIA"/>
      </sharedItems>
    </cacheField>
    <cacheField name="EMPRESA" numFmtId="0">
      <sharedItems containsMixedTypes="1" containsNumber="1" containsInteger="1" minValue="0" maxValue="0" count="13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n v="0"/>
      </sharedItems>
    </cacheField>
    <cacheField name="DATA DE EMISSÃO" numFmtId="15">
      <sharedItems containsSemiMixedTypes="0" containsNonDate="0" containsDate="1" containsString="0" minDate="1899-12-30T00:00:00" maxDate="2025-03-23T00:00:00"/>
    </cacheField>
    <cacheField name="MÊS EMISSOR" numFmtId="15">
      <sharedItems count="6">
        <s v="jan-24"/>
        <s v="fev-24"/>
        <s v="jan-25"/>
        <s v="fev-25"/>
        <s v="mar-25"/>
        <s v="jan-00"/>
      </sharedItems>
    </cacheField>
    <cacheField name="ANO EMISSOR" numFmtId="15">
      <sharedItems count="3">
        <s v="2024"/>
        <s v="2025"/>
        <s v="1900"/>
      </sharedItems>
    </cacheField>
    <cacheField name="VENCIMENTO ORIGINAL" numFmtId="15">
      <sharedItems containsDate="1" containsMixedTypes="1" minDate="1899-12-30T00:00:00" maxDate="2025-03-29T00:00:00"/>
    </cacheField>
    <cacheField name="MÊS VENCIMENTO ORIGINAL" numFmtId="15">
      <sharedItems count="6">
        <s v="jan-24"/>
        <s v=" "/>
        <s v="fev-25"/>
        <s v="mar-25"/>
        <s v="jan-25"/>
        <s v="jan-00"/>
      </sharedItems>
    </cacheField>
    <cacheField name="ANO VENCIMENTO ORIGINAL" numFmtId="15">
      <sharedItems/>
    </cacheField>
    <cacheField name="VENCIMENTO ATUAL" numFmtId="15">
      <sharedItems containsSemiMixedTypes="0" containsNonDate="0" containsDate="1" containsString="0" minDate="1899-12-30T00:00:00" maxDate="2025-03-29T00:00:00" count="22">
        <d v="2024-01-23T00:00:00"/>
        <d v="2024-02-17T00:00:00"/>
        <d v="2025-03-21T00:00:00"/>
        <d v="2025-02-13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3-13T00:00:00"/>
        <d v="2025-03-20T00:00:00"/>
        <d v="2025-01-21T00:00:00"/>
        <d v="2025-03-22T00:00:00"/>
        <d v="2025-03-23T00:00:00"/>
        <d v="2025-03-24T00:00:00"/>
        <d v="2025-03-25T00:00:00"/>
        <d v="2025-03-26T00:00:00"/>
        <d v="2025-03-28T00:00:00"/>
        <d v="1899-12-30T00:00:00"/>
      </sharedItems>
      <fieldGroup par="40" base="10">
        <rangePr groupBy="months" startDate="1899-12-30T00:00:00" endDate="2025-03-29T00:00:00"/>
        <groupItems count="14">
          <s v="&lt;00/01/190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3/2025"/>
        </groupItems>
      </fieldGroup>
    </cacheField>
    <cacheField name="MÊS ATUAL" numFmtId="15">
      <sharedItems count="6">
        <s v="jan-24"/>
        <s v="fev-24"/>
        <s v="mar-25"/>
        <s v="fev-25"/>
        <s v="jan-25"/>
        <s v="jan-00"/>
      </sharedItems>
    </cacheField>
    <cacheField name="ANO ATUAL" numFmtId="15">
      <sharedItems/>
    </cacheField>
    <cacheField name="VALOR ORIGINAL" numFmtId="8">
      <sharedItems containsSemiMixedTypes="0" containsString="0" containsNumber="1" containsInteger="1" minValue="0" maxValue="3200"/>
    </cacheField>
    <cacheField name="VENDEDORES" numFmtId="0">
      <sharedItems containsMixedTypes="1" containsNumber="1" containsInteger="1" minValue="0" maxValue="0" count="21">
        <s v="Felipe"/>
        <s v="Luana"/>
        <s v="João"/>
        <s v="Maria"/>
        <s v="Carlos"/>
        <s v="Ana"/>
        <s v="Beatriz"/>
        <s v="Lucas"/>
        <s v="Carla"/>
        <s v="Roberto"/>
        <s v="Juliana"/>
        <s v="Gustavo"/>
        <s v="Fernanda"/>
        <s v="Camila"/>
        <s v="Patrícia"/>
        <s v="Tiago"/>
        <s v="André"/>
        <s v="Pedro"/>
        <s v="Sabrina"/>
        <s v="Marcos"/>
        <n v="0"/>
      </sharedItems>
    </cacheField>
    <cacheField name="CARTEIRA" numFmtId="0">
      <sharedItems containsMixedTypes="1" containsNumber="1" containsInteger="1" minValue="0" maxValue="0" count="4">
        <s v="ANALISTA LUCAS"/>
        <s v="ANALISTA GUSTAVO"/>
        <s v="ANALISTA SIMONE"/>
        <n v="0"/>
      </sharedItems>
    </cacheField>
    <cacheField name="PAGO" numFmtId="0">
      <sharedItems containsMixedTypes="1" containsNumber="1" containsInteger="1" minValue="0" maxValue="0"/>
    </cacheField>
    <cacheField name="Status de Cobrança" numFmtId="0">
      <sharedItems containsMixedTypes="1" containsNumber="1" containsInteger="1" minValue="0" maxValue="0" count="21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n v="0"/>
      </sharedItems>
    </cacheField>
    <cacheField name="Status de Pagamento" numFmtId="0">
      <sharedItems containsMixedTypes="1" containsNumber="1" containsInteger="1" minValue="0" maxValue="0" count="4">
        <s v="Vencido"/>
        <s v="A Vencer"/>
        <s v="Quitado"/>
        <n v="0"/>
      </sharedItems>
    </cacheField>
    <cacheField name="Dias em Atraso" numFmtId="0">
      <sharedItems containsMixedTypes="1" containsNumber="1" containsInteger="1" minValue="0" maxValue="463" count="51">
        <n v="463"/>
        <s v=""/>
        <n v="87"/>
        <n v="86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47"/>
        <n v="40"/>
        <n v="0"/>
        <n v="39"/>
        <n v="98"/>
        <n v="38"/>
        <n v="37"/>
        <n v="36"/>
        <n v="35"/>
        <n v="34"/>
        <n v="32"/>
        <n v="57" u="1"/>
        <n v="59" u="1"/>
        <n v="79" u="1"/>
        <n v="455" u="1"/>
        <n v="90" u="1"/>
        <n v="54" u="1"/>
        <n v="56" u="1"/>
        <n v="58" u="1"/>
        <n v="60" u="1"/>
        <n v="24" u="1"/>
        <n v="26" u="1"/>
        <n v="27" u="1"/>
        <n v="28" u="1"/>
        <n v="29" u="1"/>
        <n v="30" u="1"/>
        <n v="53" u="1"/>
        <n v="31" u="1"/>
        <n v="55" u="1"/>
      </sharedItems>
    </cacheField>
    <cacheField name="Faixa de Atraso" numFmtId="0">
      <sharedItems containsMixedTypes="1" containsNumber="1" containsInteger="1" minValue="0" maxValue="0"/>
    </cacheField>
    <cacheField name="Título Elegível" numFmtId="0">
      <sharedItems containsMixedTypes="1" containsNumber="1" containsInteger="1" minValue="0" maxValue="0" count="4">
        <s v="Atraso Crítico"/>
        <s v=""/>
        <s v="Atraso Médio"/>
        <n v="0"/>
      </sharedItems>
    </cacheField>
    <cacheField name="Valor a Faturar" numFmtId="0">
      <sharedItems containsMixedTypes="1" containsNumber="1" containsInteger="1" minValue="0" maxValue="0"/>
    </cacheField>
    <cacheField name="Bloqueio de sistema " numFmtId="0">
      <sharedItems containsMixedTypes="1" containsNumber="1" containsInteger="1" minValue="0" maxValue="0"/>
    </cacheField>
    <cacheField name="Statuts de Negociação" numFmtId="0">
      <sharedItems containsSemiMixedTypes="0" containsString="0" containsNumber="1" containsInteger="1" minValue="0" maxValue="0"/>
    </cacheField>
    <cacheField name="Número de Negociações Feitas" numFmtId="0">
      <sharedItems containsSemiMixedTypes="0" containsString="0" containsNumber="1" containsInteger="1" minValue="0" maxValue="1"/>
    </cacheField>
    <cacheField name="Acordo Fechado?" numFmtId="0">
      <sharedItems containsMixedTypes="1" containsNumber="1" containsInteger="1" minValue="0" maxValue="0"/>
    </cacheField>
    <cacheField name="Data de Negociação" numFmtId="15">
      <sharedItems containsSemiMixedTypes="0" containsNonDate="0" containsDate="1" containsString="0" minDate="1899-12-30T00:00:00" maxDate="2025-03-30T00:00:00"/>
    </cacheField>
    <cacheField name="MÊS NEGOCIAÇÃO" numFmtId="15">
      <sharedItems/>
    </cacheField>
    <cacheField name="ANO NEGOCIAÇÃO" numFmtId="15">
      <sharedItems/>
    </cacheField>
    <cacheField name="Data da Entrada/Primeira Parcela" numFmtId="15">
      <sharedItems containsSemiMixedTypes="0" containsNonDate="0" containsDate="1" containsString="0" minDate="1899-12-30T00:00:00" maxDate="2025-05-26T00:00:00"/>
    </cacheField>
    <cacheField name="MÊS PRIMEIRA PARCELA" numFmtId="15">
      <sharedItems count="4">
        <s v="abr-25"/>
        <s v="mai-25"/>
        <s v="mar-25"/>
        <s v="jan-00"/>
      </sharedItems>
    </cacheField>
    <cacheField name="ANO PRIMERA PARCELA" numFmtId="15">
      <sharedItems/>
    </cacheField>
    <cacheField name="Título Quitado? (Sim/Não)" numFmtId="0">
      <sharedItems containsMixedTypes="1" containsNumber="1" containsInteger="1" minValue="0" maxValue="0"/>
    </cacheField>
    <cacheField name="Valores Vencidos" numFmtId="8">
      <sharedItems containsMixedTypes="1" containsNumber="1" containsInteger="1" minValue="0" maxValue="3200"/>
    </cacheField>
    <cacheField name="Valores a Vencer" numFmtId="8">
      <sharedItems containsMixedTypes="1" containsNumber="1" containsInteger="1" minValue="0" maxValue="2000"/>
    </cacheField>
    <cacheField name="Cobrança" numFmtId="44">
      <sharedItems count="5">
        <s v="Cobrança Judicial"/>
        <s v="Cobrança Extrajudicial"/>
        <s v="Cobrança Ativa"/>
        <s v="Cobrança Amigável"/>
        <s v=""/>
      </sharedItems>
    </cacheField>
    <cacheField name="Cobrança2" numFmtId="44">
      <sharedItems containsNonDate="0" containsString="0" containsBlank="1"/>
    </cacheField>
    <cacheField name="Cobrança3" numFmtId="8">
      <sharedItems containsNonDate="0" containsString="0" containsBlank="1"/>
    </cacheField>
    <cacheField name="Trimestres" numFmtId="0" databaseField="0">
      <fieldGroup base="10">
        <rangePr groupBy="quarters" startDate="1899-12-30T00:00:00" endDate="2025-03-29T00:00:00"/>
        <groupItems count="6">
          <s v="&lt;00/01/1900"/>
          <s v="Trim1"/>
          <s v="Trim2"/>
          <s v="Trim3"/>
          <s v="Trim4"/>
          <s v="&gt;29/03/2025"/>
        </groupItems>
      </fieldGroup>
    </cacheField>
    <cacheField name="Anos" numFmtId="0" databaseField="0">
      <fieldGroup base="10">
        <rangePr groupBy="years" startDate="1899-12-30T00:00:00" endDate="2025-03-29T00:00:00"/>
        <groupItems count="128">
          <s v="&lt;0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9/03/2025"/>
        </groupItems>
      </fieldGroup>
    </cacheField>
  </cacheFields>
  <extLst>
    <ext xmlns:x14="http://schemas.microsoft.com/office/spreadsheetml/2009/9/main" uri="{725AE2AE-9491-48be-B2B4-4EB974FC3084}">
      <x14:pivotCacheDefinition pivotCacheId="23072755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76.897813078707" createdVersion="8" refreshedVersion="8" minRefreshableVersion="3" recordCount="72" xr:uid="{FC3757C9-3740-4E7F-9CC5-9EB6C41596E5}">
  <cacheSource type="worksheet">
    <worksheetSource ref="A7:Z79" sheet="DADOS FINANCEIROS"/>
  </cacheSource>
  <cacheFields count="26">
    <cacheField name="UNIDADE" numFmtId="0">
      <sharedItems/>
    </cacheField>
    <cacheField name="GRUPO" numFmtId="0">
      <sharedItems containsBlank="1"/>
    </cacheField>
    <cacheField name="EMPRESA" numFmtId="0">
      <sharedItems count="54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s v="Hermes" u="1"/>
        <s v="LumaCorp" u="1"/>
        <s v="NetPoint" u="1"/>
        <s v="Interlink" u="1"/>
        <s v="ConstruaMais" u="1"/>
        <s v="DigitalPro" u="1"/>
        <s v="Zeus" u="1"/>
        <s v="Poseidon" u="1"/>
        <s v="PowerTec" u="1"/>
        <s v="LightTrade" u="1"/>
        <s v="Flexicom" u="1"/>
        <s v="ValoVita" u="1"/>
        <s v="NewG" u="1"/>
        <s v="EletroMax" u="1"/>
        <s v="BioSolutions" u="1"/>
        <s v="InovaWorld" u="1"/>
        <s v="Robotech" u="1"/>
        <s v="InovaPlus" u="1"/>
        <s v="EletroClick" u="1"/>
        <s v="DataPower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BlueWave" u="1"/>
        <s v="BrightWay" u="1"/>
        <s v="Ferroforte" u="1"/>
        <s v="Apolo" u="1"/>
        <s v="Exponential" u="1"/>
        <s v="PrimeCorp" u="1"/>
        <s v="Procarte" u="1"/>
        <s v="NexosTech" u="1"/>
        <s v="GreenTech" u="1"/>
        <s v="SkyCorp" u="1"/>
        <s v="Kappa" u="1"/>
        <s v="BravaTech" u="1"/>
        <s v="Logispeed" u="1"/>
        <s v="CoreSoft" u="1"/>
      </sharedItems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23T00:00:00"/>
    </cacheField>
    <cacheField name="VENCIMENTO ORIGINAL" numFmtId="14">
      <sharedItems containsDate="1" containsMixedTypes="1" minDate="2024-01-22T00:00:00" maxDate="2025-03-29T00:00:00"/>
    </cacheField>
    <cacheField name="VENCIMENTO ATUAL" numFmtId="14">
      <sharedItems containsSemiMixedTypes="0" containsNonDate="0" containsDate="1" containsString="0" minDate="2024-01-23T00:00:00" maxDate="2025-03-29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 containsBlank="1" count="22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m u="1"/>
        <s v="oioi" u="1"/>
      </sharedItems>
    </cacheField>
    <cacheField name="Status de Pagamento" numFmtId="0">
      <sharedItems/>
    </cacheField>
    <cacheField name="Dias em Atraso" numFmtId="0">
      <sharedItems containsMixedTypes="1" containsNumber="1" containsInteger="1" minValue="0" maxValue="463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30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  <cacheField name="Valores a Vencer" numFmtId="44">
      <sharedItems containsMixedTypes="1" containsNumber="1" containsInteger="1" minValue="2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76.897813194446" createdVersion="8" refreshedVersion="8" minRefreshableVersion="3" recordCount="72" xr:uid="{B6FA50E9-3903-4969-9C12-C826BD12D967}">
  <cacheSource type="worksheet">
    <worksheetSource ref="A7:Y79" sheet="DADOS FINANCEIROS"/>
  </cacheSource>
  <cacheFields count="25">
    <cacheField name="UNIDADE" numFmtId="0">
      <sharedItems/>
    </cacheField>
    <cacheField name="GRUPO" numFmtId="0">
      <sharedItems containsBlank="1" count="58">
        <m/>
        <s v="Gamma &amp; CIA"/>
        <s v="Alpha &amp; CIA"/>
        <s v="Zeta" u="1"/>
        <s v="Hermes" u="1"/>
        <s v="GlobalTech" u="1"/>
        <s v="LumaCorp" u="1"/>
        <s v="NetPoint" u="1"/>
        <s v="Interlink" u="1"/>
        <s v="AlphaTech" u="1"/>
        <s v="ConstruaMais" u="1"/>
        <s v="Alpha" u="1"/>
        <s v="DigitalPro" u="1"/>
        <s v="Zeus" u="1"/>
        <s v="Poseidon" u="1"/>
        <s v="PowerTec" u="1"/>
        <s v="LightTrade" u="1"/>
        <s v="Flexicom" u="1"/>
        <s v="ValoVita" u="1"/>
        <s v="NovaHorizonte" u="1"/>
        <s v="EletroMax" u="1"/>
        <s v="Gamma" u="1"/>
        <s v="BioSolutions" u="1"/>
        <s v="InovaWorld" u="1"/>
        <s v="Robotech" u="1"/>
        <s v="InovaPlus" u="1"/>
        <s v="EletroClick" u="1"/>
        <s v="BemEstar" u="1"/>
        <s v="DataPower" u="1"/>
        <s v="Delta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Theta" u="1"/>
        <s v="BlueWave" u="1"/>
        <s v="BrightWay" u="1"/>
        <s v="Ferroforte" u="1"/>
        <s v="MundoInovador" u="1"/>
        <s v="Apolo" u="1"/>
        <s v="Exponential" u="1"/>
        <s v="PrimeCorp" u="1"/>
        <s v="Procarte" u="1"/>
        <s v="InvestPro" u="1"/>
        <s v="NexosTech" u="1"/>
        <s v="GreenTech" u="1"/>
        <s v="Não" u="1"/>
        <s v="Beta" u="1"/>
        <s v="SkyCorp" u="1"/>
        <s v="Kappa" u="1"/>
        <s v="BravaTech" u="1"/>
        <s v="Logispeed" u="1"/>
        <s v="CoreSoft" u="1"/>
        <s v="SoftLink" u="1"/>
      </sharedItems>
    </cacheField>
    <cacheField name="EMPRESA" numFmtId="0">
      <sharedItems/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23T00:00:00"/>
    </cacheField>
    <cacheField name="VENCIMENTO ORIGINAL" numFmtId="14">
      <sharedItems containsDate="1" containsMixedTypes="1" minDate="2024-01-22T00:00:00" maxDate="2025-03-29T00:00:00"/>
    </cacheField>
    <cacheField name="VENCIMENTO ATUAL" numFmtId="14">
      <sharedItems containsSemiMixedTypes="0" containsNonDate="0" containsDate="1" containsString="0" minDate="2024-01-23T00:00:00" maxDate="2025-03-29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/>
    </cacheField>
    <cacheField name="Status de Pagamento" numFmtId="0">
      <sharedItems/>
    </cacheField>
    <cacheField name="Dias em Atraso" numFmtId="0">
      <sharedItems containsMixedTypes="1" containsNumber="1" containsInteger="1" minValue="0" maxValue="463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30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76.897813194446" createdVersion="8" refreshedVersion="8" minRefreshableVersion="3" recordCount="73" xr:uid="{9D9D3841-F327-4DE2-9465-41621CF09C3A}">
  <cacheSource type="worksheet">
    <worksheetSource ref="A7:Z80" sheet="DADOS FINANCEIROS"/>
  </cacheSource>
  <cacheFields count="26">
    <cacheField name="UNIDADE" numFmtId="0">
      <sharedItems containsBlank="1"/>
    </cacheField>
    <cacheField name="GRUPO" numFmtId="0">
      <sharedItems containsBlank="1"/>
    </cacheField>
    <cacheField name="EMPRESA" numFmtId="0">
      <sharedItems containsBlank="1" count="54">
        <s v="BemEstar"/>
        <s v="Gamma &amp; CIA"/>
        <s v="Alpha &amp; CIA"/>
        <s v="Beta"/>
        <s v="Delta"/>
        <s v="Theta"/>
        <s v="Zeta"/>
        <s v="MundoInovador"/>
        <s v="SoftLink"/>
        <s v="InvestPro"/>
        <s v="NovaHorizonte"/>
        <s v="GlobalTech"/>
        <m/>
        <s v="Hermes" u="1"/>
        <s v="LumaCorp" u="1"/>
        <s v="NetPoint" u="1"/>
        <s v="Interlink" u="1"/>
        <s v="ConstruaMais" u="1"/>
        <s v="DigitalPro" u="1"/>
        <s v="Zeus" u="1"/>
        <s v="Poseidon" u="1"/>
        <s v="PowerTec" u="1"/>
        <s v="LightTrade" u="1"/>
        <s v="Flexicom" u="1"/>
        <s v="ValoVita" u="1"/>
        <s v="EletroMax" u="1"/>
        <s v="BioSolutions" u="1"/>
        <s v="InovaWorld" u="1"/>
        <s v="Robotech" u="1"/>
        <s v="InovaPlus" u="1"/>
        <s v="EletroClick" u="1"/>
        <s v="DataPower" u="1"/>
        <s v="UrbanPro" u="1"/>
        <s v="NexonTech" u="1"/>
        <s v="ElevaCorp" u="1"/>
        <s v="AltaPerformance" u="1"/>
        <s v="Visionary" u="1"/>
        <s v="NetSoft" u="1"/>
        <s v="PentaTech" u="1"/>
        <s v="Deméter" u="1"/>
        <s v="BlueWave" u="1"/>
        <s v="BrightWay" u="1"/>
        <s v="Ferroforte" u="1"/>
        <s v="Apolo" u="1"/>
        <s v="Exponential" u="1"/>
        <s v="PrimeCorp" u="1"/>
        <s v="Procarte" u="1"/>
        <s v="NexosTech" u="1"/>
        <s v="GreenTech" u="1"/>
        <s v="SkyCorp" u="1"/>
        <s v="Kappa" u="1"/>
        <s v="BravaTech" u="1"/>
        <s v="Logispeed" u="1"/>
        <s v="CoreSoft" u="1"/>
      </sharedItems>
    </cacheField>
    <cacheField name="DOC./NF" numFmtId="0">
      <sharedItems containsString="0" containsBlank="1" containsNumber="1" containsInteger="1" minValue="1" maxValue="72"/>
    </cacheField>
    <cacheField name="DATA DE EMISSÃO" numFmtId="14">
      <sharedItems containsNonDate="0" containsDate="1" containsString="0" containsBlank="1" minDate="2024-01-20T00:00:00" maxDate="2025-03-23T00:00:00"/>
    </cacheField>
    <cacheField name="VENCIMENTO ORIGINAL" numFmtId="14">
      <sharedItems containsDate="1" containsBlank="1" containsMixedTypes="1" minDate="2024-01-22T00:00:00" maxDate="2025-03-29T00:00:00"/>
    </cacheField>
    <cacheField name="VENCIMENTO ATUAL" numFmtId="14">
      <sharedItems containsNonDate="0" containsDate="1" containsString="0" containsBlank="1" minDate="2024-01-23T00:00:00" maxDate="2025-03-29T00:00:00"/>
    </cacheField>
    <cacheField name="VALOR ORIGINAL" numFmtId="44">
      <sharedItems containsString="0" containsBlank="1" containsNumber="1" containsInteger="1" minValue="1000" maxValue="3200"/>
    </cacheField>
    <cacheField name="VENDEDORES" numFmtId="44">
      <sharedItems containsBlank="1"/>
    </cacheField>
    <cacheField name="CARTEIRA" numFmtId="44">
      <sharedItems containsBlank="1"/>
    </cacheField>
    <cacheField name="PAGO" numFmtId="44">
      <sharedItems containsBlank="1"/>
    </cacheField>
    <cacheField name="Status de Cobrança" numFmtId="0">
      <sharedItems containsBlank="1" count="21">
        <s v="Promessa de pagamento não cumprida"/>
        <s v="Cliente em inadimplência sem previsão de pagamento"/>
        <s v="Pagamento em processo (aguardando confirmação bancária)"/>
        <s v="Situação com comercial (aguardando análise comercial)"/>
        <s v="Aguardando aprovação de crédito"/>
        <s v="Cliente não localizado"/>
        <s v="Promessa de pagamento refeito"/>
        <s v="Proposta de renegociação pendente"/>
        <s v="Bloqueio de sistema por inadimplência"/>
        <s v="Acordo em andamento (aguardando pagamento)"/>
        <s v="Negociação finalizada, pendente de pagamento"/>
        <s v="Cliente em processo de análise para reativação"/>
        <s v="Acordo cumprido parcialmente"/>
        <s v="Aguardando liberação do financeiro"/>
        <s v="Situação jurídica em andamento (em processo judicial)"/>
        <s v="Cancelamento de cobrança solicitado"/>
        <s v="Cliente alegando dificuldades financeiras"/>
        <s v="Aguardando resolução interna da empresa"/>
        <s v="Acordo de pagamento pendente"/>
        <s v="Sem Retorno"/>
        <m/>
      </sharedItems>
    </cacheField>
    <cacheField name="Status de Pagamento" numFmtId="0">
      <sharedItems containsBlank="1"/>
    </cacheField>
    <cacheField name="Dias em Atraso" numFmtId="0">
      <sharedItems containsBlank="1" containsMixedTypes="1" containsNumber="1" containsInteger="1" minValue="0" maxValue="463"/>
    </cacheField>
    <cacheField name="Faixa de Atraso" numFmtId="0">
      <sharedItems containsBlank="1"/>
    </cacheField>
    <cacheField name="Título Elegível" numFmtId="0">
      <sharedItems containsBlank="1"/>
    </cacheField>
    <cacheField name="Valor a Faturar" numFmtId="0">
      <sharedItems containsBlank="1"/>
    </cacheField>
    <cacheField name="Bloqueio de sistema " numFmtId="0">
      <sharedItems containsBlank="1"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 containsBlank="1"/>
    </cacheField>
    <cacheField name="Data de Negociação" numFmtId="0">
      <sharedItems containsNonDate="0" containsDate="1" containsString="0" containsBlank="1" minDate="2025-03-24T00:00:00" maxDate="2025-03-30T00:00:00"/>
    </cacheField>
    <cacheField name="Data da Entrada/Primeira Parcela" numFmtId="0">
      <sharedItems containsNonDate="0" containsDate="1" containsString="0" containsBlank="1" minDate="2025-03-24T00:00:00" maxDate="2025-05-26T00:00:00"/>
    </cacheField>
    <cacheField name="Título Quitado? (Sim/Não)" numFmtId="0">
      <sharedItems containsBlank="1"/>
    </cacheField>
    <cacheField name="Valores Vencidos" numFmtId="0">
      <sharedItems containsBlank="1" containsMixedTypes="1" containsNumber="1" containsInteger="1" minValue="1000" maxValue="3200"/>
    </cacheField>
    <cacheField name="Valores a Vencer" numFmtId="44">
      <sharedItems containsBlank="1" containsMixedTypes="1" containsNumber="1" containsInteger="1" minValue="2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76.897813310185" createdVersion="8" refreshedVersion="8" minRefreshableVersion="3" recordCount="70" xr:uid="{CD49CCCF-9639-4A75-B845-7A0FBB763C61}">
  <cacheSource type="worksheet">
    <worksheetSource ref="A7:Y77" sheet="DADOS FINANCEIROS"/>
  </cacheSource>
  <cacheFields count="25">
    <cacheField name="UNIDADE" numFmtId="0">
      <sharedItems count="2">
        <s v="Filial"/>
        <s v="Matriz"/>
      </sharedItems>
    </cacheField>
    <cacheField name="GRUPO" numFmtId="0">
      <sharedItems containsBlank="1"/>
    </cacheField>
    <cacheField name="EMPRESA" numFmtId="0">
      <sharedItems/>
    </cacheField>
    <cacheField name="DOC./NF" numFmtId="0">
      <sharedItems containsSemiMixedTypes="0" containsString="0" containsNumber="1" containsInteger="1" minValue="1" maxValue="72"/>
    </cacheField>
    <cacheField name="DATA DE EMISSÃO" numFmtId="14">
      <sharedItems containsSemiMixedTypes="0" containsNonDate="0" containsDate="1" containsString="0" minDate="2024-01-20T00:00:00" maxDate="2025-03-19T00:00:00"/>
    </cacheField>
    <cacheField name="VENCIMENTO ORIGINAL" numFmtId="14">
      <sharedItems containsDate="1" containsMixedTypes="1" minDate="2024-01-22T00:00:00" maxDate="2025-03-26T00:00:00"/>
    </cacheField>
    <cacheField name="VENCIMENTO ATUAL" numFmtId="14">
      <sharedItems containsSemiMixedTypes="0" containsNonDate="0" containsDate="1" containsString="0" minDate="2024-01-23T00:00:00" maxDate="2025-03-26T00:00:00"/>
    </cacheField>
    <cacheField name="VALOR ORIGINAL" numFmtId="44">
      <sharedItems containsSemiMixedTypes="0" containsString="0" containsNumber="1" containsInteger="1" minValue="1000" maxValue="3200"/>
    </cacheField>
    <cacheField name="VENDEDORES" numFmtId="44">
      <sharedItems/>
    </cacheField>
    <cacheField name="CARTEIRA" numFmtId="44">
      <sharedItems/>
    </cacheField>
    <cacheField name="PAGO" numFmtId="44">
      <sharedItems/>
    </cacheField>
    <cacheField name="Status de Cobrança" numFmtId="0">
      <sharedItems/>
    </cacheField>
    <cacheField name="Status de Pagamento" numFmtId="0">
      <sharedItems/>
    </cacheField>
    <cacheField name="Dias em Atraso" numFmtId="0">
      <sharedItems containsMixedTypes="1" containsNumber="1" containsInteger="1" minValue="0" maxValue="463"/>
    </cacheField>
    <cacheField name="Faixa de Atraso" numFmtId="0">
      <sharedItems/>
    </cacheField>
    <cacheField name="Título Elegível" numFmtId="0">
      <sharedItems/>
    </cacheField>
    <cacheField name="Valor a Faturar" numFmtId="0">
      <sharedItems/>
    </cacheField>
    <cacheField name="Bloqueio de sistema " numFmtId="0">
      <sharedItems/>
    </cacheField>
    <cacheField name="Statuts de Negociação" numFmtId="0">
      <sharedItems containsNonDate="0" containsString="0" containsBlank="1"/>
    </cacheField>
    <cacheField name="Número de Negociações Feitas" numFmtId="0">
      <sharedItems containsString="0" containsBlank="1" containsNumber="1" containsInteger="1" minValue="1" maxValue="1"/>
    </cacheField>
    <cacheField name="Acordo Fechado?" numFmtId="0">
      <sharedItems/>
    </cacheField>
    <cacheField name="Data de Negociação" numFmtId="14">
      <sharedItems containsSemiMixedTypes="0" containsNonDate="0" containsDate="1" containsString="0" minDate="2025-03-24T00:00:00" maxDate="2025-03-28T00:00:00"/>
    </cacheField>
    <cacheField name="Data da Entrada/Primeira Parcela" numFmtId="14">
      <sharedItems containsSemiMixedTypes="0" containsNonDate="0" containsDate="1" containsString="0" minDate="2025-03-24T00:00:00" maxDate="2025-05-26T00:00:00"/>
    </cacheField>
    <cacheField name="Título Quitado? (Sim/Não)" numFmtId="0">
      <sharedItems/>
    </cacheField>
    <cacheField name="Valores Vencidos" numFmtId="44">
      <sharedItems containsMixedTypes="1" containsNumber="1" containsInteger="1" minValue="1000" maxValue="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x v="0"/>
    <x v="0"/>
    <d v="2024-01-20T00:00:00"/>
    <x v="0"/>
    <x v="0"/>
    <d v="2024-01-22T00:00:00"/>
    <x v="0"/>
    <s v="2024"/>
    <x v="0"/>
    <x v="0"/>
    <s v="2024"/>
    <n v="1400"/>
    <x v="0"/>
    <x v="0"/>
    <s v="NÃO"/>
    <x v="0"/>
    <x v="0"/>
    <x v="0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400"/>
    <s v="0"/>
    <x v="0"/>
    <m/>
    <m/>
  </r>
  <r>
    <x v="1"/>
    <x v="1"/>
    <x v="1"/>
    <x v="1"/>
    <d v="2024-02-15T00:00:00"/>
    <x v="1"/>
    <x v="0"/>
    <s v=" "/>
    <x v="1"/>
    <s v=" "/>
    <x v="1"/>
    <x v="1"/>
    <s v="2024"/>
    <n v="2000"/>
    <x v="1"/>
    <x v="1"/>
    <s v="NÃO"/>
    <x v="1"/>
    <x v="1"/>
    <x v="1"/>
    <s v=""/>
    <x v="1"/>
    <s v="-"/>
    <s v="Sim"/>
    <n v="0"/>
    <n v="1"/>
    <s v="Sim"/>
    <d v="2025-03-24T00:00:00"/>
    <s v="mar-25"/>
    <s v="2025"/>
    <d v="2025-04-25T00:00:00"/>
    <x v="0"/>
    <s v="2025"/>
    <s v="Acompanhando"/>
    <s v="0"/>
    <n v="2000"/>
    <x v="0"/>
    <m/>
    <m/>
  </r>
  <r>
    <x v="2"/>
    <x v="1"/>
    <x v="0"/>
    <x v="0"/>
    <d v="2025-01-01T00:00:00"/>
    <x v="2"/>
    <x v="1"/>
    <d v="2025-02-01T00:00:00"/>
    <x v="2"/>
    <s v="2025"/>
    <x v="2"/>
    <x v="2"/>
    <s v="2025"/>
    <n v="2000"/>
    <x v="1"/>
    <x v="1"/>
    <s v="NÃO"/>
    <x v="2"/>
    <x v="0"/>
    <x v="2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000"/>
    <s v="0"/>
    <x v="1"/>
    <m/>
    <m/>
  </r>
  <r>
    <x v="3"/>
    <x v="1"/>
    <x v="2"/>
    <x v="2"/>
    <d v="2025-01-01T00:00:00"/>
    <x v="2"/>
    <x v="1"/>
    <d v="2025-02-02T00:00:00"/>
    <x v="2"/>
    <s v="2025"/>
    <x v="2"/>
    <x v="2"/>
    <s v="2025"/>
    <n v="1000"/>
    <x v="2"/>
    <x v="2"/>
    <s v="NÃO"/>
    <x v="3"/>
    <x v="0"/>
    <x v="3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1000"/>
    <s v="0"/>
    <x v="1"/>
    <m/>
    <m/>
  </r>
  <r>
    <x v="4"/>
    <x v="1"/>
    <x v="2"/>
    <x v="3"/>
    <d v="2025-01-01T00:00:00"/>
    <x v="2"/>
    <x v="1"/>
    <d v="2025-02-02T00:00:00"/>
    <x v="2"/>
    <s v="2025"/>
    <x v="2"/>
    <x v="2"/>
    <s v="2025"/>
    <n v="1000"/>
    <x v="2"/>
    <x v="2"/>
    <s v="NÃO"/>
    <x v="4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1"/>
    <m/>
    <m/>
  </r>
  <r>
    <x v="5"/>
    <x v="0"/>
    <x v="2"/>
    <x v="4"/>
    <d v="2025-01-02T00:00:00"/>
    <x v="2"/>
    <x v="1"/>
    <d v="2025-02-02T00:00:00"/>
    <x v="2"/>
    <s v="2025"/>
    <x v="2"/>
    <x v="2"/>
    <s v="2025"/>
    <n v="2500"/>
    <x v="3"/>
    <x v="2"/>
    <s v="NÃO"/>
    <x v="5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1"/>
    <m/>
    <m/>
  </r>
  <r>
    <x v="6"/>
    <x v="0"/>
    <x v="2"/>
    <x v="4"/>
    <d v="2025-01-02T00:00:00"/>
    <x v="2"/>
    <x v="1"/>
    <d v="2025-02-02T00:00:00"/>
    <x v="2"/>
    <s v="2025"/>
    <x v="2"/>
    <x v="2"/>
    <s v="2025"/>
    <n v="2500"/>
    <x v="3"/>
    <x v="2"/>
    <s v="NÃO"/>
    <x v="6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1"/>
    <m/>
    <m/>
  </r>
  <r>
    <x v="7"/>
    <x v="1"/>
    <x v="2"/>
    <x v="5"/>
    <d v="2025-01-05T00:00:00"/>
    <x v="2"/>
    <x v="1"/>
    <d v="2025-02-02T00:00:00"/>
    <x v="2"/>
    <s v="2025"/>
    <x v="2"/>
    <x v="2"/>
    <s v="2025"/>
    <n v="3000"/>
    <x v="4"/>
    <x v="2"/>
    <s v="NÃO"/>
    <x v="7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1"/>
    <m/>
    <m/>
  </r>
  <r>
    <x v="8"/>
    <x v="1"/>
    <x v="2"/>
    <x v="6"/>
    <d v="2025-01-05T00:00:00"/>
    <x v="2"/>
    <x v="1"/>
    <d v="2025-02-02T00:00:00"/>
    <x v="2"/>
    <s v="2025"/>
    <x v="2"/>
    <x v="2"/>
    <s v="2025"/>
    <n v="3000"/>
    <x v="4"/>
    <x v="2"/>
    <s v="NÃO"/>
    <x v="8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1"/>
    <m/>
    <m/>
  </r>
  <r>
    <x v="9"/>
    <x v="0"/>
    <x v="0"/>
    <x v="0"/>
    <d v="2025-01-06T00:00:00"/>
    <x v="2"/>
    <x v="1"/>
    <d v="2025-02-02T00:00:00"/>
    <x v="2"/>
    <s v="2025"/>
    <x v="2"/>
    <x v="2"/>
    <s v="2025"/>
    <n v="1500"/>
    <x v="5"/>
    <x v="2"/>
    <s v="NÃO"/>
    <x v="9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1"/>
    <m/>
    <m/>
  </r>
  <r>
    <x v="10"/>
    <x v="0"/>
    <x v="0"/>
    <x v="0"/>
    <d v="2025-01-06T00:00:00"/>
    <x v="2"/>
    <x v="1"/>
    <d v="2025-02-02T00:00:00"/>
    <x v="2"/>
    <s v="2025"/>
    <x v="2"/>
    <x v="2"/>
    <s v="2025"/>
    <n v="1500"/>
    <x v="5"/>
    <x v="2"/>
    <s v="NÃO"/>
    <x v="10"/>
    <x v="0"/>
    <x v="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1"/>
    <m/>
    <m/>
  </r>
  <r>
    <x v="11"/>
    <x v="1"/>
    <x v="0"/>
    <x v="0"/>
    <d v="2025-01-10T00:00:00"/>
    <x v="2"/>
    <x v="1"/>
    <d v="2025-02-10T00:00:00"/>
    <x v="2"/>
    <s v="2025"/>
    <x v="2"/>
    <x v="2"/>
    <s v="2025"/>
    <n v="2200"/>
    <x v="6"/>
    <x v="2"/>
    <s v="NÃO"/>
    <x v="11"/>
    <x v="0"/>
    <x v="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200"/>
    <s v="0"/>
    <x v="1"/>
    <m/>
    <m/>
  </r>
  <r>
    <x v="12"/>
    <x v="1"/>
    <x v="0"/>
    <x v="0"/>
    <d v="2025-01-10T00:00:00"/>
    <x v="2"/>
    <x v="1"/>
    <d v="2025-02-11T00:00:00"/>
    <x v="2"/>
    <s v="2025"/>
    <x v="2"/>
    <x v="2"/>
    <s v="2025"/>
    <n v="2200"/>
    <x v="6"/>
    <x v="2"/>
    <s v="NÃO"/>
    <x v="12"/>
    <x v="0"/>
    <x v="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200"/>
    <s v="0"/>
    <x v="1"/>
    <m/>
    <m/>
  </r>
  <r>
    <x v="13"/>
    <x v="0"/>
    <x v="0"/>
    <x v="0"/>
    <d v="2025-01-12T00:00:00"/>
    <x v="2"/>
    <x v="1"/>
    <d v="2025-02-12T00:00:00"/>
    <x v="2"/>
    <s v="2025"/>
    <x v="3"/>
    <x v="3"/>
    <s v="2025"/>
    <n v="1000"/>
    <x v="7"/>
    <x v="2"/>
    <s v="NÃO"/>
    <x v="13"/>
    <x v="0"/>
    <x v="6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1"/>
    <m/>
    <m/>
  </r>
  <r>
    <x v="14"/>
    <x v="0"/>
    <x v="0"/>
    <x v="7"/>
    <d v="2025-01-12T00:00:00"/>
    <x v="2"/>
    <x v="1"/>
    <d v="2025-02-13T00:00:00"/>
    <x v="2"/>
    <s v="2025"/>
    <x v="2"/>
    <x v="2"/>
    <s v="2025"/>
    <n v="1000"/>
    <x v="7"/>
    <x v="2"/>
    <s v="NÃO"/>
    <x v="2"/>
    <x v="0"/>
    <x v="7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000"/>
    <s v="0"/>
    <x v="1"/>
    <m/>
    <m/>
  </r>
  <r>
    <x v="15"/>
    <x v="1"/>
    <x v="2"/>
    <x v="2"/>
    <d v="2025-01-15T00:00:00"/>
    <x v="2"/>
    <x v="1"/>
    <d v="2025-02-14T00:00:00"/>
    <x v="2"/>
    <s v="2025"/>
    <x v="2"/>
    <x v="2"/>
    <s v="2025"/>
    <n v="1500"/>
    <x v="8"/>
    <x v="2"/>
    <s v="NÃO"/>
    <x v="1"/>
    <x v="0"/>
    <x v="8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1"/>
    <m/>
    <m/>
  </r>
  <r>
    <x v="16"/>
    <x v="1"/>
    <x v="0"/>
    <x v="7"/>
    <d v="2025-01-15T00:00:00"/>
    <x v="2"/>
    <x v="1"/>
    <d v="2025-02-15T00:00:00"/>
    <x v="2"/>
    <s v="2025"/>
    <x v="2"/>
    <x v="2"/>
    <s v="2025"/>
    <n v="1500"/>
    <x v="8"/>
    <x v="2"/>
    <s v="NÃO"/>
    <x v="2"/>
    <x v="0"/>
    <x v="9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500"/>
    <s v="0"/>
    <x v="1"/>
    <m/>
    <m/>
  </r>
  <r>
    <x v="17"/>
    <x v="0"/>
    <x v="2"/>
    <x v="2"/>
    <d v="2025-01-18T00:00:00"/>
    <x v="2"/>
    <x v="1"/>
    <d v="2025-02-16T00:00:00"/>
    <x v="2"/>
    <s v="2025"/>
    <x v="2"/>
    <x v="2"/>
    <s v="2025"/>
    <n v="3000"/>
    <x v="9"/>
    <x v="2"/>
    <s v="NÃO"/>
    <x v="14"/>
    <x v="0"/>
    <x v="10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1"/>
    <m/>
    <m/>
  </r>
  <r>
    <x v="18"/>
    <x v="0"/>
    <x v="0"/>
    <x v="7"/>
    <d v="2025-01-18T00:00:00"/>
    <x v="2"/>
    <x v="1"/>
    <d v="2025-02-17T00:00:00"/>
    <x v="2"/>
    <s v="2025"/>
    <x v="2"/>
    <x v="2"/>
    <s v="2025"/>
    <n v="3000"/>
    <x v="9"/>
    <x v="2"/>
    <s v="NÃO"/>
    <x v="15"/>
    <x v="0"/>
    <x v="11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3000"/>
    <s v="0"/>
    <x v="1"/>
    <m/>
    <m/>
  </r>
  <r>
    <x v="19"/>
    <x v="1"/>
    <x v="2"/>
    <x v="2"/>
    <d v="2025-01-20T00:00:00"/>
    <x v="2"/>
    <x v="1"/>
    <d v="2025-02-18T00:00:00"/>
    <x v="2"/>
    <s v="2025"/>
    <x v="2"/>
    <x v="2"/>
    <s v="2025"/>
    <n v="2800"/>
    <x v="10"/>
    <x v="2"/>
    <s v="NÃO"/>
    <x v="16"/>
    <x v="0"/>
    <x v="12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800"/>
    <s v="0"/>
    <x v="1"/>
    <m/>
    <m/>
  </r>
  <r>
    <x v="20"/>
    <x v="1"/>
    <x v="0"/>
    <x v="7"/>
    <d v="2025-01-20T00:00:00"/>
    <x v="2"/>
    <x v="1"/>
    <d v="2025-02-19T00:00:00"/>
    <x v="2"/>
    <s v="2025"/>
    <x v="2"/>
    <x v="2"/>
    <s v="2025"/>
    <n v="2800"/>
    <x v="10"/>
    <x v="2"/>
    <s v="NÃO"/>
    <x v="17"/>
    <x v="0"/>
    <x v="13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800"/>
    <s v="0"/>
    <x v="1"/>
    <m/>
    <m/>
  </r>
  <r>
    <x v="21"/>
    <x v="0"/>
    <x v="2"/>
    <x v="2"/>
    <d v="2025-01-25T00:00:00"/>
    <x v="2"/>
    <x v="1"/>
    <d v="2025-02-20T00:00:00"/>
    <x v="2"/>
    <s v="2025"/>
    <x v="2"/>
    <x v="2"/>
    <s v="2025"/>
    <n v="1200"/>
    <x v="11"/>
    <x v="2"/>
    <s v="NÃO"/>
    <x v="0"/>
    <x v="0"/>
    <x v="1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200"/>
    <s v="0"/>
    <x v="1"/>
    <m/>
    <m/>
  </r>
  <r>
    <x v="22"/>
    <x v="1"/>
    <x v="1"/>
    <x v="1"/>
    <d v="2025-02-01T00:00:00"/>
    <x v="3"/>
    <x v="1"/>
    <d v="2025-02-20T00:00:00"/>
    <x v="2"/>
    <s v="2025"/>
    <x v="4"/>
    <x v="3"/>
    <s v="2025"/>
    <n v="2500"/>
    <x v="12"/>
    <x v="2"/>
    <s v="NÃO"/>
    <x v="18"/>
    <x v="0"/>
    <x v="14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1"/>
    <m/>
    <m/>
  </r>
  <r>
    <x v="23"/>
    <x v="0"/>
    <x v="0"/>
    <x v="7"/>
    <d v="2025-01-25T00:00:00"/>
    <x v="2"/>
    <x v="1"/>
    <d v="2025-02-21T00:00:00"/>
    <x v="2"/>
    <s v="2025"/>
    <x v="5"/>
    <x v="3"/>
    <s v="2025"/>
    <n v="1200"/>
    <x v="11"/>
    <x v="2"/>
    <s v="NÃO"/>
    <x v="3"/>
    <x v="0"/>
    <x v="1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1200"/>
    <s v="0"/>
    <x v="1"/>
    <m/>
    <m/>
  </r>
  <r>
    <x v="24"/>
    <x v="1"/>
    <x v="0"/>
    <x v="7"/>
    <d v="2025-02-01T00:00:00"/>
    <x v="3"/>
    <x v="1"/>
    <d v="2025-02-21T00:00:00"/>
    <x v="2"/>
    <s v="2025"/>
    <x v="5"/>
    <x v="3"/>
    <s v="2025"/>
    <n v="2500"/>
    <x v="12"/>
    <x v="2"/>
    <s v="NÃO"/>
    <x v="4"/>
    <x v="0"/>
    <x v="15"/>
    <s v="61+ dias"/>
    <x v="0"/>
    <s v="-"/>
    <s v="Sim"/>
    <n v="0"/>
    <n v="1"/>
    <s v="Sim"/>
    <d v="2025-03-24T00:00:00"/>
    <s v="mar-25"/>
    <s v="2025"/>
    <d v="2025-05-25T00:00:00"/>
    <x v="1"/>
    <s v="2025"/>
    <s v="Acompanhando"/>
    <n v="2500"/>
    <s v="0"/>
    <x v="1"/>
    <m/>
    <m/>
  </r>
  <r>
    <x v="25"/>
    <x v="0"/>
    <x v="1"/>
    <x v="1"/>
    <d v="2025-02-02T00:00:00"/>
    <x v="3"/>
    <x v="1"/>
    <d v="2025-02-22T00:00:00"/>
    <x v="2"/>
    <s v="2025"/>
    <x v="6"/>
    <x v="3"/>
    <s v="2025"/>
    <n v="3000"/>
    <x v="0"/>
    <x v="2"/>
    <s v="NÃO"/>
    <x v="5"/>
    <x v="0"/>
    <x v="16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1"/>
    <m/>
    <m/>
  </r>
  <r>
    <x v="26"/>
    <x v="0"/>
    <x v="0"/>
    <x v="7"/>
    <d v="2025-02-02T00:00:00"/>
    <x v="3"/>
    <x v="1"/>
    <d v="2025-02-23T00:00:00"/>
    <x v="2"/>
    <s v="2025"/>
    <x v="7"/>
    <x v="3"/>
    <s v="2025"/>
    <n v="3000"/>
    <x v="0"/>
    <x v="1"/>
    <s v="NÃO"/>
    <x v="6"/>
    <x v="0"/>
    <x v="17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1"/>
    <m/>
    <m/>
  </r>
  <r>
    <x v="27"/>
    <x v="1"/>
    <x v="1"/>
    <x v="1"/>
    <d v="2025-02-05T00:00:00"/>
    <x v="3"/>
    <x v="1"/>
    <d v="2025-02-24T00:00:00"/>
    <x v="2"/>
    <s v="2025"/>
    <x v="8"/>
    <x v="3"/>
    <s v="2025"/>
    <n v="1200"/>
    <x v="13"/>
    <x v="1"/>
    <s v="NÃO"/>
    <x v="7"/>
    <x v="0"/>
    <x v="18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200"/>
    <s v="0"/>
    <x v="1"/>
    <m/>
    <m/>
  </r>
  <r>
    <x v="28"/>
    <x v="1"/>
    <x v="0"/>
    <x v="7"/>
    <d v="2025-02-05T00:00:00"/>
    <x v="3"/>
    <x v="1"/>
    <d v="2025-02-25T00:00:00"/>
    <x v="2"/>
    <s v="2025"/>
    <x v="9"/>
    <x v="3"/>
    <s v="2025"/>
    <n v="1200"/>
    <x v="13"/>
    <x v="1"/>
    <s v="NÃO"/>
    <x v="8"/>
    <x v="0"/>
    <x v="19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200"/>
    <s v="0"/>
    <x v="1"/>
    <m/>
    <m/>
  </r>
  <r>
    <x v="29"/>
    <x v="0"/>
    <x v="1"/>
    <x v="1"/>
    <d v="2025-02-06T00:00:00"/>
    <x v="3"/>
    <x v="1"/>
    <d v="2025-02-26T00:00:00"/>
    <x v="2"/>
    <s v="2025"/>
    <x v="10"/>
    <x v="3"/>
    <s v="2025"/>
    <n v="2000"/>
    <x v="14"/>
    <x v="1"/>
    <s v="NÃO"/>
    <x v="9"/>
    <x v="0"/>
    <x v="20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000"/>
    <s v="0"/>
    <x v="1"/>
    <m/>
    <m/>
  </r>
  <r>
    <x v="30"/>
    <x v="0"/>
    <x v="0"/>
    <x v="7"/>
    <d v="2025-02-06T00:00:00"/>
    <x v="3"/>
    <x v="1"/>
    <d v="2025-02-27T00:00:00"/>
    <x v="2"/>
    <s v="2025"/>
    <x v="11"/>
    <x v="3"/>
    <s v="2025"/>
    <n v="2000"/>
    <x v="14"/>
    <x v="1"/>
    <s v="NÃO"/>
    <x v="10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000"/>
    <s v="0"/>
    <x v="1"/>
    <m/>
    <m/>
  </r>
  <r>
    <x v="31"/>
    <x v="1"/>
    <x v="1"/>
    <x v="1"/>
    <d v="2025-02-10T00:00:00"/>
    <x v="3"/>
    <x v="1"/>
    <d v="2025-02-27T00:00:00"/>
    <x v="2"/>
    <s v="2025"/>
    <x v="11"/>
    <x v="3"/>
    <s v="2025"/>
    <n v="3200"/>
    <x v="15"/>
    <x v="1"/>
    <s v="NÃO"/>
    <x v="11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200"/>
    <s v="0"/>
    <x v="1"/>
    <m/>
    <m/>
  </r>
  <r>
    <x v="32"/>
    <x v="1"/>
    <x v="0"/>
    <x v="8"/>
    <d v="2025-02-10T00:00:00"/>
    <x v="3"/>
    <x v="1"/>
    <d v="2025-02-27T00:00:00"/>
    <x v="2"/>
    <s v="2025"/>
    <x v="11"/>
    <x v="3"/>
    <s v="2025"/>
    <n v="3200"/>
    <x v="15"/>
    <x v="1"/>
    <s v="NÃO"/>
    <x v="12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3200"/>
    <s v="0"/>
    <x v="1"/>
    <m/>
    <m/>
  </r>
  <r>
    <x v="33"/>
    <x v="0"/>
    <x v="1"/>
    <x v="1"/>
    <d v="2025-02-12T00:00:00"/>
    <x v="3"/>
    <x v="1"/>
    <d v="2025-02-27T00:00:00"/>
    <x v="2"/>
    <s v="2025"/>
    <x v="11"/>
    <x v="3"/>
    <s v="2025"/>
    <n v="1500"/>
    <x v="16"/>
    <x v="1"/>
    <s v="NÃO"/>
    <x v="13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500"/>
    <s v="0"/>
    <x v="1"/>
    <m/>
    <m/>
  </r>
  <r>
    <x v="34"/>
    <x v="0"/>
    <x v="0"/>
    <x v="8"/>
    <d v="2025-02-12T00:00:00"/>
    <x v="3"/>
    <x v="1"/>
    <d v="2025-02-27T00:00:00"/>
    <x v="2"/>
    <s v="2025"/>
    <x v="11"/>
    <x v="3"/>
    <s v="2025"/>
    <n v="1500"/>
    <x v="16"/>
    <x v="1"/>
    <s v="NÃO"/>
    <x v="2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500"/>
    <s v="0"/>
    <x v="1"/>
    <m/>
    <m/>
  </r>
  <r>
    <x v="35"/>
    <x v="0"/>
    <x v="1"/>
    <x v="1"/>
    <d v="2025-02-18T00:00:00"/>
    <x v="3"/>
    <x v="1"/>
    <d v="2025-02-27T00:00:00"/>
    <x v="2"/>
    <s v="2025"/>
    <x v="11"/>
    <x v="3"/>
    <s v="2025"/>
    <n v="1000"/>
    <x v="17"/>
    <x v="1"/>
    <s v="NÃO"/>
    <x v="14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000"/>
    <s v="0"/>
    <x v="1"/>
    <m/>
    <m/>
  </r>
  <r>
    <x v="36"/>
    <x v="0"/>
    <x v="0"/>
    <x v="8"/>
    <d v="2025-02-18T00:00:00"/>
    <x v="3"/>
    <x v="1"/>
    <d v="2025-02-27T00:00:00"/>
    <x v="2"/>
    <s v="2025"/>
    <x v="11"/>
    <x v="3"/>
    <s v="2025"/>
    <n v="1000"/>
    <x v="17"/>
    <x v="1"/>
    <s v="NÃO"/>
    <x v="15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000"/>
    <s v="0"/>
    <x v="1"/>
    <m/>
    <m/>
  </r>
  <r>
    <x v="37"/>
    <x v="1"/>
    <x v="1"/>
    <x v="1"/>
    <d v="2025-02-20T00:00:00"/>
    <x v="3"/>
    <x v="1"/>
    <d v="2025-02-27T00:00:00"/>
    <x v="2"/>
    <s v="2025"/>
    <x v="11"/>
    <x v="3"/>
    <s v="2025"/>
    <n v="1800"/>
    <x v="18"/>
    <x v="1"/>
    <s v="NÃO"/>
    <x v="16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800"/>
    <s v="0"/>
    <x v="1"/>
    <m/>
    <m/>
  </r>
  <r>
    <x v="38"/>
    <x v="1"/>
    <x v="0"/>
    <x v="8"/>
    <d v="2025-02-20T00:00:00"/>
    <x v="3"/>
    <x v="1"/>
    <d v="2025-02-27T00:00:00"/>
    <x v="2"/>
    <s v="2025"/>
    <x v="11"/>
    <x v="3"/>
    <s v="2025"/>
    <n v="1800"/>
    <x v="18"/>
    <x v="1"/>
    <s v="NÃO"/>
    <x v="17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800"/>
    <s v="0"/>
    <x v="1"/>
    <m/>
    <m/>
  </r>
  <r>
    <x v="39"/>
    <x v="0"/>
    <x v="1"/>
    <x v="1"/>
    <d v="2025-02-25T00:00:00"/>
    <x v="3"/>
    <x v="1"/>
    <d v="2025-02-27T00:00:00"/>
    <x v="2"/>
    <s v="2025"/>
    <x v="11"/>
    <x v="3"/>
    <s v="2025"/>
    <n v="2500"/>
    <x v="19"/>
    <x v="1"/>
    <s v="NÃO"/>
    <x v="0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500"/>
    <s v="0"/>
    <x v="1"/>
    <m/>
    <m/>
  </r>
  <r>
    <x v="40"/>
    <x v="0"/>
    <x v="0"/>
    <x v="8"/>
    <d v="2025-02-25T00:00:00"/>
    <x v="3"/>
    <x v="1"/>
    <d v="2025-02-27T00:00:00"/>
    <x v="2"/>
    <s v="2025"/>
    <x v="11"/>
    <x v="3"/>
    <s v="2025"/>
    <n v="2500"/>
    <x v="19"/>
    <x v="1"/>
    <s v="NÃO"/>
    <x v="18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2500"/>
    <s v="0"/>
    <x v="1"/>
    <m/>
    <m/>
  </r>
  <r>
    <x v="41"/>
    <x v="1"/>
    <x v="0"/>
    <x v="8"/>
    <d v="2025-02-26T00:00:00"/>
    <x v="3"/>
    <x v="1"/>
    <d v="2025-02-27T00:00:00"/>
    <x v="2"/>
    <s v="2025"/>
    <x v="11"/>
    <x v="3"/>
    <s v="2025"/>
    <n v="1400"/>
    <x v="2"/>
    <x v="1"/>
    <s v="NÃO"/>
    <x v="3"/>
    <x v="0"/>
    <x v="21"/>
    <s v="61+ dias"/>
    <x v="0"/>
    <s v="-"/>
    <s v="Sim"/>
    <n v="0"/>
    <n v="1"/>
    <s v="Sim"/>
    <d v="2025-03-24T00:00:00"/>
    <s v="mar-25"/>
    <s v="2025"/>
    <d v="2025-03-24T00:00:00"/>
    <x v="2"/>
    <s v="2025"/>
    <s v="Acompanhando"/>
    <n v="1400"/>
    <s v="0"/>
    <x v="1"/>
    <m/>
    <m/>
  </r>
  <r>
    <x v="42"/>
    <x v="1"/>
    <x v="0"/>
    <x v="8"/>
    <d v="2025-03-02T00:00:00"/>
    <x v="4"/>
    <x v="1"/>
    <d v="2025-03-13T00:00:00"/>
    <x v="3"/>
    <s v="2025"/>
    <x v="12"/>
    <x v="2"/>
    <s v="2025"/>
    <n v="3000"/>
    <x v="4"/>
    <x v="1"/>
    <s v="NÃO"/>
    <x v="5"/>
    <x v="0"/>
    <x v="22"/>
    <s v="31-60 dias"/>
    <x v="2"/>
    <s v="-"/>
    <s v="Sim"/>
    <n v="0"/>
    <n v="1"/>
    <s v="Sim"/>
    <d v="2025-03-24T00:00:00"/>
    <s v="mar-25"/>
    <s v="2025"/>
    <d v="2025-03-24T00:00:00"/>
    <x v="2"/>
    <s v="2025"/>
    <s v="Acompanhando"/>
    <n v="3000"/>
    <s v="0"/>
    <x v="2"/>
    <m/>
    <m/>
  </r>
  <r>
    <x v="43"/>
    <x v="0"/>
    <x v="0"/>
    <x v="8"/>
    <d v="2025-03-05T00:00:00"/>
    <x v="4"/>
    <x v="1"/>
    <d v="2025-03-20T00:00:00"/>
    <x v="3"/>
    <s v="2025"/>
    <x v="13"/>
    <x v="2"/>
    <s v="2025"/>
    <n v="1700"/>
    <x v="5"/>
    <x v="1"/>
    <s v="NÃO"/>
    <x v="6"/>
    <x v="0"/>
    <x v="23"/>
    <s v="31-60 dias"/>
    <x v="2"/>
    <s v="-"/>
    <s v="Sim"/>
    <n v="0"/>
    <n v="1"/>
    <s v="Sim"/>
    <d v="2025-03-24T00:00:00"/>
    <s v="mar-25"/>
    <s v="2025"/>
    <d v="2025-03-24T00:00:00"/>
    <x v="2"/>
    <s v="2025"/>
    <s v="Acompanhando"/>
    <n v="1700"/>
    <s v="0"/>
    <x v="2"/>
    <m/>
    <m/>
  </r>
  <r>
    <x v="44"/>
    <x v="1"/>
    <x v="0"/>
    <x v="9"/>
    <d v="2025-02-21T00:00:00"/>
    <x v="3"/>
    <x v="1"/>
    <d v="2025-03-21T00:00:00"/>
    <x v="3"/>
    <s v="2025"/>
    <x v="2"/>
    <x v="2"/>
    <s v="2025"/>
    <n v="2700"/>
    <x v="13"/>
    <x v="0"/>
    <s v="SIM"/>
    <x v="19"/>
    <x v="2"/>
    <x v="24"/>
    <s v=""/>
    <x v="1"/>
    <s v="-"/>
    <s v="Sim"/>
    <n v="0"/>
    <n v="1"/>
    <s v="Sim"/>
    <d v="2025-03-24T00:00:00"/>
    <s v="mar-25"/>
    <s v="2025"/>
    <d v="2025-04-25T00:00:00"/>
    <x v="0"/>
    <s v="2025"/>
    <s v="Acompanhando"/>
    <s v="0"/>
    <s v="0"/>
    <x v="3"/>
    <m/>
    <m/>
  </r>
  <r>
    <x v="45"/>
    <x v="0"/>
    <x v="0"/>
    <x v="9"/>
    <d v="2025-02-21T00:00:00"/>
    <x v="3"/>
    <x v="1"/>
    <d v="2025-03-21T00:00:00"/>
    <x v="3"/>
    <s v="2025"/>
    <x v="2"/>
    <x v="2"/>
    <s v="2025"/>
    <n v="1600"/>
    <x v="14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600"/>
    <s v="0"/>
    <x v="2"/>
    <m/>
    <m/>
  </r>
  <r>
    <x v="46"/>
    <x v="1"/>
    <x v="0"/>
    <x v="9"/>
    <d v="2025-02-21T00:00:00"/>
    <x v="3"/>
    <x v="1"/>
    <d v="2025-03-21T00:00:00"/>
    <x v="3"/>
    <s v="2025"/>
    <x v="2"/>
    <x v="2"/>
    <s v="2025"/>
    <n v="3000"/>
    <x v="15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3000"/>
    <s v="0"/>
    <x v="2"/>
    <m/>
    <m/>
  </r>
  <r>
    <x v="47"/>
    <x v="0"/>
    <x v="0"/>
    <x v="9"/>
    <d v="2025-02-21T00:00:00"/>
    <x v="3"/>
    <x v="1"/>
    <d v="2025-03-21T00:00:00"/>
    <x v="3"/>
    <s v="2025"/>
    <x v="2"/>
    <x v="2"/>
    <s v="2025"/>
    <n v="1800"/>
    <x v="16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800"/>
    <s v="0"/>
    <x v="2"/>
    <m/>
    <m/>
  </r>
  <r>
    <x v="48"/>
    <x v="1"/>
    <x v="0"/>
    <x v="9"/>
    <d v="2025-02-21T00:00:00"/>
    <x v="3"/>
    <x v="1"/>
    <d v="2025-03-21T00:00:00"/>
    <x v="3"/>
    <s v="2025"/>
    <x v="2"/>
    <x v="2"/>
    <s v="2025"/>
    <n v="2200"/>
    <x v="1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2"/>
    <m/>
    <m/>
  </r>
  <r>
    <x v="49"/>
    <x v="0"/>
    <x v="0"/>
    <x v="9"/>
    <d v="2025-02-21T00:00:00"/>
    <x v="3"/>
    <x v="1"/>
    <d v="2025-03-21T00:00:00"/>
    <x v="3"/>
    <s v="2025"/>
    <x v="2"/>
    <x v="2"/>
    <s v="2025"/>
    <n v="1500"/>
    <x v="17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2"/>
    <m/>
    <m/>
  </r>
  <r>
    <x v="50"/>
    <x v="1"/>
    <x v="2"/>
    <x v="2"/>
    <d v="2025-02-21T00:00:00"/>
    <x v="3"/>
    <x v="1"/>
    <d v="2025-03-21T00:00:00"/>
    <x v="3"/>
    <s v="2025"/>
    <x v="2"/>
    <x v="2"/>
    <s v="2025"/>
    <n v="2800"/>
    <x v="18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800"/>
    <s v="0"/>
    <x v="2"/>
    <m/>
    <m/>
  </r>
  <r>
    <x v="51"/>
    <x v="0"/>
    <x v="0"/>
    <x v="9"/>
    <d v="2025-02-21T00:00:00"/>
    <x v="3"/>
    <x v="1"/>
    <d v="2025-03-21T00:00:00"/>
    <x v="3"/>
    <s v="2025"/>
    <x v="2"/>
    <x v="2"/>
    <s v="2025"/>
    <n v="3100"/>
    <x v="19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3100"/>
    <s v="0"/>
    <x v="2"/>
    <m/>
    <m/>
  </r>
  <r>
    <x v="52"/>
    <x v="1"/>
    <x v="0"/>
    <x v="9"/>
    <d v="2025-02-21T00:00:00"/>
    <x v="3"/>
    <x v="1"/>
    <d v="2025-03-21T00:00:00"/>
    <x v="3"/>
    <s v="2025"/>
    <x v="2"/>
    <x v="2"/>
    <s v="2025"/>
    <n v="1900"/>
    <x v="2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900"/>
    <s v="0"/>
    <x v="2"/>
    <m/>
    <m/>
  </r>
  <r>
    <x v="53"/>
    <x v="0"/>
    <x v="0"/>
    <x v="10"/>
    <d v="2025-02-21T00:00:00"/>
    <x v="3"/>
    <x v="1"/>
    <d v="2025-03-21T00:00:00"/>
    <x v="3"/>
    <s v="2025"/>
    <x v="2"/>
    <x v="2"/>
    <s v="2025"/>
    <n v="2300"/>
    <x v="3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300"/>
    <s v="0"/>
    <x v="2"/>
    <m/>
    <m/>
  </r>
  <r>
    <x v="54"/>
    <x v="1"/>
    <x v="0"/>
    <x v="10"/>
    <d v="2025-02-21T00:00:00"/>
    <x v="3"/>
    <x v="1"/>
    <d v="2025-03-21T00:00:00"/>
    <x v="3"/>
    <s v="2025"/>
    <x v="2"/>
    <x v="2"/>
    <s v="2025"/>
    <n v="1700"/>
    <x v="4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700"/>
    <s v="0"/>
    <x v="2"/>
    <m/>
    <m/>
  </r>
  <r>
    <x v="55"/>
    <x v="0"/>
    <x v="0"/>
    <x v="10"/>
    <d v="2025-02-21T00:00:00"/>
    <x v="3"/>
    <x v="1"/>
    <d v="2025-03-21T00:00:00"/>
    <x v="3"/>
    <s v="2025"/>
    <x v="2"/>
    <x v="2"/>
    <s v="2025"/>
    <n v="2200"/>
    <x v="5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2"/>
    <m/>
    <m/>
  </r>
  <r>
    <x v="56"/>
    <x v="1"/>
    <x v="0"/>
    <x v="10"/>
    <d v="2025-02-21T00:00:00"/>
    <x v="3"/>
    <x v="1"/>
    <d v="2025-03-21T00:00:00"/>
    <x v="3"/>
    <s v="2025"/>
    <x v="2"/>
    <x v="2"/>
    <s v="2025"/>
    <n v="2500"/>
    <x v="6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500"/>
    <s v="0"/>
    <x v="2"/>
    <m/>
    <m/>
  </r>
  <r>
    <x v="57"/>
    <x v="0"/>
    <x v="0"/>
    <x v="10"/>
    <d v="2025-01-21T00:00:00"/>
    <x v="2"/>
    <x v="1"/>
    <d v="2025-01-21T00:00:00"/>
    <x v="4"/>
    <s v="2025"/>
    <x v="14"/>
    <x v="4"/>
    <s v="2025"/>
    <n v="2000"/>
    <x v="7"/>
    <x v="0"/>
    <s v="NÃO"/>
    <x v="19"/>
    <x v="0"/>
    <x v="26"/>
    <s v="61+ dias"/>
    <x v="0"/>
    <s v="-"/>
    <s v="Sim"/>
    <n v="0"/>
    <n v="1"/>
    <s v="Sim"/>
    <d v="2025-03-24T00:00:00"/>
    <s v="mar-25"/>
    <s v="2025"/>
    <d v="2025-04-25T00:00:00"/>
    <x v="0"/>
    <s v="2025"/>
    <s v="Acompanhando"/>
    <n v="2000"/>
    <s v="0"/>
    <x v="0"/>
    <m/>
    <m/>
  </r>
  <r>
    <x v="58"/>
    <x v="1"/>
    <x v="0"/>
    <x v="10"/>
    <d v="2025-02-21T00:00:00"/>
    <x v="3"/>
    <x v="1"/>
    <d v="2025-03-21T00:00:00"/>
    <x v="3"/>
    <s v="2025"/>
    <x v="2"/>
    <x v="2"/>
    <s v="2025"/>
    <n v="3200"/>
    <x v="8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3200"/>
    <s v="0"/>
    <x v="2"/>
    <m/>
    <m/>
  </r>
  <r>
    <x v="59"/>
    <x v="0"/>
    <x v="0"/>
    <x v="10"/>
    <d v="2025-02-21T00:00:00"/>
    <x v="3"/>
    <x v="1"/>
    <d v="2025-03-21T00:00:00"/>
    <x v="3"/>
    <s v="2025"/>
    <x v="2"/>
    <x v="2"/>
    <s v="2025"/>
    <n v="1500"/>
    <x v="9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2"/>
    <m/>
    <m/>
  </r>
  <r>
    <x v="60"/>
    <x v="1"/>
    <x v="0"/>
    <x v="10"/>
    <d v="2025-02-21T00:00:00"/>
    <x v="3"/>
    <x v="1"/>
    <d v="2025-03-21T00:00:00"/>
    <x v="3"/>
    <s v="2025"/>
    <x v="2"/>
    <x v="2"/>
    <s v="2025"/>
    <n v="2800"/>
    <x v="10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800"/>
    <s v="0"/>
    <x v="2"/>
    <m/>
    <m/>
  </r>
  <r>
    <x v="61"/>
    <x v="0"/>
    <x v="0"/>
    <x v="10"/>
    <d v="2025-02-21T00:00:00"/>
    <x v="3"/>
    <x v="1"/>
    <d v="2025-03-21T00:00:00"/>
    <x v="3"/>
    <s v="2025"/>
    <x v="2"/>
    <x v="2"/>
    <s v="2025"/>
    <n v="1700"/>
    <x v="11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700"/>
    <s v="0"/>
    <x v="2"/>
    <m/>
    <m/>
  </r>
  <r>
    <x v="62"/>
    <x v="1"/>
    <x v="0"/>
    <x v="11"/>
    <d v="2025-02-21T00:00:00"/>
    <x v="3"/>
    <x v="1"/>
    <d v="2025-03-21T00:00:00"/>
    <x v="3"/>
    <s v="2025"/>
    <x v="2"/>
    <x v="2"/>
    <s v="2025"/>
    <n v="2200"/>
    <x v="12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2"/>
    <m/>
    <m/>
  </r>
  <r>
    <x v="63"/>
    <x v="0"/>
    <x v="0"/>
    <x v="11"/>
    <d v="2025-02-21T00:00:00"/>
    <x v="3"/>
    <x v="1"/>
    <d v="2025-03-21T00:00:00"/>
    <x v="3"/>
    <s v="2025"/>
    <x v="2"/>
    <x v="2"/>
    <s v="2025"/>
    <n v="2200"/>
    <x v="12"/>
    <x v="2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2200"/>
    <s v="0"/>
    <x v="2"/>
    <m/>
    <m/>
  </r>
  <r>
    <x v="64"/>
    <x v="1"/>
    <x v="0"/>
    <x v="11"/>
    <d v="2025-02-21T00:00:00"/>
    <x v="3"/>
    <x v="1"/>
    <d v="2025-03-21T00:00:00"/>
    <x v="3"/>
    <s v="2025"/>
    <x v="2"/>
    <x v="2"/>
    <s v="2025"/>
    <n v="1500"/>
    <x v="12"/>
    <x v="0"/>
    <s v="NÃO"/>
    <x v="19"/>
    <x v="0"/>
    <x v="25"/>
    <s v="31-60 dias"/>
    <x v="2"/>
    <s v="-"/>
    <s v="Sim"/>
    <n v="0"/>
    <n v="1"/>
    <s v="Sim"/>
    <d v="2025-03-24T00:00:00"/>
    <s v="mar-25"/>
    <s v="2025"/>
    <d v="2025-04-25T00:00:00"/>
    <x v="0"/>
    <s v="2025"/>
    <s v="Acompanhando"/>
    <n v="1500"/>
    <s v="0"/>
    <x v="2"/>
    <m/>
    <m/>
  </r>
  <r>
    <x v="65"/>
    <x v="1"/>
    <x v="0"/>
    <x v="11"/>
    <d v="2025-03-08T00:00:00"/>
    <x v="4"/>
    <x v="1"/>
    <d v="2025-03-21T00:00:00"/>
    <x v="3"/>
    <s v="2025"/>
    <x v="2"/>
    <x v="2"/>
    <s v="2025"/>
    <n v="2100"/>
    <x v="6"/>
    <x v="1"/>
    <s v="NÃO"/>
    <x v="19"/>
    <x v="0"/>
    <x v="25"/>
    <s v="31-60 dias"/>
    <x v="2"/>
    <s v="-"/>
    <s v="Sim"/>
    <n v="0"/>
    <n v="1"/>
    <s v="Sim"/>
    <d v="2025-03-24T00:00:00"/>
    <s v="mar-25"/>
    <s v="2025"/>
    <d v="2025-03-24T00:00:00"/>
    <x v="2"/>
    <s v="2025"/>
    <s v="Acompanhando"/>
    <n v="2100"/>
    <s v="0"/>
    <x v="2"/>
    <m/>
    <m/>
  </r>
  <r>
    <x v="66"/>
    <x v="0"/>
    <x v="0"/>
    <x v="11"/>
    <d v="2025-03-10T00:00:00"/>
    <x v="4"/>
    <x v="1"/>
    <d v="2025-03-22T00:00:00"/>
    <x v="3"/>
    <s v="2025"/>
    <x v="15"/>
    <x v="2"/>
    <s v="2025"/>
    <n v="1900"/>
    <x v="7"/>
    <x v="1"/>
    <s v="NÃO"/>
    <x v="8"/>
    <x v="0"/>
    <x v="27"/>
    <s v="31-60 dias"/>
    <x v="2"/>
    <s v="-"/>
    <s v="Sim"/>
    <n v="0"/>
    <n v="1"/>
    <s v="Sim"/>
    <d v="2025-03-24T00:00:00"/>
    <s v="mar-25"/>
    <s v="2025"/>
    <d v="2025-03-24T00:00:00"/>
    <x v="2"/>
    <s v="2025"/>
    <s v="Acompanhando"/>
    <n v="1900"/>
    <s v="0"/>
    <x v="2"/>
    <m/>
    <m/>
  </r>
  <r>
    <x v="67"/>
    <x v="1"/>
    <x v="0"/>
    <x v="11"/>
    <d v="2025-03-12T00:00:00"/>
    <x v="4"/>
    <x v="1"/>
    <d v="2025-03-23T00:00:00"/>
    <x v="3"/>
    <s v="2025"/>
    <x v="16"/>
    <x v="2"/>
    <s v="2025"/>
    <n v="2500"/>
    <x v="8"/>
    <x v="1"/>
    <s v="NÃO"/>
    <x v="9"/>
    <x v="0"/>
    <x v="28"/>
    <s v="31-60 dias"/>
    <x v="2"/>
    <s v="-"/>
    <s v="Não"/>
    <n v="0"/>
    <n v="1"/>
    <s v="Sim"/>
    <d v="2025-03-24T00:00:00"/>
    <s v="mar-25"/>
    <s v="2025"/>
    <d v="2025-03-24T00:00:00"/>
    <x v="2"/>
    <s v="2025"/>
    <s v="Acompanhando"/>
    <n v="2500"/>
    <s v="0"/>
    <x v="2"/>
    <m/>
    <m/>
  </r>
  <r>
    <x v="68"/>
    <x v="0"/>
    <x v="0"/>
    <x v="11"/>
    <d v="2025-03-15T00:00:00"/>
    <x v="4"/>
    <x v="1"/>
    <d v="2025-03-24T00:00:00"/>
    <x v="3"/>
    <s v="2025"/>
    <x v="17"/>
    <x v="2"/>
    <s v="2025"/>
    <n v="2300"/>
    <x v="9"/>
    <x v="1"/>
    <s v="NÃO"/>
    <x v="9"/>
    <x v="0"/>
    <x v="29"/>
    <s v="31-60 dias"/>
    <x v="2"/>
    <s v="-"/>
    <s v="Não"/>
    <n v="0"/>
    <n v="0"/>
    <s v="Não"/>
    <d v="2025-03-25T00:00:00"/>
    <s v="mar-25"/>
    <s v="2025"/>
    <d v="2025-03-25T00:00:00"/>
    <x v="2"/>
    <s v="2025"/>
    <s v="Acompanhando"/>
    <n v="2300"/>
    <s v="0"/>
    <x v="2"/>
    <m/>
    <m/>
  </r>
  <r>
    <x v="69"/>
    <x v="1"/>
    <x v="0"/>
    <x v="11"/>
    <d v="2025-03-18T00:00:00"/>
    <x v="4"/>
    <x v="1"/>
    <d v="2025-03-25T00:00:00"/>
    <x v="3"/>
    <s v="2025"/>
    <x v="18"/>
    <x v="2"/>
    <s v="2025"/>
    <n v="2200"/>
    <x v="9"/>
    <x v="1"/>
    <s v="NÃO"/>
    <x v="9"/>
    <x v="0"/>
    <x v="30"/>
    <s v="31-60 dias"/>
    <x v="2"/>
    <s v="-"/>
    <s v="Não"/>
    <n v="0"/>
    <n v="0"/>
    <s v="Não"/>
    <d v="2025-03-27T00:00:00"/>
    <s v="mar-25"/>
    <s v="2025"/>
    <d v="2025-03-27T00:00:00"/>
    <x v="2"/>
    <s v="2025"/>
    <s v="Acompanhando"/>
    <n v="2200"/>
    <s v="0"/>
    <x v="2"/>
    <m/>
    <m/>
  </r>
  <r>
    <x v="70"/>
    <x v="0"/>
    <x v="0"/>
    <x v="11"/>
    <d v="2025-03-22T00:00:00"/>
    <x v="4"/>
    <x v="1"/>
    <d v="2025-03-26T00:00:00"/>
    <x v="3"/>
    <s v="2025"/>
    <x v="19"/>
    <x v="2"/>
    <s v="2025"/>
    <n v="1800"/>
    <x v="11"/>
    <x v="1"/>
    <s v="NÃO"/>
    <x v="9"/>
    <x v="0"/>
    <x v="31"/>
    <s v="31-60 dias"/>
    <x v="2"/>
    <s v="-"/>
    <s v="Não"/>
    <n v="0"/>
    <n v="0"/>
    <s v="Não"/>
    <d v="2025-03-28T00:00:00"/>
    <s v="mar-25"/>
    <s v="2025"/>
    <d v="2025-03-28T00:00:00"/>
    <x v="2"/>
    <s v="2025"/>
    <s v="Acompanhando"/>
    <n v="1800"/>
    <s v="0"/>
    <x v="2"/>
    <m/>
    <m/>
  </r>
  <r>
    <x v="71"/>
    <x v="0"/>
    <x v="0"/>
    <x v="11"/>
    <d v="2025-02-28T00:00:00"/>
    <x v="3"/>
    <x v="1"/>
    <d v="2025-03-28T00:00:00"/>
    <x v="3"/>
    <s v="2025"/>
    <x v="20"/>
    <x v="2"/>
    <s v="2025"/>
    <n v="2300"/>
    <x v="3"/>
    <x v="1"/>
    <s v="NÃO"/>
    <x v="9"/>
    <x v="0"/>
    <x v="32"/>
    <s v="31-60 dias"/>
    <x v="2"/>
    <s v="-"/>
    <s v="Não"/>
    <n v="0"/>
    <n v="0"/>
    <s v="Não"/>
    <d v="2025-03-29T00:00:00"/>
    <s v="mar-25"/>
    <s v="2025"/>
    <d v="2025-03-29T00:00:00"/>
    <x v="2"/>
    <s v="2025"/>
    <s v="Acompanhando"/>
    <n v="2300"/>
    <s v="0"/>
    <x v="2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  <r>
    <x v="72"/>
    <x v="2"/>
    <x v="0"/>
    <x v="12"/>
    <d v="1899-12-30T00:00:00"/>
    <x v="5"/>
    <x v="2"/>
    <d v="1899-12-30T00:00:00"/>
    <x v="5"/>
    <s v="1900"/>
    <x v="21"/>
    <x v="5"/>
    <s v="1900"/>
    <n v="0"/>
    <x v="20"/>
    <x v="3"/>
    <n v="0"/>
    <x v="20"/>
    <x v="3"/>
    <x v="24"/>
    <n v="0"/>
    <x v="3"/>
    <n v="0"/>
    <n v="0"/>
    <n v="0"/>
    <n v="0"/>
    <n v="0"/>
    <d v="1899-12-30T00:00:00"/>
    <s v="jan-00"/>
    <s v="1900"/>
    <d v="1899-12-30T00:00:00"/>
    <x v="3"/>
    <s v="1900"/>
    <n v="0"/>
    <n v="0"/>
    <n v="0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Filial"/>
    <m/>
    <x v="0"/>
    <n v="52"/>
    <d v="2024-01-20T00:00:00"/>
    <d v="2024-01-22T00:00:00"/>
    <d v="2024-01-23T00:00:00"/>
    <n v="1400"/>
    <s v="Felipe"/>
    <s v="ANALISTA LUCAS"/>
    <s v="NÃO"/>
    <x v="0"/>
    <s v="Vencido"/>
    <n v="463"/>
    <s v="61+ dias"/>
    <s v="Atraso Crítico"/>
    <s v="-"/>
    <s v="Sim"/>
    <m/>
    <n v="1"/>
    <s v="Sim"/>
    <d v="2025-03-24T00:00:00"/>
    <d v="2025-04-25T00:00:00"/>
    <s v="Acompanhando"/>
    <n v="1400"/>
    <s v="0"/>
  </r>
  <r>
    <s v="Matriz"/>
    <s v="Gamma &amp; CIA"/>
    <x v="1"/>
    <n v="33"/>
    <d v="2024-02-15T00:00:00"/>
    <s v=" "/>
    <d v="2024-02-17T00:00:00"/>
    <n v="2000"/>
    <s v="Luana"/>
    <s v="ANALISTA GUSTAVO"/>
    <s v="NÃO"/>
    <x v="1"/>
    <s v="A Vencer"/>
    <e v="#VALUE!"/>
    <s v=""/>
    <s v=""/>
    <s v="-"/>
    <s v="Sim"/>
    <m/>
    <n v="1"/>
    <s v="Sim"/>
    <d v="2025-03-24T00:00:00"/>
    <d v="2025-04-25T00:00:00"/>
    <s v="Acompanhando"/>
    <s v="0"/>
    <n v="2000"/>
  </r>
  <r>
    <s v="Matriz"/>
    <m/>
    <x v="0"/>
    <n v="34"/>
    <d v="2025-01-01T00:00:00"/>
    <d v="2025-02-01T00:00:00"/>
    <d v="2025-03-21T00:00:00"/>
    <n v="2000"/>
    <s v="Luana"/>
    <s v="ANALISTA GUSTAVO"/>
    <s v="NÃO"/>
    <x v="2"/>
    <s v="Vencido"/>
    <n v="87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s v="Alpha &amp; CIA"/>
    <x v="2"/>
    <n v="1"/>
    <d v="2025-01-01T00:00:00"/>
    <d v="2025-02-02T00:00:00"/>
    <d v="2025-03-21T00:00:00"/>
    <n v="1000"/>
    <s v="João"/>
    <s v="ANALISTA SIMONE"/>
    <s v="NÃO"/>
    <x v="3"/>
    <s v="Vencido"/>
    <n v="86"/>
    <s v="61+ dias"/>
    <s v="Atraso Crítico"/>
    <s v="-"/>
    <s v="Sim"/>
    <m/>
    <n v="1"/>
    <s v="Sim"/>
    <d v="2025-03-24T00:00:00"/>
    <d v="2025-04-25T00:00:00"/>
    <s v="Acompanhando"/>
    <n v="1000"/>
    <s v="0"/>
  </r>
  <r>
    <s v="Matriz"/>
    <s v="Alpha &amp; CIA"/>
    <x v="3"/>
    <n v="2"/>
    <d v="2025-01-01T00:00:00"/>
    <d v="2025-02-02T00:00:00"/>
    <d v="2025-03-21T00:00:00"/>
    <n v="1000"/>
    <s v="João"/>
    <s v="ANALISTA SIMONE"/>
    <s v="NÃO"/>
    <x v="4"/>
    <s v="Vencido"/>
    <n v="86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s v="Alpha &amp; CIA"/>
    <x v="4"/>
    <n v="3"/>
    <d v="2025-01-02T00:00:00"/>
    <d v="2025-02-02T00:00:00"/>
    <d v="2025-03-21T00:00:00"/>
    <n v="2500"/>
    <s v="Maria"/>
    <s v="ANALISTA SIMONE"/>
    <s v="NÃO"/>
    <x v="5"/>
    <s v="Vencido"/>
    <n v="86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Alpha &amp; CIA"/>
    <x v="4"/>
    <n v="4"/>
    <d v="2025-01-02T00:00:00"/>
    <d v="2025-02-02T00:00:00"/>
    <d v="2025-03-21T00:00:00"/>
    <n v="2500"/>
    <s v="Maria"/>
    <s v="ANALISTA SIMONE"/>
    <s v="NÃO"/>
    <x v="6"/>
    <s v="Vencido"/>
    <n v="86"/>
    <s v="61+ dias"/>
    <s v="Atraso Crítico"/>
    <s v="-"/>
    <s v="Sim"/>
    <m/>
    <n v="1"/>
    <s v="Sim"/>
    <d v="2025-03-24T00:00:00"/>
    <d v="2025-05-25T00:00:00"/>
    <s v="Acompanhando"/>
    <n v="2500"/>
    <s v="0"/>
  </r>
  <r>
    <s v="Matriz"/>
    <s v="Alpha &amp; CIA"/>
    <x v="5"/>
    <n v="5"/>
    <d v="2025-01-05T00:00:00"/>
    <d v="2025-02-02T00:00:00"/>
    <d v="2025-03-21T00:00:00"/>
    <n v="3000"/>
    <s v="Carlos"/>
    <s v="ANALISTA SIMONE"/>
    <s v="NÃO"/>
    <x v="7"/>
    <s v="Vencido"/>
    <n v="86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6"/>
    <n v="6"/>
    <d v="2025-01-05T00:00:00"/>
    <d v="2025-02-02T00:00:00"/>
    <d v="2025-03-21T00:00:00"/>
    <n v="3000"/>
    <s v="Carlos"/>
    <s v="ANALISTA SIMONE"/>
    <s v="NÃO"/>
    <x v="8"/>
    <s v="Vencido"/>
    <n v="86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0"/>
    <n v="7"/>
    <d v="2025-01-06T00:00:00"/>
    <d v="2025-02-02T00:00:00"/>
    <d v="2025-03-21T00:00:00"/>
    <n v="1500"/>
    <s v="Ana"/>
    <s v="ANALISTA SIMONE"/>
    <s v="NÃO"/>
    <x v="9"/>
    <s v="Vencido"/>
    <n v="86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m/>
    <x v="0"/>
    <n v="8"/>
    <d v="2025-01-06T00:00:00"/>
    <d v="2025-02-02T00:00:00"/>
    <d v="2025-03-21T00:00:00"/>
    <n v="1500"/>
    <s v="Ana"/>
    <s v="ANALISTA SIMONE"/>
    <s v="NÃO"/>
    <x v="10"/>
    <s v="Vencido"/>
    <n v="86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0"/>
    <n v="9"/>
    <d v="2025-01-10T00:00:00"/>
    <d v="2025-02-10T00:00:00"/>
    <d v="2025-03-21T00:00:00"/>
    <n v="2200"/>
    <s v="Beatriz"/>
    <s v="ANALISTA SIMONE"/>
    <s v="NÃO"/>
    <x v="11"/>
    <s v="Vencido"/>
    <n v="78"/>
    <s v="61+ dias"/>
    <s v="Atraso Crítico"/>
    <s v="-"/>
    <s v="Sim"/>
    <m/>
    <n v="1"/>
    <s v="Sim"/>
    <d v="2025-03-24T00:00:00"/>
    <d v="2025-05-25T00:00:00"/>
    <s v="Acompanhando"/>
    <n v="2200"/>
    <s v="0"/>
  </r>
  <r>
    <s v="Matriz"/>
    <m/>
    <x v="0"/>
    <n v="10"/>
    <d v="2025-01-10T00:00:00"/>
    <d v="2025-02-11T00:00:00"/>
    <d v="2025-03-21T00:00:00"/>
    <n v="2200"/>
    <s v="Beatriz"/>
    <s v="ANALISTA SIMONE"/>
    <s v="NÃO"/>
    <x v="12"/>
    <s v="Vencido"/>
    <n v="77"/>
    <s v="61+ dias"/>
    <s v="Atraso Crítico"/>
    <s v="-"/>
    <s v="Sim"/>
    <m/>
    <n v="1"/>
    <s v="Sim"/>
    <d v="2025-03-24T00:00:00"/>
    <d v="2025-05-25T00:00:00"/>
    <s v="Acompanhando"/>
    <n v="2200"/>
    <s v="0"/>
  </r>
  <r>
    <s v="Filial"/>
    <m/>
    <x v="0"/>
    <n v="11"/>
    <d v="2025-01-12T00:00:00"/>
    <d v="2025-02-12T00:00:00"/>
    <d v="2025-02-13T00:00:00"/>
    <n v="1000"/>
    <s v="Lucas"/>
    <s v="ANALISTA SIMONE"/>
    <s v="NÃO"/>
    <x v="13"/>
    <s v="Vencido"/>
    <n v="76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m/>
    <x v="7"/>
    <n v="12"/>
    <d v="2025-01-12T00:00:00"/>
    <d v="2025-02-13T00:00:00"/>
    <d v="2025-03-21T00:00:00"/>
    <n v="1000"/>
    <s v="Lucas"/>
    <s v="ANALISTA SIMONE"/>
    <s v="NÃO"/>
    <x v="2"/>
    <s v="Vencido"/>
    <n v="75"/>
    <s v="61+ dias"/>
    <s v="Atraso Crítico"/>
    <s v="-"/>
    <s v="Sim"/>
    <m/>
    <n v="1"/>
    <s v="Sim"/>
    <d v="2025-03-24T00:00:00"/>
    <d v="2025-05-25T00:00:00"/>
    <s v="Acompanhando"/>
    <n v="1000"/>
    <s v="0"/>
  </r>
  <r>
    <s v="Matriz"/>
    <s v="Alpha &amp; CIA"/>
    <x v="2"/>
    <n v="13"/>
    <d v="2025-01-15T00:00:00"/>
    <d v="2025-02-14T00:00:00"/>
    <d v="2025-03-21T00:00:00"/>
    <n v="1500"/>
    <s v="Carla"/>
    <s v="ANALISTA SIMONE"/>
    <s v="NÃO"/>
    <x v="1"/>
    <s v="Vencido"/>
    <n v="74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7"/>
    <n v="14"/>
    <d v="2025-01-15T00:00:00"/>
    <d v="2025-02-15T00:00:00"/>
    <d v="2025-03-21T00:00:00"/>
    <n v="1500"/>
    <s v="Carla"/>
    <s v="ANALISTA SIMONE"/>
    <s v="NÃO"/>
    <x v="2"/>
    <s v="Vencido"/>
    <n v="73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s v="Alpha &amp; CIA"/>
    <x v="2"/>
    <n v="15"/>
    <d v="2025-01-18T00:00:00"/>
    <d v="2025-02-16T00:00:00"/>
    <d v="2025-03-21T00:00:00"/>
    <n v="3000"/>
    <s v="Roberto"/>
    <s v="ANALISTA SIMONE"/>
    <s v="NÃO"/>
    <x v="14"/>
    <s v="Vencido"/>
    <n v="72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7"/>
    <n v="16"/>
    <d v="2025-01-18T00:00:00"/>
    <d v="2025-02-17T00:00:00"/>
    <d v="2025-03-21T00:00:00"/>
    <n v="3000"/>
    <s v="Roberto"/>
    <s v="ANALISTA SIMONE"/>
    <s v="NÃO"/>
    <x v="15"/>
    <s v="Vencido"/>
    <n v="71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2"/>
    <n v="17"/>
    <d v="2025-01-20T00:00:00"/>
    <d v="2025-02-18T00:00:00"/>
    <d v="2025-03-21T00:00:00"/>
    <n v="2800"/>
    <s v="Juliana"/>
    <s v="ANALISTA SIMONE"/>
    <s v="NÃO"/>
    <x v="16"/>
    <s v="Vencido"/>
    <n v="70"/>
    <s v="61+ dias"/>
    <s v="Atraso Crítico"/>
    <s v="-"/>
    <s v="Sim"/>
    <m/>
    <n v="1"/>
    <s v="Sim"/>
    <d v="2025-03-24T00:00:00"/>
    <d v="2025-05-25T00:00:00"/>
    <s v="Acompanhando"/>
    <n v="2800"/>
    <s v="0"/>
  </r>
  <r>
    <s v="Matriz"/>
    <m/>
    <x v="7"/>
    <n v="18"/>
    <d v="2025-01-20T00:00:00"/>
    <d v="2025-02-19T00:00:00"/>
    <d v="2025-03-21T00:00:00"/>
    <n v="2800"/>
    <s v="Juliana"/>
    <s v="ANALISTA SIMONE"/>
    <s v="NÃO"/>
    <x v="17"/>
    <s v="Vencido"/>
    <n v="69"/>
    <s v="61+ dias"/>
    <s v="Atraso Crítico"/>
    <s v="-"/>
    <s v="Sim"/>
    <m/>
    <n v="1"/>
    <s v="Sim"/>
    <d v="2025-03-24T00:00:00"/>
    <d v="2025-05-25T00:00:00"/>
    <s v="Acompanhando"/>
    <n v="2800"/>
    <s v="0"/>
  </r>
  <r>
    <s v="Filial"/>
    <s v="Alpha &amp; CIA"/>
    <x v="2"/>
    <n v="19"/>
    <d v="2025-01-25T00:00:00"/>
    <d v="2025-02-20T00:00:00"/>
    <d v="2025-03-21T00:00:00"/>
    <n v="1200"/>
    <s v="Gustavo"/>
    <s v="ANALISTA SIMONE"/>
    <s v="NÃO"/>
    <x v="0"/>
    <s v="Vencido"/>
    <n v="68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s v="Gamma &amp; CIA"/>
    <x v="1"/>
    <n v="21"/>
    <d v="2025-02-01T00:00:00"/>
    <d v="2025-02-20T00:00:00"/>
    <d v="2025-02-20T00:00:00"/>
    <n v="2500"/>
    <s v="Fernanda"/>
    <s v="ANALISTA SIMONE"/>
    <s v="NÃO"/>
    <x v="18"/>
    <s v="Vencido"/>
    <n v="68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m/>
    <x v="7"/>
    <n v="20"/>
    <d v="2025-01-25T00:00:00"/>
    <d v="2025-02-21T00:00:00"/>
    <d v="2025-02-21T00:00:00"/>
    <n v="1200"/>
    <s v="Gustavo"/>
    <s v="ANALISTA SIMONE"/>
    <s v="NÃO"/>
    <x v="3"/>
    <s v="Vencido"/>
    <n v="67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m/>
    <x v="7"/>
    <n v="22"/>
    <d v="2025-02-01T00:00:00"/>
    <d v="2025-02-21T00:00:00"/>
    <d v="2025-02-21T00:00:00"/>
    <n v="2500"/>
    <s v="Fernanda"/>
    <s v="ANALISTA SIMONE"/>
    <s v="NÃO"/>
    <x v="4"/>
    <s v="Vencido"/>
    <n v="67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Gamma &amp; CIA"/>
    <x v="1"/>
    <n v="23"/>
    <d v="2025-02-02T00:00:00"/>
    <d v="2025-02-22T00:00:00"/>
    <d v="2025-02-22T00:00:00"/>
    <n v="3000"/>
    <s v="Felipe"/>
    <s v="ANALISTA SIMONE"/>
    <s v="NÃO"/>
    <x v="5"/>
    <s v="Vencido"/>
    <n v="66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7"/>
    <n v="24"/>
    <d v="2025-02-02T00:00:00"/>
    <d v="2025-02-23T00:00:00"/>
    <d v="2025-02-23T00:00:00"/>
    <n v="3000"/>
    <s v="Felipe"/>
    <s v="ANALISTA GUSTAVO"/>
    <s v="NÃO"/>
    <x v="6"/>
    <s v="Vencido"/>
    <n v="65"/>
    <s v="61+ dias"/>
    <s v="Atraso Crítico"/>
    <s v="-"/>
    <s v="Sim"/>
    <m/>
    <n v="1"/>
    <s v="Sim"/>
    <d v="2025-03-24T00:00:00"/>
    <d v="2025-03-24T00:00:00"/>
    <s v="Acompanhando"/>
    <n v="3000"/>
    <s v="0"/>
  </r>
  <r>
    <s v="Matriz"/>
    <s v="Gamma &amp; CIA"/>
    <x v="1"/>
    <n v="25"/>
    <d v="2025-02-05T00:00:00"/>
    <d v="2025-02-24T00:00:00"/>
    <d v="2025-02-24T00:00:00"/>
    <n v="1200"/>
    <s v="Camila"/>
    <s v="ANALISTA GUSTAVO"/>
    <s v="NÃO"/>
    <x v="7"/>
    <s v="Vencido"/>
    <n v="64"/>
    <s v="61+ dias"/>
    <s v="Atraso Crítico"/>
    <s v="-"/>
    <s v="Sim"/>
    <m/>
    <n v="1"/>
    <s v="Sim"/>
    <d v="2025-03-24T00:00:00"/>
    <d v="2025-03-24T00:00:00"/>
    <s v="Acompanhando"/>
    <n v="1200"/>
    <s v="0"/>
  </r>
  <r>
    <s v="Matriz"/>
    <m/>
    <x v="7"/>
    <n v="26"/>
    <d v="2025-02-05T00:00:00"/>
    <d v="2025-02-25T00:00:00"/>
    <d v="2025-02-25T00:00:00"/>
    <n v="1200"/>
    <s v="Camila"/>
    <s v="ANALISTA GUSTAVO"/>
    <s v="NÃO"/>
    <x v="8"/>
    <s v="Vencido"/>
    <n v="63"/>
    <s v="61+ dias"/>
    <s v="Atraso Crítico"/>
    <s v="-"/>
    <s v="Sim"/>
    <m/>
    <n v="1"/>
    <s v="Sim"/>
    <d v="2025-03-24T00:00:00"/>
    <d v="2025-03-24T00:00:00"/>
    <s v="Acompanhando"/>
    <n v="1200"/>
    <s v="0"/>
  </r>
  <r>
    <s v="Filial"/>
    <s v="Gamma &amp; CIA"/>
    <x v="1"/>
    <n v="27"/>
    <d v="2025-02-06T00:00:00"/>
    <d v="2025-02-26T00:00:00"/>
    <d v="2025-02-26T00:00:00"/>
    <n v="2000"/>
    <s v="Patrícia"/>
    <s v="ANALISTA GUSTAVO"/>
    <s v="NÃO"/>
    <x v="9"/>
    <s v="Vencido"/>
    <n v="62"/>
    <s v="61+ dias"/>
    <s v="Atraso Crítico"/>
    <s v="-"/>
    <s v="Sim"/>
    <m/>
    <n v="1"/>
    <s v="Sim"/>
    <d v="2025-03-24T00:00:00"/>
    <d v="2025-03-24T00:00:00"/>
    <s v="Acompanhando"/>
    <n v="2000"/>
    <s v="0"/>
  </r>
  <r>
    <s v="Filial"/>
    <m/>
    <x v="7"/>
    <n v="28"/>
    <d v="2025-02-06T00:00:00"/>
    <d v="2025-02-27T00:00:00"/>
    <d v="2025-02-27T00:00:00"/>
    <n v="2000"/>
    <s v="Patrícia"/>
    <s v="ANALISTA GUSTAVO"/>
    <s v="NÃO"/>
    <x v="10"/>
    <s v="Vencido"/>
    <n v="61"/>
    <s v="61+ dias"/>
    <s v="Atraso Crítico"/>
    <s v="-"/>
    <s v="Sim"/>
    <m/>
    <n v="1"/>
    <s v="Sim"/>
    <d v="2025-03-24T00:00:00"/>
    <d v="2025-03-24T00:00:00"/>
    <s v="Acompanhando"/>
    <n v="2000"/>
    <s v="0"/>
  </r>
  <r>
    <s v="Matriz"/>
    <s v="Gamma &amp; CIA"/>
    <x v="1"/>
    <n v="29"/>
    <d v="2025-02-10T00:00:00"/>
    <d v="2025-02-27T00:00:00"/>
    <d v="2025-02-27T00:00:00"/>
    <n v="3200"/>
    <s v="Tiago"/>
    <s v="ANALISTA GUSTAVO"/>
    <s v="NÃO"/>
    <x v="11"/>
    <s v="Vencido"/>
    <n v="61"/>
    <s v="61+ dias"/>
    <s v="Atraso Crítico"/>
    <s v="-"/>
    <s v="Sim"/>
    <m/>
    <n v="1"/>
    <s v="Sim"/>
    <d v="2025-03-24T00:00:00"/>
    <d v="2025-03-24T00:00:00"/>
    <s v="Acompanhando"/>
    <n v="3200"/>
    <s v="0"/>
  </r>
  <r>
    <s v="Matriz"/>
    <m/>
    <x v="8"/>
    <n v="30"/>
    <d v="2025-02-10T00:00:00"/>
    <d v="2025-02-27T00:00:00"/>
    <d v="2025-02-27T00:00:00"/>
    <n v="3200"/>
    <s v="Tiago"/>
    <s v="ANALISTA GUSTAVO"/>
    <s v="NÃO"/>
    <x v="12"/>
    <s v="Vencido"/>
    <n v="61"/>
    <s v="61+ dias"/>
    <s v="Atraso Crítico"/>
    <s v="-"/>
    <s v="Sim"/>
    <m/>
    <n v="1"/>
    <s v="Sim"/>
    <d v="2025-03-24T00:00:00"/>
    <d v="2025-03-24T00:00:00"/>
    <s v="Acompanhando"/>
    <n v="3200"/>
    <s v="0"/>
  </r>
  <r>
    <s v="Filial"/>
    <s v="Gamma &amp; CIA"/>
    <x v="1"/>
    <n v="31"/>
    <d v="2025-02-12T00:00:00"/>
    <d v="2025-02-27T00:00:00"/>
    <d v="2025-02-27T00:00:00"/>
    <n v="1500"/>
    <s v="André"/>
    <s v="ANALISTA GUSTAVO"/>
    <s v="NÃO"/>
    <x v="13"/>
    <s v="Vencido"/>
    <n v="61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m/>
    <x v="8"/>
    <n v="32"/>
    <d v="2025-02-12T00:00:00"/>
    <d v="2025-02-27T00:00:00"/>
    <d v="2025-02-27T00:00:00"/>
    <n v="1500"/>
    <s v="André"/>
    <s v="ANALISTA GUSTAVO"/>
    <s v="NÃO"/>
    <x v="2"/>
    <s v="Vencido"/>
    <n v="61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s v="Gamma &amp; CIA"/>
    <x v="1"/>
    <n v="35"/>
    <d v="2025-02-18T00:00:00"/>
    <d v="2025-02-27T00:00:00"/>
    <d v="2025-02-27T00:00:00"/>
    <n v="1000"/>
    <s v="Pedro"/>
    <s v="ANALISTA GUSTAVO"/>
    <s v="NÃO"/>
    <x v="14"/>
    <s v="Vencido"/>
    <n v="61"/>
    <s v="61+ dias"/>
    <s v="Atraso Crítico"/>
    <s v="-"/>
    <s v="Sim"/>
    <m/>
    <n v="1"/>
    <s v="Sim"/>
    <d v="2025-03-24T00:00:00"/>
    <d v="2025-03-24T00:00:00"/>
    <s v="Acompanhando"/>
    <n v="1000"/>
    <s v="0"/>
  </r>
  <r>
    <s v="Filial"/>
    <m/>
    <x v="8"/>
    <n v="36"/>
    <d v="2025-02-18T00:00:00"/>
    <d v="2025-02-27T00:00:00"/>
    <d v="2025-02-27T00:00:00"/>
    <n v="1000"/>
    <s v="Pedro"/>
    <s v="ANALISTA GUSTAVO"/>
    <s v="NÃO"/>
    <x v="15"/>
    <s v="Vencido"/>
    <n v="61"/>
    <s v="61+ dias"/>
    <s v="Atraso Crítico"/>
    <s v="-"/>
    <s v="Sim"/>
    <m/>
    <n v="1"/>
    <s v="Sim"/>
    <d v="2025-03-24T00:00:00"/>
    <d v="2025-03-24T00:00:00"/>
    <s v="Acompanhando"/>
    <n v="1000"/>
    <s v="0"/>
  </r>
  <r>
    <s v="Matriz"/>
    <s v="Gamma &amp; CIA"/>
    <x v="1"/>
    <n v="37"/>
    <d v="2025-02-20T00:00:00"/>
    <d v="2025-02-27T00:00:00"/>
    <d v="2025-02-27T00:00:00"/>
    <n v="1800"/>
    <s v="Sabrina"/>
    <s v="ANALISTA GUSTAVO"/>
    <s v="NÃO"/>
    <x v="16"/>
    <s v="Vencido"/>
    <n v="61"/>
    <s v="61+ dias"/>
    <s v="Atraso Crítico"/>
    <s v="-"/>
    <s v="Sim"/>
    <m/>
    <n v="1"/>
    <s v="Sim"/>
    <d v="2025-03-24T00:00:00"/>
    <d v="2025-03-24T00:00:00"/>
    <s v="Acompanhando"/>
    <n v="1800"/>
    <s v="0"/>
  </r>
  <r>
    <s v="Matriz"/>
    <m/>
    <x v="8"/>
    <n v="38"/>
    <d v="2025-02-20T00:00:00"/>
    <d v="2025-02-27T00:00:00"/>
    <d v="2025-02-27T00:00:00"/>
    <n v="1800"/>
    <s v="Sabrina"/>
    <s v="ANALISTA GUSTAVO"/>
    <s v="NÃO"/>
    <x v="17"/>
    <s v="Vencido"/>
    <n v="61"/>
    <s v="61+ dias"/>
    <s v="Atraso Crítico"/>
    <s v="-"/>
    <s v="Sim"/>
    <m/>
    <n v="1"/>
    <s v="Sim"/>
    <d v="2025-03-24T00:00:00"/>
    <d v="2025-03-24T00:00:00"/>
    <s v="Acompanhando"/>
    <n v="1800"/>
    <s v="0"/>
  </r>
  <r>
    <s v="Filial"/>
    <s v="Gamma &amp; CIA"/>
    <x v="1"/>
    <n v="39"/>
    <d v="2025-02-25T00:00:00"/>
    <d v="2025-02-27T00:00:00"/>
    <d v="2025-02-27T00:00:00"/>
    <n v="2500"/>
    <s v="Marcos"/>
    <s v="ANALISTA GUSTAVO"/>
    <s v="NÃO"/>
    <x v="0"/>
    <s v="Vencido"/>
    <n v="61"/>
    <s v="61+ dias"/>
    <s v="Atraso Crítico"/>
    <s v="-"/>
    <s v="Sim"/>
    <m/>
    <n v="1"/>
    <s v="Sim"/>
    <d v="2025-03-24T00:00:00"/>
    <d v="2025-03-24T00:00:00"/>
    <s v="Acompanhando"/>
    <n v="2500"/>
    <s v="0"/>
  </r>
  <r>
    <s v="Filial"/>
    <m/>
    <x v="8"/>
    <n v="40"/>
    <d v="2025-02-25T00:00:00"/>
    <d v="2025-02-27T00:00:00"/>
    <d v="2025-02-27T00:00:00"/>
    <n v="2500"/>
    <s v="Marcos"/>
    <s v="ANALISTA GUSTAVO"/>
    <s v="NÃO"/>
    <x v="18"/>
    <s v="Vencido"/>
    <n v="61"/>
    <s v="61+ dias"/>
    <s v="Atraso Crítico"/>
    <s v="-"/>
    <s v="Sim"/>
    <m/>
    <n v="1"/>
    <s v="Sim"/>
    <d v="2025-03-24T00:00:00"/>
    <d v="2025-03-24T00:00:00"/>
    <s v="Acompanhando"/>
    <n v="2500"/>
    <s v="0"/>
  </r>
  <r>
    <s v="Matriz"/>
    <m/>
    <x v="8"/>
    <n v="41"/>
    <d v="2025-02-26T00:00:00"/>
    <d v="2025-02-27T00:00:00"/>
    <d v="2025-02-27T00:00:00"/>
    <n v="1400"/>
    <s v="João"/>
    <s v="ANALISTA GUSTAVO"/>
    <s v="NÃO"/>
    <x v="3"/>
    <s v="Vencido"/>
    <n v="61"/>
    <s v="61+ dias"/>
    <s v="Atraso Crítico"/>
    <s v="-"/>
    <s v="Sim"/>
    <m/>
    <n v="1"/>
    <s v="Sim"/>
    <d v="2025-03-24T00:00:00"/>
    <d v="2025-03-24T00:00:00"/>
    <s v="Acompanhando"/>
    <n v="1400"/>
    <s v="0"/>
  </r>
  <r>
    <s v="Matriz"/>
    <m/>
    <x v="8"/>
    <n v="43"/>
    <d v="2025-03-02T00:00:00"/>
    <d v="2025-03-13T00:00:00"/>
    <d v="2025-03-13T00:00:00"/>
    <n v="3000"/>
    <s v="Carlos"/>
    <s v="ANALISTA GUSTAVO"/>
    <s v="NÃO"/>
    <x v="5"/>
    <s v="Vencido"/>
    <n v="47"/>
    <s v="31-60 dias"/>
    <s v="Atraso Médio"/>
    <s v="-"/>
    <s v="Sim"/>
    <m/>
    <n v="1"/>
    <s v="Sim"/>
    <d v="2025-03-24T00:00:00"/>
    <d v="2025-03-24T00:00:00"/>
    <s v="Acompanhando"/>
    <n v="3000"/>
    <s v="0"/>
  </r>
  <r>
    <s v="Filial"/>
    <m/>
    <x v="8"/>
    <n v="44"/>
    <d v="2025-03-05T00:00:00"/>
    <d v="2025-03-20T00:00:00"/>
    <d v="2025-03-20T00:00:00"/>
    <n v="1700"/>
    <s v="Ana"/>
    <s v="ANALISTA GUSTAVO"/>
    <s v="NÃO"/>
    <x v="6"/>
    <s v="Vencido"/>
    <n v="40"/>
    <s v="31-60 dias"/>
    <s v="Atraso Médio"/>
    <s v="-"/>
    <s v="Sim"/>
    <m/>
    <n v="1"/>
    <s v="Sim"/>
    <d v="2025-03-24T00:00:00"/>
    <d v="2025-03-24T00:00:00"/>
    <s v="Acompanhando"/>
    <n v="1700"/>
    <s v="0"/>
  </r>
  <r>
    <s v="Matriz"/>
    <m/>
    <x v="9"/>
    <n v="53"/>
    <d v="2025-02-21T00:00:00"/>
    <d v="2025-03-21T00:00:00"/>
    <d v="2025-03-21T00:00:00"/>
    <n v="2700"/>
    <s v="Camila"/>
    <s v="ANALISTA LUCAS"/>
    <s v="SIM"/>
    <x v="19"/>
    <s v="Quitado"/>
    <n v="0"/>
    <s v=""/>
    <s v=""/>
    <s v="-"/>
    <s v="Sim"/>
    <m/>
    <n v="1"/>
    <s v="Sim"/>
    <d v="2025-03-24T00:00:00"/>
    <d v="2025-04-25T00:00:00"/>
    <s v="Acompanhando"/>
    <s v="0"/>
    <s v="0"/>
  </r>
  <r>
    <s v="Filial"/>
    <m/>
    <x v="9"/>
    <n v="54"/>
    <d v="2025-02-21T00:00:00"/>
    <d v="2025-03-21T00:00:00"/>
    <d v="2025-03-21T00:00:00"/>
    <n v="1600"/>
    <s v="Patríci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600"/>
    <s v="0"/>
  </r>
  <r>
    <s v="Matriz"/>
    <m/>
    <x v="9"/>
    <n v="55"/>
    <d v="2025-02-21T00:00:00"/>
    <d v="2025-03-21T00:00:00"/>
    <d v="2025-03-21T00:00:00"/>
    <n v="3000"/>
    <s v="Tiag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000"/>
    <s v="0"/>
  </r>
  <r>
    <s v="Filial"/>
    <m/>
    <x v="9"/>
    <n v="56"/>
    <d v="2025-02-21T00:00:00"/>
    <d v="2025-03-21T00:00:00"/>
    <d v="2025-03-21T00:00:00"/>
    <n v="1800"/>
    <s v="André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800"/>
    <s v="0"/>
  </r>
  <r>
    <s v="Matriz"/>
    <m/>
    <x v="9"/>
    <n v="57"/>
    <d v="2025-02-21T00:00:00"/>
    <d v="2025-03-21T00:00:00"/>
    <d v="2025-03-21T00:00:00"/>
    <n v="2200"/>
    <s v="Lu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Filial"/>
    <m/>
    <x v="9"/>
    <n v="58"/>
    <d v="2025-02-21T00:00:00"/>
    <d v="2025-03-21T00:00:00"/>
    <d v="2025-03-21T00:00:00"/>
    <n v="1500"/>
    <s v="Pedr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s v="Alpha &amp; CIA"/>
    <x v="2"/>
    <n v="59"/>
    <d v="2025-02-21T00:00:00"/>
    <d v="2025-03-21T00:00:00"/>
    <d v="2025-03-21T00:00:00"/>
    <n v="2800"/>
    <s v="Sabri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800"/>
    <s v="0"/>
  </r>
  <r>
    <s v="Filial"/>
    <m/>
    <x v="9"/>
    <n v="60"/>
    <d v="2025-02-21T00:00:00"/>
    <d v="2025-03-21T00:00:00"/>
    <d v="2025-03-21T00:00:00"/>
    <n v="3100"/>
    <s v="Marcos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100"/>
    <s v="0"/>
  </r>
  <r>
    <s v="Matriz"/>
    <m/>
    <x v="9"/>
    <n v="61"/>
    <d v="2025-02-21T00:00:00"/>
    <d v="2025-03-21T00:00:00"/>
    <d v="2025-03-21T00:00:00"/>
    <n v="1900"/>
    <s v="Joã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900"/>
    <s v="0"/>
  </r>
  <r>
    <s v="Filial"/>
    <m/>
    <x v="10"/>
    <n v="62"/>
    <d v="2025-02-21T00:00:00"/>
    <d v="2025-03-21T00:00:00"/>
    <d v="2025-03-21T00:00:00"/>
    <n v="2300"/>
    <s v="Mari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300"/>
    <s v="0"/>
  </r>
  <r>
    <s v="Matriz"/>
    <m/>
    <x v="10"/>
    <n v="63"/>
    <d v="2025-02-21T00:00:00"/>
    <d v="2025-03-21T00:00:00"/>
    <d v="2025-03-21T00:00:00"/>
    <n v="1700"/>
    <s v="Carlos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700"/>
    <s v="0"/>
  </r>
  <r>
    <s v="Filial"/>
    <m/>
    <x v="10"/>
    <n v="64"/>
    <d v="2025-02-21T00:00:00"/>
    <d v="2025-03-21T00:00:00"/>
    <d v="2025-03-21T00:00:00"/>
    <n v="2200"/>
    <s v="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Matriz"/>
    <m/>
    <x v="10"/>
    <n v="65"/>
    <d v="2025-02-21T00:00:00"/>
    <d v="2025-03-21T00:00:00"/>
    <d v="2025-03-21T00:00:00"/>
    <n v="2500"/>
    <s v="Beatriz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500"/>
    <s v="0"/>
  </r>
  <r>
    <s v="Filial"/>
    <m/>
    <x v="10"/>
    <n v="66"/>
    <d v="2025-01-21T00:00:00"/>
    <d v="2025-01-21T00:00:00"/>
    <d v="2025-01-21T00:00:00"/>
    <n v="2000"/>
    <s v="Lucas"/>
    <s v="ANALISTA LUCAS"/>
    <s v="NÃO"/>
    <x v="19"/>
    <s v="Vencido"/>
    <n v="98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m/>
    <x v="10"/>
    <n v="67"/>
    <d v="2025-02-21T00:00:00"/>
    <d v="2025-03-21T00:00:00"/>
    <d v="2025-03-21T00:00:00"/>
    <n v="3200"/>
    <s v="Carl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200"/>
    <s v="0"/>
  </r>
  <r>
    <s v="Filial"/>
    <m/>
    <x v="10"/>
    <n v="68"/>
    <d v="2025-02-21T00:00:00"/>
    <d v="2025-03-21T00:00:00"/>
    <d v="2025-03-21T00:00:00"/>
    <n v="1500"/>
    <s v="Robert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m/>
    <x v="10"/>
    <n v="69"/>
    <d v="2025-02-21T00:00:00"/>
    <d v="2025-03-21T00:00:00"/>
    <d v="2025-03-21T00:00:00"/>
    <n v="2800"/>
    <s v="Juli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800"/>
    <s v="0"/>
  </r>
  <r>
    <s v="Filial"/>
    <m/>
    <x v="10"/>
    <n v="70"/>
    <d v="2025-02-21T00:00:00"/>
    <d v="2025-03-21T00:00:00"/>
    <d v="2025-03-21T00:00:00"/>
    <n v="1700"/>
    <s v="Gustav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700"/>
    <s v="0"/>
  </r>
  <r>
    <s v="Matriz"/>
    <m/>
    <x v="11"/>
    <n v="71"/>
    <d v="2025-02-21T00:00:00"/>
    <d v="2025-03-21T00:00:00"/>
    <d v="2025-03-21T00:00:00"/>
    <n v="2200"/>
    <s v="Fernand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Filial"/>
    <m/>
    <x v="11"/>
    <n v="72"/>
    <d v="2025-02-21T00:00:00"/>
    <d v="2025-03-21T00:00:00"/>
    <d v="2025-03-21T00:00:00"/>
    <n v="2200"/>
    <s v="Fernanda"/>
    <s v="ANALISTA SIMONE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Matriz"/>
    <m/>
    <x v="11"/>
    <n v="51"/>
    <d v="2025-02-21T00:00:00"/>
    <d v="2025-03-21T00:00:00"/>
    <d v="2025-03-21T00:00:00"/>
    <n v="1500"/>
    <s v="Fernand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m/>
    <x v="11"/>
    <n v="45"/>
    <d v="2025-03-08T00:00:00"/>
    <d v="2025-03-21T00:00:00"/>
    <d v="2025-03-21T00:00:00"/>
    <n v="2100"/>
    <s v="Beatriz"/>
    <s v="ANALISTA GUSTAVO"/>
    <s v="NÃO"/>
    <x v="19"/>
    <s v="Vencido"/>
    <n v="39"/>
    <s v="31-60 dias"/>
    <s v="Atraso Médio"/>
    <s v="-"/>
    <s v="Sim"/>
    <m/>
    <n v="1"/>
    <s v="Sim"/>
    <d v="2025-03-24T00:00:00"/>
    <d v="2025-03-24T00:00:00"/>
    <s v="Acompanhando"/>
    <n v="2100"/>
    <s v="0"/>
  </r>
  <r>
    <s v="Filial"/>
    <m/>
    <x v="11"/>
    <n v="46"/>
    <d v="2025-03-10T00:00:00"/>
    <d v="2025-03-22T00:00:00"/>
    <d v="2025-03-22T00:00:00"/>
    <n v="1900"/>
    <s v="Lucas"/>
    <s v="ANALISTA GUSTAVO"/>
    <s v="NÃO"/>
    <x v="8"/>
    <s v="Vencido"/>
    <n v="38"/>
    <s v="31-60 dias"/>
    <s v="Atraso Médio"/>
    <s v="-"/>
    <s v="Sim"/>
    <m/>
    <n v="1"/>
    <s v="Sim"/>
    <d v="2025-03-24T00:00:00"/>
    <d v="2025-03-24T00:00:00"/>
    <s v="Acompanhando"/>
    <n v="1900"/>
    <s v="0"/>
  </r>
  <r>
    <s v="Matriz"/>
    <m/>
    <x v="11"/>
    <n v="47"/>
    <d v="2025-03-12T00:00:00"/>
    <d v="2025-03-23T00:00:00"/>
    <d v="2025-03-23T00:00:00"/>
    <n v="2500"/>
    <s v="Carla"/>
    <s v="ANALISTA GUSTAVO"/>
    <s v="NÃO"/>
    <x v="9"/>
    <s v="Vencido"/>
    <n v="37"/>
    <s v="31-60 dias"/>
    <s v="Atraso Médio"/>
    <s v="-"/>
    <s v="Não"/>
    <m/>
    <n v="1"/>
    <s v="Sim"/>
    <d v="2025-03-24T00:00:00"/>
    <d v="2025-03-24T00:00:00"/>
    <s v="Acompanhando"/>
    <n v="2500"/>
    <s v="0"/>
  </r>
  <r>
    <s v="Filial"/>
    <m/>
    <x v="11"/>
    <n v="48"/>
    <d v="2025-03-15T00:00:00"/>
    <d v="2025-03-24T00:00:00"/>
    <d v="2025-03-24T00:00:00"/>
    <n v="2300"/>
    <s v="Roberto"/>
    <s v="ANALISTA GUSTAVO"/>
    <s v="NÃO"/>
    <x v="9"/>
    <s v="Vencido"/>
    <n v="36"/>
    <s v="31-60 dias"/>
    <s v="Atraso Médio"/>
    <s v="-"/>
    <s v="Não"/>
    <m/>
    <m/>
    <s v="Não"/>
    <d v="2025-03-25T00:00:00"/>
    <d v="2025-03-25T00:00:00"/>
    <s v="Acompanhando"/>
    <n v="2300"/>
    <s v="0"/>
  </r>
  <r>
    <s v="Matriz"/>
    <m/>
    <x v="11"/>
    <n v="49"/>
    <d v="2025-03-18T00:00:00"/>
    <d v="2025-03-25T00:00:00"/>
    <d v="2025-03-25T00:00:00"/>
    <n v="2200"/>
    <s v="Roberto"/>
    <s v="ANALISTA GUSTAVO"/>
    <s v="NÃO"/>
    <x v="9"/>
    <s v="Vencido"/>
    <n v="35"/>
    <s v="31-60 dias"/>
    <s v="Atraso Médio"/>
    <s v="-"/>
    <s v="Não"/>
    <m/>
    <m/>
    <s v="Não"/>
    <d v="2025-03-27T00:00:00"/>
    <d v="2025-03-27T00:00:00"/>
    <s v="Acompanhando"/>
    <n v="2200"/>
    <s v="0"/>
  </r>
  <r>
    <s v="Filial"/>
    <m/>
    <x v="11"/>
    <n v="50"/>
    <d v="2025-03-22T00:00:00"/>
    <d v="2025-03-26T00:00:00"/>
    <d v="2025-03-26T00:00:00"/>
    <n v="1800"/>
    <s v="Gustavo"/>
    <s v="ANALISTA GUSTAVO"/>
    <s v="NÃO"/>
    <x v="9"/>
    <s v="Vencido"/>
    <n v="34"/>
    <s v="31-60 dias"/>
    <s v="Atraso Médio"/>
    <s v="-"/>
    <s v="Não"/>
    <m/>
    <m/>
    <s v="Não"/>
    <d v="2025-03-28T00:00:00"/>
    <d v="2025-03-28T00:00:00"/>
    <s v="Acompanhando"/>
    <n v="1800"/>
    <s v="0"/>
  </r>
  <r>
    <s v="Filial"/>
    <m/>
    <x v="11"/>
    <n v="42"/>
    <d v="2025-02-28T00:00:00"/>
    <d v="2025-03-28T00:00:00"/>
    <d v="2025-03-28T00:00:00"/>
    <n v="2300"/>
    <s v="Maria"/>
    <s v="ANALISTA GUSTAVO"/>
    <s v="NÃO"/>
    <x v="9"/>
    <s v="Vencido"/>
    <n v="32"/>
    <s v="31-60 dias"/>
    <s v="Atraso Médio"/>
    <s v="-"/>
    <s v="Não"/>
    <m/>
    <m/>
    <s v="Não"/>
    <d v="2025-03-29T00:00:00"/>
    <d v="2025-03-29T00:00:00"/>
    <s v="Acompanhando"/>
    <n v="2300"/>
    <s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Filial"/>
    <x v="0"/>
    <s v="BemEstar"/>
    <n v="52"/>
    <d v="2024-01-20T00:00:00"/>
    <d v="2024-01-22T00:00:00"/>
    <d v="2024-01-23T00:00:00"/>
    <n v="1400"/>
    <s v="Felipe"/>
    <s v="ANALISTA LUCAS"/>
    <s v="NÃO"/>
    <s v="Promessa de pagamento não cumprida"/>
    <s v="Vencido"/>
    <n v="463"/>
    <s v="61+ dias"/>
    <s v="Atraso Crítico"/>
    <s v="-"/>
    <s v="Sim"/>
    <m/>
    <n v="1"/>
    <s v="Sim"/>
    <d v="2025-03-24T00:00:00"/>
    <d v="2025-04-25T00:00:00"/>
    <s v="Acompanhando"/>
    <n v="1400"/>
  </r>
  <r>
    <s v="Matriz"/>
    <x v="1"/>
    <s v="Gamma &amp; CIA"/>
    <n v="33"/>
    <d v="2024-02-15T00:00:00"/>
    <s v=" "/>
    <d v="2024-02-17T00:00:00"/>
    <n v="2000"/>
    <s v="Luana"/>
    <s v="ANALISTA GUSTAVO"/>
    <s v="NÃO"/>
    <s v="Cliente em inadimplência sem previsão de pagamento"/>
    <s v="A Vencer"/>
    <e v="#VALUE!"/>
    <s v=""/>
    <s v=""/>
    <s v="-"/>
    <s v="Sim"/>
    <m/>
    <n v="1"/>
    <s v="Sim"/>
    <d v="2025-03-24T00:00:00"/>
    <d v="2025-04-25T00:00:00"/>
    <s v="Acompanhando"/>
    <s v="0"/>
  </r>
  <r>
    <s v="Matriz"/>
    <x v="0"/>
    <s v="BemEstar"/>
    <n v="34"/>
    <d v="2025-01-01T00:00:00"/>
    <d v="2025-02-01T00:00:00"/>
    <d v="2025-03-21T00:00:00"/>
    <n v="2000"/>
    <s v="Luana"/>
    <s v="ANALISTA GUSTAVO"/>
    <s v="NÃO"/>
    <s v="Pagamento em processo (aguardando confirmação bancária)"/>
    <s v="Vencido"/>
    <n v="87"/>
    <s v="61+ dias"/>
    <s v="Atraso Crítico"/>
    <s v="-"/>
    <s v="Sim"/>
    <m/>
    <n v="1"/>
    <s v="Sim"/>
    <d v="2025-03-24T00:00:00"/>
    <d v="2025-04-25T00:00:00"/>
    <s v="Acompanhando"/>
    <n v="2000"/>
  </r>
  <r>
    <s v="Matriz"/>
    <x v="2"/>
    <s v="Alpha &amp; CIA"/>
    <n v="1"/>
    <d v="2025-01-01T00:00:00"/>
    <d v="2025-02-02T00:00:00"/>
    <d v="2025-03-21T00:00:00"/>
    <n v="1000"/>
    <s v="João"/>
    <s v="ANALISTA SIMONE"/>
    <s v="NÃO"/>
    <s v="Situação com comercial (aguardando análise comercial)"/>
    <s v="Vencido"/>
    <n v="86"/>
    <s v="61+ dias"/>
    <s v="Atraso Crítico"/>
    <s v="-"/>
    <s v="Sim"/>
    <m/>
    <n v="1"/>
    <s v="Sim"/>
    <d v="2025-03-24T00:00:00"/>
    <d v="2025-04-25T00:00:00"/>
    <s v="Acompanhando"/>
    <n v="1000"/>
  </r>
  <r>
    <s v="Matriz"/>
    <x v="2"/>
    <s v="Beta"/>
    <n v="2"/>
    <d v="2025-01-01T00:00:00"/>
    <d v="2025-02-02T00:00:00"/>
    <d v="2025-03-21T00:00:00"/>
    <n v="1000"/>
    <s v="João"/>
    <s v="ANALISTA SIMONE"/>
    <s v="NÃO"/>
    <s v="Aguardando aprovação de crédito"/>
    <s v="Vencido"/>
    <n v="86"/>
    <s v="61+ dias"/>
    <s v="Atraso Crítico"/>
    <s v="-"/>
    <s v="Sim"/>
    <m/>
    <n v="1"/>
    <s v="Sim"/>
    <d v="2025-03-24T00:00:00"/>
    <d v="2025-05-25T00:00:00"/>
    <s v="Acompanhando"/>
    <n v="1000"/>
  </r>
  <r>
    <s v="Filial"/>
    <x v="2"/>
    <s v="Delta"/>
    <n v="3"/>
    <d v="2025-01-02T00:00:00"/>
    <d v="2025-02-02T00:00:00"/>
    <d v="2025-03-21T00:00:00"/>
    <n v="2500"/>
    <s v="Maria"/>
    <s v="ANALISTA SIMONE"/>
    <s v="NÃO"/>
    <s v="Cliente não localizado"/>
    <s v="Vencido"/>
    <n v="86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2"/>
    <s v="Delta"/>
    <n v="4"/>
    <d v="2025-01-02T00:00:00"/>
    <d v="2025-02-02T00:00:00"/>
    <d v="2025-03-21T00:00:00"/>
    <n v="2500"/>
    <s v="Maria"/>
    <s v="ANALISTA SIMONE"/>
    <s v="NÃO"/>
    <s v="Promessa de pagamento refeito"/>
    <s v="Vencido"/>
    <n v="86"/>
    <s v="61+ dias"/>
    <s v="Atraso Crítico"/>
    <s v="-"/>
    <s v="Sim"/>
    <m/>
    <n v="1"/>
    <s v="Sim"/>
    <d v="2025-03-24T00:00:00"/>
    <d v="2025-05-25T00:00:00"/>
    <s v="Acompanhando"/>
    <n v="2500"/>
  </r>
  <r>
    <s v="Matriz"/>
    <x v="2"/>
    <s v="Theta"/>
    <n v="5"/>
    <d v="2025-01-05T00:00:00"/>
    <d v="2025-02-02T00:00:00"/>
    <d v="2025-03-21T00:00:00"/>
    <n v="3000"/>
    <s v="Carlos"/>
    <s v="ANALISTA SIMONE"/>
    <s v="NÃO"/>
    <s v="Proposta de renegociação pendente"/>
    <s v="Vencido"/>
    <n v="86"/>
    <s v="61+ dias"/>
    <s v="Atraso Crítico"/>
    <s v="-"/>
    <s v="Sim"/>
    <m/>
    <n v="1"/>
    <s v="Sim"/>
    <d v="2025-03-24T00:00:00"/>
    <d v="2025-05-25T00:00:00"/>
    <s v="Acompanhando"/>
    <n v="3000"/>
  </r>
  <r>
    <s v="Matriz"/>
    <x v="2"/>
    <s v="Zeta"/>
    <n v="6"/>
    <d v="2025-01-05T00:00:00"/>
    <d v="2025-02-02T00:00:00"/>
    <d v="2025-03-21T00:00:00"/>
    <n v="3000"/>
    <s v="Carlos"/>
    <s v="ANALISTA SIMONE"/>
    <s v="NÃO"/>
    <s v="Bloqueio de sistema por inadimplência"/>
    <s v="Vencido"/>
    <n v="86"/>
    <s v="61+ dias"/>
    <s v="Atraso Crítico"/>
    <s v="-"/>
    <s v="Sim"/>
    <m/>
    <n v="1"/>
    <s v="Sim"/>
    <d v="2025-03-24T00:00:00"/>
    <d v="2025-05-25T00:00:00"/>
    <s v="Acompanhando"/>
    <n v="3000"/>
  </r>
  <r>
    <s v="Filial"/>
    <x v="0"/>
    <s v="BemEstar"/>
    <n v="7"/>
    <d v="2025-01-06T00:00:00"/>
    <d v="2025-02-02T00:00:00"/>
    <d v="2025-03-21T00:00:00"/>
    <n v="1500"/>
    <s v="Ana"/>
    <s v="ANALISTA SIMONE"/>
    <s v="NÃO"/>
    <s v="Acordo em andamento (aguardando pagamento)"/>
    <s v="Vencido"/>
    <n v="86"/>
    <s v="61+ dias"/>
    <s v="Atraso Crítico"/>
    <s v="-"/>
    <s v="Sim"/>
    <m/>
    <n v="1"/>
    <s v="Sim"/>
    <d v="2025-03-24T00:00:00"/>
    <d v="2025-05-25T00:00:00"/>
    <s v="Acompanhando"/>
    <n v="1500"/>
  </r>
  <r>
    <s v="Filial"/>
    <x v="0"/>
    <s v="BemEstar"/>
    <n v="8"/>
    <d v="2025-01-06T00:00:00"/>
    <d v="2025-02-02T00:00:00"/>
    <d v="2025-03-21T00:00:00"/>
    <n v="1500"/>
    <s v="Ana"/>
    <s v="ANALISTA SIMONE"/>
    <s v="NÃO"/>
    <s v="Negociação finalizada, pendente de pagamento"/>
    <s v="Vencido"/>
    <n v="86"/>
    <s v="61+ dias"/>
    <s v="Atraso Crítico"/>
    <s v="-"/>
    <s v="Sim"/>
    <m/>
    <n v="1"/>
    <s v="Sim"/>
    <d v="2025-03-24T00:00:00"/>
    <d v="2025-05-25T00:00:00"/>
    <s v="Acompanhando"/>
    <n v="1500"/>
  </r>
  <r>
    <s v="Matriz"/>
    <x v="0"/>
    <s v="BemEstar"/>
    <n v="9"/>
    <d v="2025-01-10T00:00:00"/>
    <d v="2025-02-10T00:00:00"/>
    <d v="2025-03-21T00:00:00"/>
    <n v="2200"/>
    <s v="Beatriz"/>
    <s v="ANALISTA SIMONE"/>
    <s v="NÃO"/>
    <s v="Cliente em processo de análise para reativação"/>
    <s v="Vencido"/>
    <n v="78"/>
    <s v="61+ dias"/>
    <s v="Atraso Crítico"/>
    <s v="-"/>
    <s v="Sim"/>
    <m/>
    <n v="1"/>
    <s v="Sim"/>
    <d v="2025-03-24T00:00:00"/>
    <d v="2025-05-25T00:00:00"/>
    <s v="Acompanhando"/>
    <n v="2200"/>
  </r>
  <r>
    <s v="Matriz"/>
    <x v="0"/>
    <s v="BemEstar"/>
    <n v="10"/>
    <d v="2025-01-10T00:00:00"/>
    <d v="2025-02-11T00:00:00"/>
    <d v="2025-03-21T00:00:00"/>
    <n v="2200"/>
    <s v="Beatriz"/>
    <s v="ANALISTA SIMONE"/>
    <s v="NÃO"/>
    <s v="Acordo cumprido parcialmente"/>
    <s v="Vencido"/>
    <n v="77"/>
    <s v="61+ dias"/>
    <s v="Atraso Crítico"/>
    <s v="-"/>
    <s v="Sim"/>
    <m/>
    <n v="1"/>
    <s v="Sim"/>
    <d v="2025-03-24T00:00:00"/>
    <d v="2025-05-25T00:00:00"/>
    <s v="Acompanhando"/>
    <n v="2200"/>
  </r>
  <r>
    <s v="Filial"/>
    <x v="0"/>
    <s v="BemEstar"/>
    <n v="11"/>
    <d v="2025-01-12T00:00:00"/>
    <d v="2025-02-12T00:00:00"/>
    <d v="2025-02-13T00:00:00"/>
    <n v="1000"/>
    <s v="Lucas"/>
    <s v="ANALISTA SIMONE"/>
    <s v="NÃO"/>
    <s v="Aguardando liberação do financeiro"/>
    <s v="Vencido"/>
    <n v="76"/>
    <s v="61+ dias"/>
    <s v="Atraso Crítico"/>
    <s v="-"/>
    <s v="Sim"/>
    <m/>
    <n v="1"/>
    <s v="Sim"/>
    <d v="2025-03-24T00:00:00"/>
    <d v="2025-05-25T00:00:00"/>
    <s v="Acompanhando"/>
    <n v="1000"/>
  </r>
  <r>
    <s v="Filial"/>
    <x v="0"/>
    <s v="MundoInovador"/>
    <n v="12"/>
    <d v="2025-01-12T00:00:00"/>
    <d v="2025-02-13T00:00:00"/>
    <d v="2025-03-21T00:00:00"/>
    <n v="1000"/>
    <s v="Lucas"/>
    <s v="ANALISTA SIMONE"/>
    <s v="NÃO"/>
    <s v="Pagamento em processo (aguardando confirmação bancária)"/>
    <s v="Vencido"/>
    <n v="75"/>
    <s v="61+ dias"/>
    <s v="Atraso Crítico"/>
    <s v="-"/>
    <s v="Sim"/>
    <m/>
    <n v="1"/>
    <s v="Sim"/>
    <d v="2025-03-24T00:00:00"/>
    <d v="2025-05-25T00:00:00"/>
    <s v="Acompanhando"/>
    <n v="1000"/>
  </r>
  <r>
    <s v="Matriz"/>
    <x v="2"/>
    <s v="Alpha &amp; CIA"/>
    <n v="13"/>
    <d v="2025-01-15T00:00:00"/>
    <d v="2025-02-14T00:00:00"/>
    <d v="2025-03-21T00:00:00"/>
    <n v="1500"/>
    <s v="Carla"/>
    <s v="ANALISTA SIMONE"/>
    <s v="NÃO"/>
    <s v="Cliente em inadimplência sem previsão de pagamento"/>
    <s v="Vencido"/>
    <n v="74"/>
    <s v="61+ dias"/>
    <s v="Atraso Crítico"/>
    <s v="-"/>
    <s v="Sim"/>
    <m/>
    <n v="1"/>
    <s v="Sim"/>
    <d v="2025-03-24T00:00:00"/>
    <d v="2025-05-25T00:00:00"/>
    <s v="Acompanhando"/>
    <n v="1500"/>
  </r>
  <r>
    <s v="Matriz"/>
    <x v="0"/>
    <s v="MundoInovador"/>
    <n v="14"/>
    <d v="2025-01-15T00:00:00"/>
    <d v="2025-02-15T00:00:00"/>
    <d v="2025-03-21T00:00:00"/>
    <n v="1500"/>
    <s v="Carla"/>
    <s v="ANALISTA SIMONE"/>
    <s v="NÃO"/>
    <s v="Pagamento em processo (aguardando confirmação bancária)"/>
    <s v="Vencido"/>
    <n v="73"/>
    <s v="61+ dias"/>
    <s v="Atraso Crítico"/>
    <s v="-"/>
    <s v="Sim"/>
    <m/>
    <n v="1"/>
    <s v="Sim"/>
    <d v="2025-03-24T00:00:00"/>
    <d v="2025-05-25T00:00:00"/>
    <s v="Acompanhando"/>
    <n v="1500"/>
  </r>
  <r>
    <s v="Filial"/>
    <x v="2"/>
    <s v="Alpha &amp; CIA"/>
    <n v="15"/>
    <d v="2025-01-18T00:00:00"/>
    <d v="2025-02-16T00:00:00"/>
    <d v="2025-03-21T00:00:00"/>
    <n v="3000"/>
    <s v="Roberto"/>
    <s v="ANALISTA SIMONE"/>
    <s v="NÃO"/>
    <s v="Situação jurídica em andamento (em processo judicial)"/>
    <s v="Vencido"/>
    <n v="72"/>
    <s v="61+ dias"/>
    <s v="Atraso Crítico"/>
    <s v="-"/>
    <s v="Sim"/>
    <m/>
    <n v="1"/>
    <s v="Sim"/>
    <d v="2025-03-24T00:00:00"/>
    <d v="2025-05-25T00:00:00"/>
    <s v="Acompanhando"/>
    <n v="3000"/>
  </r>
  <r>
    <s v="Filial"/>
    <x v="0"/>
    <s v="MundoInovador"/>
    <n v="16"/>
    <d v="2025-01-18T00:00:00"/>
    <d v="2025-02-17T00:00:00"/>
    <d v="2025-03-21T00:00:00"/>
    <n v="3000"/>
    <s v="Roberto"/>
    <s v="ANALISTA SIMONE"/>
    <s v="NÃO"/>
    <s v="Cancelamento de cobrança solicitado"/>
    <s v="Vencido"/>
    <n v="71"/>
    <s v="61+ dias"/>
    <s v="Atraso Crítico"/>
    <s v="-"/>
    <s v="Sim"/>
    <m/>
    <n v="1"/>
    <s v="Sim"/>
    <d v="2025-03-24T00:00:00"/>
    <d v="2025-05-25T00:00:00"/>
    <s v="Acompanhando"/>
    <n v="3000"/>
  </r>
  <r>
    <s v="Matriz"/>
    <x v="2"/>
    <s v="Alpha &amp; CIA"/>
    <n v="17"/>
    <d v="2025-01-20T00:00:00"/>
    <d v="2025-02-18T00:00:00"/>
    <d v="2025-03-21T00:00:00"/>
    <n v="2800"/>
    <s v="Juliana"/>
    <s v="ANALISTA SIMONE"/>
    <s v="NÃO"/>
    <s v="Cliente alegando dificuldades financeiras"/>
    <s v="Vencido"/>
    <n v="70"/>
    <s v="61+ dias"/>
    <s v="Atraso Crítico"/>
    <s v="-"/>
    <s v="Sim"/>
    <m/>
    <n v="1"/>
    <s v="Sim"/>
    <d v="2025-03-24T00:00:00"/>
    <d v="2025-05-25T00:00:00"/>
    <s v="Acompanhando"/>
    <n v="2800"/>
  </r>
  <r>
    <s v="Matriz"/>
    <x v="0"/>
    <s v="MundoInovador"/>
    <n v="18"/>
    <d v="2025-01-20T00:00:00"/>
    <d v="2025-02-19T00:00:00"/>
    <d v="2025-03-21T00:00:00"/>
    <n v="2800"/>
    <s v="Juliana"/>
    <s v="ANALISTA SIMONE"/>
    <s v="NÃO"/>
    <s v="Aguardando resolução interna da empresa"/>
    <s v="Vencido"/>
    <n v="69"/>
    <s v="61+ dias"/>
    <s v="Atraso Crítico"/>
    <s v="-"/>
    <s v="Sim"/>
    <m/>
    <n v="1"/>
    <s v="Sim"/>
    <d v="2025-03-24T00:00:00"/>
    <d v="2025-05-25T00:00:00"/>
    <s v="Acompanhando"/>
    <n v="2800"/>
  </r>
  <r>
    <s v="Filial"/>
    <x v="2"/>
    <s v="Alpha &amp; CIA"/>
    <n v="19"/>
    <d v="2025-01-25T00:00:00"/>
    <d v="2025-02-20T00:00:00"/>
    <d v="2025-03-21T00:00:00"/>
    <n v="1200"/>
    <s v="Gustavo"/>
    <s v="ANALISTA SIMONE"/>
    <s v="NÃO"/>
    <s v="Promessa de pagamento não cumprida"/>
    <s v="Vencido"/>
    <n v="68"/>
    <s v="61+ dias"/>
    <s v="Atraso Crítico"/>
    <s v="-"/>
    <s v="Sim"/>
    <m/>
    <n v="1"/>
    <s v="Sim"/>
    <d v="2025-03-24T00:00:00"/>
    <d v="2025-05-25T00:00:00"/>
    <s v="Acompanhando"/>
    <n v="1200"/>
  </r>
  <r>
    <s v="Matriz"/>
    <x v="1"/>
    <s v="Gamma &amp; CIA"/>
    <n v="21"/>
    <d v="2025-02-01T00:00:00"/>
    <d v="2025-02-20T00:00:00"/>
    <d v="2025-02-20T00:00:00"/>
    <n v="2500"/>
    <s v="Fernanda"/>
    <s v="ANALISTA SIMONE"/>
    <s v="NÃO"/>
    <s v="Acordo de pagamento pendente"/>
    <s v="Vencido"/>
    <n v="68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0"/>
    <s v="MundoInovador"/>
    <n v="20"/>
    <d v="2025-01-25T00:00:00"/>
    <d v="2025-02-21T00:00:00"/>
    <d v="2025-02-21T00:00:00"/>
    <n v="1200"/>
    <s v="Gustavo"/>
    <s v="ANALISTA SIMONE"/>
    <s v="NÃO"/>
    <s v="Situação com comercial (aguardando análise comercial)"/>
    <s v="Vencido"/>
    <n v="67"/>
    <s v="61+ dias"/>
    <s v="Atraso Crítico"/>
    <s v="-"/>
    <s v="Sim"/>
    <m/>
    <n v="1"/>
    <s v="Sim"/>
    <d v="2025-03-24T00:00:00"/>
    <d v="2025-05-25T00:00:00"/>
    <s v="Acompanhando"/>
    <n v="1200"/>
  </r>
  <r>
    <s v="Matriz"/>
    <x v="0"/>
    <s v="MundoInovador"/>
    <n v="22"/>
    <d v="2025-02-01T00:00:00"/>
    <d v="2025-02-21T00:00:00"/>
    <d v="2025-02-21T00:00:00"/>
    <n v="2500"/>
    <s v="Fernanda"/>
    <s v="ANALISTA SIMONE"/>
    <s v="NÃO"/>
    <s v="Aguardando aprovação de crédito"/>
    <s v="Vencido"/>
    <n v="67"/>
    <s v="61+ dias"/>
    <s v="Atraso Crítico"/>
    <s v="-"/>
    <s v="Sim"/>
    <m/>
    <n v="1"/>
    <s v="Sim"/>
    <d v="2025-03-24T00:00:00"/>
    <d v="2025-05-25T00:00:00"/>
    <s v="Acompanhando"/>
    <n v="2500"/>
  </r>
  <r>
    <s v="Filial"/>
    <x v="1"/>
    <s v="Gamma &amp; CIA"/>
    <n v="23"/>
    <d v="2025-02-02T00:00:00"/>
    <d v="2025-02-22T00:00:00"/>
    <d v="2025-02-22T00:00:00"/>
    <n v="3000"/>
    <s v="Felipe"/>
    <s v="ANALISTA SIMONE"/>
    <s v="NÃO"/>
    <s v="Cliente não localizado"/>
    <s v="Vencido"/>
    <n v="66"/>
    <s v="61+ dias"/>
    <s v="Atraso Crítico"/>
    <s v="-"/>
    <s v="Sim"/>
    <m/>
    <n v="1"/>
    <s v="Sim"/>
    <d v="2025-03-24T00:00:00"/>
    <d v="2025-03-24T00:00:00"/>
    <s v="Acompanhando"/>
    <n v="3000"/>
  </r>
  <r>
    <s v="Filial"/>
    <x v="0"/>
    <s v="MundoInovador"/>
    <n v="24"/>
    <d v="2025-02-02T00:00:00"/>
    <d v="2025-02-23T00:00:00"/>
    <d v="2025-02-23T00:00:00"/>
    <n v="3000"/>
    <s v="Felipe"/>
    <s v="ANALISTA GUSTAVO"/>
    <s v="NÃO"/>
    <s v="Promessa de pagamento refeito"/>
    <s v="Vencido"/>
    <n v="65"/>
    <s v="61+ dias"/>
    <s v="Atraso Crítico"/>
    <s v="-"/>
    <s v="Sim"/>
    <m/>
    <n v="1"/>
    <s v="Sim"/>
    <d v="2025-03-24T00:00:00"/>
    <d v="2025-03-24T00:00:00"/>
    <s v="Acompanhando"/>
    <n v="3000"/>
  </r>
  <r>
    <s v="Matriz"/>
    <x v="1"/>
    <s v="Gamma &amp; CIA"/>
    <n v="25"/>
    <d v="2025-02-05T00:00:00"/>
    <d v="2025-02-24T00:00:00"/>
    <d v="2025-02-24T00:00:00"/>
    <n v="1200"/>
    <s v="Camila"/>
    <s v="ANALISTA GUSTAVO"/>
    <s v="NÃO"/>
    <s v="Proposta de renegociação pendente"/>
    <s v="Vencido"/>
    <n v="64"/>
    <s v="61+ dias"/>
    <s v="Atraso Crítico"/>
    <s v="-"/>
    <s v="Sim"/>
    <m/>
    <n v="1"/>
    <s v="Sim"/>
    <d v="2025-03-24T00:00:00"/>
    <d v="2025-03-24T00:00:00"/>
    <s v="Acompanhando"/>
    <n v="1200"/>
  </r>
  <r>
    <s v="Matriz"/>
    <x v="0"/>
    <s v="MundoInovador"/>
    <n v="26"/>
    <d v="2025-02-05T00:00:00"/>
    <d v="2025-02-25T00:00:00"/>
    <d v="2025-02-25T00:00:00"/>
    <n v="1200"/>
    <s v="Camila"/>
    <s v="ANALISTA GUSTAVO"/>
    <s v="NÃO"/>
    <s v="Bloqueio de sistema por inadimplência"/>
    <s v="Vencido"/>
    <n v="63"/>
    <s v="61+ dias"/>
    <s v="Atraso Crítico"/>
    <s v="-"/>
    <s v="Sim"/>
    <m/>
    <n v="1"/>
    <s v="Sim"/>
    <d v="2025-03-24T00:00:00"/>
    <d v="2025-03-24T00:00:00"/>
    <s v="Acompanhando"/>
    <n v="1200"/>
  </r>
  <r>
    <s v="Filial"/>
    <x v="1"/>
    <s v="Gamma &amp; CIA"/>
    <n v="27"/>
    <d v="2025-02-06T00:00:00"/>
    <d v="2025-02-26T00:00:00"/>
    <d v="2025-02-26T00:00:00"/>
    <n v="2000"/>
    <s v="Patrícia"/>
    <s v="ANALISTA GUSTAVO"/>
    <s v="NÃO"/>
    <s v="Acordo em andamento (aguardando pagamento)"/>
    <s v="Vencido"/>
    <n v="62"/>
    <s v="61+ dias"/>
    <s v="Atraso Crítico"/>
    <s v="-"/>
    <s v="Sim"/>
    <m/>
    <n v="1"/>
    <s v="Sim"/>
    <d v="2025-03-24T00:00:00"/>
    <d v="2025-03-24T00:00:00"/>
    <s v="Acompanhando"/>
    <n v="2000"/>
  </r>
  <r>
    <s v="Filial"/>
    <x v="0"/>
    <s v="MundoInovador"/>
    <n v="28"/>
    <d v="2025-02-06T00:00:00"/>
    <d v="2025-02-27T00:00:00"/>
    <d v="2025-02-27T00:00:00"/>
    <n v="2000"/>
    <s v="Patrícia"/>
    <s v="ANALISTA GUSTAVO"/>
    <s v="NÃO"/>
    <s v="Negociação finalizada, pendente de pagamento"/>
    <s v="Vencido"/>
    <n v="61"/>
    <s v="61+ dias"/>
    <s v="Atraso Crítico"/>
    <s v="-"/>
    <s v="Sim"/>
    <m/>
    <n v="1"/>
    <s v="Sim"/>
    <d v="2025-03-24T00:00:00"/>
    <d v="2025-03-24T00:00:00"/>
    <s v="Acompanhando"/>
    <n v="2000"/>
  </r>
  <r>
    <s v="Matriz"/>
    <x v="1"/>
    <s v="Gamma &amp; CIA"/>
    <n v="29"/>
    <d v="2025-02-10T00:00:00"/>
    <d v="2025-02-27T00:00:00"/>
    <d v="2025-02-27T00:00:00"/>
    <n v="3200"/>
    <s v="Tiago"/>
    <s v="ANALISTA GUSTAVO"/>
    <s v="NÃO"/>
    <s v="Cliente em processo de análise para reativação"/>
    <s v="Vencido"/>
    <n v="61"/>
    <s v="61+ dias"/>
    <s v="Atraso Crítico"/>
    <s v="-"/>
    <s v="Sim"/>
    <m/>
    <n v="1"/>
    <s v="Sim"/>
    <d v="2025-03-24T00:00:00"/>
    <d v="2025-03-24T00:00:00"/>
    <s v="Acompanhando"/>
    <n v="3200"/>
  </r>
  <r>
    <s v="Matriz"/>
    <x v="0"/>
    <s v="SoftLink"/>
    <n v="30"/>
    <d v="2025-02-10T00:00:00"/>
    <d v="2025-02-27T00:00:00"/>
    <d v="2025-02-27T00:00:00"/>
    <n v="3200"/>
    <s v="Tiago"/>
    <s v="ANALISTA GUSTAVO"/>
    <s v="NÃO"/>
    <s v="Acordo cumprido parcialmente"/>
    <s v="Vencido"/>
    <n v="61"/>
    <s v="61+ dias"/>
    <s v="Atraso Crítico"/>
    <s v="-"/>
    <s v="Sim"/>
    <m/>
    <n v="1"/>
    <s v="Sim"/>
    <d v="2025-03-24T00:00:00"/>
    <d v="2025-03-24T00:00:00"/>
    <s v="Acompanhando"/>
    <n v="3200"/>
  </r>
  <r>
    <s v="Filial"/>
    <x v="1"/>
    <s v="Gamma &amp; CIA"/>
    <n v="31"/>
    <d v="2025-02-12T00:00:00"/>
    <d v="2025-02-27T00:00:00"/>
    <d v="2025-02-27T00:00:00"/>
    <n v="1500"/>
    <s v="André"/>
    <s v="ANALISTA GUSTAVO"/>
    <s v="NÃO"/>
    <s v="Aguardando liberação do financeiro"/>
    <s v="Vencido"/>
    <n v="61"/>
    <s v="61+ dias"/>
    <s v="Atraso Crítico"/>
    <s v="-"/>
    <s v="Sim"/>
    <m/>
    <n v="1"/>
    <s v="Sim"/>
    <d v="2025-03-24T00:00:00"/>
    <d v="2025-03-24T00:00:00"/>
    <s v="Acompanhando"/>
    <n v="1500"/>
  </r>
  <r>
    <s v="Filial"/>
    <x v="0"/>
    <s v="SoftLink"/>
    <n v="32"/>
    <d v="2025-02-12T00:00:00"/>
    <d v="2025-02-27T00:00:00"/>
    <d v="2025-02-27T00:00:00"/>
    <n v="1500"/>
    <s v="André"/>
    <s v="ANALISTA GUSTAVO"/>
    <s v="NÃO"/>
    <s v="Pagamento em processo (aguardando confirmação bancária)"/>
    <s v="Vencido"/>
    <n v="61"/>
    <s v="61+ dias"/>
    <s v="Atraso Crítico"/>
    <s v="-"/>
    <s v="Sim"/>
    <m/>
    <n v="1"/>
    <s v="Sim"/>
    <d v="2025-03-24T00:00:00"/>
    <d v="2025-03-24T00:00:00"/>
    <s v="Acompanhando"/>
    <n v="1500"/>
  </r>
  <r>
    <s v="Filial"/>
    <x v="1"/>
    <s v="Gamma &amp; CIA"/>
    <n v="35"/>
    <d v="2025-02-18T00:00:00"/>
    <d v="2025-02-27T00:00:00"/>
    <d v="2025-02-27T00:00:00"/>
    <n v="1000"/>
    <s v="Pedro"/>
    <s v="ANALISTA GUSTAVO"/>
    <s v="NÃO"/>
    <s v="Situação jurídica em andamento (em processo judicial)"/>
    <s v="Vencido"/>
    <n v="61"/>
    <s v="61+ dias"/>
    <s v="Atraso Crítico"/>
    <s v="-"/>
    <s v="Sim"/>
    <m/>
    <n v="1"/>
    <s v="Sim"/>
    <d v="2025-03-24T00:00:00"/>
    <d v="2025-03-24T00:00:00"/>
    <s v="Acompanhando"/>
    <n v="1000"/>
  </r>
  <r>
    <s v="Filial"/>
    <x v="0"/>
    <s v="SoftLink"/>
    <n v="36"/>
    <d v="2025-02-18T00:00:00"/>
    <d v="2025-02-27T00:00:00"/>
    <d v="2025-02-27T00:00:00"/>
    <n v="1000"/>
    <s v="Pedro"/>
    <s v="ANALISTA GUSTAVO"/>
    <s v="NÃO"/>
    <s v="Cancelamento de cobrança solicitado"/>
    <s v="Vencido"/>
    <n v="61"/>
    <s v="61+ dias"/>
    <s v="Atraso Crítico"/>
    <s v="-"/>
    <s v="Sim"/>
    <m/>
    <n v="1"/>
    <s v="Sim"/>
    <d v="2025-03-24T00:00:00"/>
    <d v="2025-03-24T00:00:00"/>
    <s v="Acompanhando"/>
    <n v="1000"/>
  </r>
  <r>
    <s v="Matriz"/>
    <x v="1"/>
    <s v="Gamma &amp; CIA"/>
    <n v="37"/>
    <d v="2025-02-20T00:00:00"/>
    <d v="2025-02-27T00:00:00"/>
    <d v="2025-02-27T00:00:00"/>
    <n v="1800"/>
    <s v="Sabrina"/>
    <s v="ANALISTA GUSTAVO"/>
    <s v="NÃO"/>
    <s v="Cliente alegando dificuldades financeiras"/>
    <s v="Vencido"/>
    <n v="61"/>
    <s v="61+ dias"/>
    <s v="Atraso Crítico"/>
    <s v="-"/>
    <s v="Sim"/>
    <m/>
    <n v="1"/>
    <s v="Sim"/>
    <d v="2025-03-24T00:00:00"/>
    <d v="2025-03-24T00:00:00"/>
    <s v="Acompanhando"/>
    <n v="1800"/>
  </r>
  <r>
    <s v="Matriz"/>
    <x v="0"/>
    <s v="SoftLink"/>
    <n v="38"/>
    <d v="2025-02-20T00:00:00"/>
    <d v="2025-02-27T00:00:00"/>
    <d v="2025-02-27T00:00:00"/>
    <n v="1800"/>
    <s v="Sabrina"/>
    <s v="ANALISTA GUSTAVO"/>
    <s v="NÃO"/>
    <s v="Aguardando resolução interna da empresa"/>
    <s v="Vencido"/>
    <n v="61"/>
    <s v="61+ dias"/>
    <s v="Atraso Crítico"/>
    <s v="-"/>
    <s v="Sim"/>
    <m/>
    <n v="1"/>
    <s v="Sim"/>
    <d v="2025-03-24T00:00:00"/>
    <d v="2025-03-24T00:00:00"/>
    <s v="Acompanhando"/>
    <n v="1800"/>
  </r>
  <r>
    <s v="Filial"/>
    <x v="1"/>
    <s v="Gamma &amp; CIA"/>
    <n v="39"/>
    <d v="2025-02-25T00:00:00"/>
    <d v="2025-02-27T00:00:00"/>
    <d v="2025-02-27T00:00:00"/>
    <n v="2500"/>
    <s v="Marcos"/>
    <s v="ANALISTA GUSTAVO"/>
    <s v="NÃO"/>
    <s v="Promessa de pagamento não cumprida"/>
    <s v="Vencido"/>
    <n v="61"/>
    <s v="61+ dias"/>
    <s v="Atraso Crítico"/>
    <s v="-"/>
    <s v="Sim"/>
    <m/>
    <n v="1"/>
    <s v="Sim"/>
    <d v="2025-03-24T00:00:00"/>
    <d v="2025-03-24T00:00:00"/>
    <s v="Acompanhando"/>
    <n v="2500"/>
  </r>
  <r>
    <s v="Filial"/>
    <x v="0"/>
    <s v="SoftLink"/>
    <n v="40"/>
    <d v="2025-02-25T00:00:00"/>
    <d v="2025-02-27T00:00:00"/>
    <d v="2025-02-27T00:00:00"/>
    <n v="2500"/>
    <s v="Marcos"/>
    <s v="ANALISTA GUSTAVO"/>
    <s v="NÃO"/>
    <s v="Acordo de pagamento pendente"/>
    <s v="Vencido"/>
    <n v="61"/>
    <s v="61+ dias"/>
    <s v="Atraso Crítico"/>
    <s v="-"/>
    <s v="Sim"/>
    <m/>
    <n v="1"/>
    <s v="Sim"/>
    <d v="2025-03-24T00:00:00"/>
    <d v="2025-03-24T00:00:00"/>
    <s v="Acompanhando"/>
    <n v="2500"/>
  </r>
  <r>
    <s v="Matriz"/>
    <x v="0"/>
    <s v="SoftLink"/>
    <n v="41"/>
    <d v="2025-02-26T00:00:00"/>
    <d v="2025-02-27T00:00:00"/>
    <d v="2025-02-27T00:00:00"/>
    <n v="1400"/>
    <s v="João"/>
    <s v="ANALISTA GUSTAVO"/>
    <s v="NÃO"/>
    <s v="Situação com comercial (aguardando análise comercial)"/>
    <s v="Vencido"/>
    <n v="61"/>
    <s v="61+ dias"/>
    <s v="Atraso Crítico"/>
    <s v="-"/>
    <s v="Sim"/>
    <m/>
    <n v="1"/>
    <s v="Sim"/>
    <d v="2025-03-24T00:00:00"/>
    <d v="2025-03-24T00:00:00"/>
    <s v="Acompanhando"/>
    <n v="1400"/>
  </r>
  <r>
    <s v="Matriz"/>
    <x v="0"/>
    <s v="SoftLink"/>
    <n v="43"/>
    <d v="2025-03-02T00:00:00"/>
    <d v="2025-03-13T00:00:00"/>
    <d v="2025-03-13T00:00:00"/>
    <n v="3000"/>
    <s v="Carlos"/>
    <s v="ANALISTA GUSTAVO"/>
    <s v="NÃO"/>
    <s v="Cliente não localizado"/>
    <s v="Vencido"/>
    <n v="47"/>
    <s v="31-60 dias"/>
    <s v="Atraso Médio"/>
    <s v="-"/>
    <s v="Sim"/>
    <m/>
    <n v="1"/>
    <s v="Sim"/>
    <d v="2025-03-24T00:00:00"/>
    <d v="2025-03-24T00:00:00"/>
    <s v="Acompanhando"/>
    <n v="3000"/>
  </r>
  <r>
    <s v="Filial"/>
    <x v="0"/>
    <s v="SoftLink"/>
    <n v="44"/>
    <d v="2025-03-05T00:00:00"/>
    <d v="2025-03-20T00:00:00"/>
    <d v="2025-03-20T00:00:00"/>
    <n v="1700"/>
    <s v="Ana"/>
    <s v="ANALISTA GUSTAVO"/>
    <s v="NÃO"/>
    <s v="Promessa de pagamento refeito"/>
    <s v="Vencido"/>
    <n v="40"/>
    <s v="31-60 dias"/>
    <s v="Atraso Médio"/>
    <s v="-"/>
    <s v="Sim"/>
    <m/>
    <n v="1"/>
    <s v="Sim"/>
    <d v="2025-03-24T00:00:00"/>
    <d v="2025-03-24T00:00:00"/>
    <s v="Acompanhando"/>
    <n v="1700"/>
  </r>
  <r>
    <s v="Matriz"/>
    <x v="0"/>
    <s v="InvestPro"/>
    <n v="53"/>
    <d v="2025-02-21T00:00:00"/>
    <d v="2025-03-21T00:00:00"/>
    <d v="2025-03-21T00:00:00"/>
    <n v="2700"/>
    <s v="Camila"/>
    <s v="ANALISTA LUCAS"/>
    <s v="SIM"/>
    <s v="Sem Retorno"/>
    <s v="Quitado"/>
    <n v="0"/>
    <s v=""/>
    <s v=""/>
    <s v="-"/>
    <s v="Sim"/>
    <m/>
    <n v="1"/>
    <s v="Sim"/>
    <d v="2025-03-24T00:00:00"/>
    <d v="2025-04-25T00:00:00"/>
    <s v="Acompanhando"/>
    <s v="0"/>
  </r>
  <r>
    <s v="Filial"/>
    <x v="0"/>
    <s v="InvestPro"/>
    <n v="54"/>
    <d v="2025-02-21T00:00:00"/>
    <d v="2025-03-21T00:00:00"/>
    <d v="2025-03-21T00:00:00"/>
    <n v="1600"/>
    <s v="Patríci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600"/>
  </r>
  <r>
    <s v="Matriz"/>
    <x v="0"/>
    <s v="InvestPro"/>
    <n v="55"/>
    <d v="2025-02-21T00:00:00"/>
    <d v="2025-03-21T00:00:00"/>
    <d v="2025-03-21T00:00:00"/>
    <n v="3000"/>
    <s v="Tiag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000"/>
  </r>
  <r>
    <s v="Filial"/>
    <x v="0"/>
    <s v="InvestPro"/>
    <n v="56"/>
    <d v="2025-02-21T00:00:00"/>
    <d v="2025-03-21T00:00:00"/>
    <d v="2025-03-21T00:00:00"/>
    <n v="1800"/>
    <s v="André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800"/>
  </r>
  <r>
    <s v="Matriz"/>
    <x v="0"/>
    <s v="InvestPro"/>
    <n v="57"/>
    <d v="2025-02-21T00:00:00"/>
    <d v="2025-03-21T00:00:00"/>
    <d v="2025-03-21T00:00:00"/>
    <n v="2200"/>
    <s v="Lu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s v="Filial"/>
    <x v="0"/>
    <s v="InvestPro"/>
    <n v="58"/>
    <d v="2025-02-21T00:00:00"/>
    <d v="2025-03-21T00:00:00"/>
    <d v="2025-03-21T00:00:00"/>
    <n v="1500"/>
    <s v="Pedr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s v="Matriz"/>
    <x v="2"/>
    <s v="Alpha &amp; CIA"/>
    <n v="59"/>
    <d v="2025-02-21T00:00:00"/>
    <d v="2025-03-21T00:00:00"/>
    <d v="2025-03-21T00:00:00"/>
    <n v="2800"/>
    <s v="Sabri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800"/>
  </r>
  <r>
    <s v="Filial"/>
    <x v="0"/>
    <s v="InvestPro"/>
    <n v="60"/>
    <d v="2025-02-21T00:00:00"/>
    <d v="2025-03-21T00:00:00"/>
    <d v="2025-03-21T00:00:00"/>
    <n v="3100"/>
    <s v="Marcos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100"/>
  </r>
  <r>
    <s v="Matriz"/>
    <x v="0"/>
    <s v="InvestPro"/>
    <n v="61"/>
    <d v="2025-02-21T00:00:00"/>
    <d v="2025-03-21T00:00:00"/>
    <d v="2025-03-21T00:00:00"/>
    <n v="1900"/>
    <s v="Joã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900"/>
  </r>
  <r>
    <s v="Filial"/>
    <x v="0"/>
    <s v="NovaHorizonte"/>
    <n v="62"/>
    <d v="2025-02-21T00:00:00"/>
    <d v="2025-03-21T00:00:00"/>
    <d v="2025-03-21T00:00:00"/>
    <n v="2300"/>
    <s v="Mari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300"/>
  </r>
  <r>
    <s v="Matriz"/>
    <x v="0"/>
    <s v="NovaHorizonte"/>
    <n v="63"/>
    <d v="2025-02-21T00:00:00"/>
    <d v="2025-03-21T00:00:00"/>
    <d v="2025-03-21T00:00:00"/>
    <n v="1700"/>
    <s v="Carlos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700"/>
  </r>
  <r>
    <s v="Filial"/>
    <x v="0"/>
    <s v="NovaHorizonte"/>
    <n v="64"/>
    <d v="2025-02-21T00:00:00"/>
    <d v="2025-03-21T00:00:00"/>
    <d v="2025-03-21T00:00:00"/>
    <n v="2200"/>
    <s v="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s v="Matriz"/>
    <x v="0"/>
    <s v="NovaHorizonte"/>
    <n v="65"/>
    <d v="2025-02-21T00:00:00"/>
    <d v="2025-03-21T00:00:00"/>
    <d v="2025-03-21T00:00:00"/>
    <n v="2500"/>
    <s v="Beatriz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500"/>
  </r>
  <r>
    <s v="Filial"/>
    <x v="0"/>
    <s v="NovaHorizonte"/>
    <n v="66"/>
    <d v="2025-01-21T00:00:00"/>
    <d v="2025-01-21T00:00:00"/>
    <d v="2025-01-21T00:00:00"/>
    <n v="2000"/>
    <s v="Lucas"/>
    <s v="ANALISTA LUCAS"/>
    <s v="NÃO"/>
    <s v="Sem Retorno"/>
    <s v="Vencido"/>
    <n v="98"/>
    <s v="61+ dias"/>
    <s v="Atraso Crítico"/>
    <s v="-"/>
    <s v="Sim"/>
    <m/>
    <n v="1"/>
    <s v="Sim"/>
    <d v="2025-03-24T00:00:00"/>
    <d v="2025-04-25T00:00:00"/>
    <s v="Acompanhando"/>
    <n v="2000"/>
  </r>
  <r>
    <s v="Matriz"/>
    <x v="0"/>
    <s v="NovaHorizonte"/>
    <n v="67"/>
    <d v="2025-02-21T00:00:00"/>
    <d v="2025-03-21T00:00:00"/>
    <d v="2025-03-21T00:00:00"/>
    <n v="3200"/>
    <s v="Carl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200"/>
  </r>
  <r>
    <s v="Filial"/>
    <x v="0"/>
    <s v="NovaHorizonte"/>
    <n v="68"/>
    <d v="2025-02-21T00:00:00"/>
    <d v="2025-03-21T00:00:00"/>
    <d v="2025-03-21T00:00:00"/>
    <n v="1500"/>
    <s v="Robert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s v="Matriz"/>
    <x v="0"/>
    <s v="NovaHorizonte"/>
    <n v="69"/>
    <d v="2025-02-21T00:00:00"/>
    <d v="2025-03-21T00:00:00"/>
    <d v="2025-03-21T00:00:00"/>
    <n v="2800"/>
    <s v="Juli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800"/>
  </r>
  <r>
    <s v="Filial"/>
    <x v="0"/>
    <s v="NovaHorizonte"/>
    <n v="70"/>
    <d v="2025-02-21T00:00:00"/>
    <d v="2025-03-21T00:00:00"/>
    <d v="2025-03-21T00:00:00"/>
    <n v="1700"/>
    <s v="Gustav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700"/>
  </r>
  <r>
    <s v="Matriz"/>
    <x v="0"/>
    <s v="GlobalTech"/>
    <n v="71"/>
    <d v="2025-02-21T00:00:00"/>
    <d v="2025-03-21T00:00:00"/>
    <d v="2025-03-21T00:00:00"/>
    <n v="2200"/>
    <s v="Fernand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s v="Filial"/>
    <x v="0"/>
    <s v="GlobalTech"/>
    <n v="72"/>
    <d v="2025-02-21T00:00:00"/>
    <d v="2025-03-21T00:00:00"/>
    <d v="2025-03-21T00:00:00"/>
    <n v="2200"/>
    <s v="Fernanda"/>
    <s v="ANALISTA SIMONE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s v="Matriz"/>
    <x v="0"/>
    <s v="GlobalTech"/>
    <n v="51"/>
    <d v="2025-02-21T00:00:00"/>
    <d v="2025-03-21T00:00:00"/>
    <d v="2025-03-21T00:00:00"/>
    <n v="1500"/>
    <s v="Fernand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s v="Matriz"/>
    <x v="0"/>
    <s v="GlobalTech"/>
    <n v="45"/>
    <d v="2025-03-08T00:00:00"/>
    <d v="2025-03-21T00:00:00"/>
    <d v="2025-03-21T00:00:00"/>
    <n v="2100"/>
    <s v="Beatriz"/>
    <s v="ANALISTA GUSTAVO"/>
    <s v="NÃO"/>
    <s v="Sem Retorno"/>
    <s v="Vencido"/>
    <n v="39"/>
    <s v="31-60 dias"/>
    <s v="Atraso Médio"/>
    <s v="-"/>
    <s v="Sim"/>
    <m/>
    <n v="1"/>
    <s v="Sim"/>
    <d v="2025-03-24T00:00:00"/>
    <d v="2025-03-24T00:00:00"/>
    <s v="Acompanhando"/>
    <n v="2100"/>
  </r>
  <r>
    <s v="Filial"/>
    <x v="0"/>
    <s v="GlobalTech"/>
    <n v="46"/>
    <d v="2025-03-10T00:00:00"/>
    <d v="2025-03-22T00:00:00"/>
    <d v="2025-03-22T00:00:00"/>
    <n v="1900"/>
    <s v="Lucas"/>
    <s v="ANALISTA GUSTAVO"/>
    <s v="NÃO"/>
    <s v="Bloqueio de sistema por inadimplência"/>
    <s v="Vencido"/>
    <n v="38"/>
    <s v="31-60 dias"/>
    <s v="Atraso Médio"/>
    <s v="-"/>
    <s v="Sim"/>
    <m/>
    <n v="1"/>
    <s v="Sim"/>
    <d v="2025-03-24T00:00:00"/>
    <d v="2025-03-24T00:00:00"/>
    <s v="Acompanhando"/>
    <n v="1900"/>
  </r>
  <r>
    <s v="Matriz"/>
    <x v="0"/>
    <s v="GlobalTech"/>
    <n v="47"/>
    <d v="2025-03-12T00:00:00"/>
    <d v="2025-03-23T00:00:00"/>
    <d v="2025-03-23T00:00:00"/>
    <n v="2500"/>
    <s v="Carla"/>
    <s v="ANALISTA GUSTAVO"/>
    <s v="NÃO"/>
    <s v="Acordo em andamento (aguardando pagamento)"/>
    <s v="Vencido"/>
    <n v="37"/>
    <s v="31-60 dias"/>
    <s v="Atraso Médio"/>
    <s v="-"/>
    <s v="Não"/>
    <m/>
    <n v="1"/>
    <s v="Sim"/>
    <d v="2025-03-24T00:00:00"/>
    <d v="2025-03-24T00:00:00"/>
    <s v="Acompanhando"/>
    <n v="2500"/>
  </r>
  <r>
    <s v="Filial"/>
    <x v="0"/>
    <s v="GlobalTech"/>
    <n v="48"/>
    <d v="2025-03-15T00:00:00"/>
    <d v="2025-03-24T00:00:00"/>
    <d v="2025-03-24T00:00:00"/>
    <n v="2300"/>
    <s v="Roberto"/>
    <s v="ANALISTA GUSTAVO"/>
    <s v="NÃO"/>
    <s v="Acordo em andamento (aguardando pagamento)"/>
    <s v="Vencido"/>
    <n v="36"/>
    <s v="31-60 dias"/>
    <s v="Atraso Médio"/>
    <s v="-"/>
    <s v="Não"/>
    <m/>
    <m/>
    <s v="Não"/>
    <d v="2025-03-25T00:00:00"/>
    <d v="2025-03-25T00:00:00"/>
    <s v="Acompanhando"/>
    <n v="2300"/>
  </r>
  <r>
    <s v="Matriz"/>
    <x v="0"/>
    <s v="GlobalTech"/>
    <n v="49"/>
    <d v="2025-03-18T00:00:00"/>
    <d v="2025-03-25T00:00:00"/>
    <d v="2025-03-25T00:00:00"/>
    <n v="2200"/>
    <s v="Roberto"/>
    <s v="ANALISTA GUSTAVO"/>
    <s v="NÃO"/>
    <s v="Acordo em andamento (aguardando pagamento)"/>
    <s v="Vencido"/>
    <n v="35"/>
    <s v="31-60 dias"/>
    <s v="Atraso Médio"/>
    <s v="-"/>
    <s v="Não"/>
    <m/>
    <m/>
    <s v="Não"/>
    <d v="2025-03-27T00:00:00"/>
    <d v="2025-03-27T00:00:00"/>
    <s v="Acompanhando"/>
    <n v="2200"/>
  </r>
  <r>
    <s v="Filial"/>
    <x v="0"/>
    <s v="GlobalTech"/>
    <n v="50"/>
    <d v="2025-03-22T00:00:00"/>
    <d v="2025-03-26T00:00:00"/>
    <d v="2025-03-26T00:00:00"/>
    <n v="1800"/>
    <s v="Gustavo"/>
    <s v="ANALISTA GUSTAVO"/>
    <s v="NÃO"/>
    <s v="Acordo em andamento (aguardando pagamento)"/>
    <s v="Vencido"/>
    <n v="34"/>
    <s v="31-60 dias"/>
    <s v="Atraso Médio"/>
    <s v="-"/>
    <s v="Não"/>
    <m/>
    <m/>
    <s v="Não"/>
    <d v="2025-03-28T00:00:00"/>
    <d v="2025-03-28T00:00:00"/>
    <s v="Acompanhando"/>
    <n v="1800"/>
  </r>
  <r>
    <s v="Filial"/>
    <x v="0"/>
    <s v="GlobalTech"/>
    <n v="42"/>
    <d v="2025-02-28T00:00:00"/>
    <d v="2025-03-28T00:00:00"/>
    <d v="2025-03-28T00:00:00"/>
    <n v="2300"/>
    <s v="Maria"/>
    <s v="ANALISTA GUSTAVO"/>
    <s v="NÃO"/>
    <s v="Acordo em andamento (aguardando pagamento)"/>
    <s v="Vencido"/>
    <n v="32"/>
    <s v="31-60 dias"/>
    <s v="Atraso Médio"/>
    <s v="-"/>
    <s v="Não"/>
    <m/>
    <m/>
    <s v="Não"/>
    <d v="2025-03-29T00:00:00"/>
    <d v="2025-03-29T00:00:00"/>
    <s v="Acompanhando"/>
    <n v="23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Filial"/>
    <m/>
    <x v="0"/>
    <n v="52"/>
    <d v="2024-01-20T00:00:00"/>
    <d v="2024-01-22T00:00:00"/>
    <d v="2024-01-23T00:00:00"/>
    <n v="1400"/>
    <s v="Felipe"/>
    <s v="ANALISTA LUCAS"/>
    <s v="NÃO"/>
    <x v="0"/>
    <s v="Vencido"/>
    <n v="463"/>
    <s v="61+ dias"/>
    <s v="Atraso Crítico"/>
    <s v="-"/>
    <s v="Sim"/>
    <m/>
    <n v="1"/>
    <s v="Sim"/>
    <d v="2025-03-24T00:00:00"/>
    <d v="2025-04-25T00:00:00"/>
    <s v="Acompanhando"/>
    <n v="1400"/>
    <s v="0"/>
  </r>
  <r>
    <s v="Matriz"/>
    <s v="Gamma &amp; CIA"/>
    <x v="1"/>
    <n v="33"/>
    <d v="2024-02-15T00:00:00"/>
    <s v=" "/>
    <d v="2024-02-17T00:00:00"/>
    <n v="2000"/>
    <s v="Luana"/>
    <s v="ANALISTA GUSTAVO"/>
    <s v="NÃO"/>
    <x v="1"/>
    <s v="A Vencer"/>
    <e v="#VALUE!"/>
    <s v=""/>
    <s v=""/>
    <s v="-"/>
    <s v="Sim"/>
    <m/>
    <n v="1"/>
    <s v="Sim"/>
    <d v="2025-03-24T00:00:00"/>
    <d v="2025-04-25T00:00:00"/>
    <s v="Acompanhando"/>
    <s v="0"/>
    <n v="2000"/>
  </r>
  <r>
    <s v="Matriz"/>
    <m/>
    <x v="0"/>
    <n v="34"/>
    <d v="2025-01-01T00:00:00"/>
    <d v="2025-02-01T00:00:00"/>
    <d v="2025-03-21T00:00:00"/>
    <n v="2000"/>
    <s v="Luana"/>
    <s v="ANALISTA GUSTAVO"/>
    <s v="NÃO"/>
    <x v="2"/>
    <s v="Vencido"/>
    <n v="87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s v="Alpha &amp; CIA"/>
    <x v="2"/>
    <n v="1"/>
    <d v="2025-01-01T00:00:00"/>
    <d v="2025-02-02T00:00:00"/>
    <d v="2025-03-21T00:00:00"/>
    <n v="1000"/>
    <s v="João"/>
    <s v="ANALISTA SIMONE"/>
    <s v="NÃO"/>
    <x v="3"/>
    <s v="Vencido"/>
    <n v="86"/>
    <s v="61+ dias"/>
    <s v="Atraso Crítico"/>
    <s v="-"/>
    <s v="Sim"/>
    <m/>
    <n v="1"/>
    <s v="Sim"/>
    <d v="2025-03-24T00:00:00"/>
    <d v="2025-04-25T00:00:00"/>
    <s v="Acompanhando"/>
    <n v="1000"/>
    <s v="0"/>
  </r>
  <r>
    <s v="Matriz"/>
    <s v="Alpha &amp; CIA"/>
    <x v="3"/>
    <n v="2"/>
    <d v="2025-01-01T00:00:00"/>
    <d v="2025-02-02T00:00:00"/>
    <d v="2025-03-21T00:00:00"/>
    <n v="1000"/>
    <s v="João"/>
    <s v="ANALISTA SIMONE"/>
    <s v="NÃO"/>
    <x v="4"/>
    <s v="Vencido"/>
    <n v="86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s v="Alpha &amp; CIA"/>
    <x v="4"/>
    <n v="3"/>
    <d v="2025-01-02T00:00:00"/>
    <d v="2025-02-02T00:00:00"/>
    <d v="2025-03-21T00:00:00"/>
    <n v="2500"/>
    <s v="Maria"/>
    <s v="ANALISTA SIMONE"/>
    <s v="NÃO"/>
    <x v="5"/>
    <s v="Vencido"/>
    <n v="86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Alpha &amp; CIA"/>
    <x v="4"/>
    <n v="4"/>
    <d v="2025-01-02T00:00:00"/>
    <d v="2025-02-02T00:00:00"/>
    <d v="2025-03-21T00:00:00"/>
    <n v="2500"/>
    <s v="Maria"/>
    <s v="ANALISTA SIMONE"/>
    <s v="NÃO"/>
    <x v="6"/>
    <s v="Vencido"/>
    <n v="86"/>
    <s v="61+ dias"/>
    <s v="Atraso Crítico"/>
    <s v="-"/>
    <s v="Sim"/>
    <m/>
    <n v="1"/>
    <s v="Sim"/>
    <d v="2025-03-24T00:00:00"/>
    <d v="2025-05-25T00:00:00"/>
    <s v="Acompanhando"/>
    <n v="2500"/>
    <s v="0"/>
  </r>
  <r>
    <s v="Matriz"/>
    <s v="Alpha &amp; CIA"/>
    <x v="5"/>
    <n v="5"/>
    <d v="2025-01-05T00:00:00"/>
    <d v="2025-02-02T00:00:00"/>
    <d v="2025-03-21T00:00:00"/>
    <n v="3000"/>
    <s v="Carlos"/>
    <s v="ANALISTA SIMONE"/>
    <s v="NÃO"/>
    <x v="7"/>
    <s v="Vencido"/>
    <n v="86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6"/>
    <n v="6"/>
    <d v="2025-01-05T00:00:00"/>
    <d v="2025-02-02T00:00:00"/>
    <d v="2025-03-21T00:00:00"/>
    <n v="3000"/>
    <s v="Carlos"/>
    <s v="ANALISTA SIMONE"/>
    <s v="NÃO"/>
    <x v="8"/>
    <s v="Vencido"/>
    <n v="86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0"/>
    <n v="7"/>
    <d v="2025-01-06T00:00:00"/>
    <d v="2025-02-02T00:00:00"/>
    <d v="2025-03-21T00:00:00"/>
    <n v="1500"/>
    <s v="Ana"/>
    <s v="ANALISTA SIMONE"/>
    <s v="NÃO"/>
    <x v="9"/>
    <s v="Vencido"/>
    <n v="86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m/>
    <x v="0"/>
    <n v="8"/>
    <d v="2025-01-06T00:00:00"/>
    <d v="2025-02-02T00:00:00"/>
    <d v="2025-03-21T00:00:00"/>
    <n v="1500"/>
    <s v="Ana"/>
    <s v="ANALISTA SIMONE"/>
    <s v="NÃO"/>
    <x v="10"/>
    <s v="Vencido"/>
    <n v="86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0"/>
    <n v="9"/>
    <d v="2025-01-10T00:00:00"/>
    <d v="2025-02-10T00:00:00"/>
    <d v="2025-03-21T00:00:00"/>
    <n v="2200"/>
    <s v="Beatriz"/>
    <s v="ANALISTA SIMONE"/>
    <s v="NÃO"/>
    <x v="11"/>
    <s v="Vencido"/>
    <n v="78"/>
    <s v="61+ dias"/>
    <s v="Atraso Crítico"/>
    <s v="-"/>
    <s v="Sim"/>
    <m/>
    <n v="1"/>
    <s v="Sim"/>
    <d v="2025-03-24T00:00:00"/>
    <d v="2025-05-25T00:00:00"/>
    <s v="Acompanhando"/>
    <n v="2200"/>
    <s v="0"/>
  </r>
  <r>
    <s v="Matriz"/>
    <m/>
    <x v="0"/>
    <n v="10"/>
    <d v="2025-01-10T00:00:00"/>
    <d v="2025-02-11T00:00:00"/>
    <d v="2025-03-21T00:00:00"/>
    <n v="2200"/>
    <s v="Beatriz"/>
    <s v="ANALISTA SIMONE"/>
    <s v="NÃO"/>
    <x v="12"/>
    <s v="Vencido"/>
    <n v="77"/>
    <s v="61+ dias"/>
    <s v="Atraso Crítico"/>
    <s v="-"/>
    <s v="Sim"/>
    <m/>
    <n v="1"/>
    <s v="Sim"/>
    <d v="2025-03-24T00:00:00"/>
    <d v="2025-05-25T00:00:00"/>
    <s v="Acompanhando"/>
    <n v="2200"/>
    <s v="0"/>
  </r>
  <r>
    <s v="Filial"/>
    <m/>
    <x v="0"/>
    <n v="11"/>
    <d v="2025-01-12T00:00:00"/>
    <d v="2025-02-12T00:00:00"/>
    <d v="2025-02-13T00:00:00"/>
    <n v="1000"/>
    <s v="Lucas"/>
    <s v="ANALISTA SIMONE"/>
    <s v="NÃO"/>
    <x v="13"/>
    <s v="Vencido"/>
    <n v="76"/>
    <s v="61+ dias"/>
    <s v="Atraso Crítico"/>
    <s v="-"/>
    <s v="Sim"/>
    <m/>
    <n v="1"/>
    <s v="Sim"/>
    <d v="2025-03-24T00:00:00"/>
    <d v="2025-05-25T00:00:00"/>
    <s v="Acompanhando"/>
    <n v="1000"/>
    <s v="0"/>
  </r>
  <r>
    <s v="Filial"/>
    <m/>
    <x v="7"/>
    <n v="12"/>
    <d v="2025-01-12T00:00:00"/>
    <d v="2025-02-13T00:00:00"/>
    <d v="2025-03-21T00:00:00"/>
    <n v="1000"/>
    <s v="Lucas"/>
    <s v="ANALISTA SIMONE"/>
    <s v="NÃO"/>
    <x v="2"/>
    <s v="Vencido"/>
    <n v="75"/>
    <s v="61+ dias"/>
    <s v="Atraso Crítico"/>
    <s v="-"/>
    <s v="Sim"/>
    <m/>
    <n v="1"/>
    <s v="Sim"/>
    <d v="2025-03-24T00:00:00"/>
    <d v="2025-05-25T00:00:00"/>
    <s v="Acompanhando"/>
    <n v="1000"/>
    <s v="0"/>
  </r>
  <r>
    <s v="Matriz"/>
    <s v="Alpha &amp; CIA"/>
    <x v="2"/>
    <n v="13"/>
    <d v="2025-01-15T00:00:00"/>
    <d v="2025-02-14T00:00:00"/>
    <d v="2025-03-21T00:00:00"/>
    <n v="1500"/>
    <s v="Carla"/>
    <s v="ANALISTA SIMONE"/>
    <s v="NÃO"/>
    <x v="1"/>
    <s v="Vencido"/>
    <n v="74"/>
    <s v="61+ dias"/>
    <s v="Atraso Crítico"/>
    <s v="-"/>
    <s v="Sim"/>
    <m/>
    <n v="1"/>
    <s v="Sim"/>
    <d v="2025-03-24T00:00:00"/>
    <d v="2025-05-25T00:00:00"/>
    <s v="Acompanhando"/>
    <n v="1500"/>
    <s v="0"/>
  </r>
  <r>
    <s v="Matriz"/>
    <m/>
    <x v="7"/>
    <n v="14"/>
    <d v="2025-01-15T00:00:00"/>
    <d v="2025-02-15T00:00:00"/>
    <d v="2025-03-21T00:00:00"/>
    <n v="1500"/>
    <s v="Carla"/>
    <s v="ANALISTA SIMONE"/>
    <s v="NÃO"/>
    <x v="2"/>
    <s v="Vencido"/>
    <n v="73"/>
    <s v="61+ dias"/>
    <s v="Atraso Crítico"/>
    <s v="-"/>
    <s v="Sim"/>
    <m/>
    <n v="1"/>
    <s v="Sim"/>
    <d v="2025-03-24T00:00:00"/>
    <d v="2025-05-25T00:00:00"/>
    <s v="Acompanhando"/>
    <n v="1500"/>
    <s v="0"/>
  </r>
  <r>
    <s v="Filial"/>
    <s v="Alpha &amp; CIA"/>
    <x v="2"/>
    <n v="15"/>
    <d v="2025-01-18T00:00:00"/>
    <d v="2025-02-16T00:00:00"/>
    <d v="2025-03-21T00:00:00"/>
    <n v="3000"/>
    <s v="Roberto"/>
    <s v="ANALISTA SIMONE"/>
    <s v="NÃO"/>
    <x v="14"/>
    <s v="Vencido"/>
    <n v="72"/>
    <s v="61+ dias"/>
    <s v="Atraso Crítico"/>
    <s v="-"/>
    <s v="Sim"/>
    <m/>
    <n v="1"/>
    <s v="Sim"/>
    <d v="2025-03-24T00:00:00"/>
    <d v="2025-05-25T00:00:00"/>
    <s v="Acompanhando"/>
    <n v="3000"/>
    <s v="0"/>
  </r>
  <r>
    <s v="Filial"/>
    <m/>
    <x v="7"/>
    <n v="16"/>
    <d v="2025-01-18T00:00:00"/>
    <d v="2025-02-17T00:00:00"/>
    <d v="2025-03-21T00:00:00"/>
    <n v="3000"/>
    <s v="Roberto"/>
    <s v="ANALISTA SIMONE"/>
    <s v="NÃO"/>
    <x v="15"/>
    <s v="Vencido"/>
    <n v="71"/>
    <s v="61+ dias"/>
    <s v="Atraso Crítico"/>
    <s v="-"/>
    <s v="Sim"/>
    <m/>
    <n v="1"/>
    <s v="Sim"/>
    <d v="2025-03-24T00:00:00"/>
    <d v="2025-05-25T00:00:00"/>
    <s v="Acompanhando"/>
    <n v="3000"/>
    <s v="0"/>
  </r>
  <r>
    <s v="Matriz"/>
    <s v="Alpha &amp; CIA"/>
    <x v="2"/>
    <n v="17"/>
    <d v="2025-01-20T00:00:00"/>
    <d v="2025-02-18T00:00:00"/>
    <d v="2025-03-21T00:00:00"/>
    <n v="2800"/>
    <s v="Juliana"/>
    <s v="ANALISTA SIMONE"/>
    <s v="NÃO"/>
    <x v="16"/>
    <s v="Vencido"/>
    <n v="70"/>
    <s v="61+ dias"/>
    <s v="Atraso Crítico"/>
    <s v="-"/>
    <s v="Sim"/>
    <m/>
    <n v="1"/>
    <s v="Sim"/>
    <d v="2025-03-24T00:00:00"/>
    <d v="2025-05-25T00:00:00"/>
    <s v="Acompanhando"/>
    <n v="2800"/>
    <s v="0"/>
  </r>
  <r>
    <s v="Matriz"/>
    <m/>
    <x v="7"/>
    <n v="18"/>
    <d v="2025-01-20T00:00:00"/>
    <d v="2025-02-19T00:00:00"/>
    <d v="2025-03-21T00:00:00"/>
    <n v="2800"/>
    <s v="Juliana"/>
    <s v="ANALISTA SIMONE"/>
    <s v="NÃO"/>
    <x v="17"/>
    <s v="Vencido"/>
    <n v="69"/>
    <s v="61+ dias"/>
    <s v="Atraso Crítico"/>
    <s v="-"/>
    <s v="Sim"/>
    <m/>
    <n v="1"/>
    <s v="Sim"/>
    <d v="2025-03-24T00:00:00"/>
    <d v="2025-05-25T00:00:00"/>
    <s v="Acompanhando"/>
    <n v="2800"/>
    <s v="0"/>
  </r>
  <r>
    <s v="Filial"/>
    <s v="Alpha &amp; CIA"/>
    <x v="2"/>
    <n v="19"/>
    <d v="2025-01-25T00:00:00"/>
    <d v="2025-02-20T00:00:00"/>
    <d v="2025-03-21T00:00:00"/>
    <n v="1200"/>
    <s v="Gustavo"/>
    <s v="ANALISTA SIMONE"/>
    <s v="NÃO"/>
    <x v="0"/>
    <s v="Vencido"/>
    <n v="68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s v="Gamma &amp; CIA"/>
    <x v="1"/>
    <n v="21"/>
    <d v="2025-02-01T00:00:00"/>
    <d v="2025-02-20T00:00:00"/>
    <d v="2025-02-20T00:00:00"/>
    <n v="2500"/>
    <s v="Fernanda"/>
    <s v="ANALISTA SIMONE"/>
    <s v="NÃO"/>
    <x v="18"/>
    <s v="Vencido"/>
    <n v="68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m/>
    <x v="7"/>
    <n v="20"/>
    <d v="2025-01-25T00:00:00"/>
    <d v="2025-02-21T00:00:00"/>
    <d v="2025-02-21T00:00:00"/>
    <n v="1200"/>
    <s v="Gustavo"/>
    <s v="ANALISTA SIMONE"/>
    <s v="NÃO"/>
    <x v="3"/>
    <s v="Vencido"/>
    <n v="67"/>
    <s v="61+ dias"/>
    <s v="Atraso Crítico"/>
    <s v="-"/>
    <s v="Sim"/>
    <m/>
    <n v="1"/>
    <s v="Sim"/>
    <d v="2025-03-24T00:00:00"/>
    <d v="2025-05-25T00:00:00"/>
    <s v="Acompanhando"/>
    <n v="1200"/>
    <s v="0"/>
  </r>
  <r>
    <s v="Matriz"/>
    <m/>
    <x v="7"/>
    <n v="22"/>
    <d v="2025-02-01T00:00:00"/>
    <d v="2025-02-21T00:00:00"/>
    <d v="2025-02-21T00:00:00"/>
    <n v="2500"/>
    <s v="Fernanda"/>
    <s v="ANALISTA SIMONE"/>
    <s v="NÃO"/>
    <x v="4"/>
    <s v="Vencido"/>
    <n v="67"/>
    <s v="61+ dias"/>
    <s v="Atraso Crítico"/>
    <s v="-"/>
    <s v="Sim"/>
    <m/>
    <n v="1"/>
    <s v="Sim"/>
    <d v="2025-03-24T00:00:00"/>
    <d v="2025-05-25T00:00:00"/>
    <s v="Acompanhando"/>
    <n v="2500"/>
    <s v="0"/>
  </r>
  <r>
    <s v="Filial"/>
    <s v="Gamma &amp; CIA"/>
    <x v="1"/>
    <n v="23"/>
    <d v="2025-02-02T00:00:00"/>
    <d v="2025-02-22T00:00:00"/>
    <d v="2025-02-22T00:00:00"/>
    <n v="3000"/>
    <s v="Felipe"/>
    <s v="ANALISTA SIMONE"/>
    <s v="NÃO"/>
    <x v="5"/>
    <s v="Vencido"/>
    <n v="66"/>
    <s v="61+ dias"/>
    <s v="Atraso Crítico"/>
    <s v="-"/>
    <s v="Sim"/>
    <m/>
    <n v="1"/>
    <s v="Sim"/>
    <d v="2025-03-24T00:00:00"/>
    <d v="2025-03-24T00:00:00"/>
    <s v="Acompanhando"/>
    <n v="3000"/>
    <s v="0"/>
  </r>
  <r>
    <s v="Filial"/>
    <m/>
    <x v="7"/>
    <n v="24"/>
    <d v="2025-02-02T00:00:00"/>
    <d v="2025-02-23T00:00:00"/>
    <d v="2025-02-23T00:00:00"/>
    <n v="3000"/>
    <s v="Felipe"/>
    <s v="ANALISTA GUSTAVO"/>
    <s v="NÃO"/>
    <x v="6"/>
    <s v="Vencido"/>
    <n v="65"/>
    <s v="61+ dias"/>
    <s v="Atraso Crítico"/>
    <s v="-"/>
    <s v="Sim"/>
    <m/>
    <n v="1"/>
    <s v="Sim"/>
    <d v="2025-03-24T00:00:00"/>
    <d v="2025-03-24T00:00:00"/>
    <s v="Acompanhando"/>
    <n v="3000"/>
    <s v="0"/>
  </r>
  <r>
    <s v="Matriz"/>
    <s v="Gamma &amp; CIA"/>
    <x v="1"/>
    <n v="25"/>
    <d v="2025-02-05T00:00:00"/>
    <d v="2025-02-24T00:00:00"/>
    <d v="2025-02-24T00:00:00"/>
    <n v="1200"/>
    <s v="Camila"/>
    <s v="ANALISTA GUSTAVO"/>
    <s v="NÃO"/>
    <x v="7"/>
    <s v="Vencido"/>
    <n v="64"/>
    <s v="61+ dias"/>
    <s v="Atraso Crítico"/>
    <s v="-"/>
    <s v="Sim"/>
    <m/>
    <n v="1"/>
    <s v="Sim"/>
    <d v="2025-03-24T00:00:00"/>
    <d v="2025-03-24T00:00:00"/>
    <s v="Acompanhando"/>
    <n v="1200"/>
    <s v="0"/>
  </r>
  <r>
    <s v="Matriz"/>
    <m/>
    <x v="7"/>
    <n v="26"/>
    <d v="2025-02-05T00:00:00"/>
    <d v="2025-02-25T00:00:00"/>
    <d v="2025-02-25T00:00:00"/>
    <n v="1200"/>
    <s v="Camila"/>
    <s v="ANALISTA GUSTAVO"/>
    <s v="NÃO"/>
    <x v="8"/>
    <s v="Vencido"/>
    <n v="63"/>
    <s v="61+ dias"/>
    <s v="Atraso Crítico"/>
    <s v="-"/>
    <s v="Sim"/>
    <m/>
    <n v="1"/>
    <s v="Sim"/>
    <d v="2025-03-24T00:00:00"/>
    <d v="2025-03-24T00:00:00"/>
    <s v="Acompanhando"/>
    <n v="1200"/>
    <s v="0"/>
  </r>
  <r>
    <s v="Filial"/>
    <s v="Gamma &amp; CIA"/>
    <x v="1"/>
    <n v="27"/>
    <d v="2025-02-06T00:00:00"/>
    <d v="2025-02-26T00:00:00"/>
    <d v="2025-02-26T00:00:00"/>
    <n v="2000"/>
    <s v="Patrícia"/>
    <s v="ANALISTA GUSTAVO"/>
    <s v="NÃO"/>
    <x v="9"/>
    <s v="Vencido"/>
    <n v="62"/>
    <s v="61+ dias"/>
    <s v="Atraso Crítico"/>
    <s v="-"/>
    <s v="Sim"/>
    <m/>
    <n v="1"/>
    <s v="Sim"/>
    <d v="2025-03-24T00:00:00"/>
    <d v="2025-03-24T00:00:00"/>
    <s v="Acompanhando"/>
    <n v="2000"/>
    <s v="0"/>
  </r>
  <r>
    <s v="Filial"/>
    <m/>
    <x v="7"/>
    <n v="28"/>
    <d v="2025-02-06T00:00:00"/>
    <d v="2025-02-27T00:00:00"/>
    <d v="2025-02-27T00:00:00"/>
    <n v="2000"/>
    <s v="Patrícia"/>
    <s v="ANALISTA GUSTAVO"/>
    <s v="NÃO"/>
    <x v="10"/>
    <s v="Vencido"/>
    <n v="61"/>
    <s v="61+ dias"/>
    <s v="Atraso Crítico"/>
    <s v="-"/>
    <s v="Sim"/>
    <m/>
    <n v="1"/>
    <s v="Sim"/>
    <d v="2025-03-24T00:00:00"/>
    <d v="2025-03-24T00:00:00"/>
    <s v="Acompanhando"/>
    <n v="2000"/>
    <s v="0"/>
  </r>
  <r>
    <s v="Matriz"/>
    <s v="Gamma &amp; CIA"/>
    <x v="1"/>
    <n v="29"/>
    <d v="2025-02-10T00:00:00"/>
    <d v="2025-02-27T00:00:00"/>
    <d v="2025-02-27T00:00:00"/>
    <n v="3200"/>
    <s v="Tiago"/>
    <s v="ANALISTA GUSTAVO"/>
    <s v="NÃO"/>
    <x v="11"/>
    <s v="Vencido"/>
    <n v="61"/>
    <s v="61+ dias"/>
    <s v="Atraso Crítico"/>
    <s v="-"/>
    <s v="Sim"/>
    <m/>
    <n v="1"/>
    <s v="Sim"/>
    <d v="2025-03-24T00:00:00"/>
    <d v="2025-03-24T00:00:00"/>
    <s v="Acompanhando"/>
    <n v="3200"/>
    <s v="0"/>
  </r>
  <r>
    <s v="Matriz"/>
    <m/>
    <x v="8"/>
    <n v="30"/>
    <d v="2025-02-10T00:00:00"/>
    <d v="2025-02-27T00:00:00"/>
    <d v="2025-02-27T00:00:00"/>
    <n v="3200"/>
    <s v="Tiago"/>
    <s v="ANALISTA GUSTAVO"/>
    <s v="NÃO"/>
    <x v="12"/>
    <s v="Vencido"/>
    <n v="61"/>
    <s v="61+ dias"/>
    <s v="Atraso Crítico"/>
    <s v="-"/>
    <s v="Sim"/>
    <m/>
    <n v="1"/>
    <s v="Sim"/>
    <d v="2025-03-24T00:00:00"/>
    <d v="2025-03-24T00:00:00"/>
    <s v="Acompanhando"/>
    <n v="3200"/>
    <s v="0"/>
  </r>
  <r>
    <s v="Filial"/>
    <s v="Gamma &amp; CIA"/>
    <x v="1"/>
    <n v="31"/>
    <d v="2025-02-12T00:00:00"/>
    <d v="2025-02-27T00:00:00"/>
    <d v="2025-02-27T00:00:00"/>
    <n v="1500"/>
    <s v="André"/>
    <s v="ANALISTA GUSTAVO"/>
    <s v="NÃO"/>
    <x v="13"/>
    <s v="Vencido"/>
    <n v="61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m/>
    <x v="8"/>
    <n v="32"/>
    <d v="2025-02-12T00:00:00"/>
    <d v="2025-02-27T00:00:00"/>
    <d v="2025-02-27T00:00:00"/>
    <n v="1500"/>
    <s v="André"/>
    <s v="ANALISTA GUSTAVO"/>
    <s v="NÃO"/>
    <x v="2"/>
    <s v="Vencido"/>
    <n v="61"/>
    <s v="61+ dias"/>
    <s v="Atraso Crítico"/>
    <s v="-"/>
    <s v="Sim"/>
    <m/>
    <n v="1"/>
    <s v="Sim"/>
    <d v="2025-03-24T00:00:00"/>
    <d v="2025-03-24T00:00:00"/>
    <s v="Acompanhando"/>
    <n v="1500"/>
    <s v="0"/>
  </r>
  <r>
    <s v="Filial"/>
    <s v="Gamma &amp; CIA"/>
    <x v="1"/>
    <n v="35"/>
    <d v="2025-02-18T00:00:00"/>
    <d v="2025-02-27T00:00:00"/>
    <d v="2025-02-27T00:00:00"/>
    <n v="1000"/>
    <s v="Pedro"/>
    <s v="ANALISTA GUSTAVO"/>
    <s v="NÃO"/>
    <x v="14"/>
    <s v="Vencido"/>
    <n v="61"/>
    <s v="61+ dias"/>
    <s v="Atraso Crítico"/>
    <s v="-"/>
    <s v="Sim"/>
    <m/>
    <n v="1"/>
    <s v="Sim"/>
    <d v="2025-03-24T00:00:00"/>
    <d v="2025-03-24T00:00:00"/>
    <s v="Acompanhando"/>
    <n v="1000"/>
    <s v="0"/>
  </r>
  <r>
    <s v="Filial"/>
    <m/>
    <x v="8"/>
    <n v="36"/>
    <d v="2025-02-18T00:00:00"/>
    <d v="2025-02-27T00:00:00"/>
    <d v="2025-02-27T00:00:00"/>
    <n v="1000"/>
    <s v="Pedro"/>
    <s v="ANALISTA GUSTAVO"/>
    <s v="NÃO"/>
    <x v="15"/>
    <s v="Vencido"/>
    <n v="61"/>
    <s v="61+ dias"/>
    <s v="Atraso Crítico"/>
    <s v="-"/>
    <s v="Sim"/>
    <m/>
    <n v="1"/>
    <s v="Sim"/>
    <d v="2025-03-24T00:00:00"/>
    <d v="2025-03-24T00:00:00"/>
    <s v="Acompanhando"/>
    <n v="1000"/>
    <s v="0"/>
  </r>
  <r>
    <s v="Matriz"/>
    <s v="Gamma &amp; CIA"/>
    <x v="1"/>
    <n v="37"/>
    <d v="2025-02-20T00:00:00"/>
    <d v="2025-02-27T00:00:00"/>
    <d v="2025-02-27T00:00:00"/>
    <n v="1800"/>
    <s v="Sabrina"/>
    <s v="ANALISTA GUSTAVO"/>
    <s v="NÃO"/>
    <x v="16"/>
    <s v="Vencido"/>
    <n v="61"/>
    <s v="61+ dias"/>
    <s v="Atraso Crítico"/>
    <s v="-"/>
    <s v="Sim"/>
    <m/>
    <n v="1"/>
    <s v="Sim"/>
    <d v="2025-03-24T00:00:00"/>
    <d v="2025-03-24T00:00:00"/>
    <s v="Acompanhando"/>
    <n v="1800"/>
    <s v="0"/>
  </r>
  <r>
    <s v="Matriz"/>
    <m/>
    <x v="8"/>
    <n v="38"/>
    <d v="2025-02-20T00:00:00"/>
    <d v="2025-02-27T00:00:00"/>
    <d v="2025-02-27T00:00:00"/>
    <n v="1800"/>
    <s v="Sabrina"/>
    <s v="ANALISTA GUSTAVO"/>
    <s v="NÃO"/>
    <x v="17"/>
    <s v="Vencido"/>
    <n v="61"/>
    <s v="61+ dias"/>
    <s v="Atraso Crítico"/>
    <s v="-"/>
    <s v="Sim"/>
    <m/>
    <n v="1"/>
    <s v="Sim"/>
    <d v="2025-03-24T00:00:00"/>
    <d v="2025-03-24T00:00:00"/>
    <s v="Acompanhando"/>
    <n v="1800"/>
    <s v="0"/>
  </r>
  <r>
    <s v="Filial"/>
    <s v="Gamma &amp; CIA"/>
    <x v="1"/>
    <n v="39"/>
    <d v="2025-02-25T00:00:00"/>
    <d v="2025-02-27T00:00:00"/>
    <d v="2025-02-27T00:00:00"/>
    <n v="2500"/>
    <s v="Marcos"/>
    <s v="ANALISTA GUSTAVO"/>
    <s v="NÃO"/>
    <x v="0"/>
    <s v="Vencido"/>
    <n v="61"/>
    <s v="61+ dias"/>
    <s v="Atraso Crítico"/>
    <s v="-"/>
    <s v="Sim"/>
    <m/>
    <n v="1"/>
    <s v="Sim"/>
    <d v="2025-03-24T00:00:00"/>
    <d v="2025-03-24T00:00:00"/>
    <s v="Acompanhando"/>
    <n v="2500"/>
    <s v="0"/>
  </r>
  <r>
    <s v="Filial"/>
    <m/>
    <x v="8"/>
    <n v="40"/>
    <d v="2025-02-25T00:00:00"/>
    <d v="2025-02-27T00:00:00"/>
    <d v="2025-02-27T00:00:00"/>
    <n v="2500"/>
    <s v="Marcos"/>
    <s v="ANALISTA GUSTAVO"/>
    <s v="NÃO"/>
    <x v="18"/>
    <s v="Vencido"/>
    <n v="61"/>
    <s v="61+ dias"/>
    <s v="Atraso Crítico"/>
    <s v="-"/>
    <s v="Sim"/>
    <m/>
    <n v="1"/>
    <s v="Sim"/>
    <d v="2025-03-24T00:00:00"/>
    <d v="2025-03-24T00:00:00"/>
    <s v="Acompanhando"/>
    <n v="2500"/>
    <s v="0"/>
  </r>
  <r>
    <s v="Matriz"/>
    <m/>
    <x v="8"/>
    <n v="41"/>
    <d v="2025-02-26T00:00:00"/>
    <d v="2025-02-27T00:00:00"/>
    <d v="2025-02-27T00:00:00"/>
    <n v="1400"/>
    <s v="João"/>
    <s v="ANALISTA GUSTAVO"/>
    <s v="NÃO"/>
    <x v="3"/>
    <s v="Vencido"/>
    <n v="61"/>
    <s v="61+ dias"/>
    <s v="Atraso Crítico"/>
    <s v="-"/>
    <s v="Sim"/>
    <m/>
    <n v="1"/>
    <s v="Sim"/>
    <d v="2025-03-24T00:00:00"/>
    <d v="2025-03-24T00:00:00"/>
    <s v="Acompanhando"/>
    <n v="1400"/>
    <s v="0"/>
  </r>
  <r>
    <s v="Matriz"/>
    <m/>
    <x v="8"/>
    <n v="43"/>
    <d v="2025-03-02T00:00:00"/>
    <d v="2025-03-13T00:00:00"/>
    <d v="2025-03-13T00:00:00"/>
    <n v="3000"/>
    <s v="Carlos"/>
    <s v="ANALISTA GUSTAVO"/>
    <s v="NÃO"/>
    <x v="5"/>
    <s v="Vencido"/>
    <n v="47"/>
    <s v="31-60 dias"/>
    <s v="Atraso Médio"/>
    <s v="-"/>
    <s v="Sim"/>
    <m/>
    <n v="1"/>
    <s v="Sim"/>
    <d v="2025-03-24T00:00:00"/>
    <d v="2025-03-24T00:00:00"/>
    <s v="Acompanhando"/>
    <n v="3000"/>
    <s v="0"/>
  </r>
  <r>
    <s v="Filial"/>
    <m/>
    <x v="8"/>
    <n v="44"/>
    <d v="2025-03-05T00:00:00"/>
    <d v="2025-03-20T00:00:00"/>
    <d v="2025-03-20T00:00:00"/>
    <n v="1700"/>
    <s v="Ana"/>
    <s v="ANALISTA GUSTAVO"/>
    <s v="NÃO"/>
    <x v="6"/>
    <s v="Vencido"/>
    <n v="40"/>
    <s v="31-60 dias"/>
    <s v="Atraso Médio"/>
    <s v="-"/>
    <s v="Sim"/>
    <m/>
    <n v="1"/>
    <s v="Sim"/>
    <d v="2025-03-24T00:00:00"/>
    <d v="2025-03-24T00:00:00"/>
    <s v="Acompanhando"/>
    <n v="1700"/>
    <s v="0"/>
  </r>
  <r>
    <s v="Matriz"/>
    <m/>
    <x v="9"/>
    <n v="53"/>
    <d v="2025-02-21T00:00:00"/>
    <d v="2025-03-21T00:00:00"/>
    <d v="2025-03-21T00:00:00"/>
    <n v="2700"/>
    <s v="Camila"/>
    <s v="ANALISTA LUCAS"/>
    <s v="SIM"/>
    <x v="19"/>
    <s v="Quitado"/>
    <n v="0"/>
    <s v=""/>
    <s v=""/>
    <s v="-"/>
    <s v="Sim"/>
    <m/>
    <n v="1"/>
    <s v="Sim"/>
    <d v="2025-03-24T00:00:00"/>
    <d v="2025-04-25T00:00:00"/>
    <s v="Acompanhando"/>
    <s v="0"/>
    <s v="0"/>
  </r>
  <r>
    <s v="Filial"/>
    <m/>
    <x v="9"/>
    <n v="54"/>
    <d v="2025-02-21T00:00:00"/>
    <d v="2025-03-21T00:00:00"/>
    <d v="2025-03-21T00:00:00"/>
    <n v="1600"/>
    <s v="Patríci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600"/>
    <s v="0"/>
  </r>
  <r>
    <s v="Matriz"/>
    <m/>
    <x v="9"/>
    <n v="55"/>
    <d v="2025-02-21T00:00:00"/>
    <d v="2025-03-21T00:00:00"/>
    <d v="2025-03-21T00:00:00"/>
    <n v="3000"/>
    <s v="Tiag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000"/>
    <s v="0"/>
  </r>
  <r>
    <s v="Filial"/>
    <m/>
    <x v="9"/>
    <n v="56"/>
    <d v="2025-02-21T00:00:00"/>
    <d v="2025-03-21T00:00:00"/>
    <d v="2025-03-21T00:00:00"/>
    <n v="1800"/>
    <s v="André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800"/>
    <s v="0"/>
  </r>
  <r>
    <s v="Matriz"/>
    <m/>
    <x v="9"/>
    <n v="57"/>
    <d v="2025-02-21T00:00:00"/>
    <d v="2025-03-21T00:00:00"/>
    <d v="2025-03-21T00:00:00"/>
    <n v="2200"/>
    <s v="Lu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Filial"/>
    <m/>
    <x v="9"/>
    <n v="58"/>
    <d v="2025-02-21T00:00:00"/>
    <d v="2025-03-21T00:00:00"/>
    <d v="2025-03-21T00:00:00"/>
    <n v="1500"/>
    <s v="Pedr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s v="Alpha &amp; CIA"/>
    <x v="2"/>
    <n v="59"/>
    <d v="2025-02-21T00:00:00"/>
    <d v="2025-03-21T00:00:00"/>
    <d v="2025-03-21T00:00:00"/>
    <n v="2800"/>
    <s v="Sabri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800"/>
    <s v="0"/>
  </r>
  <r>
    <s v="Filial"/>
    <m/>
    <x v="9"/>
    <n v="60"/>
    <d v="2025-02-21T00:00:00"/>
    <d v="2025-03-21T00:00:00"/>
    <d v="2025-03-21T00:00:00"/>
    <n v="3100"/>
    <s v="Marcos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100"/>
    <s v="0"/>
  </r>
  <r>
    <s v="Matriz"/>
    <m/>
    <x v="9"/>
    <n v="61"/>
    <d v="2025-02-21T00:00:00"/>
    <d v="2025-03-21T00:00:00"/>
    <d v="2025-03-21T00:00:00"/>
    <n v="1900"/>
    <s v="Joã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900"/>
    <s v="0"/>
  </r>
  <r>
    <s v="Filial"/>
    <m/>
    <x v="10"/>
    <n v="62"/>
    <d v="2025-02-21T00:00:00"/>
    <d v="2025-03-21T00:00:00"/>
    <d v="2025-03-21T00:00:00"/>
    <n v="2300"/>
    <s v="Mari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300"/>
    <s v="0"/>
  </r>
  <r>
    <s v="Matriz"/>
    <m/>
    <x v="10"/>
    <n v="63"/>
    <d v="2025-02-21T00:00:00"/>
    <d v="2025-03-21T00:00:00"/>
    <d v="2025-03-21T00:00:00"/>
    <n v="1700"/>
    <s v="Carlos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700"/>
    <s v="0"/>
  </r>
  <r>
    <s v="Filial"/>
    <m/>
    <x v="10"/>
    <n v="64"/>
    <d v="2025-02-21T00:00:00"/>
    <d v="2025-03-21T00:00:00"/>
    <d v="2025-03-21T00:00:00"/>
    <n v="2200"/>
    <s v="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Matriz"/>
    <m/>
    <x v="10"/>
    <n v="65"/>
    <d v="2025-02-21T00:00:00"/>
    <d v="2025-03-21T00:00:00"/>
    <d v="2025-03-21T00:00:00"/>
    <n v="2500"/>
    <s v="Beatriz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500"/>
    <s v="0"/>
  </r>
  <r>
    <s v="Filial"/>
    <m/>
    <x v="10"/>
    <n v="66"/>
    <d v="2025-01-21T00:00:00"/>
    <d v="2025-01-21T00:00:00"/>
    <d v="2025-01-21T00:00:00"/>
    <n v="2000"/>
    <s v="Lucas"/>
    <s v="ANALISTA LUCAS"/>
    <s v="NÃO"/>
    <x v="19"/>
    <s v="Vencido"/>
    <n v="98"/>
    <s v="61+ dias"/>
    <s v="Atraso Crítico"/>
    <s v="-"/>
    <s v="Sim"/>
    <m/>
    <n v="1"/>
    <s v="Sim"/>
    <d v="2025-03-24T00:00:00"/>
    <d v="2025-04-25T00:00:00"/>
    <s v="Acompanhando"/>
    <n v="2000"/>
    <s v="0"/>
  </r>
  <r>
    <s v="Matriz"/>
    <m/>
    <x v="10"/>
    <n v="67"/>
    <d v="2025-02-21T00:00:00"/>
    <d v="2025-03-21T00:00:00"/>
    <d v="2025-03-21T00:00:00"/>
    <n v="3200"/>
    <s v="Carl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3200"/>
    <s v="0"/>
  </r>
  <r>
    <s v="Filial"/>
    <m/>
    <x v="10"/>
    <n v="68"/>
    <d v="2025-02-21T00:00:00"/>
    <d v="2025-03-21T00:00:00"/>
    <d v="2025-03-21T00:00:00"/>
    <n v="1500"/>
    <s v="Robert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m/>
    <x v="10"/>
    <n v="69"/>
    <d v="2025-02-21T00:00:00"/>
    <d v="2025-03-21T00:00:00"/>
    <d v="2025-03-21T00:00:00"/>
    <n v="2800"/>
    <s v="Julian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800"/>
    <s v="0"/>
  </r>
  <r>
    <s v="Filial"/>
    <m/>
    <x v="10"/>
    <n v="70"/>
    <d v="2025-02-21T00:00:00"/>
    <d v="2025-03-21T00:00:00"/>
    <d v="2025-03-21T00:00:00"/>
    <n v="1700"/>
    <s v="Gustavo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700"/>
    <s v="0"/>
  </r>
  <r>
    <s v="Matriz"/>
    <m/>
    <x v="11"/>
    <n v="71"/>
    <d v="2025-02-21T00:00:00"/>
    <d v="2025-03-21T00:00:00"/>
    <d v="2025-03-21T00:00:00"/>
    <n v="2200"/>
    <s v="Fernand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Filial"/>
    <m/>
    <x v="11"/>
    <n v="72"/>
    <d v="2025-02-21T00:00:00"/>
    <d v="2025-03-21T00:00:00"/>
    <d v="2025-03-21T00:00:00"/>
    <n v="2200"/>
    <s v="Fernanda"/>
    <s v="ANALISTA SIMONE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2200"/>
    <s v="0"/>
  </r>
  <r>
    <s v="Matriz"/>
    <m/>
    <x v="11"/>
    <n v="51"/>
    <d v="2025-02-21T00:00:00"/>
    <d v="2025-03-21T00:00:00"/>
    <d v="2025-03-21T00:00:00"/>
    <n v="1500"/>
    <s v="Fernanda"/>
    <s v="ANALISTA LUCAS"/>
    <s v="NÃO"/>
    <x v="19"/>
    <s v="Vencido"/>
    <n v="39"/>
    <s v="31-60 dias"/>
    <s v="Atraso Médio"/>
    <s v="-"/>
    <s v="Sim"/>
    <m/>
    <n v="1"/>
    <s v="Sim"/>
    <d v="2025-03-24T00:00:00"/>
    <d v="2025-04-25T00:00:00"/>
    <s v="Acompanhando"/>
    <n v="1500"/>
    <s v="0"/>
  </r>
  <r>
    <s v="Matriz"/>
    <m/>
    <x v="11"/>
    <n v="45"/>
    <d v="2025-03-08T00:00:00"/>
    <d v="2025-03-21T00:00:00"/>
    <d v="2025-03-21T00:00:00"/>
    <n v="2100"/>
    <s v="Beatriz"/>
    <s v="ANALISTA GUSTAVO"/>
    <s v="NÃO"/>
    <x v="19"/>
    <s v="Vencido"/>
    <n v="39"/>
    <s v="31-60 dias"/>
    <s v="Atraso Médio"/>
    <s v="-"/>
    <s v="Sim"/>
    <m/>
    <n v="1"/>
    <s v="Sim"/>
    <d v="2025-03-24T00:00:00"/>
    <d v="2025-03-24T00:00:00"/>
    <s v="Acompanhando"/>
    <n v="2100"/>
    <s v="0"/>
  </r>
  <r>
    <s v="Filial"/>
    <m/>
    <x v="11"/>
    <n v="46"/>
    <d v="2025-03-10T00:00:00"/>
    <d v="2025-03-22T00:00:00"/>
    <d v="2025-03-22T00:00:00"/>
    <n v="1900"/>
    <s v="Lucas"/>
    <s v="ANALISTA GUSTAVO"/>
    <s v="NÃO"/>
    <x v="8"/>
    <s v="Vencido"/>
    <n v="38"/>
    <s v="31-60 dias"/>
    <s v="Atraso Médio"/>
    <s v="-"/>
    <s v="Sim"/>
    <m/>
    <n v="1"/>
    <s v="Sim"/>
    <d v="2025-03-24T00:00:00"/>
    <d v="2025-03-24T00:00:00"/>
    <s v="Acompanhando"/>
    <n v="1900"/>
    <s v="0"/>
  </r>
  <r>
    <s v="Matriz"/>
    <m/>
    <x v="11"/>
    <n v="47"/>
    <d v="2025-03-12T00:00:00"/>
    <d v="2025-03-23T00:00:00"/>
    <d v="2025-03-23T00:00:00"/>
    <n v="2500"/>
    <s v="Carla"/>
    <s v="ANALISTA GUSTAVO"/>
    <s v="NÃO"/>
    <x v="9"/>
    <s v="Vencido"/>
    <n v="37"/>
    <s v="31-60 dias"/>
    <s v="Atraso Médio"/>
    <s v="-"/>
    <s v="Não"/>
    <m/>
    <n v="1"/>
    <s v="Sim"/>
    <d v="2025-03-24T00:00:00"/>
    <d v="2025-03-24T00:00:00"/>
    <s v="Acompanhando"/>
    <n v="2500"/>
    <s v="0"/>
  </r>
  <r>
    <s v="Filial"/>
    <m/>
    <x v="11"/>
    <n v="48"/>
    <d v="2025-03-15T00:00:00"/>
    <d v="2025-03-24T00:00:00"/>
    <d v="2025-03-24T00:00:00"/>
    <n v="2300"/>
    <s v="Roberto"/>
    <s v="ANALISTA GUSTAVO"/>
    <s v="NÃO"/>
    <x v="9"/>
    <s v="Vencido"/>
    <n v="36"/>
    <s v="31-60 dias"/>
    <s v="Atraso Médio"/>
    <s v="-"/>
    <s v="Não"/>
    <m/>
    <m/>
    <s v="Não"/>
    <d v="2025-03-25T00:00:00"/>
    <d v="2025-03-25T00:00:00"/>
    <s v="Acompanhando"/>
    <n v="2300"/>
    <s v="0"/>
  </r>
  <r>
    <s v="Matriz"/>
    <m/>
    <x v="11"/>
    <n v="49"/>
    <d v="2025-03-18T00:00:00"/>
    <d v="2025-03-25T00:00:00"/>
    <d v="2025-03-25T00:00:00"/>
    <n v="2200"/>
    <s v="Roberto"/>
    <s v="ANALISTA GUSTAVO"/>
    <s v="NÃO"/>
    <x v="9"/>
    <s v="Vencido"/>
    <n v="35"/>
    <s v="31-60 dias"/>
    <s v="Atraso Médio"/>
    <s v="-"/>
    <s v="Não"/>
    <m/>
    <m/>
    <s v="Não"/>
    <d v="2025-03-27T00:00:00"/>
    <d v="2025-03-27T00:00:00"/>
    <s v="Acompanhando"/>
    <n v="2200"/>
    <s v="0"/>
  </r>
  <r>
    <s v="Filial"/>
    <m/>
    <x v="11"/>
    <n v="50"/>
    <d v="2025-03-22T00:00:00"/>
    <d v="2025-03-26T00:00:00"/>
    <d v="2025-03-26T00:00:00"/>
    <n v="1800"/>
    <s v="Gustavo"/>
    <s v="ANALISTA GUSTAVO"/>
    <s v="NÃO"/>
    <x v="9"/>
    <s v="Vencido"/>
    <n v="34"/>
    <s v="31-60 dias"/>
    <s v="Atraso Médio"/>
    <s v="-"/>
    <s v="Não"/>
    <m/>
    <m/>
    <s v="Não"/>
    <d v="2025-03-28T00:00:00"/>
    <d v="2025-03-28T00:00:00"/>
    <s v="Acompanhando"/>
    <n v="1800"/>
    <s v="0"/>
  </r>
  <r>
    <s v="Filial"/>
    <m/>
    <x v="11"/>
    <n v="42"/>
    <d v="2025-02-28T00:00:00"/>
    <d v="2025-03-28T00:00:00"/>
    <d v="2025-03-28T00:00:00"/>
    <n v="2300"/>
    <s v="Maria"/>
    <s v="ANALISTA GUSTAVO"/>
    <s v="NÃO"/>
    <x v="9"/>
    <s v="Vencido"/>
    <n v="32"/>
    <s v="31-60 dias"/>
    <s v="Atraso Médio"/>
    <s v="-"/>
    <s v="Não"/>
    <m/>
    <m/>
    <s v="Não"/>
    <d v="2025-03-29T00:00:00"/>
    <d v="2025-03-29T00:00:00"/>
    <s v="Acompanhando"/>
    <n v="2300"/>
    <s v="0"/>
  </r>
  <r>
    <m/>
    <m/>
    <x v="12"/>
    <m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m/>
    <s v="BemEstar"/>
    <n v="52"/>
    <d v="2024-01-20T00:00:00"/>
    <d v="2024-01-22T00:00:00"/>
    <d v="2024-01-23T00:00:00"/>
    <n v="1400"/>
    <s v="Felipe"/>
    <s v="ANALISTA LUCAS"/>
    <s v="NÃO"/>
    <s v="Promessa de pagamento não cumprida"/>
    <s v="Vencido"/>
    <n v="463"/>
    <s v="61+ dias"/>
    <s v="Atraso Crítico"/>
    <s v="-"/>
    <s v="Sim"/>
    <m/>
    <n v="1"/>
    <s v="Sim"/>
    <d v="2025-03-24T00:00:00"/>
    <d v="2025-04-25T00:00:00"/>
    <s v="Acompanhando"/>
    <n v="1400"/>
  </r>
  <r>
    <x v="1"/>
    <s v="Gamma &amp; CIA"/>
    <s v="Gamma &amp; CIA"/>
    <n v="33"/>
    <d v="2024-02-15T00:00:00"/>
    <s v=" "/>
    <d v="2024-02-17T00:00:00"/>
    <n v="2000"/>
    <s v="Luana"/>
    <s v="ANALISTA GUSTAVO"/>
    <s v="NÃO"/>
    <s v="Cliente em inadimplência sem previsão de pagamento"/>
    <s v="A Vencer"/>
    <e v="#VALUE!"/>
    <s v=""/>
    <s v=""/>
    <s v="-"/>
    <s v="Sim"/>
    <m/>
    <n v="1"/>
    <s v="Sim"/>
    <d v="2025-03-24T00:00:00"/>
    <d v="2025-04-25T00:00:00"/>
    <s v="Acompanhando"/>
    <s v="0"/>
  </r>
  <r>
    <x v="1"/>
    <m/>
    <s v="BemEstar"/>
    <n v="34"/>
    <d v="2025-01-01T00:00:00"/>
    <d v="2025-02-01T00:00:00"/>
    <d v="2025-03-21T00:00:00"/>
    <n v="2000"/>
    <s v="Luana"/>
    <s v="ANALISTA GUSTAVO"/>
    <s v="NÃO"/>
    <s v="Pagamento em processo (aguardando confirmação bancária)"/>
    <s v="Vencido"/>
    <n v="87"/>
    <s v="61+ dias"/>
    <s v="Atraso Crítico"/>
    <s v="-"/>
    <s v="Sim"/>
    <m/>
    <n v="1"/>
    <s v="Sim"/>
    <d v="2025-03-24T00:00:00"/>
    <d v="2025-04-25T00:00:00"/>
    <s v="Acompanhando"/>
    <n v="2000"/>
  </r>
  <r>
    <x v="1"/>
    <s v="Alpha &amp; CIA"/>
    <s v="Alpha &amp; CIA"/>
    <n v="1"/>
    <d v="2025-01-01T00:00:00"/>
    <d v="2025-02-02T00:00:00"/>
    <d v="2025-03-21T00:00:00"/>
    <n v="1000"/>
    <s v="João"/>
    <s v="ANALISTA SIMONE"/>
    <s v="NÃO"/>
    <s v="Situação com comercial (aguardando análise comercial)"/>
    <s v="Vencido"/>
    <n v="86"/>
    <s v="61+ dias"/>
    <s v="Atraso Crítico"/>
    <s v="-"/>
    <s v="Sim"/>
    <m/>
    <n v="1"/>
    <s v="Sim"/>
    <d v="2025-03-24T00:00:00"/>
    <d v="2025-04-25T00:00:00"/>
    <s v="Acompanhando"/>
    <n v="1000"/>
  </r>
  <r>
    <x v="1"/>
    <s v="Alpha &amp; CIA"/>
    <s v="Beta"/>
    <n v="2"/>
    <d v="2025-01-01T00:00:00"/>
    <d v="2025-02-02T00:00:00"/>
    <d v="2025-03-21T00:00:00"/>
    <n v="1000"/>
    <s v="João"/>
    <s v="ANALISTA SIMONE"/>
    <s v="NÃO"/>
    <s v="Aguardando aprovação de crédito"/>
    <s v="Vencido"/>
    <n v="86"/>
    <s v="61+ dias"/>
    <s v="Atraso Crítico"/>
    <s v="-"/>
    <s v="Sim"/>
    <m/>
    <n v="1"/>
    <s v="Sim"/>
    <d v="2025-03-24T00:00:00"/>
    <d v="2025-05-25T00:00:00"/>
    <s v="Acompanhando"/>
    <n v="1000"/>
  </r>
  <r>
    <x v="0"/>
    <s v="Alpha &amp; CIA"/>
    <s v="Delta"/>
    <n v="3"/>
    <d v="2025-01-02T00:00:00"/>
    <d v="2025-02-02T00:00:00"/>
    <d v="2025-03-21T00:00:00"/>
    <n v="2500"/>
    <s v="Maria"/>
    <s v="ANALISTA SIMONE"/>
    <s v="NÃO"/>
    <s v="Cliente não localizado"/>
    <s v="Vencido"/>
    <n v="86"/>
    <s v="61+ dias"/>
    <s v="Atraso Crítico"/>
    <s v="-"/>
    <s v="Sim"/>
    <m/>
    <n v="1"/>
    <s v="Sim"/>
    <d v="2025-03-24T00:00:00"/>
    <d v="2025-05-25T00:00:00"/>
    <s v="Acompanhando"/>
    <n v="2500"/>
  </r>
  <r>
    <x v="0"/>
    <s v="Alpha &amp; CIA"/>
    <s v="Delta"/>
    <n v="4"/>
    <d v="2025-01-02T00:00:00"/>
    <d v="2025-02-02T00:00:00"/>
    <d v="2025-03-21T00:00:00"/>
    <n v="2500"/>
    <s v="Maria"/>
    <s v="ANALISTA SIMONE"/>
    <s v="NÃO"/>
    <s v="Promessa de pagamento refeito"/>
    <s v="Vencido"/>
    <n v="86"/>
    <s v="61+ dias"/>
    <s v="Atraso Crítico"/>
    <s v="-"/>
    <s v="Sim"/>
    <m/>
    <n v="1"/>
    <s v="Sim"/>
    <d v="2025-03-24T00:00:00"/>
    <d v="2025-05-25T00:00:00"/>
    <s v="Acompanhando"/>
    <n v="2500"/>
  </r>
  <r>
    <x v="1"/>
    <s v="Alpha &amp; CIA"/>
    <s v="Theta"/>
    <n v="5"/>
    <d v="2025-01-05T00:00:00"/>
    <d v="2025-02-02T00:00:00"/>
    <d v="2025-03-21T00:00:00"/>
    <n v="3000"/>
    <s v="Carlos"/>
    <s v="ANALISTA SIMONE"/>
    <s v="NÃO"/>
    <s v="Proposta de renegociação pendente"/>
    <s v="Vencido"/>
    <n v="86"/>
    <s v="61+ dias"/>
    <s v="Atraso Crítico"/>
    <s v="-"/>
    <s v="Sim"/>
    <m/>
    <n v="1"/>
    <s v="Sim"/>
    <d v="2025-03-24T00:00:00"/>
    <d v="2025-05-25T00:00:00"/>
    <s v="Acompanhando"/>
    <n v="3000"/>
  </r>
  <r>
    <x v="1"/>
    <s v="Alpha &amp; CIA"/>
    <s v="Zeta"/>
    <n v="6"/>
    <d v="2025-01-05T00:00:00"/>
    <d v="2025-02-02T00:00:00"/>
    <d v="2025-03-21T00:00:00"/>
    <n v="3000"/>
    <s v="Carlos"/>
    <s v="ANALISTA SIMONE"/>
    <s v="NÃO"/>
    <s v="Bloqueio de sistema por inadimplência"/>
    <s v="Vencido"/>
    <n v="86"/>
    <s v="61+ dias"/>
    <s v="Atraso Crítico"/>
    <s v="-"/>
    <s v="Sim"/>
    <m/>
    <n v="1"/>
    <s v="Sim"/>
    <d v="2025-03-24T00:00:00"/>
    <d v="2025-05-25T00:00:00"/>
    <s v="Acompanhando"/>
    <n v="3000"/>
  </r>
  <r>
    <x v="0"/>
    <m/>
    <s v="BemEstar"/>
    <n v="7"/>
    <d v="2025-01-06T00:00:00"/>
    <d v="2025-02-02T00:00:00"/>
    <d v="2025-03-21T00:00:00"/>
    <n v="1500"/>
    <s v="Ana"/>
    <s v="ANALISTA SIMONE"/>
    <s v="NÃO"/>
    <s v="Acordo em andamento (aguardando pagamento)"/>
    <s v="Vencido"/>
    <n v="86"/>
    <s v="61+ dias"/>
    <s v="Atraso Crítico"/>
    <s v="-"/>
    <s v="Sim"/>
    <m/>
    <n v="1"/>
    <s v="Sim"/>
    <d v="2025-03-24T00:00:00"/>
    <d v="2025-05-25T00:00:00"/>
    <s v="Acompanhando"/>
    <n v="1500"/>
  </r>
  <r>
    <x v="0"/>
    <m/>
    <s v="BemEstar"/>
    <n v="8"/>
    <d v="2025-01-06T00:00:00"/>
    <d v="2025-02-02T00:00:00"/>
    <d v="2025-03-21T00:00:00"/>
    <n v="1500"/>
    <s v="Ana"/>
    <s v="ANALISTA SIMONE"/>
    <s v="NÃO"/>
    <s v="Negociação finalizada, pendente de pagamento"/>
    <s v="Vencido"/>
    <n v="86"/>
    <s v="61+ dias"/>
    <s v="Atraso Crítico"/>
    <s v="-"/>
    <s v="Sim"/>
    <m/>
    <n v="1"/>
    <s v="Sim"/>
    <d v="2025-03-24T00:00:00"/>
    <d v="2025-05-25T00:00:00"/>
    <s v="Acompanhando"/>
    <n v="1500"/>
  </r>
  <r>
    <x v="1"/>
    <m/>
    <s v="BemEstar"/>
    <n v="9"/>
    <d v="2025-01-10T00:00:00"/>
    <d v="2025-02-10T00:00:00"/>
    <d v="2025-03-21T00:00:00"/>
    <n v="2200"/>
    <s v="Beatriz"/>
    <s v="ANALISTA SIMONE"/>
    <s v="NÃO"/>
    <s v="Cliente em processo de análise para reativação"/>
    <s v="Vencido"/>
    <n v="78"/>
    <s v="61+ dias"/>
    <s v="Atraso Crítico"/>
    <s v="-"/>
    <s v="Sim"/>
    <m/>
    <n v="1"/>
    <s v="Sim"/>
    <d v="2025-03-24T00:00:00"/>
    <d v="2025-05-25T00:00:00"/>
    <s v="Acompanhando"/>
    <n v="2200"/>
  </r>
  <r>
    <x v="1"/>
    <m/>
    <s v="BemEstar"/>
    <n v="10"/>
    <d v="2025-01-10T00:00:00"/>
    <d v="2025-02-11T00:00:00"/>
    <d v="2025-03-21T00:00:00"/>
    <n v="2200"/>
    <s v="Beatriz"/>
    <s v="ANALISTA SIMONE"/>
    <s v="NÃO"/>
    <s v="Acordo cumprido parcialmente"/>
    <s v="Vencido"/>
    <n v="77"/>
    <s v="61+ dias"/>
    <s v="Atraso Crítico"/>
    <s v="-"/>
    <s v="Sim"/>
    <m/>
    <n v="1"/>
    <s v="Sim"/>
    <d v="2025-03-24T00:00:00"/>
    <d v="2025-05-25T00:00:00"/>
    <s v="Acompanhando"/>
    <n v="2200"/>
  </r>
  <r>
    <x v="0"/>
    <m/>
    <s v="BemEstar"/>
    <n v="11"/>
    <d v="2025-01-12T00:00:00"/>
    <d v="2025-02-12T00:00:00"/>
    <d v="2025-02-13T00:00:00"/>
    <n v="1000"/>
    <s v="Lucas"/>
    <s v="ANALISTA SIMONE"/>
    <s v="NÃO"/>
    <s v="Aguardando liberação do financeiro"/>
    <s v="Vencido"/>
    <n v="76"/>
    <s v="61+ dias"/>
    <s v="Atraso Crítico"/>
    <s v="-"/>
    <s v="Sim"/>
    <m/>
    <n v="1"/>
    <s v="Sim"/>
    <d v="2025-03-24T00:00:00"/>
    <d v="2025-05-25T00:00:00"/>
    <s v="Acompanhando"/>
    <n v="1000"/>
  </r>
  <r>
    <x v="0"/>
    <m/>
    <s v="MundoInovador"/>
    <n v="12"/>
    <d v="2025-01-12T00:00:00"/>
    <d v="2025-02-13T00:00:00"/>
    <d v="2025-03-21T00:00:00"/>
    <n v="1000"/>
    <s v="Lucas"/>
    <s v="ANALISTA SIMONE"/>
    <s v="NÃO"/>
    <s v="Pagamento em processo (aguardando confirmação bancária)"/>
    <s v="Vencido"/>
    <n v="75"/>
    <s v="61+ dias"/>
    <s v="Atraso Crítico"/>
    <s v="-"/>
    <s v="Sim"/>
    <m/>
    <n v="1"/>
    <s v="Sim"/>
    <d v="2025-03-24T00:00:00"/>
    <d v="2025-05-25T00:00:00"/>
    <s v="Acompanhando"/>
    <n v="1000"/>
  </r>
  <r>
    <x v="1"/>
    <s v="Alpha &amp; CIA"/>
    <s v="Alpha &amp; CIA"/>
    <n v="13"/>
    <d v="2025-01-15T00:00:00"/>
    <d v="2025-02-14T00:00:00"/>
    <d v="2025-03-21T00:00:00"/>
    <n v="1500"/>
    <s v="Carla"/>
    <s v="ANALISTA SIMONE"/>
    <s v="NÃO"/>
    <s v="Cliente em inadimplência sem previsão de pagamento"/>
    <s v="Vencido"/>
    <n v="74"/>
    <s v="61+ dias"/>
    <s v="Atraso Crítico"/>
    <s v="-"/>
    <s v="Sim"/>
    <m/>
    <n v="1"/>
    <s v="Sim"/>
    <d v="2025-03-24T00:00:00"/>
    <d v="2025-05-25T00:00:00"/>
    <s v="Acompanhando"/>
    <n v="1500"/>
  </r>
  <r>
    <x v="1"/>
    <m/>
    <s v="MundoInovador"/>
    <n v="14"/>
    <d v="2025-01-15T00:00:00"/>
    <d v="2025-02-15T00:00:00"/>
    <d v="2025-03-21T00:00:00"/>
    <n v="1500"/>
    <s v="Carla"/>
    <s v="ANALISTA SIMONE"/>
    <s v="NÃO"/>
    <s v="Pagamento em processo (aguardando confirmação bancária)"/>
    <s v="Vencido"/>
    <n v="73"/>
    <s v="61+ dias"/>
    <s v="Atraso Crítico"/>
    <s v="-"/>
    <s v="Sim"/>
    <m/>
    <n v="1"/>
    <s v="Sim"/>
    <d v="2025-03-24T00:00:00"/>
    <d v="2025-05-25T00:00:00"/>
    <s v="Acompanhando"/>
    <n v="1500"/>
  </r>
  <r>
    <x v="0"/>
    <s v="Alpha &amp; CIA"/>
    <s v="Alpha &amp; CIA"/>
    <n v="15"/>
    <d v="2025-01-18T00:00:00"/>
    <d v="2025-02-16T00:00:00"/>
    <d v="2025-03-21T00:00:00"/>
    <n v="3000"/>
    <s v="Roberto"/>
    <s v="ANALISTA SIMONE"/>
    <s v="NÃO"/>
    <s v="Situação jurídica em andamento (em processo judicial)"/>
    <s v="Vencido"/>
    <n v="72"/>
    <s v="61+ dias"/>
    <s v="Atraso Crítico"/>
    <s v="-"/>
    <s v="Sim"/>
    <m/>
    <n v="1"/>
    <s v="Sim"/>
    <d v="2025-03-24T00:00:00"/>
    <d v="2025-05-25T00:00:00"/>
    <s v="Acompanhando"/>
    <n v="3000"/>
  </r>
  <r>
    <x v="0"/>
    <m/>
    <s v="MundoInovador"/>
    <n v="16"/>
    <d v="2025-01-18T00:00:00"/>
    <d v="2025-02-17T00:00:00"/>
    <d v="2025-03-21T00:00:00"/>
    <n v="3000"/>
    <s v="Roberto"/>
    <s v="ANALISTA SIMONE"/>
    <s v="NÃO"/>
    <s v="Cancelamento de cobrança solicitado"/>
    <s v="Vencido"/>
    <n v="71"/>
    <s v="61+ dias"/>
    <s v="Atraso Crítico"/>
    <s v="-"/>
    <s v="Sim"/>
    <m/>
    <n v="1"/>
    <s v="Sim"/>
    <d v="2025-03-24T00:00:00"/>
    <d v="2025-05-25T00:00:00"/>
    <s v="Acompanhando"/>
    <n v="3000"/>
  </r>
  <r>
    <x v="1"/>
    <s v="Alpha &amp; CIA"/>
    <s v="Alpha &amp; CIA"/>
    <n v="17"/>
    <d v="2025-01-20T00:00:00"/>
    <d v="2025-02-18T00:00:00"/>
    <d v="2025-03-21T00:00:00"/>
    <n v="2800"/>
    <s v="Juliana"/>
    <s v="ANALISTA SIMONE"/>
    <s v="NÃO"/>
    <s v="Cliente alegando dificuldades financeiras"/>
    <s v="Vencido"/>
    <n v="70"/>
    <s v="61+ dias"/>
    <s v="Atraso Crítico"/>
    <s v="-"/>
    <s v="Sim"/>
    <m/>
    <n v="1"/>
    <s v="Sim"/>
    <d v="2025-03-24T00:00:00"/>
    <d v="2025-05-25T00:00:00"/>
    <s v="Acompanhando"/>
    <n v="2800"/>
  </r>
  <r>
    <x v="1"/>
    <m/>
    <s v="MundoInovador"/>
    <n v="18"/>
    <d v="2025-01-20T00:00:00"/>
    <d v="2025-02-19T00:00:00"/>
    <d v="2025-03-21T00:00:00"/>
    <n v="2800"/>
    <s v="Juliana"/>
    <s v="ANALISTA SIMONE"/>
    <s v="NÃO"/>
    <s v="Aguardando resolução interna da empresa"/>
    <s v="Vencido"/>
    <n v="69"/>
    <s v="61+ dias"/>
    <s v="Atraso Crítico"/>
    <s v="-"/>
    <s v="Sim"/>
    <m/>
    <n v="1"/>
    <s v="Sim"/>
    <d v="2025-03-24T00:00:00"/>
    <d v="2025-05-25T00:00:00"/>
    <s v="Acompanhando"/>
    <n v="2800"/>
  </r>
  <r>
    <x v="0"/>
    <s v="Alpha &amp; CIA"/>
    <s v="Alpha &amp; CIA"/>
    <n v="19"/>
    <d v="2025-01-25T00:00:00"/>
    <d v="2025-02-20T00:00:00"/>
    <d v="2025-03-21T00:00:00"/>
    <n v="1200"/>
    <s v="Gustavo"/>
    <s v="ANALISTA SIMONE"/>
    <s v="NÃO"/>
    <s v="Promessa de pagamento não cumprida"/>
    <s v="Vencido"/>
    <n v="68"/>
    <s v="61+ dias"/>
    <s v="Atraso Crítico"/>
    <s v="-"/>
    <s v="Sim"/>
    <m/>
    <n v="1"/>
    <s v="Sim"/>
    <d v="2025-03-24T00:00:00"/>
    <d v="2025-05-25T00:00:00"/>
    <s v="Acompanhando"/>
    <n v="1200"/>
  </r>
  <r>
    <x v="1"/>
    <s v="Gamma &amp; CIA"/>
    <s v="Gamma &amp; CIA"/>
    <n v="21"/>
    <d v="2025-02-01T00:00:00"/>
    <d v="2025-02-20T00:00:00"/>
    <d v="2025-02-20T00:00:00"/>
    <n v="2500"/>
    <s v="Fernanda"/>
    <s v="ANALISTA SIMONE"/>
    <s v="NÃO"/>
    <s v="Acordo de pagamento pendente"/>
    <s v="Vencido"/>
    <n v="68"/>
    <s v="61+ dias"/>
    <s v="Atraso Crítico"/>
    <s v="-"/>
    <s v="Sim"/>
    <m/>
    <n v="1"/>
    <s v="Sim"/>
    <d v="2025-03-24T00:00:00"/>
    <d v="2025-05-25T00:00:00"/>
    <s v="Acompanhando"/>
    <n v="2500"/>
  </r>
  <r>
    <x v="0"/>
    <m/>
    <s v="MundoInovador"/>
    <n v="20"/>
    <d v="2025-01-25T00:00:00"/>
    <d v="2025-02-21T00:00:00"/>
    <d v="2025-02-21T00:00:00"/>
    <n v="1200"/>
    <s v="Gustavo"/>
    <s v="ANALISTA SIMONE"/>
    <s v="NÃO"/>
    <s v="Situação com comercial (aguardando análise comercial)"/>
    <s v="Vencido"/>
    <n v="67"/>
    <s v="61+ dias"/>
    <s v="Atraso Crítico"/>
    <s v="-"/>
    <s v="Sim"/>
    <m/>
    <n v="1"/>
    <s v="Sim"/>
    <d v="2025-03-24T00:00:00"/>
    <d v="2025-05-25T00:00:00"/>
    <s v="Acompanhando"/>
    <n v="1200"/>
  </r>
  <r>
    <x v="1"/>
    <m/>
    <s v="MundoInovador"/>
    <n v="22"/>
    <d v="2025-02-01T00:00:00"/>
    <d v="2025-02-21T00:00:00"/>
    <d v="2025-02-21T00:00:00"/>
    <n v="2500"/>
    <s v="Fernanda"/>
    <s v="ANALISTA SIMONE"/>
    <s v="NÃO"/>
    <s v="Aguardando aprovação de crédito"/>
    <s v="Vencido"/>
    <n v="67"/>
    <s v="61+ dias"/>
    <s v="Atraso Crítico"/>
    <s v="-"/>
    <s v="Sim"/>
    <m/>
    <n v="1"/>
    <s v="Sim"/>
    <d v="2025-03-24T00:00:00"/>
    <d v="2025-05-25T00:00:00"/>
    <s v="Acompanhando"/>
    <n v="2500"/>
  </r>
  <r>
    <x v="0"/>
    <s v="Gamma &amp; CIA"/>
    <s v="Gamma &amp; CIA"/>
    <n v="23"/>
    <d v="2025-02-02T00:00:00"/>
    <d v="2025-02-22T00:00:00"/>
    <d v="2025-02-22T00:00:00"/>
    <n v="3000"/>
    <s v="Felipe"/>
    <s v="ANALISTA SIMONE"/>
    <s v="NÃO"/>
    <s v="Cliente não localizado"/>
    <s v="Vencido"/>
    <n v="66"/>
    <s v="61+ dias"/>
    <s v="Atraso Crítico"/>
    <s v="-"/>
    <s v="Sim"/>
    <m/>
    <n v="1"/>
    <s v="Sim"/>
    <d v="2025-03-24T00:00:00"/>
    <d v="2025-03-24T00:00:00"/>
    <s v="Acompanhando"/>
    <n v="3000"/>
  </r>
  <r>
    <x v="0"/>
    <m/>
    <s v="MundoInovador"/>
    <n v="24"/>
    <d v="2025-02-02T00:00:00"/>
    <d v="2025-02-23T00:00:00"/>
    <d v="2025-02-23T00:00:00"/>
    <n v="3000"/>
    <s v="Felipe"/>
    <s v="ANALISTA GUSTAVO"/>
    <s v="NÃO"/>
    <s v="Promessa de pagamento refeito"/>
    <s v="Vencido"/>
    <n v="65"/>
    <s v="61+ dias"/>
    <s v="Atraso Crítico"/>
    <s v="-"/>
    <s v="Sim"/>
    <m/>
    <n v="1"/>
    <s v="Sim"/>
    <d v="2025-03-24T00:00:00"/>
    <d v="2025-03-24T00:00:00"/>
    <s v="Acompanhando"/>
    <n v="3000"/>
  </r>
  <r>
    <x v="1"/>
    <s v="Gamma &amp; CIA"/>
    <s v="Gamma &amp; CIA"/>
    <n v="25"/>
    <d v="2025-02-05T00:00:00"/>
    <d v="2025-02-24T00:00:00"/>
    <d v="2025-02-24T00:00:00"/>
    <n v="1200"/>
    <s v="Camila"/>
    <s v="ANALISTA GUSTAVO"/>
    <s v="NÃO"/>
    <s v="Proposta de renegociação pendente"/>
    <s v="Vencido"/>
    <n v="64"/>
    <s v="61+ dias"/>
    <s v="Atraso Crítico"/>
    <s v="-"/>
    <s v="Sim"/>
    <m/>
    <n v="1"/>
    <s v="Sim"/>
    <d v="2025-03-24T00:00:00"/>
    <d v="2025-03-24T00:00:00"/>
    <s v="Acompanhando"/>
    <n v="1200"/>
  </r>
  <r>
    <x v="1"/>
    <m/>
    <s v="MundoInovador"/>
    <n v="26"/>
    <d v="2025-02-05T00:00:00"/>
    <d v="2025-02-25T00:00:00"/>
    <d v="2025-02-25T00:00:00"/>
    <n v="1200"/>
    <s v="Camila"/>
    <s v="ANALISTA GUSTAVO"/>
    <s v="NÃO"/>
    <s v="Bloqueio de sistema por inadimplência"/>
    <s v="Vencido"/>
    <n v="63"/>
    <s v="61+ dias"/>
    <s v="Atraso Crítico"/>
    <s v="-"/>
    <s v="Sim"/>
    <m/>
    <n v="1"/>
    <s v="Sim"/>
    <d v="2025-03-24T00:00:00"/>
    <d v="2025-03-24T00:00:00"/>
    <s v="Acompanhando"/>
    <n v="1200"/>
  </r>
  <r>
    <x v="0"/>
    <s v="Gamma &amp; CIA"/>
    <s v="Gamma &amp; CIA"/>
    <n v="27"/>
    <d v="2025-02-06T00:00:00"/>
    <d v="2025-02-26T00:00:00"/>
    <d v="2025-02-26T00:00:00"/>
    <n v="2000"/>
    <s v="Patrícia"/>
    <s v="ANALISTA GUSTAVO"/>
    <s v="NÃO"/>
    <s v="Acordo em andamento (aguardando pagamento)"/>
    <s v="Vencido"/>
    <n v="62"/>
    <s v="61+ dias"/>
    <s v="Atraso Crítico"/>
    <s v="-"/>
    <s v="Sim"/>
    <m/>
    <n v="1"/>
    <s v="Sim"/>
    <d v="2025-03-24T00:00:00"/>
    <d v="2025-03-24T00:00:00"/>
    <s v="Acompanhando"/>
    <n v="2000"/>
  </r>
  <r>
    <x v="0"/>
    <m/>
    <s v="MundoInovador"/>
    <n v="28"/>
    <d v="2025-02-06T00:00:00"/>
    <d v="2025-02-27T00:00:00"/>
    <d v="2025-02-27T00:00:00"/>
    <n v="2000"/>
    <s v="Patrícia"/>
    <s v="ANALISTA GUSTAVO"/>
    <s v="NÃO"/>
    <s v="Negociação finalizada, pendente de pagamento"/>
    <s v="Vencido"/>
    <n v="61"/>
    <s v="61+ dias"/>
    <s v="Atraso Crítico"/>
    <s v="-"/>
    <s v="Sim"/>
    <m/>
    <n v="1"/>
    <s v="Sim"/>
    <d v="2025-03-24T00:00:00"/>
    <d v="2025-03-24T00:00:00"/>
    <s v="Acompanhando"/>
    <n v="2000"/>
  </r>
  <r>
    <x v="1"/>
    <s v="Gamma &amp; CIA"/>
    <s v="Gamma &amp; CIA"/>
    <n v="29"/>
    <d v="2025-02-10T00:00:00"/>
    <d v="2025-02-27T00:00:00"/>
    <d v="2025-02-27T00:00:00"/>
    <n v="3200"/>
    <s v="Tiago"/>
    <s v="ANALISTA GUSTAVO"/>
    <s v="NÃO"/>
    <s v="Cliente em processo de análise para reativação"/>
    <s v="Vencido"/>
    <n v="61"/>
    <s v="61+ dias"/>
    <s v="Atraso Crítico"/>
    <s v="-"/>
    <s v="Sim"/>
    <m/>
    <n v="1"/>
    <s v="Sim"/>
    <d v="2025-03-24T00:00:00"/>
    <d v="2025-03-24T00:00:00"/>
    <s v="Acompanhando"/>
    <n v="3200"/>
  </r>
  <r>
    <x v="1"/>
    <m/>
    <s v="SoftLink"/>
    <n v="30"/>
    <d v="2025-02-10T00:00:00"/>
    <d v="2025-02-27T00:00:00"/>
    <d v="2025-02-27T00:00:00"/>
    <n v="3200"/>
    <s v="Tiago"/>
    <s v="ANALISTA GUSTAVO"/>
    <s v="NÃO"/>
    <s v="Acordo cumprido parcialmente"/>
    <s v="Vencido"/>
    <n v="61"/>
    <s v="61+ dias"/>
    <s v="Atraso Crítico"/>
    <s v="-"/>
    <s v="Sim"/>
    <m/>
    <n v="1"/>
    <s v="Sim"/>
    <d v="2025-03-24T00:00:00"/>
    <d v="2025-03-24T00:00:00"/>
    <s v="Acompanhando"/>
    <n v="3200"/>
  </r>
  <r>
    <x v="0"/>
    <s v="Gamma &amp; CIA"/>
    <s v="Gamma &amp; CIA"/>
    <n v="31"/>
    <d v="2025-02-12T00:00:00"/>
    <d v="2025-02-27T00:00:00"/>
    <d v="2025-02-27T00:00:00"/>
    <n v="1500"/>
    <s v="André"/>
    <s v="ANALISTA GUSTAVO"/>
    <s v="NÃO"/>
    <s v="Aguardando liberação do financeiro"/>
    <s v="Vencido"/>
    <n v="61"/>
    <s v="61+ dias"/>
    <s v="Atraso Crítico"/>
    <s v="-"/>
    <s v="Sim"/>
    <m/>
    <n v="1"/>
    <s v="Sim"/>
    <d v="2025-03-24T00:00:00"/>
    <d v="2025-03-24T00:00:00"/>
    <s v="Acompanhando"/>
    <n v="1500"/>
  </r>
  <r>
    <x v="0"/>
    <m/>
    <s v="SoftLink"/>
    <n v="32"/>
    <d v="2025-02-12T00:00:00"/>
    <d v="2025-02-27T00:00:00"/>
    <d v="2025-02-27T00:00:00"/>
    <n v="1500"/>
    <s v="André"/>
    <s v="ANALISTA GUSTAVO"/>
    <s v="NÃO"/>
    <s v="Pagamento em processo (aguardando confirmação bancária)"/>
    <s v="Vencido"/>
    <n v="61"/>
    <s v="61+ dias"/>
    <s v="Atraso Crítico"/>
    <s v="-"/>
    <s v="Sim"/>
    <m/>
    <n v="1"/>
    <s v="Sim"/>
    <d v="2025-03-24T00:00:00"/>
    <d v="2025-03-24T00:00:00"/>
    <s v="Acompanhando"/>
    <n v="1500"/>
  </r>
  <r>
    <x v="0"/>
    <s v="Gamma &amp; CIA"/>
    <s v="Gamma &amp; CIA"/>
    <n v="35"/>
    <d v="2025-02-18T00:00:00"/>
    <d v="2025-02-27T00:00:00"/>
    <d v="2025-02-27T00:00:00"/>
    <n v="1000"/>
    <s v="Pedro"/>
    <s v="ANALISTA GUSTAVO"/>
    <s v="NÃO"/>
    <s v="Situação jurídica em andamento (em processo judicial)"/>
    <s v="Vencido"/>
    <n v="61"/>
    <s v="61+ dias"/>
    <s v="Atraso Crítico"/>
    <s v="-"/>
    <s v="Sim"/>
    <m/>
    <n v="1"/>
    <s v="Sim"/>
    <d v="2025-03-24T00:00:00"/>
    <d v="2025-03-24T00:00:00"/>
    <s v="Acompanhando"/>
    <n v="1000"/>
  </r>
  <r>
    <x v="0"/>
    <m/>
    <s v="SoftLink"/>
    <n v="36"/>
    <d v="2025-02-18T00:00:00"/>
    <d v="2025-02-27T00:00:00"/>
    <d v="2025-02-27T00:00:00"/>
    <n v="1000"/>
    <s v="Pedro"/>
    <s v="ANALISTA GUSTAVO"/>
    <s v="NÃO"/>
    <s v="Cancelamento de cobrança solicitado"/>
    <s v="Vencido"/>
    <n v="61"/>
    <s v="61+ dias"/>
    <s v="Atraso Crítico"/>
    <s v="-"/>
    <s v="Sim"/>
    <m/>
    <n v="1"/>
    <s v="Sim"/>
    <d v="2025-03-24T00:00:00"/>
    <d v="2025-03-24T00:00:00"/>
    <s v="Acompanhando"/>
    <n v="1000"/>
  </r>
  <r>
    <x v="1"/>
    <s v="Gamma &amp; CIA"/>
    <s v="Gamma &amp; CIA"/>
    <n v="37"/>
    <d v="2025-02-20T00:00:00"/>
    <d v="2025-02-27T00:00:00"/>
    <d v="2025-02-27T00:00:00"/>
    <n v="1800"/>
    <s v="Sabrina"/>
    <s v="ANALISTA GUSTAVO"/>
    <s v="NÃO"/>
    <s v="Cliente alegando dificuldades financeiras"/>
    <s v="Vencido"/>
    <n v="61"/>
    <s v="61+ dias"/>
    <s v="Atraso Crítico"/>
    <s v="-"/>
    <s v="Sim"/>
    <m/>
    <n v="1"/>
    <s v="Sim"/>
    <d v="2025-03-24T00:00:00"/>
    <d v="2025-03-24T00:00:00"/>
    <s v="Acompanhando"/>
    <n v="1800"/>
  </r>
  <r>
    <x v="1"/>
    <m/>
    <s v="SoftLink"/>
    <n v="38"/>
    <d v="2025-02-20T00:00:00"/>
    <d v="2025-02-27T00:00:00"/>
    <d v="2025-02-27T00:00:00"/>
    <n v="1800"/>
    <s v="Sabrina"/>
    <s v="ANALISTA GUSTAVO"/>
    <s v="NÃO"/>
    <s v="Aguardando resolução interna da empresa"/>
    <s v="Vencido"/>
    <n v="61"/>
    <s v="61+ dias"/>
    <s v="Atraso Crítico"/>
    <s v="-"/>
    <s v="Sim"/>
    <m/>
    <n v="1"/>
    <s v="Sim"/>
    <d v="2025-03-24T00:00:00"/>
    <d v="2025-03-24T00:00:00"/>
    <s v="Acompanhando"/>
    <n v="1800"/>
  </r>
  <r>
    <x v="0"/>
    <s v="Gamma &amp; CIA"/>
    <s v="Gamma &amp; CIA"/>
    <n v="39"/>
    <d v="2025-02-25T00:00:00"/>
    <d v="2025-02-27T00:00:00"/>
    <d v="2025-02-27T00:00:00"/>
    <n v="2500"/>
    <s v="Marcos"/>
    <s v="ANALISTA GUSTAVO"/>
    <s v="NÃO"/>
    <s v="Promessa de pagamento não cumprida"/>
    <s v="Vencido"/>
    <n v="61"/>
    <s v="61+ dias"/>
    <s v="Atraso Crítico"/>
    <s v="-"/>
    <s v="Sim"/>
    <m/>
    <n v="1"/>
    <s v="Sim"/>
    <d v="2025-03-24T00:00:00"/>
    <d v="2025-03-24T00:00:00"/>
    <s v="Acompanhando"/>
    <n v="2500"/>
  </r>
  <r>
    <x v="0"/>
    <m/>
    <s v="SoftLink"/>
    <n v="40"/>
    <d v="2025-02-25T00:00:00"/>
    <d v="2025-02-27T00:00:00"/>
    <d v="2025-02-27T00:00:00"/>
    <n v="2500"/>
    <s v="Marcos"/>
    <s v="ANALISTA GUSTAVO"/>
    <s v="NÃO"/>
    <s v="Acordo de pagamento pendente"/>
    <s v="Vencido"/>
    <n v="61"/>
    <s v="61+ dias"/>
    <s v="Atraso Crítico"/>
    <s v="-"/>
    <s v="Sim"/>
    <m/>
    <n v="1"/>
    <s v="Sim"/>
    <d v="2025-03-24T00:00:00"/>
    <d v="2025-03-24T00:00:00"/>
    <s v="Acompanhando"/>
    <n v="2500"/>
  </r>
  <r>
    <x v="1"/>
    <m/>
    <s v="SoftLink"/>
    <n v="41"/>
    <d v="2025-02-26T00:00:00"/>
    <d v="2025-02-27T00:00:00"/>
    <d v="2025-02-27T00:00:00"/>
    <n v="1400"/>
    <s v="João"/>
    <s v="ANALISTA GUSTAVO"/>
    <s v="NÃO"/>
    <s v="Situação com comercial (aguardando análise comercial)"/>
    <s v="Vencido"/>
    <n v="61"/>
    <s v="61+ dias"/>
    <s v="Atraso Crítico"/>
    <s v="-"/>
    <s v="Sim"/>
    <m/>
    <n v="1"/>
    <s v="Sim"/>
    <d v="2025-03-24T00:00:00"/>
    <d v="2025-03-24T00:00:00"/>
    <s v="Acompanhando"/>
    <n v="1400"/>
  </r>
  <r>
    <x v="1"/>
    <m/>
    <s v="SoftLink"/>
    <n v="43"/>
    <d v="2025-03-02T00:00:00"/>
    <d v="2025-03-13T00:00:00"/>
    <d v="2025-03-13T00:00:00"/>
    <n v="3000"/>
    <s v="Carlos"/>
    <s v="ANALISTA GUSTAVO"/>
    <s v="NÃO"/>
    <s v="Cliente não localizado"/>
    <s v="Vencido"/>
    <n v="47"/>
    <s v="31-60 dias"/>
    <s v="Atraso Médio"/>
    <s v="-"/>
    <s v="Sim"/>
    <m/>
    <n v="1"/>
    <s v="Sim"/>
    <d v="2025-03-24T00:00:00"/>
    <d v="2025-03-24T00:00:00"/>
    <s v="Acompanhando"/>
    <n v="3000"/>
  </r>
  <r>
    <x v="0"/>
    <m/>
    <s v="SoftLink"/>
    <n v="44"/>
    <d v="2025-03-05T00:00:00"/>
    <d v="2025-03-20T00:00:00"/>
    <d v="2025-03-20T00:00:00"/>
    <n v="1700"/>
    <s v="Ana"/>
    <s v="ANALISTA GUSTAVO"/>
    <s v="NÃO"/>
    <s v="Promessa de pagamento refeito"/>
    <s v="Vencido"/>
    <n v="40"/>
    <s v="31-60 dias"/>
    <s v="Atraso Médio"/>
    <s v="-"/>
    <s v="Sim"/>
    <m/>
    <n v="1"/>
    <s v="Sim"/>
    <d v="2025-03-24T00:00:00"/>
    <d v="2025-03-24T00:00:00"/>
    <s v="Acompanhando"/>
    <n v="1700"/>
  </r>
  <r>
    <x v="1"/>
    <m/>
    <s v="InvestPro"/>
    <n v="53"/>
    <d v="2025-02-21T00:00:00"/>
    <d v="2025-03-21T00:00:00"/>
    <d v="2025-03-21T00:00:00"/>
    <n v="2700"/>
    <s v="Camila"/>
    <s v="ANALISTA LUCAS"/>
    <s v="SIM"/>
    <s v="Sem Retorno"/>
    <s v="Quitado"/>
    <n v="0"/>
    <s v=""/>
    <s v=""/>
    <s v="-"/>
    <s v="Sim"/>
    <m/>
    <n v="1"/>
    <s v="Sim"/>
    <d v="2025-03-24T00:00:00"/>
    <d v="2025-04-25T00:00:00"/>
    <s v="Acompanhando"/>
    <s v="0"/>
  </r>
  <r>
    <x v="0"/>
    <m/>
    <s v="InvestPro"/>
    <n v="54"/>
    <d v="2025-02-21T00:00:00"/>
    <d v="2025-03-21T00:00:00"/>
    <d v="2025-03-21T00:00:00"/>
    <n v="1600"/>
    <s v="Patríci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600"/>
  </r>
  <r>
    <x v="1"/>
    <m/>
    <s v="InvestPro"/>
    <n v="55"/>
    <d v="2025-02-21T00:00:00"/>
    <d v="2025-03-21T00:00:00"/>
    <d v="2025-03-21T00:00:00"/>
    <n v="3000"/>
    <s v="Tiag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000"/>
  </r>
  <r>
    <x v="0"/>
    <m/>
    <s v="InvestPro"/>
    <n v="56"/>
    <d v="2025-02-21T00:00:00"/>
    <d v="2025-03-21T00:00:00"/>
    <d v="2025-03-21T00:00:00"/>
    <n v="1800"/>
    <s v="André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800"/>
  </r>
  <r>
    <x v="1"/>
    <m/>
    <s v="InvestPro"/>
    <n v="57"/>
    <d v="2025-02-21T00:00:00"/>
    <d v="2025-03-21T00:00:00"/>
    <d v="2025-03-21T00:00:00"/>
    <n v="2200"/>
    <s v="Lu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x v="0"/>
    <m/>
    <s v="InvestPro"/>
    <n v="58"/>
    <d v="2025-02-21T00:00:00"/>
    <d v="2025-03-21T00:00:00"/>
    <d v="2025-03-21T00:00:00"/>
    <n v="1500"/>
    <s v="Pedr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x v="1"/>
    <s v="Alpha &amp; CIA"/>
    <s v="Alpha &amp; CIA"/>
    <n v="59"/>
    <d v="2025-02-21T00:00:00"/>
    <d v="2025-03-21T00:00:00"/>
    <d v="2025-03-21T00:00:00"/>
    <n v="2800"/>
    <s v="Sabri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800"/>
  </r>
  <r>
    <x v="0"/>
    <m/>
    <s v="InvestPro"/>
    <n v="60"/>
    <d v="2025-02-21T00:00:00"/>
    <d v="2025-03-21T00:00:00"/>
    <d v="2025-03-21T00:00:00"/>
    <n v="3100"/>
    <s v="Marcos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100"/>
  </r>
  <r>
    <x v="1"/>
    <m/>
    <s v="InvestPro"/>
    <n v="61"/>
    <d v="2025-02-21T00:00:00"/>
    <d v="2025-03-21T00:00:00"/>
    <d v="2025-03-21T00:00:00"/>
    <n v="1900"/>
    <s v="Joã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900"/>
  </r>
  <r>
    <x v="0"/>
    <m/>
    <s v="NovaHorizonte"/>
    <n v="62"/>
    <d v="2025-02-21T00:00:00"/>
    <d v="2025-03-21T00:00:00"/>
    <d v="2025-03-21T00:00:00"/>
    <n v="2300"/>
    <s v="Mari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300"/>
  </r>
  <r>
    <x v="1"/>
    <m/>
    <s v="NovaHorizonte"/>
    <n v="63"/>
    <d v="2025-02-21T00:00:00"/>
    <d v="2025-03-21T00:00:00"/>
    <d v="2025-03-21T00:00:00"/>
    <n v="1700"/>
    <s v="Carlos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700"/>
  </r>
  <r>
    <x v="0"/>
    <m/>
    <s v="NovaHorizonte"/>
    <n v="64"/>
    <d v="2025-02-21T00:00:00"/>
    <d v="2025-03-21T00:00:00"/>
    <d v="2025-03-21T00:00:00"/>
    <n v="2200"/>
    <s v="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x v="1"/>
    <m/>
    <s v="NovaHorizonte"/>
    <n v="65"/>
    <d v="2025-02-21T00:00:00"/>
    <d v="2025-03-21T00:00:00"/>
    <d v="2025-03-21T00:00:00"/>
    <n v="2500"/>
    <s v="Beatriz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500"/>
  </r>
  <r>
    <x v="0"/>
    <m/>
    <s v="NovaHorizonte"/>
    <n v="66"/>
    <d v="2025-01-21T00:00:00"/>
    <d v="2025-01-21T00:00:00"/>
    <d v="2025-01-21T00:00:00"/>
    <n v="2000"/>
    <s v="Lucas"/>
    <s v="ANALISTA LUCAS"/>
    <s v="NÃO"/>
    <s v="Sem Retorno"/>
    <s v="Vencido"/>
    <n v="98"/>
    <s v="61+ dias"/>
    <s v="Atraso Crítico"/>
    <s v="-"/>
    <s v="Sim"/>
    <m/>
    <n v="1"/>
    <s v="Sim"/>
    <d v="2025-03-24T00:00:00"/>
    <d v="2025-04-25T00:00:00"/>
    <s v="Acompanhando"/>
    <n v="2000"/>
  </r>
  <r>
    <x v="1"/>
    <m/>
    <s v="NovaHorizonte"/>
    <n v="67"/>
    <d v="2025-02-21T00:00:00"/>
    <d v="2025-03-21T00:00:00"/>
    <d v="2025-03-21T00:00:00"/>
    <n v="3200"/>
    <s v="Carl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3200"/>
  </r>
  <r>
    <x v="0"/>
    <m/>
    <s v="NovaHorizonte"/>
    <n v="68"/>
    <d v="2025-02-21T00:00:00"/>
    <d v="2025-03-21T00:00:00"/>
    <d v="2025-03-21T00:00:00"/>
    <n v="1500"/>
    <s v="Robert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x v="1"/>
    <m/>
    <s v="NovaHorizonte"/>
    <n v="69"/>
    <d v="2025-02-21T00:00:00"/>
    <d v="2025-03-21T00:00:00"/>
    <d v="2025-03-21T00:00:00"/>
    <n v="2800"/>
    <s v="Julian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800"/>
  </r>
  <r>
    <x v="0"/>
    <m/>
    <s v="NovaHorizonte"/>
    <n v="70"/>
    <d v="2025-02-21T00:00:00"/>
    <d v="2025-03-21T00:00:00"/>
    <d v="2025-03-21T00:00:00"/>
    <n v="1700"/>
    <s v="Gustavo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700"/>
  </r>
  <r>
    <x v="1"/>
    <m/>
    <s v="GlobalTech"/>
    <n v="71"/>
    <d v="2025-02-21T00:00:00"/>
    <d v="2025-03-21T00:00:00"/>
    <d v="2025-03-21T00:00:00"/>
    <n v="2200"/>
    <s v="Fernand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x v="0"/>
    <m/>
    <s v="GlobalTech"/>
    <n v="72"/>
    <d v="2025-02-21T00:00:00"/>
    <d v="2025-03-21T00:00:00"/>
    <d v="2025-03-21T00:00:00"/>
    <n v="2200"/>
    <s v="Fernanda"/>
    <s v="ANALISTA SIMONE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2200"/>
  </r>
  <r>
    <x v="1"/>
    <m/>
    <s v="GlobalTech"/>
    <n v="51"/>
    <d v="2025-02-21T00:00:00"/>
    <d v="2025-03-21T00:00:00"/>
    <d v="2025-03-21T00:00:00"/>
    <n v="1500"/>
    <s v="Fernanda"/>
    <s v="ANALISTA LUCAS"/>
    <s v="NÃO"/>
    <s v="Sem Retorno"/>
    <s v="Vencido"/>
    <n v="39"/>
    <s v="31-60 dias"/>
    <s v="Atraso Médio"/>
    <s v="-"/>
    <s v="Sim"/>
    <m/>
    <n v="1"/>
    <s v="Sim"/>
    <d v="2025-03-24T00:00:00"/>
    <d v="2025-04-25T00:00:00"/>
    <s v="Acompanhando"/>
    <n v="1500"/>
  </r>
  <r>
    <x v="1"/>
    <m/>
    <s v="GlobalTech"/>
    <n v="45"/>
    <d v="2025-03-08T00:00:00"/>
    <d v="2025-03-21T00:00:00"/>
    <d v="2025-03-21T00:00:00"/>
    <n v="2100"/>
    <s v="Beatriz"/>
    <s v="ANALISTA GUSTAVO"/>
    <s v="NÃO"/>
    <s v="Sem Retorno"/>
    <s v="Vencido"/>
    <n v="39"/>
    <s v="31-60 dias"/>
    <s v="Atraso Médio"/>
    <s v="-"/>
    <s v="Sim"/>
    <m/>
    <n v="1"/>
    <s v="Sim"/>
    <d v="2025-03-24T00:00:00"/>
    <d v="2025-03-24T00:00:00"/>
    <s v="Acompanhando"/>
    <n v="2100"/>
  </r>
  <r>
    <x v="0"/>
    <m/>
    <s v="GlobalTech"/>
    <n v="46"/>
    <d v="2025-03-10T00:00:00"/>
    <d v="2025-03-22T00:00:00"/>
    <d v="2025-03-22T00:00:00"/>
    <n v="1900"/>
    <s v="Lucas"/>
    <s v="ANALISTA GUSTAVO"/>
    <s v="NÃO"/>
    <s v="Bloqueio de sistema por inadimplência"/>
    <s v="Vencido"/>
    <n v="38"/>
    <s v="31-60 dias"/>
    <s v="Atraso Médio"/>
    <s v="-"/>
    <s v="Sim"/>
    <m/>
    <n v="1"/>
    <s v="Sim"/>
    <d v="2025-03-24T00:00:00"/>
    <d v="2025-03-24T00:00:00"/>
    <s v="Acompanhando"/>
    <n v="1900"/>
  </r>
  <r>
    <x v="1"/>
    <m/>
    <s v="GlobalTech"/>
    <n v="47"/>
    <d v="2025-03-12T00:00:00"/>
    <d v="2025-03-23T00:00:00"/>
    <d v="2025-03-23T00:00:00"/>
    <n v="2500"/>
    <s v="Carla"/>
    <s v="ANALISTA GUSTAVO"/>
    <s v="NÃO"/>
    <s v="Acordo em andamento (aguardando pagamento)"/>
    <s v="Vencido"/>
    <n v="37"/>
    <s v="31-60 dias"/>
    <s v="Atraso Médio"/>
    <s v="-"/>
    <s v="Não"/>
    <m/>
    <n v="1"/>
    <s v="Sim"/>
    <d v="2025-03-24T00:00:00"/>
    <d v="2025-03-24T00:00:00"/>
    <s v="Acompanhando"/>
    <n v="2500"/>
  </r>
  <r>
    <x v="0"/>
    <m/>
    <s v="GlobalTech"/>
    <n v="48"/>
    <d v="2025-03-15T00:00:00"/>
    <d v="2025-03-24T00:00:00"/>
    <d v="2025-03-24T00:00:00"/>
    <n v="2300"/>
    <s v="Roberto"/>
    <s v="ANALISTA GUSTAVO"/>
    <s v="NÃO"/>
    <s v="Acordo em andamento (aguardando pagamento)"/>
    <s v="Vencido"/>
    <n v="36"/>
    <s v="31-60 dias"/>
    <s v="Atraso Médio"/>
    <s v="-"/>
    <s v="Não"/>
    <m/>
    <m/>
    <s v="Não"/>
    <d v="2025-03-25T00:00:00"/>
    <d v="2025-03-25T00:00:00"/>
    <s v="Acompanhando"/>
    <n v="2300"/>
  </r>
  <r>
    <x v="1"/>
    <m/>
    <s v="GlobalTech"/>
    <n v="49"/>
    <d v="2025-03-18T00:00:00"/>
    <d v="2025-03-25T00:00:00"/>
    <d v="2025-03-25T00:00:00"/>
    <n v="2200"/>
    <s v="Roberto"/>
    <s v="ANALISTA GUSTAVO"/>
    <s v="NÃO"/>
    <s v="Acordo em andamento (aguardando pagamento)"/>
    <s v="Vencido"/>
    <n v="35"/>
    <s v="31-60 dias"/>
    <s v="Atraso Médio"/>
    <s v="-"/>
    <s v="Não"/>
    <m/>
    <m/>
    <s v="Não"/>
    <d v="2025-03-27T00:00:00"/>
    <d v="2025-03-27T00:00:00"/>
    <s v="Acompanhando"/>
    <n v="2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655DC-BB6D-4BF2-B861-23D5C08945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1:B8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axis="axisRow"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4">
      <pivotArea outline="0" collapsedLevelsAreSubtotals="1" fieldPosition="0"/>
    </format>
    <format dxfId="153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22F2-6553-4323-B31F-312CC92D3F6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1:B8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7">
        <item x="1"/>
        <item x="2"/>
        <item x="5"/>
        <item x="0"/>
        <item x="4"/>
        <item x="3"/>
        <item t="default"/>
      </items>
    </pivotField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2">
      <pivotArea outline="0" collapsedLevelsAreSubtotals="1" fieldPosition="0"/>
    </format>
    <format dxfId="151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8B12B-6A2B-4DA3-AFEE-A2A16C1779F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1:B8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1"/>
        <item x="3"/>
        <item x="5"/>
        <item x="0"/>
        <item x="4"/>
        <item x="2"/>
        <item t="default"/>
      </items>
    </pivotField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50">
      <pivotArea outline="0" collapsedLevelsAreSubtotals="1" fieldPosition="0"/>
    </format>
    <format dxfId="149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F281A-448C-4B5C-937D-850FC9EA695E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B6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48">
      <pivotArea outline="0" collapsedLevelsAreSubtotals="1" fieldPosition="0"/>
    </format>
    <format dxfId="147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2AF0F-E300-4226-B2DC-2CD4B693B5BF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23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axis="axisRow"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oma de VALOR ORIGINAL" fld="13" baseField="0" baseItem="0" numFmtId="8"/>
  </dataFields>
  <formats count="2">
    <format dxfId="146">
      <pivotArea outline="0" collapsedLevelsAreSubtotals="1" fieldPosition="0"/>
    </format>
    <format dxfId="14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B2D86-4507-478D-8685-BB32120D9B30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1:B6" firstHeaderRow="1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es Vencidos2" fld="34" baseField="28" baseItem="0" numFmtId="8"/>
  </dataFields>
  <formats count="2">
    <format dxfId="1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93AC6-CDD9-4DA9-A409-F6469BEF3D1C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1:B6" firstHeaderRow="1" firstDataRow="1" firstDataCol="1"/>
  <pivotFields count="41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OC./NF" fld="0" subtotal="count" baseField="18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9074-0E1D-44D6-A34C-D5DEBAEDF47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A1:B6" firstHeaderRow="1" firstDataRow="1" firstDataCol="1"/>
  <pivotFields count="41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OC./NF" fld="0" subtotal="count" baseField="15" baseItem="2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6387B-94DE-452D-9CA3-E72ACE82C2D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23" firstHeaderRow="1" firstDataRow="1" firstDataCol="1"/>
  <pivotFields count="41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DOC./NF" fld="0" subtotal="count" baseField="1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37227-901D-4510-A7FC-2632CF832032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:C5" firstHeaderRow="0" firstDataRow="1" firstDataCol="1"/>
  <pivotFields count="41">
    <pivotField showAll="0"/>
    <pivotField axis="axisRow"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63224-A54A-4ABB-B78E-5C49C8972568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C5" firstHeaderRow="0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82A33-3E1A-4B08-874F-383052E8BD47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:B15" firstHeaderRow="1" firstDataRow="1" firstDataCol="1"/>
  <pivotFields count="41">
    <pivotField dataField="1"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OC./NF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D9618-89AA-420B-818C-47D82B4822A0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C15" firstHeaderRow="0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22">
        <item x="20"/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ORIGINAL" fld="13" baseField="0" baseItem="0" numFmtId="8"/>
    <dataField name="Soma de VALOR ORIGINAL2" fld="13" showDataAs="percentOfTotal" baseField="0" baseItem="0" numFmtId="10"/>
  </dataFields>
  <formats count="3"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CD588-3996-4BE8-8E0F-84B9DD6F05B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C7" firstHeaderRow="0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es Vencidos" fld="34" baseField="36" baseItem="0"/>
    <dataField name="Soma de Valores Vencidos2" fld="34" showDataAs="percentOfTotal" baseField="36" baseItem="0" numFmtId="10"/>
  </dataFields>
  <formats count="3"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outline="0" fieldPosition="0">
        <references count="1">
          <reference field="4294967294" count="1">
            <x v="1"/>
          </reference>
        </references>
      </pivotArea>
    </format>
  </formats>
  <chartFormats count="4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11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D07AF-791F-4FB9-8E9D-ACAD62BD0F6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1:C7" firstHeaderRow="0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obrança" fld="36" subtotal="count" baseField="0" baseItem="0"/>
    <dataField name="Contagem de Cobrança2" fld="36" subtotal="count" showDataAs="percentOfTotal" baseField="0" baseItem="0" numFmtId="1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9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9">
      <pivotArea type="data" outline="0" fieldPosition="0">
        <references count="2">
          <reference field="4294967294" count="1" selected="0">
            <x v="1"/>
          </reference>
          <reference field="36" count="1" selected="0">
            <x v="0"/>
          </reference>
        </references>
      </pivotArea>
    </chartFormat>
    <chartFormat chart="9" format="50">
      <pivotArea type="data" outline="0" fieldPosition="0">
        <references count="2">
          <reference field="4294967294" count="1" selected="0">
            <x v="1"/>
          </reference>
          <reference field="36" count="1" selected="0">
            <x v="1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1"/>
          </reference>
          <reference field="36" count="1" selected="0">
            <x v="2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1"/>
          </reference>
          <reference field="3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6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36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7B951-6778-4317-9821-E5497E25EE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B77" firstHeaderRow="1" firstDataRow="1" firstDataCol="1"/>
  <pivotFields count="41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30">
      <pivotArea field="0" type="button" dataOnly="0" labelOnly="1" outline="0" axis="axisRow" fieldPosition="0"/>
    </format>
    <format dxfId="129">
      <pivotArea field="0" type="button" dataOnly="0" labelOnly="1" outline="0" axis="axisRow" fieldPosition="0"/>
    </format>
    <format dxfId="128">
      <pivotArea type="all" dataOnly="0" outline="0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5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24">
      <pivotArea dataOnly="0" labelOnly="1" grandRow="1" outline="0" fieldPosition="0"/>
    </format>
    <format dxfId="123">
      <pivotArea field="0" type="button" dataOnly="0" labelOnly="1" outline="0" axis="axisRow" fieldPosition="0"/>
    </format>
    <format dxfId="122">
      <pivotArea field="0" type="button" dataOnly="0" labelOnly="1" outline="0" axis="axisRow" fieldPosition="0"/>
    </format>
    <format dxfId="121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C1B5F-C93C-40AF-A279-97C18A6F97E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3:B77" firstHeaderRow="1" firstDataRow="1" firstDataCol="1"/>
  <pivotFields count="41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20">
      <pivotArea field="0" type="button" dataOnly="0" labelOnly="1" outline="0" axis="axisRow" fieldPosition="0"/>
    </format>
    <format dxfId="119">
      <pivotArea field="0" type="button" dataOnly="0" labelOnly="1" outline="0" axis="axisRow" fieldPosition="0"/>
    </format>
    <format dxfId="118">
      <pivotArea type="all" dataOnly="0" outline="0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14">
      <pivotArea dataOnly="0" labelOnly="1" grandRow="1" outline="0" fieldPosition="0"/>
    </format>
    <format dxfId="113">
      <pivotArea field="0" type="button" dataOnly="0" labelOnly="1" outline="0" axis="axisRow" fieldPosition="0"/>
    </format>
    <format dxfId="112">
      <pivotArea field="0" type="button" dataOnly="0" labelOnly="1" outline="0" axis="axisRow" fieldPosition="0"/>
    </format>
    <format dxfId="111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FFD72-D263-492E-A149-664979B43E3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:B77" firstHeaderRow="1" firstDataRow="1" firstDataCol="1"/>
  <pivotFields count="41">
    <pivotField axis="axisRow" showAll="0">
      <items count="74">
        <item x="7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2"/>
        <item x="35"/>
        <item x="36"/>
        <item x="37"/>
        <item x="38"/>
        <item x="39"/>
        <item x="40"/>
        <item x="41"/>
        <item x="71"/>
        <item x="42"/>
        <item x="43"/>
        <item x="65"/>
        <item x="66"/>
        <item x="67"/>
        <item x="68"/>
        <item x="69"/>
        <item x="70"/>
        <item x="64"/>
        <item x="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formats count="10">
    <format dxfId="110">
      <pivotArea field="0" type="button" dataOnly="0" labelOnly="1" outline="0" axis="axisRow" fieldPosition="0"/>
    </format>
    <format dxfId="109">
      <pivotArea field="0" type="button" dataOnly="0" labelOnly="1" outline="0" axis="axisRow" fieldPosition="0"/>
    </format>
    <format dxfId="108">
      <pivotArea type="all" dataOnly="0" outline="0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5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04">
      <pivotArea dataOnly="0" labelOnly="1" grandRow="1" outline="0" fieldPosition="0"/>
    </format>
    <format dxfId="103">
      <pivotArea field="0" type="button" dataOnly="0" labelOnly="1" outline="0" axis="axisRow" fieldPosition="0"/>
    </format>
    <format dxfId="102">
      <pivotArea field="0" type="button" dataOnly="0" labelOnly="1" outline="0" axis="axisRow" fieldPosition="0"/>
    </format>
    <format dxfId="101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02A74-0F2E-4F88-9ABC-38C6F2DB6F1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41"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5"/>
        <item x="0"/>
        <item x="1"/>
        <item x="4"/>
        <item x="3"/>
        <item x="2"/>
        <item t="default"/>
      </items>
    </pivotField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ORIGINAL." fld="13" baseField="0" baseItem="0" numFmtId="8"/>
    <dataField name="CONTAGEM" fld="13" subtotal="count" baseField="11" baseItem="0" numFmtId="3"/>
  </dataFields>
  <formats count="4"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DD5FC-6044-4320-B842-45C2121A8F1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60" firstHeaderRow="1" firstDataRow="1" firstDataCol="1"/>
  <pivotFields count="41">
    <pivotField dataField="1" showAll="0"/>
    <pivotField showAll="0"/>
    <pivotField showAll="0"/>
    <pivotField axis="axisRow"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axis="axisRow" showAll="0">
      <items count="52">
        <item x="24"/>
        <item m="1" x="42"/>
        <item m="1" x="43"/>
        <item m="1" x="44"/>
        <item m="1" x="45"/>
        <item m="1" x="46"/>
        <item m="1" x="47"/>
        <item m="1" x="49"/>
        <item x="32"/>
        <item x="25"/>
        <item m="1" x="48"/>
        <item m="1" x="38"/>
        <item m="1" x="50"/>
        <item m="1" x="39"/>
        <item m="1" x="33"/>
        <item m="1" x="40"/>
        <item m="1" x="34"/>
        <item m="1" x="41"/>
        <item x="21"/>
        <item x="20"/>
        <item x="19"/>
        <item x="18"/>
        <item x="17"/>
        <item x="16"/>
        <item x="15"/>
        <item x="14"/>
        <item x="13"/>
        <item x="12"/>
        <item x="4"/>
        <item m="1" x="35"/>
        <item m="1" x="37"/>
        <item m="1" x="36"/>
        <item x="1"/>
        <item x="0"/>
        <item x="2"/>
        <item x="3"/>
        <item x="5"/>
        <item x="6"/>
        <item x="7"/>
        <item x="8"/>
        <item x="9"/>
        <item x="10"/>
        <item x="11"/>
        <item x="22"/>
        <item x="23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 defaultSubtotal="0"/>
    <pivotField showAll="0" defaultSubtotal="0"/>
  </pivotFields>
  <rowFields count="2">
    <field x="3"/>
    <field x="19"/>
  </rowFields>
  <rowItems count="59">
    <i>
      <x/>
    </i>
    <i r="1">
      <x/>
    </i>
    <i>
      <x v="1"/>
    </i>
    <i r="1">
      <x v="9"/>
    </i>
    <i r="1">
      <x v="25"/>
    </i>
    <i r="1">
      <x v="27"/>
    </i>
    <i r="1">
      <x v="35"/>
    </i>
    <i r="1">
      <x v="39"/>
    </i>
    <i r="1">
      <x v="41"/>
    </i>
    <i>
      <x v="2"/>
    </i>
    <i r="1">
      <x v="28"/>
    </i>
    <i r="1">
      <x v="33"/>
    </i>
    <i r="1">
      <x v="34"/>
    </i>
    <i r="1">
      <x v="35"/>
    </i>
    <i r="1">
      <x v="36"/>
    </i>
    <i r="1">
      <x v="37"/>
    </i>
    <i>
      <x v="3"/>
    </i>
    <i r="1">
      <x v="35"/>
    </i>
    <i>
      <x v="4"/>
    </i>
    <i r="1">
      <x v="35"/>
    </i>
    <i>
      <x v="5"/>
    </i>
    <i r="1">
      <x v="18"/>
    </i>
    <i r="1">
      <x v="19"/>
    </i>
    <i r="1">
      <x v="21"/>
    </i>
    <i r="1">
      <x v="23"/>
    </i>
    <i r="1">
      <x v="25"/>
    </i>
    <i r="1">
      <x v="32"/>
    </i>
    <i>
      <x v="6"/>
    </i>
    <i r="1">
      <x v="8"/>
    </i>
    <i r="1">
      <x v="9"/>
    </i>
    <i r="1">
      <x v="46"/>
    </i>
    <i r="1">
      <x v="47"/>
    </i>
    <i r="1">
      <x v="48"/>
    </i>
    <i r="1">
      <x v="49"/>
    </i>
    <i r="1">
      <x v="50"/>
    </i>
    <i>
      <x v="7"/>
    </i>
    <i r="1">
      <x/>
    </i>
    <i r="1">
      <x v="9"/>
    </i>
    <i>
      <x v="8"/>
    </i>
    <i r="1">
      <x v="18"/>
    </i>
    <i r="1">
      <x v="20"/>
    </i>
    <i r="1">
      <x v="22"/>
    </i>
    <i r="1">
      <x v="24"/>
    </i>
    <i r="1">
      <x v="26"/>
    </i>
    <i r="1">
      <x v="38"/>
    </i>
    <i r="1">
      <x v="40"/>
    </i>
    <i r="1">
      <x v="42"/>
    </i>
    <i>
      <x v="9"/>
    </i>
    <i r="1">
      <x v="9"/>
    </i>
    <i r="1">
      <x v="45"/>
    </i>
    <i>
      <x v="10"/>
    </i>
    <i r="1">
      <x v="18"/>
    </i>
    <i r="1">
      <x v="43"/>
    </i>
    <i r="1">
      <x v="44"/>
    </i>
    <i>
      <x v="11"/>
    </i>
    <i r="1">
      <x v="35"/>
    </i>
    <i>
      <x v="12"/>
    </i>
    <i r="1">
      <x v="35"/>
    </i>
    <i t="grand">
      <x/>
    </i>
  </rowItems>
  <colItems count="1">
    <i/>
  </colItems>
  <dataFields count="1">
    <dataField name="Contagem de DOC./NF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0A074-9A7C-4C74-BEB5-49C48F45D3D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ESES">
  <location ref="A4:C11" firstHeaderRow="0" firstDataRow="1" firstDataCol="1"/>
  <pivotFields count="41"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12"/>
        <item x="2"/>
        <item x="0"/>
        <item x="3"/>
        <item x="4"/>
        <item x="1"/>
        <item x="11"/>
        <item x="9"/>
        <item x="7"/>
        <item x="10"/>
        <item x="8"/>
        <item x="5"/>
        <item x="6"/>
        <item t="default"/>
      </items>
    </pivotField>
    <pivotField numFmtId="15"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8" showAll="0"/>
    <pivotField showAll="0">
      <items count="22">
        <item x="20"/>
        <item x="5"/>
        <item x="16"/>
        <item x="6"/>
        <item x="13"/>
        <item x="8"/>
        <item x="4"/>
        <item x="0"/>
        <item x="12"/>
        <item x="11"/>
        <item x="2"/>
        <item x="10"/>
        <item x="1"/>
        <item x="7"/>
        <item x="19"/>
        <item x="3"/>
        <item x="14"/>
        <item x="17"/>
        <item x="9"/>
        <item x="18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numFmtId="15" showAll="0"/>
    <pivotField showAll="0"/>
    <pivotField showAll="0"/>
    <pivotField showAll="0"/>
    <pivotField dataField="1" showAll="0"/>
    <pivotField dataField="1"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A VENCER." fld="35" baseField="5" baseItem="2"/>
    <dataField name="VALORES VENCIDOS." fld="34" baseField="5" baseItem="2"/>
  </dataFields>
  <formats count="4"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960FC-4E32-444D-9FD0-5223A9596EBD}" name="Tabela dinâmica1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X3:Y29" firstHeaderRow="1" firstDataRow="1" firstDataCol="1"/>
  <pivotFields count="26">
    <pivotField showAll="0"/>
    <pivotField showAll="0"/>
    <pivotField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7"/>
        <item m="1" x="53"/>
        <item m="1" x="31"/>
        <item x="4"/>
        <item m="1" x="39"/>
        <item m="1" x="18"/>
        <item m="1" x="30"/>
        <item m="1" x="25"/>
        <item m="1" x="34"/>
        <item m="1" x="44"/>
        <item m="1" x="42"/>
        <item m="1" x="23"/>
        <item x="1"/>
        <item x="11"/>
        <item m="1" x="48"/>
        <item m="1" x="13"/>
        <item m="1" x="29"/>
        <item m="1" x="27"/>
        <item m="1" x="16"/>
        <item x="9"/>
        <item m="1" x="50"/>
        <item m="1" x="22"/>
        <item m="1" x="52"/>
        <item m="1" x="14"/>
        <item x="7"/>
        <item m="1" x="15"/>
        <item m="1" x="37"/>
        <item m="1" x="33"/>
        <item m="1" x="47"/>
        <item x="10"/>
        <item m="1" x="38"/>
        <item m="1" x="20"/>
        <item m="1" x="21"/>
        <item m="1" x="45"/>
        <item m="1" x="46"/>
        <item m="1" x="28"/>
        <item m="1" x="49"/>
        <item x="8"/>
        <item x="5"/>
        <item m="1" x="32"/>
        <item m="1" x="24"/>
        <item m="1" x="36"/>
        <item x="6"/>
        <item m="1" x="1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sd="0" x="12"/>
        <item sd="0" x="18"/>
        <item sd="0" x="9"/>
        <item sd="0" x="4"/>
        <item sd="0" x="13"/>
        <item sd="0" x="17"/>
        <item sd="0" x="8"/>
        <item sd="0" x="15"/>
        <item sd="0" x="16"/>
        <item sd="0" x="1"/>
        <item sd="0" x="11"/>
        <item sd="0" x="5"/>
        <item sd="0" x="10"/>
        <item sd="0" x="2"/>
        <item sd="0" x="0"/>
        <item sd="0" x="6"/>
        <item sd="0" x="7"/>
        <item x="19"/>
        <item sd="0" x="3"/>
        <item sd="0" x="14"/>
        <item sd="0"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r="1">
      <x/>
    </i>
    <i r="1">
      <x v="22"/>
    </i>
    <i r="1">
      <x v="28"/>
    </i>
    <i r="1">
      <x v="38"/>
    </i>
    <i>
      <x v="18"/>
    </i>
    <i>
      <x v="19"/>
    </i>
    <i>
      <x v="20"/>
    </i>
    <i t="grand">
      <x/>
    </i>
  </rowItems>
  <colItems count="1">
    <i/>
  </colItems>
  <dataFields count="1">
    <dataField name="Soma de Dias em Atras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69091-1BAC-4F55-A5F8-D7DAE383C59B}" name="Tabela dinâ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 DE COBRANÇA">
  <location ref="A3:B24" firstHeaderRow="1" firstDataRow="1" firstDataCol="1"/>
  <pivotFields count="26">
    <pivotField showAll="0"/>
    <pivotField showAll="0"/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axis="axisRow" showAll="0">
      <items count="23">
        <item x="12"/>
        <item x="18"/>
        <item x="9"/>
        <item x="4"/>
        <item x="13"/>
        <item x="17"/>
        <item x="8"/>
        <item x="15"/>
        <item x="16"/>
        <item x="1"/>
        <item x="11"/>
        <item x="5"/>
        <item x="10"/>
        <item x="2"/>
        <item x="0"/>
        <item x="6"/>
        <item x="7"/>
        <item x="19"/>
        <item x="3"/>
        <item x="14"/>
        <item m="1" x="20"/>
        <item m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a de Valores Vencidos" fld="24" baseField="11" baseItem="0" numFmtId="44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65EF-376A-4EF3-9E1D-469086FD0404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TITULOS VENCIDOS">
  <location ref="L3:N16" firstHeaderRow="0" firstDataRow="1" firstDataCol="1"/>
  <pivotFields count="26">
    <pivotField showAll="0"/>
    <pivotField showAll="0"/>
    <pivotField name="Inadimplência"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2" baseItem="0" numFmtId="44"/>
    <dataField name="%" fld="24" subtotal="count" showDataAs="percentOfTotal" baseField="2" baseItem="0" numFmtId="10"/>
  </dataFields>
  <formats count="2"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3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3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4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47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7623F-5650-41CB-9204-57DCD6B5F70D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TULOS A VENCER">
  <location ref="P3:R16" firstHeaderRow="0" firstDataRow="1" firstDataCol="1"/>
  <pivotFields count="26">
    <pivotField showAll="0"/>
    <pivotField showAll="0"/>
    <pivotField name="Títulos a Vencer"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 A Vencer)" fld="25" baseField="2" baseItem="0" numFmtId="44"/>
    <dataField name="%" fld="25" subtotal="count" showDataAs="percentOfTotal" baseField="2" baseItem="0" numFmtId="10"/>
  </dataFields>
  <formats count="2"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8BCED-ADDA-442D-A61E-BBBC3F359BF9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 rowHeaderCaption="UNIDADE">
  <location ref="D3:F6" firstHeaderRow="0" firstDataRow="1" firstDataCol="1"/>
  <pivotFields count="25">
    <pivotField name="Análise de Valores por Unidade (CNPJ)"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0" baseItem="0" numFmtId="44"/>
    <dataField name="%" fld="24" subtotal="count" showDataAs="percentOfTotal" baseField="0" baseItem="0" numFmtId="10"/>
  </dataFields>
  <formats count="2"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928DC-31CB-4E7E-A911-FD8BD638E470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RUPO">
  <location ref="H3:J6" firstHeaderRow="0" firstDataRow="1" firstDataCol="1"/>
  <pivotFields count="25">
    <pivotField showAll="0"/>
    <pivotField name="GRUPO - Empresas Vinculadas" axis="axisRow" showAll="0">
      <items count="59">
        <item m="1" x="11"/>
        <item m="1" x="9"/>
        <item h="1" m="1" x="33"/>
        <item h="1" m="1" x="43"/>
        <item h="1" m="1" x="27"/>
        <item h="1" m="1" x="51"/>
        <item h="1" m="1" x="22"/>
        <item h="1" m="1" x="39"/>
        <item h="1" m="1" x="54"/>
        <item h="1" m="1" x="40"/>
        <item h="1" m="1" x="10"/>
        <item h="1" m="1" x="56"/>
        <item h="1" m="1" x="28"/>
        <item h="1" m="1" x="29"/>
        <item h="1" m="1" x="37"/>
        <item h="1" m="1" x="12"/>
        <item h="1" m="1" x="26"/>
        <item h="1" m="1" x="20"/>
        <item h="1" m="1" x="32"/>
        <item h="1" m="1" x="44"/>
        <item h="1" m="1" x="41"/>
        <item h="1" m="1" x="17"/>
        <item h="1" m="1" x="21"/>
        <item h="1" m="1" x="5"/>
        <item h="1" m="1" x="49"/>
        <item h="1" m="1" x="4"/>
        <item h="1" m="1" x="25"/>
        <item h="1" m="1" x="23"/>
        <item h="1" m="1" x="8"/>
        <item h="1" m="1" x="47"/>
        <item h="1" m="1" x="53"/>
        <item h="1" m="1" x="16"/>
        <item h="1" m="1" x="55"/>
        <item h="1" m="1" x="6"/>
        <item h="1" m="1" x="42"/>
        <item h="1" m="1" x="7"/>
        <item h="1" m="1" x="35"/>
        <item h="1" m="1" x="31"/>
        <item h="1" m="1" x="48"/>
        <item h="1" m="1" x="19"/>
        <item h="1" m="1" x="36"/>
        <item h="1" m="1" x="14"/>
        <item h="1" m="1" x="15"/>
        <item h="1" m="1" x="45"/>
        <item h="1" m="1" x="46"/>
        <item h="1" m="1" x="24"/>
        <item h="1" m="1" x="52"/>
        <item h="1" m="1" x="57"/>
        <item h="1" m="1" x="38"/>
        <item h="1" m="1" x="30"/>
        <item h="1" m="1" x="18"/>
        <item h="1" m="1" x="34"/>
        <item h="1" m="1" x="3"/>
        <item h="1" m="1" x="13"/>
        <item h="1" x="0"/>
        <item h="1" m="1" x="50"/>
        <item x="1"/>
        <item x="2"/>
        <item t="default"/>
      </items>
    </pivotField>
    <pivotField showAll="0"/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(Vencidos)" fld="24" baseField="1" baseItem="0" numFmtId="44"/>
    <dataField name="%" fld="24" subtotal="count" showDataAs="percentOfTotal" baseField="1" baseItem="56" numFmtId="10"/>
  </dataFields>
  <formats count="2">
    <format dxfId="50">
      <pivotArea outline="0" collapsedLevelsAreSubtotals="1" fieldPosition="0"/>
    </format>
    <format dxfId="4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60946-F02B-432D-913D-7EFF26A47450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DIAS EM ATRASO">
  <location ref="T3:V16" firstHeaderRow="0" firstDataRow="1" firstDataCol="1"/>
  <pivotFields count="26">
    <pivotField showAll="0"/>
    <pivotField showAll="0"/>
    <pivotField axis="axisRow" showAll="0">
      <items count="55">
        <item x="2"/>
        <item m="1" x="35"/>
        <item m="1" x="43"/>
        <item x="0"/>
        <item x="3"/>
        <item m="1" x="26"/>
        <item m="1" x="40"/>
        <item m="1" x="51"/>
        <item m="1" x="41"/>
        <item m="1" x="16"/>
        <item m="1" x="53"/>
        <item m="1" x="31"/>
        <item x="4"/>
        <item m="1" x="39"/>
        <item m="1" x="17"/>
        <item m="1" x="30"/>
        <item m="1" x="25"/>
        <item m="1" x="34"/>
        <item m="1" x="44"/>
        <item m="1" x="42"/>
        <item m="1" x="22"/>
        <item x="1"/>
        <item x="11"/>
        <item m="1" x="48"/>
        <item m="1" x="12"/>
        <item m="1" x="29"/>
        <item m="1" x="27"/>
        <item m="1" x="15"/>
        <item x="9"/>
        <item m="1" x="50"/>
        <item m="1" x="21"/>
        <item m="1" x="52"/>
        <item m="1" x="13"/>
        <item x="7"/>
        <item m="1" x="14"/>
        <item m="1" x="37"/>
        <item m="1" x="33"/>
        <item m="1" x="47"/>
        <item x="10"/>
        <item m="1" x="38"/>
        <item m="1" x="19"/>
        <item m="1" x="20"/>
        <item m="1" x="45"/>
        <item m="1" x="46"/>
        <item m="1" x="28"/>
        <item m="1" x="49"/>
        <item x="8"/>
        <item x="5"/>
        <item m="1" x="32"/>
        <item m="1" x="23"/>
        <item m="1" x="36"/>
        <item x="6"/>
        <item m="1" x="18"/>
        <item m="1" x="24"/>
        <item t="default"/>
      </items>
    </pivotField>
    <pivotField showAll="0"/>
    <pivotField numFmtId="14" showAll="0"/>
    <pivotField numFmtId="14" showAll="0"/>
    <pivotField numFmtId="14" showAll="0"/>
    <pivotField numFmtId="4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/>
    </i>
    <i>
      <x v="3"/>
    </i>
    <i>
      <x v="4"/>
    </i>
    <i>
      <x v="12"/>
    </i>
    <i>
      <x v="21"/>
    </i>
    <i>
      <x v="22"/>
    </i>
    <i>
      <x v="28"/>
    </i>
    <i>
      <x v="33"/>
    </i>
    <i>
      <x v="38"/>
    </i>
    <i>
      <x v="46"/>
    </i>
    <i>
      <x v="47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(Dias Atraso)" fld="13" baseField="2" baseItem="0"/>
    <dataField name="Soma(Vencidos)" fld="24" baseField="2" baseItem="0" numFmtId="44"/>
  </dataFields>
  <formats count="1">
    <format dxfId="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33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38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46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47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de_Cobrança" xr10:uid="{3C86DFC1-2304-44D0-BF7A-55AC4EA74F67}" sourceName="Status de Cobrança">
  <pivotTables>
    <pivotTable tabId="34" name="Tabela dinâmica10"/>
    <pivotTable tabId="28" name="Tabela dinâmica5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1" name="Tabela dinâmica8"/>
    <pivotTable tabId="27" name="Tabela dinâmica4"/>
  </pivotTables>
  <data>
    <tabular pivotCacheId="230727550">
      <items count="21">
        <i x="20" s="1"/>
        <i x="12" s="1"/>
        <i x="18" s="1"/>
        <i x="9" s="1"/>
        <i x="4" s="1"/>
        <i x="13" s="1"/>
        <i x="17" s="1"/>
        <i x="8" s="1"/>
        <i x="15" s="1"/>
        <i x="16" s="1"/>
        <i x="1" s="1"/>
        <i x="11" s="1"/>
        <i x="5" s="1"/>
        <i x="10" s="1"/>
        <i x="2" s="1"/>
        <i x="0" s="1"/>
        <i x="6" s="1"/>
        <i x="7" s="1"/>
        <i x="19" s="1"/>
        <i x="3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de_Pagamento" xr10:uid="{2AECA0E8-5F23-4809-A652-F38E1E282F19}" sourceName="Status de Pagamento">
  <pivotTables>
    <pivotTable tabId="34" name="Tabela dinâmica10"/>
    <pivotTable tabId="28" name="Tabela dinâmica5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1" name="Tabela dinâmica8"/>
    <pivotTable tabId="27" name="Tabela dinâmica4"/>
  </pivotTables>
  <data>
    <tabular pivotCacheId="230727550">
      <items count="4">
        <i x="3" s="1"/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2" xr10:uid="{B1BDC655-5441-484D-BF30-4B1A763504F1}" sourceName="UNIDADE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2" s="1"/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UPO2" xr10:uid="{5E907F46-5B07-470C-BFA0-E3D9EE91EE90}" sourceName="GRUPO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2" xr10:uid="{C77D32CE-EAD0-4222-A6A4-D1E6DA253920}" sourceName="EMPRESA">
  <pivotTables>
    <pivotTable tabId="44" name="Tabela dinâmica1"/>
    <pivotTable tabId="46" name="Tabela dinâmica1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4" name="Tabela dinâmica1"/>
    <pivotTable tabId="26" name="Tabela dinâmica3"/>
    <pivotTable tabId="35" name="Tabela dinâmica11"/>
    <pivotTable tabId="37" name="Tabela dinâmica13"/>
    <pivotTable tabId="36" name="Tabela dinâmica12"/>
    <pivotTable tabId="28" name="Tabela dinâmica5"/>
    <pivotTable tabId="34" name="Tabela dinâmica10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13">
        <i x="12" s="1"/>
        <i x="2" s="1"/>
        <i x="0" s="1"/>
        <i x="3" s="1"/>
        <i x="4" s="1"/>
        <i x="1" s="1"/>
        <i x="11" s="1"/>
        <i x="9" s="1"/>
        <i x="7" s="1"/>
        <i x="10" s="1"/>
        <i x="8" s="1"/>
        <i x="5" s="1"/>
        <i x="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MISSOR1" xr10:uid="{EBB4BAE5-8166-4675-A484-3AC108F96F82}" sourceName="MÊS EMISSOR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6">
        <i x="1" s="1"/>
        <i x="3" s="1"/>
        <i x="5" s="1"/>
        <i x="0" s="1"/>
        <i x="2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EMISSOR1" xr10:uid="{6F67AB3C-3877-430E-AFAE-4D6E21B161DD}" sourceName="ANO EMISSOR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3">
        <i x="2" s="1"/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ES1" xr10:uid="{74204D30-A9FC-4382-B0F2-20A40D6A2342}" sourceName="VENDEDORES">
  <pivotTables>
    <pivotTable tabId="44" name="Tabela dinâmica1"/>
    <pivotTable tabId="46" name="Tabela dinâmica1"/>
    <pivotTable tabId="34" name="Tabela dinâmica10"/>
    <pivotTable tabId="33" name="Tabela dinâmica9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21">
        <i x="20" s="1"/>
        <i x="5" s="1"/>
        <i x="16" s="1"/>
        <i x="6" s="1"/>
        <i x="13" s="1"/>
        <i x="8" s="1"/>
        <i x="4" s="1"/>
        <i x="0" s="1"/>
        <i x="12" s="1"/>
        <i x="11" s="1"/>
        <i x="2" s="1"/>
        <i x="10" s="1"/>
        <i x="1" s="1"/>
        <i x="7" s="1"/>
        <i x="19" s="1"/>
        <i x="3" s="1"/>
        <i x="14" s="1"/>
        <i x="17" s="1"/>
        <i x="9" s="1"/>
        <i x="18" s="1"/>
        <i x="1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TEIRA1" xr10:uid="{5B004B2B-4693-4760-9493-8B9C813D94F4}" sourceName="CARTEIRA">
  <pivotTables>
    <pivotTable tabId="44" name="Tabela dinâmica1"/>
    <pivotTable tabId="46" name="Tabela dinâmica1"/>
    <pivotTable tabId="34" name="Tabela dinâmica10"/>
    <pivotTable tabId="35" name="Tabela dinâmica11"/>
    <pivotTable tabId="37" name="Tabela dinâmica13"/>
    <pivotTable tabId="36" name="Tabela dinâmica12"/>
    <pivotTable tabId="27" name="Tabela dinâmica4"/>
    <pivotTable tabId="31" name="Tabela dinâmica8"/>
    <pivotTable tabId="33" name="Tabela dinâmica9"/>
    <pivotTable tabId="30" name="Tabela dinâmica7"/>
    <pivotTable tabId="29" name="Tabela dinâmica6"/>
    <pivotTable tabId="25" name="Tabela dinâmica2"/>
    <pivotTable tabId="26" name="Tabela dinâmica3"/>
    <pivotTable tabId="28" name="Tabela dinâmica5"/>
    <pivotTable tabId="24" name="Tabela dinâmica1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4">
        <i x="3" s="1"/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brança" xr10:uid="{4DA24CB5-28C2-425C-9211-E82E11EB8938}" sourceName="Cobrança">
  <pivotTables>
    <pivotTable tabId="46" name="Tabela dinâmica1"/>
    <pivotTable tabId="28" name="Tabela dinâmica5"/>
    <pivotTable tabId="44" name="Tabela dinâmica1"/>
    <pivotTable tabId="36" name="Tabela dinâmica12"/>
    <pivotTable tabId="37" name="Tabela dinâmica13"/>
    <pivotTable tabId="35" name="Tabela dinâmica11"/>
    <pivotTable tabId="26" name="Tabela dinâmica3"/>
    <pivotTable tabId="24" name="Tabela dinâmica1"/>
    <pivotTable tabId="25" name="Tabela dinâmica2"/>
    <pivotTable tabId="29" name="Tabela dinâmica6"/>
    <pivotTable tabId="30" name="Tabela dinâmica7"/>
    <pivotTable tabId="33" name="Tabela dinâmica9"/>
    <pivotTable tabId="34" name="Tabela dinâmica10"/>
    <pivotTable tabId="31" name="Tabela dinâmica8"/>
    <pivotTable tabId="27" name="Tabela dinâmica4"/>
    <pivotTable tabId="51" name="Tabela dinâmica1"/>
    <pivotTable tabId="50" name="Tabela dinâmica1"/>
    <pivotTable tabId="49" name="Tabela dinâmica1"/>
    <pivotTable tabId="53" name="Tabela dinâmica1"/>
  </pivotTables>
  <data>
    <tabular pivotCacheId="230727550">
      <items count="5">
        <i x="4" s="1"/>
        <i x="3" s="1"/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brança1" xr10:uid="{9FA74740-78B2-4235-8D81-1DEF4BB8BA38}" sourceName="Cobrança">
  <pivotTables>
    <pivotTable tabId="57" name="Tabela dinâmica3"/>
  </pivotTables>
  <data>
    <tabular pivotCacheId="230727550">
      <items count="5">
        <i x="4" s="1"/>
        <i x="3" s="1"/>
        <i x="2" s="1"/>
        <i x="1" s="1"/>
        <i x="0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4A015E03-0042-49A4-A947-D5EC87CB7A25}" sourceName="EMPRESA">
  <pivotTables>
    <pivotTable tabId="57" name="Tabela dinâmica3"/>
  </pivotTables>
  <data>
    <tabular pivotCacheId="230727550">
      <items count="13">
        <i x="12" s="1"/>
        <i x="2" s="1"/>
        <i x="0" s="1"/>
        <i x="3" s="1"/>
        <i x="4" s="1"/>
        <i x="1" s="1"/>
        <i x="11" s="1"/>
        <i x="9" s="1"/>
        <i x="7" s="1"/>
        <i x="10" s="1"/>
        <i x="8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4" xr10:uid="{E4336E13-816C-430A-93B1-E1A4943C9D93}" cache="SegmentaçãodeDados_UNIDADE2" caption="UNIDADE" style="SlicerStyleDark6" rowHeight="234950"/>
  <slicer name="GRUPO 4" xr10:uid="{B826D55D-9453-40AB-9E42-61033577A38B}" cache="SegmentaçãodeDados_GRUPO2" caption="GRUPO" style="SlicerStyleDark6" rowHeight="234950"/>
  <slicer name="EMPRESA 4" xr10:uid="{B9760B3F-B2E1-486A-9016-D24EB797996B}" cache="SegmentaçãodeDados_EMPRESA2" caption="EMPRESA" style="SlicerStyleDark6" rowHeight="234950"/>
  <slicer name="MÊS EMISSOR 1" xr10:uid="{5E33489D-C0DE-4B9F-912D-65C7B458CC70}" cache="SegmentaçãodeDados_MÊS_EMISSOR1" caption="MÊS EMISSOR" style="SlicerStyleDark6" rowHeight="234950"/>
  <slicer name="ANO EMISSOR 1" xr10:uid="{42EC5712-ECE4-43F0-97D8-8C9F63123A04}" cache="SegmentaçãodeDados_ANO_EMISSOR1" caption="ANO EMISSOR" style="SlicerStyleDark6" rowHeight="234950"/>
  <slicer name="VENDEDORES 1" xr10:uid="{9C8F86D3-5F06-467A-8D60-988D136CE658}" cache="SegmentaçãodeDados_VENDEDORES1" caption="VENDEDORES" style="SlicerStyleDark6" rowHeight="234950"/>
  <slicer name="CARTEIRA 1" xr10:uid="{7770F540-C591-44D6-8EEB-447E251ED5EC}" cache="SegmentaçãodeDados_CARTEIRA1" caption="CARTEIRA" style="SlicerStyleDark6" rowHeight="234950"/>
  <slicer name="Cobrança 3" xr10:uid="{A1E1DEE2-C9F3-4898-A007-0A7F02EABEDC}" cache="SegmentaçãodeDados_Cobrança" caption="Cobrança" style="SlicerStyleDark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5" xr10:uid="{7ECA0CB8-06AA-4629-B3A0-3805F6A61824}" cache="SegmentaçãodeDados_UNIDADE2" caption="UNIDADE" style="SlicerStyleDark6" rowHeight="234950"/>
  <slicer name="GRUPO 5" xr10:uid="{83A91BD5-C095-4F6D-BEDF-59AE735F4D21}" cache="SegmentaçãodeDados_GRUPO2" caption="GRUPO" style="SlicerStyleDark6" rowHeight="234950"/>
  <slicer name="EMPRESA 5" xr10:uid="{2269462D-F61B-4FCA-8023-E733D565AFFA}" cache="SegmentaçãodeDados_EMPRESA2" caption="EMPRESA" style="SlicerStyleDark6" rowHeight="234950"/>
  <slicer name="MÊS EMISSOR 2" xr10:uid="{7F9DEE78-7098-4FE6-89FE-E9EE3C6FC85E}" cache="SegmentaçãodeDados_MÊS_EMISSOR1" caption="MÊS EMISSOR" style="SlicerStyleDark6" rowHeight="234950"/>
  <slicer name="ANO EMISSOR 2" xr10:uid="{4C4D189B-06FB-45AD-BC50-DE9796D6065D}" cache="SegmentaçãodeDados_ANO_EMISSOR1" caption="ANO EMISSOR" style="SlicerStyleDark6" rowHeight="234950"/>
  <slicer name="VENDEDORES 2" xr10:uid="{0A830669-DB93-4656-8440-D63F303B1C61}" cache="SegmentaçãodeDados_VENDEDORES1" caption="VENDEDORES" style="SlicerStyleDark6" rowHeight="234950"/>
  <slicer name="CARTEIRA 2" xr10:uid="{7926921F-6514-4881-A127-E98848FF1B49}" cache="SegmentaçãodeDados_CARTEIRA1" caption="CARTEIRA" style="SlicerStyleDark6" rowHeight="234950"/>
  <slicer name="Cobrança 2" xr10:uid="{2618314C-B8E6-4C53-A3C5-2F6C228A223A}" cache="SegmentaçãodeDados_Cobrança" caption="Cobrança" style="SlicerStyleDark1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7" xr10:uid="{72BA3B8A-9F64-4682-B228-6E23D2932ADA}" cache="SegmentaçãodeDados_UNIDADE2" caption="UNIDADE" style="SlicerStyleDark6" rowHeight="234950"/>
  <slicer name="GRUPO 7" xr10:uid="{FEF2DBAC-99DD-4229-99AF-84EA6D299A95}" cache="SegmentaçãodeDados_GRUPO2" caption="GRUPO" style="SlicerStyleDark6" rowHeight="234950"/>
  <slicer name="EMPRESA 7" xr10:uid="{42364342-86D6-4B23-9048-5E0542C01014}" cache="SegmentaçãodeDados_EMPRESA2" caption="EMPRESA" style="SlicerStyleDark6" rowHeight="234950"/>
  <slicer name="MÊS EMISSOR 4" xr10:uid="{805AAB9E-ACF9-41B6-B44E-B40F7515FF57}" cache="SegmentaçãodeDados_MÊS_EMISSOR1" caption="MÊS EMISSOR" style="SlicerStyleDark6" rowHeight="234950"/>
  <slicer name="ANO EMISSOR 4" xr10:uid="{F0CF62EE-73D6-4CAC-AA9C-E311E6939C84}" cache="SegmentaçãodeDados_ANO_EMISSOR1" caption="ANO EMISSOR" style="SlicerStyleDark6" rowHeight="234950"/>
  <slicer name="VENDEDORES 4" xr10:uid="{30F186A9-839D-4818-AC2B-034D525850D1}" cache="SegmentaçãodeDados_VENDEDORES1" caption="VENDEDORES" style="SlicerStyleDark6" rowHeight="234950"/>
  <slicer name="CARTEIRA 4" xr10:uid="{8A524566-71AE-4887-A5E1-E98BA4496E0F}" cache="SegmentaçãodeDados_CARTEIRA1" caption="CARTEIRA" style="SlicerStyleDark6" rowHeight="234950"/>
  <slicer name="Cobrança 4" xr10:uid="{FE9C098E-358A-4722-A3BC-D5D59A9263F7}" cache="SegmentaçãodeDados_Cobrança" caption="Cobrança" style="SlicerStyleDark1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de Cobrança" xr10:uid="{7179B99E-C081-4959-9B17-AF084F9543CD}" cache="SegmentaçãodeDados_Status_de_Cobrança" caption="Status de Cobrança" style="SlicerStyleLight2" rowHeight="234950"/>
  <slicer name="Status de Pagamento" xr10:uid="{F94216A1-817E-4E48-9093-F0ABBA60F9C6}" cache="SegmentaçãodeDados_Status_de_Pagamento" caption="Status de Pagamento" style="SlicerStyleDark3" rowHeight="234950"/>
  <slicer name="UNIDADE" xr10:uid="{D7FB9740-CA5A-4CDD-AD84-7C275AA3F6A7}" cache="SegmentaçãodeDados_UNIDADE2" caption="UNIDADE" style="SlicerStyleDark6" rowHeight="234000"/>
  <slicer name="GRUPO" xr10:uid="{FCA99E18-38AD-4C66-B4E0-865490BD48F8}" cache="SegmentaçãodeDados_GRUPO2" caption="GRUPO" style="SlicerStyleDark6" rowHeight="234000"/>
  <slicer name="EMPRESA" xr10:uid="{8ED4BE49-79AB-429B-8A2D-F753898638AB}" cache="SegmentaçãodeDados_EMPRESA2" caption="EMPRESA" style="SlicerStyleDark6" rowHeight="234000"/>
  <slicer name="MÊS EMISSOR" xr10:uid="{42ED2A3B-09B3-4F4D-A6C5-03BB61359AAC}" cache="SegmentaçãodeDados_MÊS_EMISSOR1" caption="MÊS EMISSOR" style="SlicerStyleDark1" rowHeight="234000"/>
  <slicer name="ANO EMISSOR" xr10:uid="{76D37226-CB1F-4C5F-A92A-BED1E37187C4}" cache="SegmentaçãodeDados_ANO_EMISSOR1" caption="ANO EMISSOR" style="SlicerStyleDark1" rowHeight="234000"/>
  <slicer name="VENDEDORES" xr10:uid="{32963818-F1EA-4EC4-A42B-93D388C23930}" cache="SegmentaçãodeDados_VENDEDORES1" caption="VENDEDORES" style="SlicerStyleDark2" rowHeight="234000"/>
  <slicer name="CARTEIRA" xr10:uid="{AA9A4AE5-8CB1-429A-A96F-628605917FBF}" cache="SegmentaçãodeDados_CARTEIRA1" caption="CARTEIRA" style="SlicerStyleDark2" rowHeight="234000"/>
  <slicer name="Cobrança" xr10:uid="{75D01156-B498-429A-8A96-D179A13302AE}" cache="SegmentaçãodeDados_Cobrança" caption="Cobrança" style="SlicerStyleDark1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1" xr10:uid="{DC72264B-4B54-4024-88D4-295AA0C79F6E}" cache="SegmentaçãodeDados_UNIDADE2" caption="UNIDADE" style="SlicerStyleDark1" rowHeight="234950"/>
  <slicer name="GRUPO 1" xr10:uid="{E821F7E7-3219-44CF-8724-5EC40496FF26}" cache="SegmentaçãodeDados_GRUPO2" caption="GRUPO" style="SlicerStyleDark1" rowHeight="234950"/>
  <slicer name="EMPRESA 1" xr10:uid="{6667ADF1-F819-4DBC-8D97-9A8E67B43AF6}" cache="SegmentaçãodeDados_EMPRESA2" caption="EMPRESA" style="SlicerStyleDark1" rowHeight="234950"/>
  <slicer name="MÊS EMISSOR 3" xr10:uid="{3AE6FFE1-A66F-4D7F-A218-568DFCEE2595}" cache="SegmentaçãodeDados_MÊS_EMISSOR1" caption="MÊS EMISSOR" style="SlicerStyleDark1" rowHeight="234950"/>
  <slicer name="ANO EMISSOR 3" xr10:uid="{A5C9CAFF-DCEA-4790-9987-9A07A7E6D1A4}" cache="SegmentaçãodeDados_ANO_EMISSOR1" caption="ANO EMISSOR" style="SlicerStyleDark1" rowHeight="234950"/>
  <slicer name="VENDEDORES 3" xr10:uid="{EECE096F-B98F-48F3-B765-F665A547FC6A}" cache="SegmentaçãodeDados_VENDEDORES1" caption="VENDEDORES" style="SlicerStyleDark1" rowHeight="234950"/>
  <slicer name="CARTEIRA 3" xr10:uid="{43305ABC-1D40-4582-8E97-B4F9F18941E0}" cache="SegmentaçãodeDados_CARTEIRA1" caption="CARTEIRA" style="SlicerStyleDark1" rowHeight="234950"/>
  <slicer name="Cobrança 1" xr10:uid="{8EC3E0A1-8815-4B94-81FE-A03D9A232525}" cache="SegmentaçãodeDados_Cobrança" caption="Cobrança" style="SlicerStyleDark1" rowHeight="2349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brança 5" xr10:uid="{62610BEF-0514-4A23-9ED1-C8D8CF91E25E}" cache="SegmentaçãodeDados_Cobrança1" caption="Cobrança" rowHeight="234950"/>
  <slicer name="EMPRESA 2" xr10:uid="{EE28B2EB-21C7-4D4E-8466-8FFA8332E904}" cache="SegmentaçãodeDados_EMPRESA" caption="EMPRES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EA1189-739B-43F5-8D0A-F44EAD6DD9C8}" name="Tabela2" displayName="Tabela2" ref="A7:Z196" totalsRowShown="0" headerRowDxfId="185" dataDxfId="183" headerRowBorderDxfId="184" tableBorderDxfId="182" totalsRowBorderDxfId="181">
  <autoFilter ref="A7:Z196" xr:uid="{10EA1189-739B-43F5-8D0A-F44EAD6DD9C8}"/>
  <tableColumns count="26">
    <tableColumn id="1" xr3:uid="{835D4AD5-D7FA-4469-ABAD-066D8E5ABB07}" name="UNIDADE" dataDxfId="180"/>
    <tableColumn id="2" xr3:uid="{9FAE9AAA-B7AF-4BBA-86F4-5A366286DE26}" name="GRUPO" dataDxfId="179"/>
    <tableColumn id="3" xr3:uid="{D1F4AE4A-526B-40F3-8F54-E96DA3EAE7B2}" name="EMPRESA" dataDxfId="178"/>
    <tableColumn id="4" xr3:uid="{3E59BB41-1193-47EE-896C-27BD6600A83B}" name="DOC./NF" dataDxfId="177"/>
    <tableColumn id="5" xr3:uid="{829936E2-63D7-4B9B-B0DF-AF453FB8652E}" name="DATA DE EMISSÃO" dataDxfId="176"/>
    <tableColumn id="6" xr3:uid="{70D11AFB-D980-4910-A4A5-CB08813C77DE}" name="VENCIMENTO ORIGINAL" dataDxfId="175"/>
    <tableColumn id="7" xr3:uid="{2A78C912-7862-4FA6-848C-C04D53DCDB70}" name="VENCIMENTO ATUAL" dataDxfId="174"/>
    <tableColumn id="8" xr3:uid="{67D7204B-EC84-4383-BC52-A42C863661E0}" name="VALOR ORIGINAL" dataDxfId="173"/>
    <tableColumn id="9" xr3:uid="{DB006987-1F31-4CAF-AA04-469E3D474ED7}" name="VENDEDORES" dataDxfId="172"/>
    <tableColumn id="10" xr3:uid="{D9F1930E-BAF9-450B-BCDB-FA5172BA194A}" name="CARTEIRA" dataDxfId="171"/>
    <tableColumn id="11" xr3:uid="{4A5F6601-8B81-4AD0-BDAC-6174E2D6C846}" name="PAGO" dataDxfId="170"/>
    <tableColumn id="12" xr3:uid="{AF184AB3-967B-485B-ABFF-C8602CA95030}" name="Status de Cobrança" dataDxfId="169"/>
    <tableColumn id="13" xr3:uid="{EF24749A-B8CE-41B1-812E-936602A23EE0}" name="Status de Pagamento" dataDxfId="168"/>
    <tableColumn id="14" xr3:uid="{E8B6608F-407F-487B-B972-D911B0939A13}" name="Dias em Atraso" dataDxfId="167"/>
    <tableColumn id="15" xr3:uid="{4B3A64D7-A8F0-44A6-A779-FD558C419804}" name="Faixa de Atraso" dataDxfId="166"/>
    <tableColumn id="16" xr3:uid="{F03FDE50-C145-4EC5-9273-66EB964E88B0}" name="Título Elegível" dataDxfId="165"/>
    <tableColumn id="17" xr3:uid="{03B76EF8-777F-476B-9915-4241DA1B6A82}" name="Valor a Faturar" dataDxfId="164"/>
    <tableColumn id="18" xr3:uid="{EC17FC85-EE16-48A5-AF2D-F80767DEA0E1}" name="Bloqueio de sistema " dataDxfId="163"/>
    <tableColumn id="19" xr3:uid="{D0DD052C-B7E1-4C53-AC17-BF9FDB8C7228}" name="Statuts de Negociação" dataDxfId="162"/>
    <tableColumn id="20" xr3:uid="{8032D470-75A6-4C9B-8F62-4081D2880CB3}" name="Número de Negociações Feitas" dataDxfId="161"/>
    <tableColumn id="21" xr3:uid="{562B82B0-EF22-4D34-B918-65C4DD03613E}" name="Acordo Fechado?" dataDxfId="160"/>
    <tableColumn id="22" xr3:uid="{3BAF7268-FAC1-4C4D-BDA3-FDD8AADC73CC}" name="Data de Negociação" dataDxfId="159"/>
    <tableColumn id="23" xr3:uid="{2A872DED-407F-4303-AF34-61B2F888B62B}" name="Data da Entrada/Primeira Parcela" dataDxfId="158"/>
    <tableColumn id="24" xr3:uid="{26D430CE-049A-4E9F-8AD1-5A9AE21AF937}" name="Título Quitado? (Sim/Não)" dataDxfId="157"/>
    <tableColumn id="25" xr3:uid="{9D9BE8F3-B137-427D-AC2D-C815F9C35499}" name="Valores Vencidos" dataDxfId="156"/>
    <tableColumn id="26" xr3:uid="{9EE9C3FC-D2C7-473B-AD84-1A0EDE9C3505}" name="Valores a Vencer" dataDxfId="155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E35AE-C4CD-46DA-A4E1-C19BF318E1D8}" name="Tabela1" displayName="Tabela1" ref="A1:AM239" totalsRowShown="0" headerRowDxfId="96" dataDxfId="95">
  <autoFilter ref="A1:AM239" xr:uid="{31EE35AE-C4CD-46DA-A4E1-C19BF318E1D8}"/>
  <tableColumns count="39">
    <tableColumn id="1" xr3:uid="{D79FFC70-DB4E-406B-97B8-D8938D90E182}" name="DOC./NF" dataDxfId="94">
      <calculatedColumnFormula>'DADOS FINANCEIROS'!D8</calculatedColumnFormula>
    </tableColumn>
    <tableColumn id="35" xr3:uid="{34C62697-7CAA-4441-ADB8-15AB11CCF323}" name="UNIDADE" dataDxfId="93">
      <calculatedColumnFormula>'DADOS FINANCEIROS'!A8</calculatedColumnFormula>
    </tableColumn>
    <tableColumn id="34" xr3:uid="{5A022538-7514-49D5-978A-5CCAEFFBF77B}" name="GRUPO" dataDxfId="92">
      <calculatedColumnFormula>'DADOS FINANCEIROS'!B8</calculatedColumnFormula>
    </tableColumn>
    <tableColumn id="33" xr3:uid="{D8AF1B0B-324B-42E5-B2E0-C4A0270F1F39}" name="EMPRESA" dataDxfId="91">
      <calculatedColumnFormula>'DADOS FINANCEIROS'!C8</calculatedColumnFormula>
    </tableColumn>
    <tableColumn id="2" xr3:uid="{B1753493-6DCA-4474-AE46-AA017B45B34C}" name="DATA DE EMISSÃO" dataDxfId="90">
      <calculatedColumnFormula>'DADOS FINANCEIROS'!E8</calculatedColumnFormula>
    </tableColumn>
    <tableColumn id="23" xr3:uid="{87CD62E3-BEF5-42A2-9B6A-BB922C0D28B3}" name="MÊS EMISSOR" dataDxfId="89">
      <calculatedColumnFormula>TEXT(Tabela1[[#This Row],[DATA DE EMISSÃO]],"MMM-AA")</calculatedColumnFormula>
    </tableColumn>
    <tableColumn id="24" xr3:uid="{2AF6FE33-AD85-404A-954D-D7966C924FE8}" name="ANO EMISSOR" dataDxfId="88">
      <calculatedColumnFormula>TEXT(Tabela1[[#This Row],[DATA DE EMISSÃO]],"AAAA")</calculatedColumnFormula>
    </tableColumn>
    <tableColumn id="3" xr3:uid="{F2706828-CC9C-4577-997D-56B0F36535FC}" name="VENCIMENTO ORIGINAL" dataDxfId="87">
      <calculatedColumnFormula>'DADOS FINANCEIROS'!F8</calculatedColumnFormula>
    </tableColumn>
    <tableColumn id="26" xr3:uid="{33588796-A543-4978-87B2-82DC920D4C5E}" name="MÊS VENCIMENTO ORIGINAL" dataDxfId="86">
      <calculatedColumnFormula>TEXT(Tabela1[[#This Row],[VENCIMENTO ORIGINAL]],"MMM-AA")</calculatedColumnFormula>
    </tableColumn>
    <tableColumn id="25" xr3:uid="{6803FB82-09FC-4DAD-92A5-F94DA9FF0715}" name="ANO VENCIMENTO ORIGINAL" dataDxfId="85">
      <calculatedColumnFormula>TEXT(Tabela1[[#This Row],[VENCIMENTO ORIGINAL]],"AAAA")</calculatedColumnFormula>
    </tableColumn>
    <tableColumn id="4" xr3:uid="{97BB994E-EB5D-4286-91C6-6FB4E8A3FC88}" name="VENCIMENTO ATUAL" dataDxfId="84">
      <calculatedColumnFormula>'DADOS FINANCEIROS'!G8</calculatedColumnFormula>
    </tableColumn>
    <tableColumn id="28" xr3:uid="{5C3DFC20-129B-4FD4-899C-F1A93D348070}" name="MÊS ATUAL" dataDxfId="83">
      <calculatedColumnFormula>TEXT(Tabela1[[#This Row],[VENCIMENTO ATUAL]],"MMM-AA")</calculatedColumnFormula>
    </tableColumn>
    <tableColumn id="27" xr3:uid="{BD6DDD96-3926-4612-823F-9EAC5F83C7E3}" name="ANO ATUAL" dataDxfId="82">
      <calculatedColumnFormula>TEXT(Tabela1[[#This Row],[VENCIMENTO ATUAL]],"AAAA")</calculatedColumnFormula>
    </tableColumn>
    <tableColumn id="5" xr3:uid="{DF692059-5053-4395-8A8D-9FA4900A4A47}" name="VALOR ORIGINAL" dataDxfId="81">
      <calculatedColumnFormula>'DADOS FINANCEIROS'!H8</calculatedColumnFormula>
    </tableColumn>
    <tableColumn id="6" xr3:uid="{97E27BBE-B541-46B5-82DE-9FFE77E675B4}" name="VENDEDORES" dataDxfId="80">
      <calculatedColumnFormula>'DADOS FINANCEIROS'!I8</calculatedColumnFormula>
    </tableColumn>
    <tableColumn id="7" xr3:uid="{2B36864A-9F93-4907-9742-26808F02EF7F}" name="CARTEIRA" dataDxfId="79">
      <calculatedColumnFormula>'DADOS FINANCEIROS'!J8</calculatedColumnFormula>
    </tableColumn>
    <tableColumn id="8" xr3:uid="{171E7289-6325-4BC5-A4D3-D5053351E9EE}" name="PAGO" dataDxfId="78">
      <calculatedColumnFormula>'DADOS FINANCEIROS'!K8</calculatedColumnFormula>
    </tableColumn>
    <tableColumn id="9" xr3:uid="{9FC69931-5FD2-4529-AA27-3BE9992702FC}" name="Status de Cobrança" dataDxfId="77">
      <calculatedColumnFormula>'DADOS FINANCEIROS'!L8</calculatedColumnFormula>
    </tableColumn>
    <tableColumn id="10" xr3:uid="{D156429B-13E0-448F-94CB-4B7D75C6968B}" name="Status de Pagamento" dataDxfId="76">
      <calculatedColumnFormula>'DADOS FINANCEIROS'!M8</calculatedColumnFormula>
    </tableColumn>
    <tableColumn id="11" xr3:uid="{F9AFE079-7C0E-4826-B378-70B1B1089B61}" name="Dias em Atraso" dataDxfId="75">
      <calculatedColumnFormula>IFERROR('DADOS FINANCEIROS'!N8,"")</calculatedColumnFormula>
    </tableColumn>
    <tableColumn id="12" xr3:uid="{CA42ED97-20E7-4B07-9486-0336DDAE5B36}" name="Faixa de Atraso" dataDxfId="74">
      <calculatedColumnFormula>'DADOS FINANCEIROS'!O8</calculatedColumnFormula>
    </tableColumn>
    <tableColumn id="13" xr3:uid="{172C1437-2AB2-4176-A66D-8ED79E424ACD}" name="Título Elegível" dataDxfId="73">
      <calculatedColumnFormula>'DADOS FINANCEIROS'!P8</calculatedColumnFormula>
    </tableColumn>
    <tableColumn id="14" xr3:uid="{6C538800-5B8C-4E23-8752-755754BA08C2}" name="Valor a Faturar" dataDxfId="72">
      <calculatedColumnFormula>'DADOS FINANCEIROS'!Q8</calculatedColumnFormula>
    </tableColumn>
    <tableColumn id="15" xr3:uid="{802DE939-4860-456B-AAC2-A5C1184FBF21}" name="Bloqueio de sistema " dataDxfId="71">
      <calculatedColumnFormula>'DADOS FINANCEIROS'!R8</calculatedColumnFormula>
    </tableColumn>
    <tableColumn id="16" xr3:uid="{3AF2879E-6D01-4AE2-A305-BC6D3313E371}" name="Statuts de Negociação" dataDxfId="70">
      <calculatedColumnFormula>'DADOS FINANCEIROS'!S8</calculatedColumnFormula>
    </tableColumn>
    <tableColumn id="17" xr3:uid="{42A502CB-E63A-45B0-8BA2-795906A36A09}" name="Número de Negociações Feitas" dataDxfId="69">
      <calculatedColumnFormula>'DADOS FINANCEIROS'!T8</calculatedColumnFormula>
    </tableColumn>
    <tableColumn id="18" xr3:uid="{76166100-382C-43C0-82D4-CFE95D5DE5B3}" name="Acordo Fechado?" dataDxfId="68">
      <calculatedColumnFormula>'DADOS FINANCEIROS'!U8</calculatedColumnFormula>
    </tableColumn>
    <tableColumn id="19" xr3:uid="{F1C5DFE3-D417-4014-9930-E378F1C26ADF}" name="Data de Negociação" dataDxfId="67">
      <calculatedColumnFormula>'DADOS FINANCEIROS'!V8</calculatedColumnFormula>
    </tableColumn>
    <tableColumn id="30" xr3:uid="{E70E8D2D-786C-40C2-9756-37C83354A2E6}" name="MÊS NEGOCIAÇÃO" dataDxfId="66">
      <calculatedColumnFormula>TEXT(Tabela1[[#This Row],[Data de Negociação]],"MMM-AA")</calculatedColumnFormula>
    </tableColumn>
    <tableColumn id="29" xr3:uid="{830F354E-ABBB-4355-BD47-E52D48371FC5}" name="ANO NEGOCIAÇÃO" dataDxfId="65">
      <calculatedColumnFormula>TEXT(Tabela1[[#This Row],[Data de Negociação]],"AAAA")</calculatedColumnFormula>
    </tableColumn>
    <tableColumn id="20" xr3:uid="{3FFAB53B-253F-4287-9D9D-C12060DE1409}" name="Data da Entrada/Primeira Parcela" dataDxfId="64">
      <calculatedColumnFormula>'DADOS FINANCEIROS'!W8</calculatedColumnFormula>
    </tableColumn>
    <tableColumn id="32" xr3:uid="{5794709A-3B96-44AB-9A30-90A172F263F7}" name="MÊS PRIMEIRA PARCELA" dataDxfId="63">
      <calculatedColumnFormula>TEXT(Tabela1[[#This Row],[Data da Entrada/Primeira Parcela]],"MMM-AA")</calculatedColumnFormula>
    </tableColumn>
    <tableColumn id="31" xr3:uid="{A3B84D16-EB58-4DC5-920C-56C0540EF8F2}" name="ANO PRIMERA PARCELA" dataDxfId="62">
      <calculatedColumnFormula>TEXT(Tabela1[[#This Row],[Data da Entrada/Primeira Parcela]],"AAAA")</calculatedColumnFormula>
    </tableColumn>
    <tableColumn id="21" xr3:uid="{EB7C2386-11AE-4B6E-8529-13C70EBF99DA}" name="Título Quitado? (Sim/Não)" dataDxfId="61">
      <calculatedColumnFormula>'DADOS FINANCEIROS'!X8</calculatedColumnFormula>
    </tableColumn>
    <tableColumn id="36" xr3:uid="{8C447352-FC54-4C30-8655-391B647CF5DD}" name="Valores Vencidos" dataDxfId="60">
      <calculatedColumnFormula>'DADOS FINANCEIROS'!Y8</calculatedColumnFormula>
    </tableColumn>
    <tableColumn id="37" xr3:uid="{12019AE8-2DE4-4F11-B31A-27CC905470EC}" name="Valores a Vencer" dataDxfId="59">
      <calculatedColumnFormula>'DADOS FINANCEIROS'!Z8</calculatedColumnFormula>
    </tableColumn>
    <tableColumn id="39" xr3:uid="{510DAC70-98FD-455B-97B8-C9A9EF0A004F}" name="Cobrança" dataDxfId="58">
      <calculatedColumnFormula>IF(Tabela1[[#This Row],[DOC./NF]]=0,"",IF(Tabela1[[#This Row],[Dias em Atraso]]&lt;=30,"Cobrança Amigável",IF(Tabela1[[#This Row],[Dias em Atraso]]&lt;=60,"Cobrança Ativa",IF(Tabela1[[#This Row],[Dias em Atraso]]&lt;=90,"Cobrança Extrajudicial","Cobrança Judicial"))))</calculatedColumnFormula>
    </tableColumn>
    <tableColumn id="38" xr3:uid="{DF9C7E0B-EDB3-488E-ACD3-015F7A386F9D}" name="Cobrança2" dataDxfId="57"/>
    <tableColumn id="22" xr3:uid="{69AE37B3-1512-487D-9B8E-C7EC00139732}" name="Cobrança3" dataDxfId="5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ivotTable" Target="../pivotTables/pivotTable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7" Type="http://schemas.openxmlformats.org/officeDocument/2006/relationships/pivotTable" Target="../pivotTables/pivotTable28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pivotTable" Target="../pivotTables/pivotTable27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6ABA-5ECB-4489-A4AD-A7921EDF81A2}">
  <sheetPr>
    <tabColor theme="4" tint="-0.249977111117893"/>
  </sheetPr>
  <dimension ref="A1:M24"/>
  <sheetViews>
    <sheetView showGridLines="0" zoomScaleNormal="100" workbookViewId="0">
      <selection activeCell="B16" sqref="B16"/>
    </sheetView>
  </sheetViews>
  <sheetFormatPr defaultRowHeight="14.4" x14ac:dyDescent="0.3"/>
  <cols>
    <col min="1" max="1" width="2" style="129" bestFit="1" customWidth="1"/>
    <col min="2" max="2" width="102.21875" style="4" bestFit="1" customWidth="1"/>
    <col min="3" max="3" width="27.109375" style="4" bestFit="1" customWidth="1"/>
    <col min="4" max="13" width="8.88671875" style="4"/>
  </cols>
  <sheetData>
    <row r="1" spans="1:13" x14ac:dyDescent="0.3">
      <c r="A1" s="128"/>
      <c r="B1" s="131" t="s">
        <v>193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3" spans="1:13" ht="25.05" customHeight="1" x14ac:dyDescent="0.3">
      <c r="A3" s="132">
        <v>1</v>
      </c>
      <c r="B3" s="133" t="s">
        <v>185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13" ht="25.05" customHeight="1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3" ht="25.05" customHeight="1" x14ac:dyDescent="0.3">
      <c r="A5" s="132">
        <v>2</v>
      </c>
      <c r="B5" s="133" t="s">
        <v>194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</row>
    <row r="6" spans="1:13" ht="25.05" customHeight="1" x14ac:dyDescent="0.3"/>
    <row r="7" spans="1:13" ht="25.05" customHeight="1" x14ac:dyDescent="0.3"/>
    <row r="8" spans="1:13" ht="25.05" customHeight="1" x14ac:dyDescent="0.3"/>
    <row r="9" spans="1:13" ht="25.05" customHeight="1" x14ac:dyDescent="0.3"/>
    <row r="10" spans="1:13" ht="25.05" customHeight="1" x14ac:dyDescent="0.3"/>
    <row r="11" spans="1:13" ht="25.05" customHeight="1" x14ac:dyDescent="0.3">
      <c r="A11" s="132">
        <v>3</v>
      </c>
      <c r="B11" s="133" t="s">
        <v>186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13" ht="25.05" customHeight="1" x14ac:dyDescent="0.3">
      <c r="A12" s="154"/>
      <c r="C12" s="4" t="s">
        <v>187</v>
      </c>
    </row>
    <row r="13" spans="1:13" ht="25.05" customHeight="1" x14ac:dyDescent="0.3">
      <c r="A13" s="154"/>
      <c r="C13" s="4" t="s">
        <v>188</v>
      </c>
    </row>
    <row r="14" spans="1:13" ht="25.05" customHeight="1" x14ac:dyDescent="0.3">
      <c r="A14" s="154"/>
      <c r="C14" s="4" t="s">
        <v>189</v>
      </c>
    </row>
    <row r="15" spans="1:13" ht="25.05" customHeight="1" x14ac:dyDescent="0.3">
      <c r="A15" s="154"/>
      <c r="C15" s="4" t="s">
        <v>190</v>
      </c>
    </row>
    <row r="16" spans="1:13" ht="25.05" customHeight="1" x14ac:dyDescent="0.3">
      <c r="A16" s="154"/>
      <c r="C16" s="4" t="s">
        <v>191</v>
      </c>
    </row>
    <row r="17" spans="1:13" ht="25.05" customHeight="1" x14ac:dyDescent="0.3">
      <c r="A17" s="154"/>
    </row>
    <row r="18" spans="1:13" ht="25.05" customHeight="1" x14ac:dyDescent="0.3">
      <c r="A18" s="154"/>
      <c r="B18" s="4" t="s">
        <v>195</v>
      </c>
    </row>
    <row r="19" spans="1:13" ht="25.05" customHeight="1" x14ac:dyDescent="0.3"/>
    <row r="20" spans="1:13" ht="25.05" customHeight="1" x14ac:dyDescent="0.3">
      <c r="A20" s="132">
        <v>4</v>
      </c>
      <c r="B20" s="133" t="s">
        <v>192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1:13" ht="25.05" customHeight="1" x14ac:dyDescent="0.3"/>
    <row r="22" spans="1:13" ht="25.05" customHeight="1" x14ac:dyDescent="0.3"/>
    <row r="23" spans="1:13" ht="25.05" customHeight="1" x14ac:dyDescent="0.3"/>
    <row r="24" spans="1:13" ht="25.05" customHeight="1" x14ac:dyDescent="0.3"/>
  </sheetData>
  <pageMargins left="0.511811024" right="0.511811024" top="0.78740157499999996" bottom="0.78740157499999996" header="0.31496062000000002" footer="0.31496062000000002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DF87-E790-43CD-9B6F-5E276AE77AB3}">
  <sheetPr codeName="Planilha1">
    <tabColor theme="9" tint="-0.249977111117893"/>
  </sheetPr>
  <dimension ref="A2:Z196"/>
  <sheetViews>
    <sheetView showGridLines="0" showRowColHeaders="0" zoomScale="55" zoomScaleNormal="55" workbookViewId="0">
      <selection activeCell="E3" sqref="E3"/>
    </sheetView>
  </sheetViews>
  <sheetFormatPr defaultRowHeight="14.4" x14ac:dyDescent="0.3"/>
  <cols>
    <col min="1" max="1" width="15.33203125" style="30" bestFit="1" customWidth="1"/>
    <col min="2" max="3" width="15.77734375" style="30" bestFit="1" customWidth="1"/>
    <col min="4" max="4" width="15" style="30" bestFit="1" customWidth="1"/>
    <col min="5" max="5" width="23.33203125" style="140" bestFit="1" customWidth="1"/>
    <col min="6" max="6" width="28.33203125" style="140" bestFit="1" customWidth="1"/>
    <col min="7" max="7" width="25.6640625" style="140" bestFit="1" customWidth="1"/>
    <col min="8" max="8" width="23.77734375" style="98" bestFit="1" customWidth="1"/>
    <col min="9" max="9" width="19" style="98" bestFit="1" customWidth="1"/>
    <col min="10" max="10" width="19.109375" style="98" bestFit="1" customWidth="1"/>
    <col min="11" max="11" width="13.77734375" style="98" bestFit="1" customWidth="1"/>
    <col min="12" max="12" width="56.109375" style="98" bestFit="1" customWidth="1"/>
    <col min="13" max="13" width="26.109375" style="30" bestFit="1" customWidth="1"/>
    <col min="14" max="14" width="20.44140625" style="30" customWidth="1"/>
    <col min="15" max="15" width="20.5546875" style="30" customWidth="1"/>
    <col min="16" max="16" width="19.33203125" style="30" customWidth="1"/>
    <col min="17" max="17" width="20.21875" style="30" customWidth="1"/>
    <col min="18" max="18" width="25.6640625" style="30" customWidth="1"/>
    <col min="19" max="19" width="28.88671875" style="30" customWidth="1"/>
    <col min="20" max="20" width="38" style="30" customWidth="1"/>
    <col min="21" max="21" width="23.21875" style="30" customWidth="1"/>
    <col min="22" max="22" width="26.109375" style="30" customWidth="1"/>
    <col min="23" max="23" width="40.44140625" style="30" customWidth="1"/>
    <col min="24" max="24" width="32.109375" style="30" customWidth="1"/>
    <col min="25" max="25" width="22.77734375" style="30" customWidth="1"/>
    <col min="26" max="26" width="24.88671875" style="98" customWidth="1"/>
  </cols>
  <sheetData>
    <row r="2" spans="1:26" s="4" customFormat="1" ht="19.95" customHeight="1" x14ac:dyDescent="0.3">
      <c r="A2" s="105"/>
      <c r="B2" s="139" t="s">
        <v>199</v>
      </c>
      <c r="C2" s="139" t="s">
        <v>198</v>
      </c>
      <c r="D2" s="105"/>
      <c r="E2" s="141"/>
      <c r="F2" s="141"/>
      <c r="G2" s="141"/>
      <c r="H2" s="136"/>
      <c r="I2" s="136"/>
      <c r="J2" s="136"/>
      <c r="K2" s="136"/>
      <c r="L2" s="136"/>
      <c r="M2" s="105"/>
      <c r="N2" s="105"/>
      <c r="O2" s="105"/>
      <c r="P2" s="105"/>
      <c r="Q2" s="105"/>
      <c r="R2" s="105"/>
      <c r="S2" s="157"/>
      <c r="T2" s="157"/>
      <c r="U2" s="157"/>
      <c r="V2" s="157"/>
      <c r="W2" s="105"/>
      <c r="X2" s="105"/>
      <c r="Y2" s="105"/>
      <c r="Z2" s="136"/>
    </row>
    <row r="3" spans="1:26" s="4" customFormat="1" ht="19.95" customHeight="1" x14ac:dyDescent="0.3">
      <c r="A3" s="105"/>
      <c r="B3" s="141">
        <f ca="1">TODAY()</f>
        <v>45795</v>
      </c>
      <c r="C3" s="105" t="str">
        <f ca="1">TEXT(B3,"DDDD")</f>
        <v>domingo</v>
      </c>
      <c r="D3" s="105"/>
      <c r="E3" s="141"/>
      <c r="F3" s="141"/>
      <c r="G3" s="141"/>
      <c r="H3" s="136"/>
      <c r="I3" s="136"/>
      <c r="J3" s="136"/>
      <c r="K3" s="136"/>
      <c r="L3" s="136"/>
      <c r="M3" s="105"/>
      <c r="N3" s="105"/>
      <c r="O3" s="105"/>
      <c r="P3" s="105"/>
      <c r="Q3" s="105"/>
      <c r="R3" s="105"/>
      <c r="S3" s="129"/>
      <c r="T3" s="129"/>
      <c r="U3" s="129"/>
      <c r="V3" s="105"/>
      <c r="W3" s="105"/>
      <c r="X3" s="105"/>
      <c r="Y3" s="105"/>
      <c r="Z3" s="136"/>
    </row>
    <row r="4" spans="1:26" x14ac:dyDescent="0.3">
      <c r="E4" s="30"/>
      <c r="F4" s="30"/>
      <c r="H4" s="140"/>
      <c r="I4" s="140"/>
      <c r="J4" s="140"/>
      <c r="M4" s="98"/>
    </row>
    <row r="5" spans="1:26" s="4" customFormat="1" ht="30" customHeight="1" x14ac:dyDescent="0.3">
      <c r="A5" s="158" t="s">
        <v>196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9" t="s">
        <v>160</v>
      </c>
      <c r="M5" s="159"/>
      <c r="N5" s="159"/>
      <c r="O5" s="159"/>
      <c r="P5" s="159"/>
      <c r="Q5" s="159"/>
      <c r="R5" s="159"/>
      <c r="S5" s="160" t="s">
        <v>197</v>
      </c>
      <c r="T5" s="160"/>
      <c r="U5" s="160"/>
      <c r="V5" s="160"/>
      <c r="W5" s="160"/>
      <c r="X5" s="160"/>
      <c r="Y5" s="160"/>
      <c r="Z5" s="160"/>
    </row>
    <row r="6" spans="1:26" s="4" customFormat="1" x14ac:dyDescent="0.3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7"/>
      <c r="T6" s="137"/>
      <c r="U6" s="137"/>
      <c r="V6" s="137"/>
      <c r="W6" s="137"/>
      <c r="X6" s="137"/>
      <c r="Y6" s="144"/>
      <c r="Z6" s="145"/>
    </row>
    <row r="7" spans="1:26" s="105" customFormat="1" ht="27.6" customHeight="1" x14ac:dyDescent="0.3">
      <c r="A7" s="135" t="s">
        <v>45</v>
      </c>
      <c r="B7" s="134" t="s">
        <v>46</v>
      </c>
      <c r="C7" s="134" t="s">
        <v>47</v>
      </c>
      <c r="D7" s="134" t="s">
        <v>2</v>
      </c>
      <c r="E7" s="134" t="s">
        <v>48</v>
      </c>
      <c r="F7" s="134" t="s">
        <v>49</v>
      </c>
      <c r="G7" s="134" t="s">
        <v>58</v>
      </c>
      <c r="H7" s="134" t="s">
        <v>50</v>
      </c>
      <c r="I7" s="134" t="s">
        <v>3</v>
      </c>
      <c r="J7" s="134" t="s">
        <v>83</v>
      </c>
      <c r="K7" s="134" t="s">
        <v>57</v>
      </c>
      <c r="L7" s="134" t="s">
        <v>37</v>
      </c>
      <c r="M7" s="134" t="s">
        <v>59</v>
      </c>
      <c r="N7" s="134" t="s">
        <v>38</v>
      </c>
      <c r="O7" s="134" t="s">
        <v>43</v>
      </c>
      <c r="P7" s="134" t="s">
        <v>42</v>
      </c>
      <c r="Q7" s="134" t="s">
        <v>39</v>
      </c>
      <c r="R7" s="134" t="s">
        <v>44</v>
      </c>
      <c r="S7" s="134" t="s">
        <v>88</v>
      </c>
      <c r="T7" s="134" t="s">
        <v>4</v>
      </c>
      <c r="U7" s="134" t="s">
        <v>86</v>
      </c>
      <c r="V7" s="134" t="s">
        <v>87</v>
      </c>
      <c r="W7" s="134" t="s">
        <v>6</v>
      </c>
      <c r="X7" s="134" t="s">
        <v>5</v>
      </c>
      <c r="Y7" s="134" t="s">
        <v>98</v>
      </c>
      <c r="Z7" s="134" t="s">
        <v>123</v>
      </c>
    </row>
    <row r="8" spans="1:26" x14ac:dyDescent="0.3">
      <c r="A8" s="146" t="s">
        <v>1</v>
      </c>
      <c r="B8" s="61"/>
      <c r="C8" s="61" t="s">
        <v>13</v>
      </c>
      <c r="D8" s="61">
        <v>52</v>
      </c>
      <c r="E8" s="142">
        <v>45311</v>
      </c>
      <c r="F8" s="142">
        <v>45313</v>
      </c>
      <c r="G8" s="142">
        <v>45314</v>
      </c>
      <c r="H8" s="147">
        <v>1400</v>
      </c>
      <c r="I8" s="147" t="s">
        <v>28</v>
      </c>
      <c r="J8" s="147" t="s">
        <v>82</v>
      </c>
      <c r="K8" s="147" t="s">
        <v>56</v>
      </c>
      <c r="L8" s="61" t="s">
        <v>63</v>
      </c>
      <c r="M8" s="61" t="str">
        <f t="shared" ref="M8:M39" ca="1" si="0">IF(K8="Sim", "Quitado", IF(F8&lt;($B$3), "Vencido", IF(F8&gt;=($B$3), "A Vencer", "")))</f>
        <v>Vencido</v>
      </c>
      <c r="N8" s="61">
        <f t="shared" ref="N8:N39" ca="1" si="1">IF(K8="Sim", 0, IF(F8&lt;($B$3), $B$3-F8, IF(F8&gt;=($B$3), F8-$B$3, "")))</f>
        <v>482</v>
      </c>
      <c r="O8" s="61" t="str">
        <f t="shared" ref="O8:O39" ca="1" si="2">IF(OR(M8="Quitado",M8="A Vencer"),"",IF(N8&lt;=30,"0-30 dias",IF(N8&lt;=60,"31-60 dias","61+ dias")))</f>
        <v>61+ dias</v>
      </c>
      <c r="P8" s="61" t="str">
        <f t="shared" ref="P8:P39" ca="1" si="3">IF(O8="0-30 dias", "Atraso Recente", IF(O8="31-60 dias", "Atraso Médio", IF(O8="61+ dias", "Atraso Crítico", "")))</f>
        <v>Atraso Crítico</v>
      </c>
      <c r="Q8" s="61" t="s">
        <v>60</v>
      </c>
      <c r="R8" s="61" t="s">
        <v>61</v>
      </c>
      <c r="S8" s="61"/>
      <c r="T8" s="61">
        <v>1</v>
      </c>
      <c r="U8" s="61" t="s">
        <v>61</v>
      </c>
      <c r="V8" s="142">
        <v>45740</v>
      </c>
      <c r="W8" s="142">
        <v>45772</v>
      </c>
      <c r="X8" s="61" t="s">
        <v>89</v>
      </c>
      <c r="Y8" s="148">
        <f ca="1">IF(M8="vencido",H8, "0")</f>
        <v>1400</v>
      </c>
      <c r="Z8" s="149" t="str">
        <f ca="1">IF(M8="A vencer",H8, "0")</f>
        <v>0</v>
      </c>
    </row>
    <row r="9" spans="1:26" x14ac:dyDescent="0.3">
      <c r="A9" s="146" t="s">
        <v>0</v>
      </c>
      <c r="B9" s="61" t="s">
        <v>41</v>
      </c>
      <c r="C9" s="61" t="s">
        <v>41</v>
      </c>
      <c r="D9" s="61">
        <v>33</v>
      </c>
      <c r="E9" s="142">
        <v>45337</v>
      </c>
      <c r="F9" s="142" t="s">
        <v>134</v>
      </c>
      <c r="G9" s="142">
        <v>45339</v>
      </c>
      <c r="H9" s="147">
        <v>2000</v>
      </c>
      <c r="I9" s="147" t="s">
        <v>33</v>
      </c>
      <c r="J9" s="147" t="s">
        <v>84</v>
      </c>
      <c r="K9" s="147" t="s">
        <v>56</v>
      </c>
      <c r="L9" s="61" t="s">
        <v>77</v>
      </c>
      <c r="M9" s="61" t="str">
        <f t="shared" ca="1" si="0"/>
        <v>A Vencer</v>
      </c>
      <c r="N9" s="61" t="e">
        <f t="shared" ca="1" si="1"/>
        <v>#VALUE!</v>
      </c>
      <c r="O9" s="61" t="str">
        <f t="shared" ca="1" si="2"/>
        <v/>
      </c>
      <c r="P9" s="61" t="str">
        <f t="shared" ca="1" si="3"/>
        <v/>
      </c>
      <c r="Q9" s="61" t="s">
        <v>60</v>
      </c>
      <c r="R9" s="61" t="s">
        <v>61</v>
      </c>
      <c r="S9" s="61"/>
      <c r="T9" s="61">
        <v>1</v>
      </c>
      <c r="U9" s="61" t="s">
        <v>61</v>
      </c>
      <c r="V9" s="142">
        <v>45740</v>
      </c>
      <c r="W9" s="142">
        <v>45772</v>
      </c>
      <c r="X9" s="61" t="s">
        <v>89</v>
      </c>
      <c r="Y9" s="148" t="str">
        <f t="shared" ref="Y9:Y72" ca="1" si="4">IF(M9="vencido",H9, "0")</f>
        <v>0</v>
      </c>
      <c r="Z9" s="149">
        <f t="shared" ref="Z9:Z72" ca="1" si="5">IF(M9="A vencer",H9, "0")</f>
        <v>2000</v>
      </c>
    </row>
    <row r="10" spans="1:26" x14ac:dyDescent="0.3">
      <c r="A10" s="146" t="s">
        <v>0</v>
      </c>
      <c r="B10" s="61"/>
      <c r="C10" s="61" t="s">
        <v>13</v>
      </c>
      <c r="D10" s="61">
        <v>34</v>
      </c>
      <c r="E10" s="142">
        <v>45658</v>
      </c>
      <c r="F10" s="142">
        <v>45689</v>
      </c>
      <c r="G10" s="142">
        <v>45737</v>
      </c>
      <c r="H10" s="147">
        <v>2000</v>
      </c>
      <c r="I10" s="147" t="s">
        <v>33</v>
      </c>
      <c r="J10" s="147" t="s">
        <v>84</v>
      </c>
      <c r="K10" s="147" t="s">
        <v>56</v>
      </c>
      <c r="L10" s="61" t="s">
        <v>76</v>
      </c>
      <c r="M10" s="61" t="str">
        <f t="shared" ca="1" si="0"/>
        <v>Vencido</v>
      </c>
      <c r="N10" s="61">
        <f t="shared" ca="1" si="1"/>
        <v>106</v>
      </c>
      <c r="O10" s="61" t="str">
        <f t="shared" ca="1" si="2"/>
        <v>61+ dias</v>
      </c>
      <c r="P10" s="61" t="str">
        <f t="shared" ca="1" si="3"/>
        <v>Atraso Crítico</v>
      </c>
      <c r="Q10" s="61" t="s">
        <v>60</v>
      </c>
      <c r="R10" s="61" t="s">
        <v>61</v>
      </c>
      <c r="S10" s="61"/>
      <c r="T10" s="61">
        <v>1</v>
      </c>
      <c r="U10" s="61" t="s">
        <v>61</v>
      </c>
      <c r="V10" s="142">
        <v>45740</v>
      </c>
      <c r="W10" s="142">
        <v>45772</v>
      </c>
      <c r="X10" s="61" t="s">
        <v>89</v>
      </c>
      <c r="Y10" s="148">
        <f t="shared" ca="1" si="4"/>
        <v>2000</v>
      </c>
      <c r="Z10" s="149" t="str">
        <f t="shared" ca="1" si="5"/>
        <v>0</v>
      </c>
    </row>
    <row r="11" spans="1:26" x14ac:dyDescent="0.3">
      <c r="A11" s="146" t="s">
        <v>0</v>
      </c>
      <c r="B11" s="61" t="s">
        <v>40</v>
      </c>
      <c r="C11" s="61" t="s">
        <v>40</v>
      </c>
      <c r="D11" s="61">
        <v>1</v>
      </c>
      <c r="E11" s="142">
        <v>45658</v>
      </c>
      <c r="F11" s="142">
        <v>45690</v>
      </c>
      <c r="G11" s="142">
        <v>45737</v>
      </c>
      <c r="H11" s="147">
        <v>1000</v>
      </c>
      <c r="I11" s="147" t="s">
        <v>17</v>
      </c>
      <c r="J11" s="147" t="s">
        <v>85</v>
      </c>
      <c r="K11" s="147" t="s">
        <v>56</v>
      </c>
      <c r="L11" s="61" t="s">
        <v>65</v>
      </c>
      <c r="M11" s="61" t="str">
        <f t="shared" ca="1" si="0"/>
        <v>Vencido</v>
      </c>
      <c r="N11" s="61">
        <f t="shared" ca="1" si="1"/>
        <v>105</v>
      </c>
      <c r="O11" s="61" t="str">
        <f t="shared" ca="1" si="2"/>
        <v>61+ dias</v>
      </c>
      <c r="P11" s="61" t="str">
        <f t="shared" ca="1" si="3"/>
        <v>Atraso Crítico</v>
      </c>
      <c r="Q11" s="61" t="s">
        <v>60</v>
      </c>
      <c r="R11" s="61" t="s">
        <v>61</v>
      </c>
      <c r="S11" s="61"/>
      <c r="T11" s="61">
        <v>1</v>
      </c>
      <c r="U11" s="61" t="s">
        <v>61</v>
      </c>
      <c r="V11" s="142">
        <v>45740</v>
      </c>
      <c r="W11" s="142">
        <v>45772</v>
      </c>
      <c r="X11" s="61" t="s">
        <v>89</v>
      </c>
      <c r="Y11" s="148">
        <f t="shared" ca="1" si="4"/>
        <v>1000</v>
      </c>
      <c r="Z11" s="149" t="str">
        <f t="shared" ca="1" si="5"/>
        <v>0</v>
      </c>
    </row>
    <row r="12" spans="1:26" x14ac:dyDescent="0.3">
      <c r="A12" s="146" t="s">
        <v>0</v>
      </c>
      <c r="B12" s="61" t="s">
        <v>40</v>
      </c>
      <c r="C12" s="61" t="s">
        <v>7</v>
      </c>
      <c r="D12" s="61">
        <v>2</v>
      </c>
      <c r="E12" s="142">
        <v>45658</v>
      </c>
      <c r="F12" s="142">
        <v>45690</v>
      </c>
      <c r="G12" s="142">
        <v>45737</v>
      </c>
      <c r="H12" s="147">
        <v>1000</v>
      </c>
      <c r="I12" s="147" t="s">
        <v>17</v>
      </c>
      <c r="J12" s="147" t="s">
        <v>85</v>
      </c>
      <c r="K12" s="147" t="s">
        <v>56</v>
      </c>
      <c r="L12" s="61" t="s">
        <v>66</v>
      </c>
      <c r="M12" s="61" t="str">
        <f t="shared" ca="1" si="0"/>
        <v>Vencido</v>
      </c>
      <c r="N12" s="61">
        <f t="shared" ca="1" si="1"/>
        <v>105</v>
      </c>
      <c r="O12" s="61" t="str">
        <f t="shared" ca="1" si="2"/>
        <v>61+ dias</v>
      </c>
      <c r="P12" s="61" t="str">
        <f t="shared" ca="1" si="3"/>
        <v>Atraso Crítico</v>
      </c>
      <c r="Q12" s="61" t="s">
        <v>60</v>
      </c>
      <c r="R12" s="61" t="s">
        <v>61</v>
      </c>
      <c r="S12" s="61"/>
      <c r="T12" s="61">
        <v>1</v>
      </c>
      <c r="U12" s="61" t="s">
        <v>61</v>
      </c>
      <c r="V12" s="142">
        <v>45740</v>
      </c>
      <c r="W12" s="142">
        <v>45802</v>
      </c>
      <c r="X12" s="61" t="s">
        <v>89</v>
      </c>
      <c r="Y12" s="148">
        <f t="shared" ca="1" si="4"/>
        <v>1000</v>
      </c>
      <c r="Z12" s="149" t="str">
        <f t="shared" ca="1" si="5"/>
        <v>0</v>
      </c>
    </row>
    <row r="13" spans="1:26" x14ac:dyDescent="0.3">
      <c r="A13" s="146" t="s">
        <v>1</v>
      </c>
      <c r="B13" s="61" t="s">
        <v>40</v>
      </c>
      <c r="C13" s="61" t="s">
        <v>8</v>
      </c>
      <c r="D13" s="61">
        <v>3</v>
      </c>
      <c r="E13" s="142">
        <v>45659</v>
      </c>
      <c r="F13" s="142">
        <v>45690</v>
      </c>
      <c r="G13" s="142">
        <v>45737</v>
      </c>
      <c r="H13" s="147">
        <v>2500</v>
      </c>
      <c r="I13" s="147" t="s">
        <v>18</v>
      </c>
      <c r="J13" s="147" t="s">
        <v>85</v>
      </c>
      <c r="K13" s="147" t="s">
        <v>56</v>
      </c>
      <c r="L13" s="61" t="s">
        <v>67</v>
      </c>
      <c r="M13" s="61" t="str">
        <f t="shared" ca="1" si="0"/>
        <v>Vencido</v>
      </c>
      <c r="N13" s="61">
        <f t="shared" ca="1" si="1"/>
        <v>105</v>
      </c>
      <c r="O13" s="61" t="str">
        <f t="shared" ca="1" si="2"/>
        <v>61+ dias</v>
      </c>
      <c r="P13" s="61" t="str">
        <f t="shared" ca="1" si="3"/>
        <v>Atraso Crítico</v>
      </c>
      <c r="Q13" s="61" t="s">
        <v>60</v>
      </c>
      <c r="R13" s="61" t="s">
        <v>61</v>
      </c>
      <c r="S13" s="61"/>
      <c r="T13" s="61">
        <v>1</v>
      </c>
      <c r="U13" s="61" t="s">
        <v>61</v>
      </c>
      <c r="V13" s="142">
        <v>45740</v>
      </c>
      <c r="W13" s="142">
        <v>45802</v>
      </c>
      <c r="X13" s="61" t="s">
        <v>89</v>
      </c>
      <c r="Y13" s="148">
        <f t="shared" ca="1" si="4"/>
        <v>2500</v>
      </c>
      <c r="Z13" s="149" t="str">
        <f t="shared" ca="1" si="5"/>
        <v>0</v>
      </c>
    </row>
    <row r="14" spans="1:26" x14ac:dyDescent="0.3">
      <c r="A14" s="146" t="s">
        <v>1</v>
      </c>
      <c r="B14" s="61" t="s">
        <v>40</v>
      </c>
      <c r="C14" s="61" t="s">
        <v>8</v>
      </c>
      <c r="D14" s="61">
        <v>4</v>
      </c>
      <c r="E14" s="142">
        <v>45659</v>
      </c>
      <c r="F14" s="142">
        <v>45690</v>
      </c>
      <c r="G14" s="142">
        <v>45737</v>
      </c>
      <c r="H14" s="147">
        <v>2500</v>
      </c>
      <c r="I14" s="147" t="s">
        <v>18</v>
      </c>
      <c r="J14" s="147" t="s">
        <v>85</v>
      </c>
      <c r="K14" s="147" t="s">
        <v>56</v>
      </c>
      <c r="L14" s="61" t="s">
        <v>68</v>
      </c>
      <c r="M14" s="61" t="str">
        <f t="shared" ca="1" si="0"/>
        <v>Vencido</v>
      </c>
      <c r="N14" s="61">
        <f t="shared" ca="1" si="1"/>
        <v>105</v>
      </c>
      <c r="O14" s="61" t="str">
        <f t="shared" ca="1" si="2"/>
        <v>61+ dias</v>
      </c>
      <c r="P14" s="61" t="str">
        <f t="shared" ca="1" si="3"/>
        <v>Atraso Crítico</v>
      </c>
      <c r="Q14" s="61" t="s">
        <v>60</v>
      </c>
      <c r="R14" s="61" t="s">
        <v>61</v>
      </c>
      <c r="S14" s="61"/>
      <c r="T14" s="61">
        <v>1</v>
      </c>
      <c r="U14" s="61" t="s">
        <v>61</v>
      </c>
      <c r="V14" s="142">
        <v>45740</v>
      </c>
      <c r="W14" s="142">
        <v>45802</v>
      </c>
      <c r="X14" s="61" t="s">
        <v>89</v>
      </c>
      <c r="Y14" s="148">
        <f t="shared" ca="1" si="4"/>
        <v>2500</v>
      </c>
      <c r="Z14" s="149" t="str">
        <f t="shared" ca="1" si="5"/>
        <v>0</v>
      </c>
    </row>
    <row r="15" spans="1:26" x14ac:dyDescent="0.3">
      <c r="A15" s="146" t="s">
        <v>0</v>
      </c>
      <c r="B15" s="61" t="s">
        <v>40</v>
      </c>
      <c r="C15" s="61" t="s">
        <v>10</v>
      </c>
      <c r="D15" s="61">
        <v>5</v>
      </c>
      <c r="E15" s="142">
        <v>45662</v>
      </c>
      <c r="F15" s="142">
        <v>45690</v>
      </c>
      <c r="G15" s="142">
        <v>45737</v>
      </c>
      <c r="H15" s="147">
        <v>3000</v>
      </c>
      <c r="I15" s="147" t="s">
        <v>19</v>
      </c>
      <c r="J15" s="147" t="s">
        <v>85</v>
      </c>
      <c r="K15" s="147" t="s">
        <v>56</v>
      </c>
      <c r="L15" s="61" t="s">
        <v>69</v>
      </c>
      <c r="M15" s="61" t="str">
        <f t="shared" ca="1" si="0"/>
        <v>Vencido</v>
      </c>
      <c r="N15" s="61">
        <f t="shared" ca="1" si="1"/>
        <v>105</v>
      </c>
      <c r="O15" s="61" t="str">
        <f t="shared" ca="1" si="2"/>
        <v>61+ dias</v>
      </c>
      <c r="P15" s="61" t="str">
        <f t="shared" ca="1" si="3"/>
        <v>Atraso Crítico</v>
      </c>
      <c r="Q15" s="61" t="s">
        <v>60</v>
      </c>
      <c r="R15" s="61" t="s">
        <v>61</v>
      </c>
      <c r="S15" s="61"/>
      <c r="T15" s="61">
        <v>1</v>
      </c>
      <c r="U15" s="61" t="s">
        <v>61</v>
      </c>
      <c r="V15" s="142">
        <v>45740</v>
      </c>
      <c r="W15" s="142">
        <v>45802</v>
      </c>
      <c r="X15" s="61" t="s">
        <v>89</v>
      </c>
      <c r="Y15" s="148">
        <f t="shared" ca="1" si="4"/>
        <v>3000</v>
      </c>
      <c r="Z15" s="149" t="str">
        <f t="shared" ca="1" si="5"/>
        <v>0</v>
      </c>
    </row>
    <row r="16" spans="1:26" x14ac:dyDescent="0.3">
      <c r="A16" s="146" t="s">
        <v>0</v>
      </c>
      <c r="B16" s="61" t="s">
        <v>40</v>
      </c>
      <c r="C16" s="61" t="s">
        <v>9</v>
      </c>
      <c r="D16" s="61">
        <v>6</v>
      </c>
      <c r="E16" s="142">
        <v>45662</v>
      </c>
      <c r="F16" s="142">
        <v>45690</v>
      </c>
      <c r="G16" s="142">
        <v>45737</v>
      </c>
      <c r="H16" s="147">
        <v>3000</v>
      </c>
      <c r="I16" s="147" t="s">
        <v>19</v>
      </c>
      <c r="J16" s="147" t="s">
        <v>85</v>
      </c>
      <c r="K16" s="147" t="s">
        <v>56</v>
      </c>
      <c r="L16" s="61" t="s">
        <v>70</v>
      </c>
      <c r="M16" s="61" t="str">
        <f t="shared" ca="1" si="0"/>
        <v>Vencido</v>
      </c>
      <c r="N16" s="61">
        <f t="shared" ca="1" si="1"/>
        <v>105</v>
      </c>
      <c r="O16" s="61" t="str">
        <f t="shared" ca="1" si="2"/>
        <v>61+ dias</v>
      </c>
      <c r="P16" s="61" t="str">
        <f t="shared" ca="1" si="3"/>
        <v>Atraso Crítico</v>
      </c>
      <c r="Q16" s="61" t="s">
        <v>60</v>
      </c>
      <c r="R16" s="61" t="s">
        <v>61</v>
      </c>
      <c r="S16" s="61"/>
      <c r="T16" s="61">
        <v>1</v>
      </c>
      <c r="U16" s="61" t="s">
        <v>61</v>
      </c>
      <c r="V16" s="142">
        <v>45740</v>
      </c>
      <c r="W16" s="142">
        <v>45802</v>
      </c>
      <c r="X16" s="61" t="s">
        <v>89</v>
      </c>
      <c r="Y16" s="148">
        <f t="shared" ca="1" si="4"/>
        <v>3000</v>
      </c>
      <c r="Z16" s="149" t="str">
        <f t="shared" ca="1" si="5"/>
        <v>0</v>
      </c>
    </row>
    <row r="17" spans="1:26" x14ac:dyDescent="0.3">
      <c r="A17" s="146" t="s">
        <v>1</v>
      </c>
      <c r="B17" s="61"/>
      <c r="C17" s="61" t="s">
        <v>13</v>
      </c>
      <c r="D17" s="61">
        <v>7</v>
      </c>
      <c r="E17" s="142">
        <v>45663</v>
      </c>
      <c r="F17" s="142">
        <v>45690</v>
      </c>
      <c r="G17" s="142">
        <v>45737</v>
      </c>
      <c r="H17" s="147">
        <v>1500</v>
      </c>
      <c r="I17" s="147" t="s">
        <v>20</v>
      </c>
      <c r="J17" s="147" t="s">
        <v>85</v>
      </c>
      <c r="K17" s="147" t="s">
        <v>56</v>
      </c>
      <c r="L17" s="61" t="s">
        <v>71</v>
      </c>
      <c r="M17" s="61" t="str">
        <f t="shared" ca="1" si="0"/>
        <v>Vencido</v>
      </c>
      <c r="N17" s="61">
        <f t="shared" ca="1" si="1"/>
        <v>105</v>
      </c>
      <c r="O17" s="61" t="str">
        <f t="shared" ca="1" si="2"/>
        <v>61+ dias</v>
      </c>
      <c r="P17" s="61" t="str">
        <f t="shared" ca="1" si="3"/>
        <v>Atraso Crítico</v>
      </c>
      <c r="Q17" s="61" t="s">
        <v>60</v>
      </c>
      <c r="R17" s="61" t="s">
        <v>61</v>
      </c>
      <c r="S17" s="61"/>
      <c r="T17" s="61">
        <v>1</v>
      </c>
      <c r="U17" s="61" t="s">
        <v>61</v>
      </c>
      <c r="V17" s="142">
        <v>45740</v>
      </c>
      <c r="W17" s="142">
        <v>45802</v>
      </c>
      <c r="X17" s="61" t="s">
        <v>89</v>
      </c>
      <c r="Y17" s="148">
        <f t="shared" ca="1" si="4"/>
        <v>1500</v>
      </c>
      <c r="Z17" s="149" t="str">
        <f t="shared" ca="1" si="5"/>
        <v>0</v>
      </c>
    </row>
    <row r="18" spans="1:26" x14ac:dyDescent="0.3">
      <c r="A18" s="146" t="s">
        <v>1</v>
      </c>
      <c r="B18" s="61"/>
      <c r="C18" s="61" t="s">
        <v>13</v>
      </c>
      <c r="D18" s="61">
        <v>8</v>
      </c>
      <c r="E18" s="142">
        <v>45663</v>
      </c>
      <c r="F18" s="142">
        <v>45690</v>
      </c>
      <c r="G18" s="142">
        <v>45737</v>
      </c>
      <c r="H18" s="147">
        <v>1500</v>
      </c>
      <c r="I18" s="147" t="s">
        <v>20</v>
      </c>
      <c r="J18" s="147" t="s">
        <v>85</v>
      </c>
      <c r="K18" s="147" t="s">
        <v>56</v>
      </c>
      <c r="L18" s="61" t="s">
        <v>72</v>
      </c>
      <c r="M18" s="61" t="str">
        <f t="shared" ca="1" si="0"/>
        <v>Vencido</v>
      </c>
      <c r="N18" s="61">
        <f t="shared" ca="1" si="1"/>
        <v>105</v>
      </c>
      <c r="O18" s="61" t="str">
        <f t="shared" ca="1" si="2"/>
        <v>61+ dias</v>
      </c>
      <c r="P18" s="61" t="str">
        <f t="shared" ca="1" si="3"/>
        <v>Atraso Crítico</v>
      </c>
      <c r="Q18" s="61" t="s">
        <v>60</v>
      </c>
      <c r="R18" s="61" t="s">
        <v>61</v>
      </c>
      <c r="S18" s="61"/>
      <c r="T18" s="61">
        <v>1</v>
      </c>
      <c r="U18" s="61" t="s">
        <v>61</v>
      </c>
      <c r="V18" s="142">
        <v>45740</v>
      </c>
      <c r="W18" s="142">
        <v>45802</v>
      </c>
      <c r="X18" s="61" t="s">
        <v>89</v>
      </c>
      <c r="Y18" s="148">
        <f t="shared" ca="1" si="4"/>
        <v>1500</v>
      </c>
      <c r="Z18" s="149" t="str">
        <f t="shared" ca="1" si="5"/>
        <v>0</v>
      </c>
    </row>
    <row r="19" spans="1:26" x14ac:dyDescent="0.3">
      <c r="A19" s="146" t="s">
        <v>0</v>
      </c>
      <c r="B19" s="61"/>
      <c r="C19" s="61" t="s">
        <v>13</v>
      </c>
      <c r="D19" s="61">
        <v>9</v>
      </c>
      <c r="E19" s="142">
        <v>45667</v>
      </c>
      <c r="F19" s="142">
        <v>45698</v>
      </c>
      <c r="G19" s="142">
        <v>45737</v>
      </c>
      <c r="H19" s="147">
        <v>2200</v>
      </c>
      <c r="I19" s="147" t="s">
        <v>21</v>
      </c>
      <c r="J19" s="147" t="s">
        <v>85</v>
      </c>
      <c r="K19" s="147" t="s">
        <v>56</v>
      </c>
      <c r="L19" s="61" t="s">
        <v>73</v>
      </c>
      <c r="M19" s="61" t="str">
        <f t="shared" ca="1" si="0"/>
        <v>Vencido</v>
      </c>
      <c r="N19" s="61">
        <f t="shared" ca="1" si="1"/>
        <v>97</v>
      </c>
      <c r="O19" s="61" t="str">
        <f t="shared" ca="1" si="2"/>
        <v>61+ dias</v>
      </c>
      <c r="P19" s="61" t="str">
        <f t="shared" ca="1" si="3"/>
        <v>Atraso Crítico</v>
      </c>
      <c r="Q19" s="61" t="s">
        <v>60</v>
      </c>
      <c r="R19" s="61" t="s">
        <v>61</v>
      </c>
      <c r="S19" s="61"/>
      <c r="T19" s="61">
        <v>1</v>
      </c>
      <c r="U19" s="61" t="s">
        <v>61</v>
      </c>
      <c r="V19" s="142">
        <v>45740</v>
      </c>
      <c r="W19" s="142">
        <v>45802</v>
      </c>
      <c r="X19" s="61" t="s">
        <v>89</v>
      </c>
      <c r="Y19" s="148">
        <f t="shared" ca="1" si="4"/>
        <v>2200</v>
      </c>
      <c r="Z19" s="149" t="str">
        <f t="shared" ca="1" si="5"/>
        <v>0</v>
      </c>
    </row>
    <row r="20" spans="1:26" x14ac:dyDescent="0.3">
      <c r="A20" s="146" t="s">
        <v>0</v>
      </c>
      <c r="B20" s="61"/>
      <c r="C20" s="61" t="s">
        <v>13</v>
      </c>
      <c r="D20" s="61">
        <v>10</v>
      </c>
      <c r="E20" s="142">
        <v>45667</v>
      </c>
      <c r="F20" s="142">
        <v>45699</v>
      </c>
      <c r="G20" s="142">
        <v>45737</v>
      </c>
      <c r="H20" s="147">
        <v>2200</v>
      </c>
      <c r="I20" s="147" t="s">
        <v>21</v>
      </c>
      <c r="J20" s="147" t="s">
        <v>85</v>
      </c>
      <c r="K20" s="147" t="s">
        <v>56</v>
      </c>
      <c r="L20" s="61" t="s">
        <v>74</v>
      </c>
      <c r="M20" s="61" t="str">
        <f t="shared" ca="1" si="0"/>
        <v>Vencido</v>
      </c>
      <c r="N20" s="61">
        <f t="shared" ca="1" si="1"/>
        <v>96</v>
      </c>
      <c r="O20" s="61" t="str">
        <f t="shared" ca="1" si="2"/>
        <v>61+ dias</v>
      </c>
      <c r="P20" s="61" t="str">
        <f t="shared" ca="1" si="3"/>
        <v>Atraso Crítico</v>
      </c>
      <c r="Q20" s="61" t="s">
        <v>60</v>
      </c>
      <c r="R20" s="61" t="s">
        <v>61</v>
      </c>
      <c r="S20" s="61"/>
      <c r="T20" s="61">
        <v>1</v>
      </c>
      <c r="U20" s="61" t="s">
        <v>61</v>
      </c>
      <c r="V20" s="142">
        <v>45740</v>
      </c>
      <c r="W20" s="142">
        <v>45802</v>
      </c>
      <c r="X20" s="61" t="s">
        <v>89</v>
      </c>
      <c r="Y20" s="148">
        <f t="shared" ca="1" si="4"/>
        <v>2200</v>
      </c>
      <c r="Z20" s="149" t="str">
        <f t="shared" ca="1" si="5"/>
        <v>0</v>
      </c>
    </row>
    <row r="21" spans="1:26" x14ac:dyDescent="0.3">
      <c r="A21" s="146" t="s">
        <v>1</v>
      </c>
      <c r="B21" s="61"/>
      <c r="C21" s="61" t="s">
        <v>13</v>
      </c>
      <c r="D21" s="61">
        <v>11</v>
      </c>
      <c r="E21" s="142">
        <v>45669</v>
      </c>
      <c r="F21" s="142">
        <v>45700</v>
      </c>
      <c r="G21" s="142">
        <v>45701</v>
      </c>
      <c r="H21" s="147">
        <v>1000</v>
      </c>
      <c r="I21" s="147" t="s">
        <v>22</v>
      </c>
      <c r="J21" s="147" t="s">
        <v>85</v>
      </c>
      <c r="K21" s="147" t="s">
        <v>56</v>
      </c>
      <c r="L21" s="61" t="s">
        <v>75</v>
      </c>
      <c r="M21" s="61" t="str">
        <f t="shared" ca="1" si="0"/>
        <v>Vencido</v>
      </c>
      <c r="N21" s="61">
        <f t="shared" ca="1" si="1"/>
        <v>95</v>
      </c>
      <c r="O21" s="61" t="str">
        <f t="shared" ca="1" si="2"/>
        <v>61+ dias</v>
      </c>
      <c r="P21" s="61" t="str">
        <f t="shared" ca="1" si="3"/>
        <v>Atraso Crítico</v>
      </c>
      <c r="Q21" s="61" t="s">
        <v>60</v>
      </c>
      <c r="R21" s="61" t="s">
        <v>61</v>
      </c>
      <c r="S21" s="61"/>
      <c r="T21" s="61">
        <v>1</v>
      </c>
      <c r="U21" s="61" t="s">
        <v>61</v>
      </c>
      <c r="V21" s="142">
        <v>45740</v>
      </c>
      <c r="W21" s="142">
        <v>45802</v>
      </c>
      <c r="X21" s="61" t="s">
        <v>89</v>
      </c>
      <c r="Y21" s="148">
        <f t="shared" ca="1" si="4"/>
        <v>1000</v>
      </c>
      <c r="Z21" s="149" t="str">
        <f t="shared" ca="1" si="5"/>
        <v>0</v>
      </c>
    </row>
    <row r="22" spans="1:26" x14ac:dyDescent="0.3">
      <c r="A22" s="146" t="s">
        <v>1</v>
      </c>
      <c r="B22" s="61"/>
      <c r="C22" s="61" t="s">
        <v>11</v>
      </c>
      <c r="D22" s="61">
        <v>12</v>
      </c>
      <c r="E22" s="142">
        <v>45669</v>
      </c>
      <c r="F22" s="142">
        <v>45701</v>
      </c>
      <c r="G22" s="142">
        <v>45737</v>
      </c>
      <c r="H22" s="147">
        <v>1000</v>
      </c>
      <c r="I22" s="147" t="s">
        <v>22</v>
      </c>
      <c r="J22" s="147" t="s">
        <v>85</v>
      </c>
      <c r="K22" s="147" t="s">
        <v>56</v>
      </c>
      <c r="L22" s="61" t="s">
        <v>76</v>
      </c>
      <c r="M22" s="61" t="str">
        <f t="shared" ca="1" si="0"/>
        <v>Vencido</v>
      </c>
      <c r="N22" s="61">
        <f t="shared" ca="1" si="1"/>
        <v>94</v>
      </c>
      <c r="O22" s="61" t="str">
        <f t="shared" ca="1" si="2"/>
        <v>61+ dias</v>
      </c>
      <c r="P22" s="61" t="str">
        <f t="shared" ca="1" si="3"/>
        <v>Atraso Crítico</v>
      </c>
      <c r="Q22" s="61" t="s">
        <v>60</v>
      </c>
      <c r="R22" s="61" t="s">
        <v>61</v>
      </c>
      <c r="S22" s="61"/>
      <c r="T22" s="61">
        <v>1</v>
      </c>
      <c r="U22" s="61" t="s">
        <v>61</v>
      </c>
      <c r="V22" s="142">
        <v>45740</v>
      </c>
      <c r="W22" s="142">
        <v>45802</v>
      </c>
      <c r="X22" s="61" t="s">
        <v>89</v>
      </c>
      <c r="Y22" s="148">
        <f t="shared" ca="1" si="4"/>
        <v>1000</v>
      </c>
      <c r="Z22" s="149" t="str">
        <f t="shared" ca="1" si="5"/>
        <v>0</v>
      </c>
    </row>
    <row r="23" spans="1:26" x14ac:dyDescent="0.3">
      <c r="A23" s="146" t="s">
        <v>0</v>
      </c>
      <c r="B23" s="61" t="s">
        <v>40</v>
      </c>
      <c r="C23" s="61" t="s">
        <v>40</v>
      </c>
      <c r="D23" s="61">
        <v>13</v>
      </c>
      <c r="E23" s="142">
        <v>45672</v>
      </c>
      <c r="F23" s="142">
        <v>45702</v>
      </c>
      <c r="G23" s="142">
        <v>45737</v>
      </c>
      <c r="H23" s="147">
        <v>1500</v>
      </c>
      <c r="I23" s="147" t="s">
        <v>23</v>
      </c>
      <c r="J23" s="147" t="s">
        <v>85</v>
      </c>
      <c r="K23" s="147" t="s">
        <v>56</v>
      </c>
      <c r="L23" s="61" t="s">
        <v>77</v>
      </c>
      <c r="M23" s="61" t="str">
        <f t="shared" ca="1" si="0"/>
        <v>Vencido</v>
      </c>
      <c r="N23" s="61">
        <f t="shared" ca="1" si="1"/>
        <v>93</v>
      </c>
      <c r="O23" s="61" t="str">
        <f t="shared" ca="1" si="2"/>
        <v>61+ dias</v>
      </c>
      <c r="P23" s="61" t="str">
        <f t="shared" ca="1" si="3"/>
        <v>Atraso Crítico</v>
      </c>
      <c r="Q23" s="61" t="s">
        <v>60</v>
      </c>
      <c r="R23" s="61" t="s">
        <v>61</v>
      </c>
      <c r="S23" s="61"/>
      <c r="T23" s="61">
        <v>1</v>
      </c>
      <c r="U23" s="61" t="s">
        <v>61</v>
      </c>
      <c r="V23" s="142">
        <v>45740</v>
      </c>
      <c r="W23" s="142">
        <v>45802</v>
      </c>
      <c r="X23" s="61" t="s">
        <v>89</v>
      </c>
      <c r="Y23" s="148">
        <f t="shared" ca="1" si="4"/>
        <v>1500</v>
      </c>
      <c r="Z23" s="149" t="str">
        <f t="shared" ca="1" si="5"/>
        <v>0</v>
      </c>
    </row>
    <row r="24" spans="1:26" x14ac:dyDescent="0.3">
      <c r="A24" s="146" t="s">
        <v>0</v>
      </c>
      <c r="B24" s="61"/>
      <c r="C24" s="61" t="s">
        <v>11</v>
      </c>
      <c r="D24" s="61">
        <v>14</v>
      </c>
      <c r="E24" s="142">
        <v>45672</v>
      </c>
      <c r="F24" s="142">
        <v>45703</v>
      </c>
      <c r="G24" s="142">
        <v>45737</v>
      </c>
      <c r="H24" s="147">
        <v>1500</v>
      </c>
      <c r="I24" s="147" t="s">
        <v>23</v>
      </c>
      <c r="J24" s="147" t="s">
        <v>85</v>
      </c>
      <c r="K24" s="147" t="s">
        <v>56</v>
      </c>
      <c r="L24" s="61" t="s">
        <v>76</v>
      </c>
      <c r="M24" s="61" t="str">
        <f t="shared" ca="1" si="0"/>
        <v>Vencido</v>
      </c>
      <c r="N24" s="61">
        <f t="shared" ca="1" si="1"/>
        <v>92</v>
      </c>
      <c r="O24" s="61" t="str">
        <f t="shared" ca="1" si="2"/>
        <v>61+ dias</v>
      </c>
      <c r="P24" s="61" t="str">
        <f t="shared" ca="1" si="3"/>
        <v>Atraso Crítico</v>
      </c>
      <c r="Q24" s="61" t="s">
        <v>60</v>
      </c>
      <c r="R24" s="61" t="s">
        <v>61</v>
      </c>
      <c r="S24" s="61"/>
      <c r="T24" s="61">
        <v>1</v>
      </c>
      <c r="U24" s="61" t="s">
        <v>61</v>
      </c>
      <c r="V24" s="142">
        <v>45740</v>
      </c>
      <c r="W24" s="142">
        <v>45802</v>
      </c>
      <c r="X24" s="61" t="s">
        <v>89</v>
      </c>
      <c r="Y24" s="148">
        <f t="shared" ca="1" si="4"/>
        <v>1500</v>
      </c>
      <c r="Z24" s="149" t="str">
        <f t="shared" ca="1" si="5"/>
        <v>0</v>
      </c>
    </row>
    <row r="25" spans="1:26" x14ac:dyDescent="0.3">
      <c r="A25" s="146" t="s">
        <v>1</v>
      </c>
      <c r="B25" s="61" t="s">
        <v>40</v>
      </c>
      <c r="C25" s="61" t="s">
        <v>40</v>
      </c>
      <c r="D25" s="61">
        <v>15</v>
      </c>
      <c r="E25" s="142">
        <v>45675</v>
      </c>
      <c r="F25" s="142">
        <v>45704</v>
      </c>
      <c r="G25" s="142">
        <v>45737</v>
      </c>
      <c r="H25" s="147">
        <v>3000</v>
      </c>
      <c r="I25" s="147" t="s">
        <v>24</v>
      </c>
      <c r="J25" s="147" t="s">
        <v>85</v>
      </c>
      <c r="K25" s="147" t="s">
        <v>56</v>
      </c>
      <c r="L25" s="61" t="s">
        <v>78</v>
      </c>
      <c r="M25" s="61" t="str">
        <f t="shared" ca="1" si="0"/>
        <v>Vencido</v>
      </c>
      <c r="N25" s="61">
        <f t="shared" ca="1" si="1"/>
        <v>91</v>
      </c>
      <c r="O25" s="61" t="str">
        <f t="shared" ca="1" si="2"/>
        <v>61+ dias</v>
      </c>
      <c r="P25" s="61" t="str">
        <f t="shared" ca="1" si="3"/>
        <v>Atraso Crítico</v>
      </c>
      <c r="Q25" s="61" t="s">
        <v>60</v>
      </c>
      <c r="R25" s="61" t="s">
        <v>61</v>
      </c>
      <c r="S25" s="61"/>
      <c r="T25" s="61">
        <v>1</v>
      </c>
      <c r="U25" s="61" t="s">
        <v>61</v>
      </c>
      <c r="V25" s="142">
        <v>45740</v>
      </c>
      <c r="W25" s="142">
        <v>45802</v>
      </c>
      <c r="X25" s="61" t="s">
        <v>89</v>
      </c>
      <c r="Y25" s="148">
        <f t="shared" ca="1" si="4"/>
        <v>3000</v>
      </c>
      <c r="Z25" s="149" t="str">
        <f t="shared" ca="1" si="5"/>
        <v>0</v>
      </c>
    </row>
    <row r="26" spans="1:26" x14ac:dyDescent="0.3">
      <c r="A26" s="146" t="s">
        <v>1</v>
      </c>
      <c r="B26" s="61"/>
      <c r="C26" s="61" t="s">
        <v>11</v>
      </c>
      <c r="D26" s="61">
        <v>16</v>
      </c>
      <c r="E26" s="142">
        <v>45675</v>
      </c>
      <c r="F26" s="142">
        <v>45705</v>
      </c>
      <c r="G26" s="142">
        <v>45737</v>
      </c>
      <c r="H26" s="147">
        <v>3000</v>
      </c>
      <c r="I26" s="147" t="s">
        <v>24</v>
      </c>
      <c r="J26" s="147" t="s">
        <v>85</v>
      </c>
      <c r="K26" s="147" t="s">
        <v>56</v>
      </c>
      <c r="L26" s="61" t="s">
        <v>79</v>
      </c>
      <c r="M26" s="61" t="str">
        <f t="shared" ca="1" si="0"/>
        <v>Vencido</v>
      </c>
      <c r="N26" s="61">
        <f t="shared" ca="1" si="1"/>
        <v>90</v>
      </c>
      <c r="O26" s="61" t="str">
        <f t="shared" ca="1" si="2"/>
        <v>61+ dias</v>
      </c>
      <c r="P26" s="61" t="str">
        <f t="shared" ca="1" si="3"/>
        <v>Atraso Crítico</v>
      </c>
      <c r="Q26" s="61" t="s">
        <v>60</v>
      </c>
      <c r="R26" s="61" t="s">
        <v>61</v>
      </c>
      <c r="S26" s="61"/>
      <c r="T26" s="61">
        <v>1</v>
      </c>
      <c r="U26" s="61" t="s">
        <v>61</v>
      </c>
      <c r="V26" s="142">
        <v>45740</v>
      </c>
      <c r="W26" s="142">
        <v>45802</v>
      </c>
      <c r="X26" s="61" t="s">
        <v>89</v>
      </c>
      <c r="Y26" s="148">
        <f t="shared" ca="1" si="4"/>
        <v>3000</v>
      </c>
      <c r="Z26" s="149" t="str">
        <f t="shared" ca="1" si="5"/>
        <v>0</v>
      </c>
    </row>
    <row r="27" spans="1:26" x14ac:dyDescent="0.3">
      <c r="A27" s="146" t="s">
        <v>0</v>
      </c>
      <c r="B27" s="61" t="s">
        <v>40</v>
      </c>
      <c r="C27" s="61" t="s">
        <v>40</v>
      </c>
      <c r="D27" s="61">
        <v>17</v>
      </c>
      <c r="E27" s="142">
        <v>45677</v>
      </c>
      <c r="F27" s="142">
        <v>45706</v>
      </c>
      <c r="G27" s="142">
        <v>45737</v>
      </c>
      <c r="H27" s="147">
        <v>2800</v>
      </c>
      <c r="I27" s="147" t="s">
        <v>25</v>
      </c>
      <c r="J27" s="147" t="s">
        <v>85</v>
      </c>
      <c r="K27" s="147" t="s">
        <v>56</v>
      </c>
      <c r="L27" s="61" t="s">
        <v>80</v>
      </c>
      <c r="M27" s="61" t="str">
        <f t="shared" ca="1" si="0"/>
        <v>Vencido</v>
      </c>
      <c r="N27" s="61">
        <f t="shared" ca="1" si="1"/>
        <v>89</v>
      </c>
      <c r="O27" s="61" t="str">
        <f t="shared" ca="1" si="2"/>
        <v>61+ dias</v>
      </c>
      <c r="P27" s="61" t="str">
        <f t="shared" ca="1" si="3"/>
        <v>Atraso Crítico</v>
      </c>
      <c r="Q27" s="61" t="s">
        <v>60</v>
      </c>
      <c r="R27" s="61" t="s">
        <v>61</v>
      </c>
      <c r="S27" s="61"/>
      <c r="T27" s="61">
        <v>1</v>
      </c>
      <c r="U27" s="61" t="s">
        <v>61</v>
      </c>
      <c r="V27" s="142">
        <v>45740</v>
      </c>
      <c r="W27" s="142">
        <v>45802</v>
      </c>
      <c r="X27" s="61" t="s">
        <v>89</v>
      </c>
      <c r="Y27" s="148">
        <f t="shared" ca="1" si="4"/>
        <v>2800</v>
      </c>
      <c r="Z27" s="149" t="str">
        <f t="shared" ca="1" si="5"/>
        <v>0</v>
      </c>
    </row>
    <row r="28" spans="1:26" x14ac:dyDescent="0.3">
      <c r="A28" s="146" t="s">
        <v>0</v>
      </c>
      <c r="B28" s="61"/>
      <c r="C28" s="61" t="s">
        <v>11</v>
      </c>
      <c r="D28" s="61">
        <v>18</v>
      </c>
      <c r="E28" s="142">
        <v>45677</v>
      </c>
      <c r="F28" s="142">
        <v>45707</v>
      </c>
      <c r="G28" s="142">
        <v>45737</v>
      </c>
      <c r="H28" s="147">
        <v>2800</v>
      </c>
      <c r="I28" s="147" t="s">
        <v>25</v>
      </c>
      <c r="J28" s="147" t="s">
        <v>85</v>
      </c>
      <c r="K28" s="147" t="s">
        <v>56</v>
      </c>
      <c r="L28" s="61" t="s">
        <v>81</v>
      </c>
      <c r="M28" s="61" t="str">
        <f t="shared" ca="1" si="0"/>
        <v>Vencido</v>
      </c>
      <c r="N28" s="61">
        <f t="shared" ca="1" si="1"/>
        <v>88</v>
      </c>
      <c r="O28" s="61" t="str">
        <f t="shared" ca="1" si="2"/>
        <v>61+ dias</v>
      </c>
      <c r="P28" s="61" t="str">
        <f t="shared" ca="1" si="3"/>
        <v>Atraso Crítico</v>
      </c>
      <c r="Q28" s="61" t="s">
        <v>60</v>
      </c>
      <c r="R28" s="61" t="s">
        <v>61</v>
      </c>
      <c r="S28" s="61"/>
      <c r="T28" s="61">
        <v>1</v>
      </c>
      <c r="U28" s="61" t="s">
        <v>61</v>
      </c>
      <c r="V28" s="142">
        <v>45740</v>
      </c>
      <c r="W28" s="142">
        <v>45802</v>
      </c>
      <c r="X28" s="61" t="s">
        <v>89</v>
      </c>
      <c r="Y28" s="148">
        <f t="shared" ca="1" si="4"/>
        <v>2800</v>
      </c>
      <c r="Z28" s="149" t="str">
        <f t="shared" ca="1" si="5"/>
        <v>0</v>
      </c>
    </row>
    <row r="29" spans="1:26" x14ac:dyDescent="0.3">
      <c r="A29" s="146" t="s">
        <v>1</v>
      </c>
      <c r="B29" s="61" t="s">
        <v>40</v>
      </c>
      <c r="C29" s="61" t="s">
        <v>40</v>
      </c>
      <c r="D29" s="61">
        <v>19</v>
      </c>
      <c r="E29" s="142">
        <v>45682</v>
      </c>
      <c r="F29" s="142">
        <v>45708</v>
      </c>
      <c r="G29" s="142">
        <v>45737</v>
      </c>
      <c r="H29" s="147">
        <v>1200</v>
      </c>
      <c r="I29" s="147" t="s">
        <v>26</v>
      </c>
      <c r="J29" s="147" t="s">
        <v>85</v>
      </c>
      <c r="K29" s="147" t="s">
        <v>56</v>
      </c>
      <c r="L29" s="61" t="s">
        <v>63</v>
      </c>
      <c r="M29" s="61" t="str">
        <f t="shared" ca="1" si="0"/>
        <v>Vencido</v>
      </c>
      <c r="N29" s="61">
        <f t="shared" ca="1" si="1"/>
        <v>87</v>
      </c>
      <c r="O29" s="61" t="str">
        <f t="shared" ca="1" si="2"/>
        <v>61+ dias</v>
      </c>
      <c r="P29" s="61" t="str">
        <f t="shared" ca="1" si="3"/>
        <v>Atraso Crítico</v>
      </c>
      <c r="Q29" s="61" t="s">
        <v>60</v>
      </c>
      <c r="R29" s="61" t="s">
        <v>61</v>
      </c>
      <c r="S29" s="61"/>
      <c r="T29" s="61">
        <v>1</v>
      </c>
      <c r="U29" s="61" t="s">
        <v>61</v>
      </c>
      <c r="V29" s="142">
        <v>45740</v>
      </c>
      <c r="W29" s="142">
        <v>45802</v>
      </c>
      <c r="X29" s="61" t="s">
        <v>89</v>
      </c>
      <c r="Y29" s="148">
        <f t="shared" ca="1" si="4"/>
        <v>1200</v>
      </c>
      <c r="Z29" s="149" t="str">
        <f t="shared" ca="1" si="5"/>
        <v>0</v>
      </c>
    </row>
    <row r="30" spans="1:26" x14ac:dyDescent="0.3">
      <c r="A30" s="146" t="s">
        <v>0</v>
      </c>
      <c r="B30" s="61" t="s">
        <v>41</v>
      </c>
      <c r="C30" s="61" t="s">
        <v>41</v>
      </c>
      <c r="D30" s="61">
        <v>21</v>
      </c>
      <c r="E30" s="142">
        <v>45689</v>
      </c>
      <c r="F30" s="142">
        <v>45708</v>
      </c>
      <c r="G30" s="142">
        <v>45708</v>
      </c>
      <c r="H30" s="147">
        <v>2500</v>
      </c>
      <c r="I30" s="147" t="s">
        <v>27</v>
      </c>
      <c r="J30" s="147" t="s">
        <v>85</v>
      </c>
      <c r="K30" s="147" t="s">
        <v>56</v>
      </c>
      <c r="L30" s="61" t="s">
        <v>64</v>
      </c>
      <c r="M30" s="61" t="str">
        <f t="shared" ca="1" si="0"/>
        <v>Vencido</v>
      </c>
      <c r="N30" s="61">
        <f t="shared" ca="1" si="1"/>
        <v>87</v>
      </c>
      <c r="O30" s="61" t="str">
        <f t="shared" ca="1" si="2"/>
        <v>61+ dias</v>
      </c>
      <c r="P30" s="61" t="str">
        <f t="shared" ca="1" si="3"/>
        <v>Atraso Crítico</v>
      </c>
      <c r="Q30" s="61" t="s">
        <v>60</v>
      </c>
      <c r="R30" s="61" t="s">
        <v>61</v>
      </c>
      <c r="S30" s="61"/>
      <c r="T30" s="61">
        <v>1</v>
      </c>
      <c r="U30" s="61" t="s">
        <v>61</v>
      </c>
      <c r="V30" s="142">
        <v>45740</v>
      </c>
      <c r="W30" s="142">
        <v>45802</v>
      </c>
      <c r="X30" s="61" t="s">
        <v>89</v>
      </c>
      <c r="Y30" s="148">
        <f t="shared" ca="1" si="4"/>
        <v>2500</v>
      </c>
      <c r="Z30" s="149" t="str">
        <f t="shared" ca="1" si="5"/>
        <v>0</v>
      </c>
    </row>
    <row r="31" spans="1:26" x14ac:dyDescent="0.3">
      <c r="A31" s="146" t="s">
        <v>1</v>
      </c>
      <c r="B31" s="61"/>
      <c r="C31" s="61" t="s">
        <v>11</v>
      </c>
      <c r="D31" s="61">
        <v>20</v>
      </c>
      <c r="E31" s="142">
        <v>45682</v>
      </c>
      <c r="F31" s="142">
        <v>45709</v>
      </c>
      <c r="G31" s="142">
        <v>45709</v>
      </c>
      <c r="H31" s="147">
        <v>1200</v>
      </c>
      <c r="I31" s="147" t="s">
        <v>26</v>
      </c>
      <c r="J31" s="147" t="s">
        <v>85</v>
      </c>
      <c r="K31" s="147" t="s">
        <v>56</v>
      </c>
      <c r="L31" s="61" t="s">
        <v>65</v>
      </c>
      <c r="M31" s="61" t="str">
        <f t="shared" ca="1" si="0"/>
        <v>Vencido</v>
      </c>
      <c r="N31" s="61">
        <f t="shared" ca="1" si="1"/>
        <v>86</v>
      </c>
      <c r="O31" s="61" t="str">
        <f t="shared" ca="1" si="2"/>
        <v>61+ dias</v>
      </c>
      <c r="P31" s="61" t="str">
        <f t="shared" ca="1" si="3"/>
        <v>Atraso Crítico</v>
      </c>
      <c r="Q31" s="61" t="s">
        <v>60</v>
      </c>
      <c r="R31" s="61" t="s">
        <v>61</v>
      </c>
      <c r="S31" s="61"/>
      <c r="T31" s="61">
        <v>1</v>
      </c>
      <c r="U31" s="61" t="s">
        <v>61</v>
      </c>
      <c r="V31" s="142">
        <v>45740</v>
      </c>
      <c r="W31" s="142">
        <v>45802</v>
      </c>
      <c r="X31" s="61" t="s">
        <v>89</v>
      </c>
      <c r="Y31" s="148">
        <f t="shared" ca="1" si="4"/>
        <v>1200</v>
      </c>
      <c r="Z31" s="149" t="str">
        <f t="shared" ca="1" si="5"/>
        <v>0</v>
      </c>
    </row>
    <row r="32" spans="1:26" x14ac:dyDescent="0.3">
      <c r="A32" s="146" t="s">
        <v>0</v>
      </c>
      <c r="B32" s="61"/>
      <c r="C32" s="61" t="s">
        <v>11</v>
      </c>
      <c r="D32" s="61">
        <v>22</v>
      </c>
      <c r="E32" s="142">
        <v>45689</v>
      </c>
      <c r="F32" s="142">
        <v>45709</v>
      </c>
      <c r="G32" s="142">
        <v>45709</v>
      </c>
      <c r="H32" s="147">
        <v>2500</v>
      </c>
      <c r="I32" s="147" t="s">
        <v>27</v>
      </c>
      <c r="J32" s="147" t="s">
        <v>85</v>
      </c>
      <c r="K32" s="147" t="s">
        <v>56</v>
      </c>
      <c r="L32" s="61" t="s">
        <v>66</v>
      </c>
      <c r="M32" s="61" t="str">
        <f t="shared" ca="1" si="0"/>
        <v>Vencido</v>
      </c>
      <c r="N32" s="61">
        <f t="shared" ca="1" si="1"/>
        <v>86</v>
      </c>
      <c r="O32" s="61" t="str">
        <f t="shared" ca="1" si="2"/>
        <v>61+ dias</v>
      </c>
      <c r="P32" s="61" t="str">
        <f t="shared" ca="1" si="3"/>
        <v>Atraso Crítico</v>
      </c>
      <c r="Q32" s="61" t="s">
        <v>60</v>
      </c>
      <c r="R32" s="61" t="s">
        <v>61</v>
      </c>
      <c r="S32" s="61"/>
      <c r="T32" s="61">
        <v>1</v>
      </c>
      <c r="U32" s="61" t="s">
        <v>61</v>
      </c>
      <c r="V32" s="142">
        <v>45740</v>
      </c>
      <c r="W32" s="142">
        <v>45802</v>
      </c>
      <c r="X32" s="61" t="s">
        <v>89</v>
      </c>
      <c r="Y32" s="148">
        <f t="shared" ca="1" si="4"/>
        <v>2500</v>
      </c>
      <c r="Z32" s="149" t="str">
        <f t="shared" ca="1" si="5"/>
        <v>0</v>
      </c>
    </row>
    <row r="33" spans="1:26" x14ac:dyDescent="0.3">
      <c r="A33" s="146" t="s">
        <v>1</v>
      </c>
      <c r="B33" s="61" t="s">
        <v>41</v>
      </c>
      <c r="C33" s="61" t="s">
        <v>41</v>
      </c>
      <c r="D33" s="61">
        <v>23</v>
      </c>
      <c r="E33" s="142">
        <v>45690</v>
      </c>
      <c r="F33" s="142">
        <v>45710</v>
      </c>
      <c r="G33" s="142">
        <v>45710</v>
      </c>
      <c r="H33" s="147">
        <v>3000</v>
      </c>
      <c r="I33" s="147" t="s">
        <v>28</v>
      </c>
      <c r="J33" s="147" t="s">
        <v>85</v>
      </c>
      <c r="K33" s="147" t="s">
        <v>56</v>
      </c>
      <c r="L33" s="61" t="s">
        <v>67</v>
      </c>
      <c r="M33" s="61" t="str">
        <f t="shared" ca="1" si="0"/>
        <v>Vencido</v>
      </c>
      <c r="N33" s="61">
        <f t="shared" ca="1" si="1"/>
        <v>85</v>
      </c>
      <c r="O33" s="61" t="str">
        <f t="shared" ca="1" si="2"/>
        <v>61+ dias</v>
      </c>
      <c r="P33" s="61" t="str">
        <f t="shared" ca="1" si="3"/>
        <v>Atraso Crítico</v>
      </c>
      <c r="Q33" s="61" t="s">
        <v>60</v>
      </c>
      <c r="R33" s="61" t="s">
        <v>61</v>
      </c>
      <c r="S33" s="61"/>
      <c r="T33" s="61">
        <v>1</v>
      </c>
      <c r="U33" s="61" t="s">
        <v>61</v>
      </c>
      <c r="V33" s="142">
        <v>45740</v>
      </c>
      <c r="W33" s="142">
        <v>45740</v>
      </c>
      <c r="X33" s="61" t="s">
        <v>89</v>
      </c>
      <c r="Y33" s="148">
        <f t="shared" ca="1" si="4"/>
        <v>3000</v>
      </c>
      <c r="Z33" s="149" t="str">
        <f t="shared" ca="1" si="5"/>
        <v>0</v>
      </c>
    </row>
    <row r="34" spans="1:26" x14ac:dyDescent="0.3">
      <c r="A34" s="146" t="s">
        <v>1</v>
      </c>
      <c r="B34" s="61"/>
      <c r="C34" s="61" t="s">
        <v>11</v>
      </c>
      <c r="D34" s="61">
        <v>24</v>
      </c>
      <c r="E34" s="142">
        <v>45690</v>
      </c>
      <c r="F34" s="142">
        <v>45711</v>
      </c>
      <c r="G34" s="142">
        <v>45711</v>
      </c>
      <c r="H34" s="147">
        <v>3000</v>
      </c>
      <c r="I34" s="147" t="s">
        <v>28</v>
      </c>
      <c r="J34" s="147" t="s">
        <v>84</v>
      </c>
      <c r="K34" s="147" t="s">
        <v>56</v>
      </c>
      <c r="L34" s="61" t="s">
        <v>68</v>
      </c>
      <c r="M34" s="61" t="str">
        <f t="shared" ca="1" si="0"/>
        <v>Vencido</v>
      </c>
      <c r="N34" s="61">
        <f t="shared" ca="1" si="1"/>
        <v>84</v>
      </c>
      <c r="O34" s="61" t="str">
        <f t="shared" ca="1" si="2"/>
        <v>61+ dias</v>
      </c>
      <c r="P34" s="61" t="str">
        <f t="shared" ca="1" si="3"/>
        <v>Atraso Crítico</v>
      </c>
      <c r="Q34" s="61" t="s">
        <v>60</v>
      </c>
      <c r="R34" s="61" t="s">
        <v>61</v>
      </c>
      <c r="S34" s="61"/>
      <c r="T34" s="61">
        <v>1</v>
      </c>
      <c r="U34" s="61" t="s">
        <v>61</v>
      </c>
      <c r="V34" s="142">
        <v>45740</v>
      </c>
      <c r="W34" s="142">
        <v>45740</v>
      </c>
      <c r="X34" s="61" t="s">
        <v>89</v>
      </c>
      <c r="Y34" s="148">
        <f t="shared" ca="1" si="4"/>
        <v>3000</v>
      </c>
      <c r="Z34" s="149" t="str">
        <f t="shared" ca="1" si="5"/>
        <v>0</v>
      </c>
    </row>
    <row r="35" spans="1:26" x14ac:dyDescent="0.3">
      <c r="A35" s="146" t="s">
        <v>0</v>
      </c>
      <c r="B35" s="61" t="s">
        <v>41</v>
      </c>
      <c r="C35" s="61" t="s">
        <v>41</v>
      </c>
      <c r="D35" s="61">
        <v>25</v>
      </c>
      <c r="E35" s="142">
        <v>45693</v>
      </c>
      <c r="F35" s="142">
        <v>45712</v>
      </c>
      <c r="G35" s="142">
        <v>45712</v>
      </c>
      <c r="H35" s="147">
        <v>1200</v>
      </c>
      <c r="I35" s="147" t="s">
        <v>29</v>
      </c>
      <c r="J35" s="147" t="s">
        <v>84</v>
      </c>
      <c r="K35" s="147" t="s">
        <v>56</v>
      </c>
      <c r="L35" s="61" t="s">
        <v>69</v>
      </c>
      <c r="M35" s="61" t="str">
        <f t="shared" ca="1" si="0"/>
        <v>Vencido</v>
      </c>
      <c r="N35" s="61">
        <f t="shared" ca="1" si="1"/>
        <v>83</v>
      </c>
      <c r="O35" s="61" t="str">
        <f t="shared" ca="1" si="2"/>
        <v>61+ dias</v>
      </c>
      <c r="P35" s="61" t="str">
        <f t="shared" ca="1" si="3"/>
        <v>Atraso Crítico</v>
      </c>
      <c r="Q35" s="61" t="s">
        <v>60</v>
      </c>
      <c r="R35" s="61" t="s">
        <v>61</v>
      </c>
      <c r="S35" s="61"/>
      <c r="T35" s="61">
        <v>1</v>
      </c>
      <c r="U35" s="61" t="s">
        <v>61</v>
      </c>
      <c r="V35" s="142">
        <v>45740</v>
      </c>
      <c r="W35" s="142">
        <v>45740</v>
      </c>
      <c r="X35" s="61" t="s">
        <v>89</v>
      </c>
      <c r="Y35" s="148">
        <f t="shared" ca="1" si="4"/>
        <v>1200</v>
      </c>
      <c r="Z35" s="149" t="str">
        <f t="shared" ca="1" si="5"/>
        <v>0</v>
      </c>
    </row>
    <row r="36" spans="1:26" x14ac:dyDescent="0.3">
      <c r="A36" s="146" t="s">
        <v>0</v>
      </c>
      <c r="B36" s="61"/>
      <c r="C36" s="61" t="s">
        <v>11</v>
      </c>
      <c r="D36" s="61">
        <v>26</v>
      </c>
      <c r="E36" s="142">
        <v>45693</v>
      </c>
      <c r="F36" s="142">
        <v>45713</v>
      </c>
      <c r="G36" s="142">
        <v>45713</v>
      </c>
      <c r="H36" s="147">
        <v>1200</v>
      </c>
      <c r="I36" s="147" t="s">
        <v>29</v>
      </c>
      <c r="J36" s="147" t="s">
        <v>84</v>
      </c>
      <c r="K36" s="147" t="s">
        <v>56</v>
      </c>
      <c r="L36" s="61" t="s">
        <v>70</v>
      </c>
      <c r="M36" s="61" t="str">
        <f t="shared" ca="1" si="0"/>
        <v>Vencido</v>
      </c>
      <c r="N36" s="61">
        <f t="shared" ca="1" si="1"/>
        <v>82</v>
      </c>
      <c r="O36" s="61" t="str">
        <f t="shared" ca="1" si="2"/>
        <v>61+ dias</v>
      </c>
      <c r="P36" s="61" t="str">
        <f t="shared" ca="1" si="3"/>
        <v>Atraso Crítico</v>
      </c>
      <c r="Q36" s="61" t="s">
        <v>60</v>
      </c>
      <c r="R36" s="61" t="s">
        <v>61</v>
      </c>
      <c r="S36" s="61"/>
      <c r="T36" s="61">
        <v>1</v>
      </c>
      <c r="U36" s="61" t="s">
        <v>61</v>
      </c>
      <c r="V36" s="142">
        <v>45740</v>
      </c>
      <c r="W36" s="142">
        <v>45740</v>
      </c>
      <c r="X36" s="61" t="s">
        <v>89</v>
      </c>
      <c r="Y36" s="148">
        <f t="shared" ca="1" si="4"/>
        <v>1200</v>
      </c>
      <c r="Z36" s="149" t="str">
        <f t="shared" ca="1" si="5"/>
        <v>0</v>
      </c>
    </row>
    <row r="37" spans="1:26" x14ac:dyDescent="0.3">
      <c r="A37" s="146" t="s">
        <v>1</v>
      </c>
      <c r="B37" s="61" t="s">
        <v>41</v>
      </c>
      <c r="C37" s="61" t="s">
        <v>41</v>
      </c>
      <c r="D37" s="61">
        <v>27</v>
      </c>
      <c r="E37" s="142">
        <v>45694</v>
      </c>
      <c r="F37" s="142">
        <v>45714</v>
      </c>
      <c r="G37" s="142">
        <v>45714</v>
      </c>
      <c r="H37" s="147">
        <v>2000</v>
      </c>
      <c r="I37" s="147" t="s">
        <v>30</v>
      </c>
      <c r="J37" s="147" t="s">
        <v>84</v>
      </c>
      <c r="K37" s="147" t="s">
        <v>56</v>
      </c>
      <c r="L37" s="61" t="s">
        <v>71</v>
      </c>
      <c r="M37" s="61" t="str">
        <f t="shared" ca="1" si="0"/>
        <v>Vencido</v>
      </c>
      <c r="N37" s="61">
        <f t="shared" ca="1" si="1"/>
        <v>81</v>
      </c>
      <c r="O37" s="61" t="str">
        <f t="shared" ca="1" si="2"/>
        <v>61+ dias</v>
      </c>
      <c r="P37" s="61" t="str">
        <f t="shared" ca="1" si="3"/>
        <v>Atraso Crítico</v>
      </c>
      <c r="Q37" s="61" t="s">
        <v>60</v>
      </c>
      <c r="R37" s="61" t="s">
        <v>61</v>
      </c>
      <c r="S37" s="61"/>
      <c r="T37" s="61">
        <v>1</v>
      </c>
      <c r="U37" s="61" t="s">
        <v>61</v>
      </c>
      <c r="V37" s="142">
        <v>45740</v>
      </c>
      <c r="W37" s="142">
        <v>45740</v>
      </c>
      <c r="X37" s="61" t="s">
        <v>89</v>
      </c>
      <c r="Y37" s="148">
        <f t="shared" ca="1" si="4"/>
        <v>2000</v>
      </c>
      <c r="Z37" s="149" t="str">
        <f t="shared" ca="1" si="5"/>
        <v>0</v>
      </c>
    </row>
    <row r="38" spans="1:26" x14ac:dyDescent="0.3">
      <c r="A38" s="146" t="s">
        <v>1</v>
      </c>
      <c r="B38" s="61"/>
      <c r="C38" s="61" t="s">
        <v>11</v>
      </c>
      <c r="D38" s="61">
        <v>28</v>
      </c>
      <c r="E38" s="142">
        <v>45694</v>
      </c>
      <c r="F38" s="142">
        <v>45715</v>
      </c>
      <c r="G38" s="142">
        <v>45715</v>
      </c>
      <c r="H38" s="147">
        <v>2000</v>
      </c>
      <c r="I38" s="147" t="s">
        <v>30</v>
      </c>
      <c r="J38" s="147" t="s">
        <v>84</v>
      </c>
      <c r="K38" s="147" t="s">
        <v>56</v>
      </c>
      <c r="L38" s="61" t="s">
        <v>72</v>
      </c>
      <c r="M38" s="61" t="str">
        <f t="shared" ca="1" si="0"/>
        <v>Vencido</v>
      </c>
      <c r="N38" s="61">
        <f t="shared" ca="1" si="1"/>
        <v>80</v>
      </c>
      <c r="O38" s="61" t="str">
        <f t="shared" ca="1" si="2"/>
        <v>61+ dias</v>
      </c>
      <c r="P38" s="61" t="str">
        <f t="shared" ca="1" si="3"/>
        <v>Atraso Crítico</v>
      </c>
      <c r="Q38" s="61" t="s">
        <v>60</v>
      </c>
      <c r="R38" s="61" t="s">
        <v>61</v>
      </c>
      <c r="S38" s="61"/>
      <c r="T38" s="61">
        <v>1</v>
      </c>
      <c r="U38" s="61" t="s">
        <v>61</v>
      </c>
      <c r="V38" s="142">
        <v>45740</v>
      </c>
      <c r="W38" s="142">
        <v>45740</v>
      </c>
      <c r="X38" s="61" t="s">
        <v>89</v>
      </c>
      <c r="Y38" s="148">
        <f t="shared" ca="1" si="4"/>
        <v>2000</v>
      </c>
      <c r="Z38" s="149" t="str">
        <f t="shared" ca="1" si="5"/>
        <v>0</v>
      </c>
    </row>
    <row r="39" spans="1:26" x14ac:dyDescent="0.3">
      <c r="A39" s="146" t="s">
        <v>0</v>
      </c>
      <c r="B39" s="61" t="s">
        <v>41</v>
      </c>
      <c r="C39" s="61" t="s">
        <v>41</v>
      </c>
      <c r="D39" s="61">
        <v>29</v>
      </c>
      <c r="E39" s="142">
        <v>45698</v>
      </c>
      <c r="F39" s="142">
        <v>45715</v>
      </c>
      <c r="G39" s="142">
        <v>45715</v>
      </c>
      <c r="H39" s="147">
        <v>3200</v>
      </c>
      <c r="I39" s="147" t="s">
        <v>31</v>
      </c>
      <c r="J39" s="147" t="s">
        <v>84</v>
      </c>
      <c r="K39" s="147" t="s">
        <v>56</v>
      </c>
      <c r="L39" s="61" t="s">
        <v>73</v>
      </c>
      <c r="M39" s="61" t="str">
        <f t="shared" ca="1" si="0"/>
        <v>Vencido</v>
      </c>
      <c r="N39" s="61">
        <f t="shared" ca="1" si="1"/>
        <v>80</v>
      </c>
      <c r="O39" s="61" t="str">
        <f t="shared" ca="1" si="2"/>
        <v>61+ dias</v>
      </c>
      <c r="P39" s="61" t="str">
        <f t="shared" ca="1" si="3"/>
        <v>Atraso Crítico</v>
      </c>
      <c r="Q39" s="61" t="s">
        <v>60</v>
      </c>
      <c r="R39" s="61" t="s">
        <v>61</v>
      </c>
      <c r="S39" s="61"/>
      <c r="T39" s="61">
        <v>1</v>
      </c>
      <c r="U39" s="61" t="s">
        <v>61</v>
      </c>
      <c r="V39" s="142">
        <v>45740</v>
      </c>
      <c r="W39" s="142">
        <v>45740</v>
      </c>
      <c r="X39" s="61" t="s">
        <v>89</v>
      </c>
      <c r="Y39" s="148">
        <f t="shared" ca="1" si="4"/>
        <v>3200</v>
      </c>
      <c r="Z39" s="149" t="str">
        <f t="shared" ca="1" si="5"/>
        <v>0</v>
      </c>
    </row>
    <row r="40" spans="1:26" x14ac:dyDescent="0.3">
      <c r="A40" s="146" t="s">
        <v>0</v>
      </c>
      <c r="B40" s="61"/>
      <c r="C40" s="61" t="s">
        <v>12</v>
      </c>
      <c r="D40" s="61">
        <v>30</v>
      </c>
      <c r="E40" s="142">
        <v>45698</v>
      </c>
      <c r="F40" s="142">
        <v>45715</v>
      </c>
      <c r="G40" s="142">
        <v>45715</v>
      </c>
      <c r="H40" s="147">
        <v>3200</v>
      </c>
      <c r="I40" s="147" t="s">
        <v>31</v>
      </c>
      <c r="J40" s="147" t="s">
        <v>84</v>
      </c>
      <c r="K40" s="147" t="s">
        <v>56</v>
      </c>
      <c r="L40" s="61" t="s">
        <v>74</v>
      </c>
      <c r="M40" s="61" t="str">
        <f t="shared" ref="M40:M71" ca="1" si="6">IF(K40="Sim", "Quitado", IF(F40&lt;($B$3), "Vencido", IF(F40&gt;=($B$3), "A Vencer", "")))</f>
        <v>Vencido</v>
      </c>
      <c r="N40" s="61">
        <f t="shared" ref="N40:N71" ca="1" si="7">IF(K40="Sim", 0, IF(F40&lt;($B$3), $B$3-F40, IF(F40&gt;=($B$3), F40-$B$3, "")))</f>
        <v>80</v>
      </c>
      <c r="O40" s="61" t="str">
        <f t="shared" ref="O40:O71" ca="1" si="8">IF(OR(M40="Quitado",M40="A Vencer"),"",IF(N40&lt;=30,"0-30 dias",IF(N40&lt;=60,"31-60 dias","61+ dias")))</f>
        <v>61+ dias</v>
      </c>
      <c r="P40" s="61" t="str">
        <f t="shared" ref="P40:P71" ca="1" si="9">IF(O40="0-30 dias", "Atraso Recente", IF(O40="31-60 dias", "Atraso Médio", IF(O40="61+ dias", "Atraso Crítico", "")))</f>
        <v>Atraso Crítico</v>
      </c>
      <c r="Q40" s="61" t="s">
        <v>60</v>
      </c>
      <c r="R40" s="61" t="s">
        <v>61</v>
      </c>
      <c r="S40" s="61"/>
      <c r="T40" s="61">
        <v>1</v>
      </c>
      <c r="U40" s="61" t="s">
        <v>61</v>
      </c>
      <c r="V40" s="142">
        <v>45740</v>
      </c>
      <c r="W40" s="142">
        <v>45740</v>
      </c>
      <c r="X40" s="61" t="s">
        <v>89</v>
      </c>
      <c r="Y40" s="148">
        <f t="shared" ca="1" si="4"/>
        <v>3200</v>
      </c>
      <c r="Z40" s="149" t="str">
        <f t="shared" ca="1" si="5"/>
        <v>0</v>
      </c>
    </row>
    <row r="41" spans="1:26" x14ac:dyDescent="0.3">
      <c r="A41" s="146" t="s">
        <v>1</v>
      </c>
      <c r="B41" s="61" t="s">
        <v>41</v>
      </c>
      <c r="C41" s="61" t="s">
        <v>41</v>
      </c>
      <c r="D41" s="61">
        <v>31</v>
      </c>
      <c r="E41" s="142">
        <v>45700</v>
      </c>
      <c r="F41" s="142">
        <v>45715</v>
      </c>
      <c r="G41" s="142">
        <v>45715</v>
      </c>
      <c r="H41" s="147">
        <v>1500</v>
      </c>
      <c r="I41" s="147" t="s">
        <v>32</v>
      </c>
      <c r="J41" s="147" t="s">
        <v>84</v>
      </c>
      <c r="K41" s="147" t="s">
        <v>56</v>
      </c>
      <c r="L41" s="61" t="s">
        <v>75</v>
      </c>
      <c r="M41" s="61" t="str">
        <f t="shared" ca="1" si="6"/>
        <v>Vencido</v>
      </c>
      <c r="N41" s="61">
        <f t="shared" ca="1" si="7"/>
        <v>80</v>
      </c>
      <c r="O41" s="61" t="str">
        <f t="shared" ca="1" si="8"/>
        <v>61+ dias</v>
      </c>
      <c r="P41" s="61" t="str">
        <f t="shared" ca="1" si="9"/>
        <v>Atraso Crítico</v>
      </c>
      <c r="Q41" s="61" t="s">
        <v>60</v>
      </c>
      <c r="R41" s="61" t="s">
        <v>61</v>
      </c>
      <c r="S41" s="61"/>
      <c r="T41" s="61">
        <v>1</v>
      </c>
      <c r="U41" s="61" t="s">
        <v>61</v>
      </c>
      <c r="V41" s="142">
        <v>45740</v>
      </c>
      <c r="W41" s="142">
        <v>45740</v>
      </c>
      <c r="X41" s="61" t="s">
        <v>89</v>
      </c>
      <c r="Y41" s="148">
        <f t="shared" ca="1" si="4"/>
        <v>1500</v>
      </c>
      <c r="Z41" s="149" t="str">
        <f t="shared" ca="1" si="5"/>
        <v>0</v>
      </c>
    </row>
    <row r="42" spans="1:26" x14ac:dyDescent="0.3">
      <c r="A42" s="146" t="s">
        <v>1</v>
      </c>
      <c r="B42" s="61"/>
      <c r="C42" s="61" t="s">
        <v>12</v>
      </c>
      <c r="D42" s="61">
        <v>32</v>
      </c>
      <c r="E42" s="142">
        <v>45700</v>
      </c>
      <c r="F42" s="142">
        <v>45715</v>
      </c>
      <c r="G42" s="142">
        <v>45715</v>
      </c>
      <c r="H42" s="147">
        <v>1500</v>
      </c>
      <c r="I42" s="147" t="s">
        <v>32</v>
      </c>
      <c r="J42" s="147" t="s">
        <v>84</v>
      </c>
      <c r="K42" s="147" t="s">
        <v>56</v>
      </c>
      <c r="L42" s="61" t="s">
        <v>76</v>
      </c>
      <c r="M42" s="61" t="str">
        <f t="shared" ca="1" si="6"/>
        <v>Vencido</v>
      </c>
      <c r="N42" s="61">
        <f t="shared" ca="1" si="7"/>
        <v>80</v>
      </c>
      <c r="O42" s="61" t="str">
        <f t="shared" ca="1" si="8"/>
        <v>61+ dias</v>
      </c>
      <c r="P42" s="61" t="str">
        <f t="shared" ca="1" si="9"/>
        <v>Atraso Crítico</v>
      </c>
      <c r="Q42" s="61" t="s">
        <v>60</v>
      </c>
      <c r="R42" s="61" t="s">
        <v>61</v>
      </c>
      <c r="S42" s="61"/>
      <c r="T42" s="61">
        <v>1</v>
      </c>
      <c r="U42" s="61" t="s">
        <v>61</v>
      </c>
      <c r="V42" s="142">
        <v>45740</v>
      </c>
      <c r="W42" s="142">
        <v>45740</v>
      </c>
      <c r="X42" s="61" t="s">
        <v>89</v>
      </c>
      <c r="Y42" s="148">
        <f t="shared" ca="1" si="4"/>
        <v>1500</v>
      </c>
      <c r="Z42" s="149" t="str">
        <f t="shared" ca="1" si="5"/>
        <v>0</v>
      </c>
    </row>
    <row r="43" spans="1:26" x14ac:dyDescent="0.3">
      <c r="A43" s="146" t="s">
        <v>1</v>
      </c>
      <c r="B43" s="61" t="s">
        <v>41</v>
      </c>
      <c r="C43" s="61" t="s">
        <v>41</v>
      </c>
      <c r="D43" s="61">
        <v>35</v>
      </c>
      <c r="E43" s="142">
        <v>45706</v>
      </c>
      <c r="F43" s="142">
        <v>45715</v>
      </c>
      <c r="G43" s="142">
        <v>45715</v>
      </c>
      <c r="H43" s="147">
        <v>1000</v>
      </c>
      <c r="I43" s="147" t="s">
        <v>34</v>
      </c>
      <c r="J43" s="147" t="s">
        <v>84</v>
      </c>
      <c r="K43" s="147" t="s">
        <v>56</v>
      </c>
      <c r="L43" s="61" t="s">
        <v>78</v>
      </c>
      <c r="M43" s="61" t="str">
        <f t="shared" ca="1" si="6"/>
        <v>Vencido</v>
      </c>
      <c r="N43" s="61">
        <f t="shared" ca="1" si="7"/>
        <v>80</v>
      </c>
      <c r="O43" s="61" t="str">
        <f t="shared" ca="1" si="8"/>
        <v>61+ dias</v>
      </c>
      <c r="P43" s="61" t="str">
        <f t="shared" ca="1" si="9"/>
        <v>Atraso Crítico</v>
      </c>
      <c r="Q43" s="61" t="s">
        <v>60</v>
      </c>
      <c r="R43" s="61" t="s">
        <v>61</v>
      </c>
      <c r="S43" s="61"/>
      <c r="T43" s="61">
        <v>1</v>
      </c>
      <c r="U43" s="61" t="s">
        <v>61</v>
      </c>
      <c r="V43" s="142">
        <v>45740</v>
      </c>
      <c r="W43" s="142">
        <v>45740</v>
      </c>
      <c r="X43" s="61" t="s">
        <v>89</v>
      </c>
      <c r="Y43" s="148">
        <f t="shared" ca="1" si="4"/>
        <v>1000</v>
      </c>
      <c r="Z43" s="149" t="str">
        <f t="shared" ca="1" si="5"/>
        <v>0</v>
      </c>
    </row>
    <row r="44" spans="1:26" x14ac:dyDescent="0.3">
      <c r="A44" s="146" t="s">
        <v>1</v>
      </c>
      <c r="B44" s="61"/>
      <c r="C44" s="61" t="s">
        <v>12</v>
      </c>
      <c r="D44" s="61">
        <v>36</v>
      </c>
      <c r="E44" s="142">
        <v>45706</v>
      </c>
      <c r="F44" s="142">
        <v>45715</v>
      </c>
      <c r="G44" s="142">
        <v>45715</v>
      </c>
      <c r="H44" s="147">
        <v>1000</v>
      </c>
      <c r="I44" s="147" t="s">
        <v>34</v>
      </c>
      <c r="J44" s="147" t="s">
        <v>84</v>
      </c>
      <c r="K44" s="147" t="s">
        <v>56</v>
      </c>
      <c r="L44" s="61" t="s">
        <v>79</v>
      </c>
      <c r="M44" s="61" t="str">
        <f t="shared" ca="1" si="6"/>
        <v>Vencido</v>
      </c>
      <c r="N44" s="61">
        <f t="shared" ca="1" si="7"/>
        <v>80</v>
      </c>
      <c r="O44" s="61" t="str">
        <f t="shared" ca="1" si="8"/>
        <v>61+ dias</v>
      </c>
      <c r="P44" s="61" t="str">
        <f t="shared" ca="1" si="9"/>
        <v>Atraso Crítico</v>
      </c>
      <c r="Q44" s="61" t="s">
        <v>60</v>
      </c>
      <c r="R44" s="61" t="s">
        <v>61</v>
      </c>
      <c r="S44" s="61"/>
      <c r="T44" s="61">
        <v>1</v>
      </c>
      <c r="U44" s="61" t="s">
        <v>61</v>
      </c>
      <c r="V44" s="142">
        <v>45740</v>
      </c>
      <c r="W44" s="142">
        <v>45740</v>
      </c>
      <c r="X44" s="61" t="s">
        <v>89</v>
      </c>
      <c r="Y44" s="148">
        <f t="shared" ca="1" si="4"/>
        <v>1000</v>
      </c>
      <c r="Z44" s="149" t="str">
        <f t="shared" ca="1" si="5"/>
        <v>0</v>
      </c>
    </row>
    <row r="45" spans="1:26" x14ac:dyDescent="0.3">
      <c r="A45" s="146" t="s">
        <v>0</v>
      </c>
      <c r="B45" s="61" t="s">
        <v>41</v>
      </c>
      <c r="C45" s="61" t="s">
        <v>41</v>
      </c>
      <c r="D45" s="61">
        <v>37</v>
      </c>
      <c r="E45" s="142">
        <v>45708</v>
      </c>
      <c r="F45" s="142">
        <v>45715</v>
      </c>
      <c r="G45" s="142">
        <v>45715</v>
      </c>
      <c r="H45" s="147">
        <v>1800</v>
      </c>
      <c r="I45" s="147" t="s">
        <v>35</v>
      </c>
      <c r="J45" s="147" t="s">
        <v>84</v>
      </c>
      <c r="K45" s="147" t="s">
        <v>56</v>
      </c>
      <c r="L45" s="61" t="s">
        <v>80</v>
      </c>
      <c r="M45" s="61" t="str">
        <f t="shared" ca="1" si="6"/>
        <v>Vencido</v>
      </c>
      <c r="N45" s="61">
        <f t="shared" ca="1" si="7"/>
        <v>80</v>
      </c>
      <c r="O45" s="61" t="str">
        <f t="shared" ca="1" si="8"/>
        <v>61+ dias</v>
      </c>
      <c r="P45" s="61" t="str">
        <f t="shared" ca="1" si="9"/>
        <v>Atraso Crítico</v>
      </c>
      <c r="Q45" s="61" t="s">
        <v>60</v>
      </c>
      <c r="R45" s="61" t="s">
        <v>61</v>
      </c>
      <c r="S45" s="61"/>
      <c r="T45" s="61">
        <v>1</v>
      </c>
      <c r="U45" s="61" t="s">
        <v>61</v>
      </c>
      <c r="V45" s="142">
        <v>45740</v>
      </c>
      <c r="W45" s="142">
        <v>45740</v>
      </c>
      <c r="X45" s="61" t="s">
        <v>89</v>
      </c>
      <c r="Y45" s="148">
        <f t="shared" ca="1" si="4"/>
        <v>1800</v>
      </c>
      <c r="Z45" s="149" t="str">
        <f t="shared" ca="1" si="5"/>
        <v>0</v>
      </c>
    </row>
    <row r="46" spans="1:26" x14ac:dyDescent="0.3">
      <c r="A46" s="146" t="s">
        <v>0</v>
      </c>
      <c r="B46" s="61"/>
      <c r="C46" s="61" t="s">
        <v>12</v>
      </c>
      <c r="D46" s="61">
        <v>38</v>
      </c>
      <c r="E46" s="142">
        <v>45708</v>
      </c>
      <c r="F46" s="142">
        <v>45715</v>
      </c>
      <c r="G46" s="142">
        <v>45715</v>
      </c>
      <c r="H46" s="147">
        <v>1800</v>
      </c>
      <c r="I46" s="147" t="s">
        <v>35</v>
      </c>
      <c r="J46" s="147" t="s">
        <v>84</v>
      </c>
      <c r="K46" s="147" t="s">
        <v>56</v>
      </c>
      <c r="L46" s="61" t="s">
        <v>81</v>
      </c>
      <c r="M46" s="61" t="str">
        <f t="shared" ca="1" si="6"/>
        <v>Vencido</v>
      </c>
      <c r="N46" s="61">
        <f t="shared" ca="1" si="7"/>
        <v>80</v>
      </c>
      <c r="O46" s="61" t="str">
        <f t="shared" ca="1" si="8"/>
        <v>61+ dias</v>
      </c>
      <c r="P46" s="61" t="str">
        <f t="shared" ca="1" si="9"/>
        <v>Atraso Crítico</v>
      </c>
      <c r="Q46" s="61" t="s">
        <v>60</v>
      </c>
      <c r="R46" s="61" t="s">
        <v>61</v>
      </c>
      <c r="S46" s="61"/>
      <c r="T46" s="61">
        <v>1</v>
      </c>
      <c r="U46" s="61" t="s">
        <v>61</v>
      </c>
      <c r="V46" s="142">
        <v>45740</v>
      </c>
      <c r="W46" s="142">
        <v>45740</v>
      </c>
      <c r="X46" s="61" t="s">
        <v>89</v>
      </c>
      <c r="Y46" s="148">
        <f t="shared" ca="1" si="4"/>
        <v>1800</v>
      </c>
      <c r="Z46" s="149" t="str">
        <f t="shared" ca="1" si="5"/>
        <v>0</v>
      </c>
    </row>
    <row r="47" spans="1:26" x14ac:dyDescent="0.3">
      <c r="A47" s="146" t="s">
        <v>1</v>
      </c>
      <c r="B47" s="61" t="s">
        <v>41</v>
      </c>
      <c r="C47" s="61" t="s">
        <v>41</v>
      </c>
      <c r="D47" s="61">
        <v>39</v>
      </c>
      <c r="E47" s="142">
        <v>45713</v>
      </c>
      <c r="F47" s="142">
        <v>45715</v>
      </c>
      <c r="G47" s="142">
        <v>45715</v>
      </c>
      <c r="H47" s="147">
        <v>2500</v>
      </c>
      <c r="I47" s="147" t="s">
        <v>36</v>
      </c>
      <c r="J47" s="147" t="s">
        <v>84</v>
      </c>
      <c r="K47" s="147" t="s">
        <v>56</v>
      </c>
      <c r="L47" s="61" t="s">
        <v>63</v>
      </c>
      <c r="M47" s="61" t="str">
        <f t="shared" ca="1" si="6"/>
        <v>Vencido</v>
      </c>
      <c r="N47" s="61">
        <f t="shared" ca="1" si="7"/>
        <v>80</v>
      </c>
      <c r="O47" s="61" t="str">
        <f t="shared" ca="1" si="8"/>
        <v>61+ dias</v>
      </c>
      <c r="P47" s="61" t="str">
        <f t="shared" ca="1" si="9"/>
        <v>Atraso Crítico</v>
      </c>
      <c r="Q47" s="61" t="s">
        <v>60</v>
      </c>
      <c r="R47" s="61" t="s">
        <v>61</v>
      </c>
      <c r="S47" s="61"/>
      <c r="T47" s="61">
        <v>1</v>
      </c>
      <c r="U47" s="61" t="s">
        <v>61</v>
      </c>
      <c r="V47" s="142">
        <v>45740</v>
      </c>
      <c r="W47" s="142">
        <v>45740</v>
      </c>
      <c r="X47" s="61" t="s">
        <v>89</v>
      </c>
      <c r="Y47" s="148">
        <f t="shared" ca="1" si="4"/>
        <v>2500</v>
      </c>
      <c r="Z47" s="149" t="str">
        <f t="shared" ca="1" si="5"/>
        <v>0</v>
      </c>
    </row>
    <row r="48" spans="1:26" x14ac:dyDescent="0.3">
      <c r="A48" s="146" t="s">
        <v>1</v>
      </c>
      <c r="B48" s="61"/>
      <c r="C48" s="61" t="s">
        <v>12</v>
      </c>
      <c r="D48" s="61">
        <v>40</v>
      </c>
      <c r="E48" s="142">
        <v>45713</v>
      </c>
      <c r="F48" s="142">
        <v>45715</v>
      </c>
      <c r="G48" s="142">
        <v>45715</v>
      </c>
      <c r="H48" s="147">
        <v>2500</v>
      </c>
      <c r="I48" s="147" t="s">
        <v>36</v>
      </c>
      <c r="J48" s="147" t="s">
        <v>84</v>
      </c>
      <c r="K48" s="147" t="s">
        <v>56</v>
      </c>
      <c r="L48" s="61" t="s">
        <v>64</v>
      </c>
      <c r="M48" s="61" t="str">
        <f t="shared" ca="1" si="6"/>
        <v>Vencido</v>
      </c>
      <c r="N48" s="61">
        <f t="shared" ca="1" si="7"/>
        <v>80</v>
      </c>
      <c r="O48" s="61" t="str">
        <f t="shared" ca="1" si="8"/>
        <v>61+ dias</v>
      </c>
      <c r="P48" s="61" t="str">
        <f t="shared" ca="1" si="9"/>
        <v>Atraso Crítico</v>
      </c>
      <c r="Q48" s="61" t="s">
        <v>60</v>
      </c>
      <c r="R48" s="61" t="s">
        <v>61</v>
      </c>
      <c r="S48" s="61"/>
      <c r="T48" s="61">
        <v>1</v>
      </c>
      <c r="U48" s="61" t="s">
        <v>61</v>
      </c>
      <c r="V48" s="142">
        <v>45740</v>
      </c>
      <c r="W48" s="142">
        <v>45740</v>
      </c>
      <c r="X48" s="61" t="s">
        <v>89</v>
      </c>
      <c r="Y48" s="148">
        <f t="shared" ca="1" si="4"/>
        <v>2500</v>
      </c>
      <c r="Z48" s="149" t="str">
        <f t="shared" ca="1" si="5"/>
        <v>0</v>
      </c>
    </row>
    <row r="49" spans="1:26" x14ac:dyDescent="0.3">
      <c r="A49" s="146" t="s">
        <v>0</v>
      </c>
      <c r="B49" s="61"/>
      <c r="C49" s="61" t="s">
        <v>12</v>
      </c>
      <c r="D49" s="61">
        <v>41</v>
      </c>
      <c r="E49" s="142">
        <v>45714</v>
      </c>
      <c r="F49" s="142">
        <v>45715</v>
      </c>
      <c r="G49" s="142">
        <v>45715</v>
      </c>
      <c r="H49" s="147">
        <v>1400</v>
      </c>
      <c r="I49" s="147" t="s">
        <v>17</v>
      </c>
      <c r="J49" s="147" t="s">
        <v>84</v>
      </c>
      <c r="K49" s="147" t="s">
        <v>56</v>
      </c>
      <c r="L49" s="61" t="s">
        <v>65</v>
      </c>
      <c r="M49" s="61" t="str">
        <f t="shared" ca="1" si="6"/>
        <v>Vencido</v>
      </c>
      <c r="N49" s="61">
        <f t="shared" ca="1" si="7"/>
        <v>80</v>
      </c>
      <c r="O49" s="61" t="str">
        <f t="shared" ca="1" si="8"/>
        <v>61+ dias</v>
      </c>
      <c r="P49" s="61" t="str">
        <f t="shared" ca="1" si="9"/>
        <v>Atraso Crítico</v>
      </c>
      <c r="Q49" s="61" t="s">
        <v>60</v>
      </c>
      <c r="R49" s="61" t="s">
        <v>61</v>
      </c>
      <c r="S49" s="61"/>
      <c r="T49" s="61">
        <v>1</v>
      </c>
      <c r="U49" s="61" t="s">
        <v>61</v>
      </c>
      <c r="V49" s="142">
        <v>45740</v>
      </c>
      <c r="W49" s="142">
        <v>45740</v>
      </c>
      <c r="X49" s="61" t="s">
        <v>89</v>
      </c>
      <c r="Y49" s="148">
        <f t="shared" ca="1" si="4"/>
        <v>1400</v>
      </c>
      <c r="Z49" s="149" t="str">
        <f t="shared" ca="1" si="5"/>
        <v>0</v>
      </c>
    </row>
    <row r="50" spans="1:26" x14ac:dyDescent="0.3">
      <c r="A50" s="146" t="s">
        <v>0</v>
      </c>
      <c r="B50" s="61"/>
      <c r="C50" s="61" t="s">
        <v>12</v>
      </c>
      <c r="D50" s="61">
        <v>43</v>
      </c>
      <c r="E50" s="142">
        <v>45718</v>
      </c>
      <c r="F50" s="142">
        <v>45729</v>
      </c>
      <c r="G50" s="142">
        <v>45729</v>
      </c>
      <c r="H50" s="147">
        <v>3000</v>
      </c>
      <c r="I50" s="147" t="s">
        <v>19</v>
      </c>
      <c r="J50" s="147" t="s">
        <v>84</v>
      </c>
      <c r="K50" s="147" t="s">
        <v>56</v>
      </c>
      <c r="L50" s="61" t="s">
        <v>67</v>
      </c>
      <c r="M50" s="61" t="str">
        <f t="shared" ca="1" si="6"/>
        <v>Vencido</v>
      </c>
      <c r="N50" s="61">
        <f t="shared" ca="1" si="7"/>
        <v>66</v>
      </c>
      <c r="O50" s="61" t="str">
        <f t="shared" ca="1" si="8"/>
        <v>61+ dias</v>
      </c>
      <c r="P50" s="61" t="str">
        <f t="shared" ca="1" si="9"/>
        <v>Atraso Crítico</v>
      </c>
      <c r="Q50" s="61" t="s">
        <v>60</v>
      </c>
      <c r="R50" s="61" t="s">
        <v>61</v>
      </c>
      <c r="S50" s="61"/>
      <c r="T50" s="61">
        <v>1</v>
      </c>
      <c r="U50" s="61" t="s">
        <v>61</v>
      </c>
      <c r="V50" s="142">
        <v>45740</v>
      </c>
      <c r="W50" s="142">
        <v>45740</v>
      </c>
      <c r="X50" s="61" t="s">
        <v>89</v>
      </c>
      <c r="Y50" s="148">
        <f t="shared" ca="1" si="4"/>
        <v>3000</v>
      </c>
      <c r="Z50" s="149" t="str">
        <f t="shared" ca="1" si="5"/>
        <v>0</v>
      </c>
    </row>
    <row r="51" spans="1:26" x14ac:dyDescent="0.3">
      <c r="A51" s="146" t="s">
        <v>1</v>
      </c>
      <c r="B51" s="61"/>
      <c r="C51" s="61" t="s">
        <v>12</v>
      </c>
      <c r="D51" s="61">
        <v>44</v>
      </c>
      <c r="E51" s="142">
        <v>45721</v>
      </c>
      <c r="F51" s="142">
        <v>45736</v>
      </c>
      <c r="G51" s="142">
        <v>45736</v>
      </c>
      <c r="H51" s="147">
        <v>1700</v>
      </c>
      <c r="I51" s="147" t="s">
        <v>20</v>
      </c>
      <c r="J51" s="147" t="s">
        <v>84</v>
      </c>
      <c r="K51" s="147" t="s">
        <v>56</v>
      </c>
      <c r="L51" s="61" t="s">
        <v>68</v>
      </c>
      <c r="M51" s="61" t="str">
        <f t="shared" ca="1" si="6"/>
        <v>Vencido</v>
      </c>
      <c r="N51" s="61">
        <f t="shared" ca="1" si="7"/>
        <v>59</v>
      </c>
      <c r="O51" s="61" t="str">
        <f t="shared" ca="1" si="8"/>
        <v>31-60 dias</v>
      </c>
      <c r="P51" s="61" t="str">
        <f t="shared" ca="1" si="9"/>
        <v>Atraso Médio</v>
      </c>
      <c r="Q51" s="61" t="s">
        <v>60</v>
      </c>
      <c r="R51" s="61" t="s">
        <v>61</v>
      </c>
      <c r="S51" s="61"/>
      <c r="T51" s="61">
        <v>1</v>
      </c>
      <c r="U51" s="61" t="s">
        <v>61</v>
      </c>
      <c r="V51" s="142">
        <v>45740</v>
      </c>
      <c r="W51" s="142">
        <v>45740</v>
      </c>
      <c r="X51" s="61" t="s">
        <v>89</v>
      </c>
      <c r="Y51" s="148">
        <f t="shared" ca="1" si="4"/>
        <v>1700</v>
      </c>
      <c r="Z51" s="149" t="str">
        <f t="shared" ca="1" si="5"/>
        <v>0</v>
      </c>
    </row>
    <row r="52" spans="1:26" x14ac:dyDescent="0.3">
      <c r="A52" s="146" t="s">
        <v>0</v>
      </c>
      <c r="B52" s="61"/>
      <c r="C52" s="61" t="s">
        <v>15</v>
      </c>
      <c r="D52" s="61">
        <v>53</v>
      </c>
      <c r="E52" s="142">
        <v>45709</v>
      </c>
      <c r="F52" s="142">
        <v>45737</v>
      </c>
      <c r="G52" s="142">
        <v>45737</v>
      </c>
      <c r="H52" s="147">
        <v>2700</v>
      </c>
      <c r="I52" s="147" t="s">
        <v>29</v>
      </c>
      <c r="J52" s="147" t="s">
        <v>82</v>
      </c>
      <c r="K52" s="147" t="s">
        <v>55</v>
      </c>
      <c r="L52" s="61" t="s">
        <v>131</v>
      </c>
      <c r="M52" s="61" t="str">
        <f t="shared" si="6"/>
        <v>Quitado</v>
      </c>
      <c r="N52" s="61">
        <f t="shared" si="7"/>
        <v>0</v>
      </c>
      <c r="O52" s="61" t="str">
        <f t="shared" si="8"/>
        <v/>
      </c>
      <c r="P52" s="61" t="str">
        <f t="shared" si="9"/>
        <v/>
      </c>
      <c r="Q52" s="61" t="s">
        <v>60</v>
      </c>
      <c r="R52" s="61" t="s">
        <v>61</v>
      </c>
      <c r="S52" s="61"/>
      <c r="T52" s="61">
        <v>1</v>
      </c>
      <c r="U52" s="61" t="s">
        <v>61</v>
      </c>
      <c r="V52" s="142">
        <v>45740</v>
      </c>
      <c r="W52" s="142">
        <v>45772</v>
      </c>
      <c r="X52" s="61" t="s">
        <v>89</v>
      </c>
      <c r="Y52" s="148" t="str">
        <f t="shared" si="4"/>
        <v>0</v>
      </c>
      <c r="Z52" s="149" t="str">
        <f t="shared" si="5"/>
        <v>0</v>
      </c>
    </row>
    <row r="53" spans="1:26" x14ac:dyDescent="0.3">
      <c r="A53" s="146" t="s">
        <v>1</v>
      </c>
      <c r="B53" s="61"/>
      <c r="C53" s="61" t="s">
        <v>15</v>
      </c>
      <c r="D53" s="61">
        <v>54</v>
      </c>
      <c r="E53" s="142">
        <v>45709</v>
      </c>
      <c r="F53" s="142">
        <v>45737</v>
      </c>
      <c r="G53" s="142">
        <v>45737</v>
      </c>
      <c r="H53" s="147">
        <v>1600</v>
      </c>
      <c r="I53" s="147" t="s">
        <v>30</v>
      </c>
      <c r="J53" s="147" t="s">
        <v>82</v>
      </c>
      <c r="K53" s="147" t="s">
        <v>56</v>
      </c>
      <c r="L53" s="61" t="s">
        <v>131</v>
      </c>
      <c r="M53" s="61" t="str">
        <f t="shared" ca="1" si="6"/>
        <v>Vencido</v>
      </c>
      <c r="N53" s="61">
        <f t="shared" ca="1" si="7"/>
        <v>58</v>
      </c>
      <c r="O53" s="61" t="str">
        <f t="shared" ca="1" si="8"/>
        <v>31-60 dias</v>
      </c>
      <c r="P53" s="61" t="str">
        <f t="shared" ca="1" si="9"/>
        <v>Atraso Médio</v>
      </c>
      <c r="Q53" s="61" t="s">
        <v>60</v>
      </c>
      <c r="R53" s="61" t="s">
        <v>61</v>
      </c>
      <c r="S53" s="61"/>
      <c r="T53" s="61">
        <v>1</v>
      </c>
      <c r="U53" s="61" t="s">
        <v>61</v>
      </c>
      <c r="V53" s="142">
        <v>45740</v>
      </c>
      <c r="W53" s="142">
        <v>45772</v>
      </c>
      <c r="X53" s="61" t="s">
        <v>89</v>
      </c>
      <c r="Y53" s="148">
        <f t="shared" ca="1" si="4"/>
        <v>1600</v>
      </c>
      <c r="Z53" s="149" t="str">
        <f t="shared" ca="1" si="5"/>
        <v>0</v>
      </c>
    </row>
    <row r="54" spans="1:26" x14ac:dyDescent="0.3">
      <c r="A54" s="146" t="s">
        <v>0</v>
      </c>
      <c r="B54" s="61"/>
      <c r="C54" s="61" t="s">
        <v>15</v>
      </c>
      <c r="D54" s="61">
        <v>55</v>
      </c>
      <c r="E54" s="142">
        <v>45709</v>
      </c>
      <c r="F54" s="142">
        <v>45737</v>
      </c>
      <c r="G54" s="142">
        <v>45737</v>
      </c>
      <c r="H54" s="147">
        <v>3000</v>
      </c>
      <c r="I54" s="147" t="s">
        <v>31</v>
      </c>
      <c r="J54" s="147" t="s">
        <v>82</v>
      </c>
      <c r="K54" s="147" t="s">
        <v>56</v>
      </c>
      <c r="L54" s="61" t="s">
        <v>131</v>
      </c>
      <c r="M54" s="61" t="str">
        <f t="shared" ca="1" si="6"/>
        <v>Vencido</v>
      </c>
      <c r="N54" s="61">
        <f t="shared" ca="1" si="7"/>
        <v>58</v>
      </c>
      <c r="O54" s="61" t="str">
        <f t="shared" ca="1" si="8"/>
        <v>31-60 dias</v>
      </c>
      <c r="P54" s="61" t="str">
        <f t="shared" ca="1" si="9"/>
        <v>Atraso Médio</v>
      </c>
      <c r="Q54" s="61" t="s">
        <v>60</v>
      </c>
      <c r="R54" s="61" t="s">
        <v>61</v>
      </c>
      <c r="S54" s="61"/>
      <c r="T54" s="61">
        <v>1</v>
      </c>
      <c r="U54" s="61" t="s">
        <v>61</v>
      </c>
      <c r="V54" s="142">
        <v>45740</v>
      </c>
      <c r="W54" s="142">
        <v>45772</v>
      </c>
      <c r="X54" s="61" t="s">
        <v>89</v>
      </c>
      <c r="Y54" s="148">
        <f t="shared" ca="1" si="4"/>
        <v>3000</v>
      </c>
      <c r="Z54" s="149" t="str">
        <f t="shared" ca="1" si="5"/>
        <v>0</v>
      </c>
    </row>
    <row r="55" spans="1:26" x14ac:dyDescent="0.3">
      <c r="A55" s="146" t="s">
        <v>1</v>
      </c>
      <c r="B55" s="61"/>
      <c r="C55" s="61" t="s">
        <v>15</v>
      </c>
      <c r="D55" s="61">
        <v>56</v>
      </c>
      <c r="E55" s="142">
        <v>45709</v>
      </c>
      <c r="F55" s="142">
        <v>45737</v>
      </c>
      <c r="G55" s="142">
        <v>45737</v>
      </c>
      <c r="H55" s="147">
        <v>1800</v>
      </c>
      <c r="I55" s="147" t="s">
        <v>32</v>
      </c>
      <c r="J55" s="147" t="s">
        <v>82</v>
      </c>
      <c r="K55" s="147" t="s">
        <v>56</v>
      </c>
      <c r="L55" s="61" t="s">
        <v>131</v>
      </c>
      <c r="M55" s="61" t="str">
        <f t="shared" ca="1" si="6"/>
        <v>Vencido</v>
      </c>
      <c r="N55" s="61">
        <f t="shared" ca="1" si="7"/>
        <v>58</v>
      </c>
      <c r="O55" s="61" t="str">
        <f t="shared" ca="1" si="8"/>
        <v>31-60 dias</v>
      </c>
      <c r="P55" s="61" t="str">
        <f t="shared" ca="1" si="9"/>
        <v>Atraso Médio</v>
      </c>
      <c r="Q55" s="61" t="s">
        <v>60</v>
      </c>
      <c r="R55" s="61" t="s">
        <v>61</v>
      </c>
      <c r="S55" s="61"/>
      <c r="T55" s="61">
        <v>1</v>
      </c>
      <c r="U55" s="61" t="s">
        <v>61</v>
      </c>
      <c r="V55" s="142">
        <v>45740</v>
      </c>
      <c r="W55" s="142">
        <v>45772</v>
      </c>
      <c r="X55" s="61" t="s">
        <v>89</v>
      </c>
      <c r="Y55" s="148">
        <f t="shared" ca="1" si="4"/>
        <v>1800</v>
      </c>
      <c r="Z55" s="149" t="str">
        <f t="shared" ca="1" si="5"/>
        <v>0</v>
      </c>
    </row>
    <row r="56" spans="1:26" x14ac:dyDescent="0.3">
      <c r="A56" s="146" t="s">
        <v>0</v>
      </c>
      <c r="B56" s="61"/>
      <c r="C56" s="61" t="s">
        <v>15</v>
      </c>
      <c r="D56" s="61">
        <v>57</v>
      </c>
      <c r="E56" s="142">
        <v>45709</v>
      </c>
      <c r="F56" s="142">
        <v>45737</v>
      </c>
      <c r="G56" s="142">
        <v>45737</v>
      </c>
      <c r="H56" s="147">
        <v>2200</v>
      </c>
      <c r="I56" s="147" t="s">
        <v>33</v>
      </c>
      <c r="J56" s="147" t="s">
        <v>82</v>
      </c>
      <c r="K56" s="147" t="s">
        <v>56</v>
      </c>
      <c r="L56" s="61" t="s">
        <v>131</v>
      </c>
      <c r="M56" s="61" t="str">
        <f t="shared" ca="1" si="6"/>
        <v>Vencido</v>
      </c>
      <c r="N56" s="61">
        <f t="shared" ca="1" si="7"/>
        <v>58</v>
      </c>
      <c r="O56" s="61" t="str">
        <f t="shared" ca="1" si="8"/>
        <v>31-60 dias</v>
      </c>
      <c r="P56" s="61" t="str">
        <f t="shared" ca="1" si="9"/>
        <v>Atraso Médio</v>
      </c>
      <c r="Q56" s="61" t="s">
        <v>60</v>
      </c>
      <c r="R56" s="61" t="s">
        <v>61</v>
      </c>
      <c r="S56" s="61"/>
      <c r="T56" s="61">
        <v>1</v>
      </c>
      <c r="U56" s="61" t="s">
        <v>61</v>
      </c>
      <c r="V56" s="142">
        <v>45740</v>
      </c>
      <c r="W56" s="142">
        <v>45772</v>
      </c>
      <c r="X56" s="61" t="s">
        <v>89</v>
      </c>
      <c r="Y56" s="148">
        <f t="shared" ca="1" si="4"/>
        <v>2200</v>
      </c>
      <c r="Z56" s="149" t="str">
        <f t="shared" ca="1" si="5"/>
        <v>0</v>
      </c>
    </row>
    <row r="57" spans="1:26" x14ac:dyDescent="0.3">
      <c r="A57" s="146" t="s">
        <v>1</v>
      </c>
      <c r="B57" s="61"/>
      <c r="C57" s="61" t="s">
        <v>15</v>
      </c>
      <c r="D57" s="61">
        <v>58</v>
      </c>
      <c r="E57" s="142">
        <v>45709</v>
      </c>
      <c r="F57" s="142">
        <v>45737</v>
      </c>
      <c r="G57" s="142">
        <v>45737</v>
      </c>
      <c r="H57" s="147">
        <v>1500</v>
      </c>
      <c r="I57" s="147" t="s">
        <v>34</v>
      </c>
      <c r="J57" s="147" t="s">
        <v>82</v>
      </c>
      <c r="K57" s="147" t="s">
        <v>56</v>
      </c>
      <c r="L57" s="61" t="s">
        <v>131</v>
      </c>
      <c r="M57" s="61" t="str">
        <f t="shared" ca="1" si="6"/>
        <v>Vencido</v>
      </c>
      <c r="N57" s="61">
        <f t="shared" ca="1" si="7"/>
        <v>58</v>
      </c>
      <c r="O57" s="61" t="str">
        <f t="shared" ca="1" si="8"/>
        <v>31-60 dias</v>
      </c>
      <c r="P57" s="61" t="str">
        <f t="shared" ca="1" si="9"/>
        <v>Atraso Médio</v>
      </c>
      <c r="Q57" s="61" t="s">
        <v>60</v>
      </c>
      <c r="R57" s="61" t="s">
        <v>61</v>
      </c>
      <c r="S57" s="61"/>
      <c r="T57" s="61">
        <v>1</v>
      </c>
      <c r="U57" s="61" t="s">
        <v>61</v>
      </c>
      <c r="V57" s="142">
        <v>45740</v>
      </c>
      <c r="W57" s="142">
        <v>45772</v>
      </c>
      <c r="X57" s="61" t="s">
        <v>89</v>
      </c>
      <c r="Y57" s="148">
        <f t="shared" ca="1" si="4"/>
        <v>1500</v>
      </c>
      <c r="Z57" s="149" t="str">
        <f t="shared" ca="1" si="5"/>
        <v>0</v>
      </c>
    </row>
    <row r="58" spans="1:26" x14ac:dyDescent="0.3">
      <c r="A58" s="146" t="s">
        <v>0</v>
      </c>
      <c r="B58" s="61" t="s">
        <v>40</v>
      </c>
      <c r="C58" s="61" t="s">
        <v>40</v>
      </c>
      <c r="D58" s="61">
        <v>59</v>
      </c>
      <c r="E58" s="142">
        <v>45709</v>
      </c>
      <c r="F58" s="142">
        <v>45737</v>
      </c>
      <c r="G58" s="142">
        <v>45737</v>
      </c>
      <c r="H58" s="147">
        <v>2800</v>
      </c>
      <c r="I58" s="147" t="s">
        <v>35</v>
      </c>
      <c r="J58" s="147" t="s">
        <v>82</v>
      </c>
      <c r="K58" s="147" t="s">
        <v>56</v>
      </c>
      <c r="L58" s="61" t="s">
        <v>131</v>
      </c>
      <c r="M58" s="61" t="str">
        <f t="shared" ca="1" si="6"/>
        <v>Vencido</v>
      </c>
      <c r="N58" s="61">
        <f t="shared" ca="1" si="7"/>
        <v>58</v>
      </c>
      <c r="O58" s="61" t="str">
        <f t="shared" ca="1" si="8"/>
        <v>31-60 dias</v>
      </c>
      <c r="P58" s="61" t="str">
        <f t="shared" ca="1" si="9"/>
        <v>Atraso Médio</v>
      </c>
      <c r="Q58" s="61" t="s">
        <v>60</v>
      </c>
      <c r="R58" s="61" t="s">
        <v>61</v>
      </c>
      <c r="S58" s="61"/>
      <c r="T58" s="61">
        <v>1</v>
      </c>
      <c r="U58" s="61" t="s">
        <v>61</v>
      </c>
      <c r="V58" s="142">
        <v>45740</v>
      </c>
      <c r="W58" s="142">
        <v>45772</v>
      </c>
      <c r="X58" s="61" t="s">
        <v>89</v>
      </c>
      <c r="Y58" s="148">
        <f t="shared" ca="1" si="4"/>
        <v>2800</v>
      </c>
      <c r="Z58" s="149" t="str">
        <f t="shared" ca="1" si="5"/>
        <v>0</v>
      </c>
    </row>
    <row r="59" spans="1:26" x14ac:dyDescent="0.3">
      <c r="A59" s="146" t="s">
        <v>1</v>
      </c>
      <c r="B59" s="61"/>
      <c r="C59" s="61" t="s">
        <v>15</v>
      </c>
      <c r="D59" s="61">
        <v>60</v>
      </c>
      <c r="E59" s="142">
        <v>45709</v>
      </c>
      <c r="F59" s="142">
        <v>45737</v>
      </c>
      <c r="G59" s="142">
        <v>45737</v>
      </c>
      <c r="H59" s="147">
        <v>3100</v>
      </c>
      <c r="I59" s="147" t="s">
        <v>36</v>
      </c>
      <c r="J59" s="147" t="s">
        <v>82</v>
      </c>
      <c r="K59" s="147" t="s">
        <v>56</v>
      </c>
      <c r="L59" s="61" t="s">
        <v>131</v>
      </c>
      <c r="M59" s="61" t="str">
        <f t="shared" ca="1" si="6"/>
        <v>Vencido</v>
      </c>
      <c r="N59" s="61">
        <f t="shared" ca="1" si="7"/>
        <v>58</v>
      </c>
      <c r="O59" s="61" t="str">
        <f t="shared" ca="1" si="8"/>
        <v>31-60 dias</v>
      </c>
      <c r="P59" s="61" t="str">
        <f t="shared" ca="1" si="9"/>
        <v>Atraso Médio</v>
      </c>
      <c r="Q59" s="61" t="s">
        <v>60</v>
      </c>
      <c r="R59" s="61" t="s">
        <v>61</v>
      </c>
      <c r="S59" s="61"/>
      <c r="T59" s="61">
        <v>1</v>
      </c>
      <c r="U59" s="61" t="s">
        <v>61</v>
      </c>
      <c r="V59" s="142">
        <v>45740</v>
      </c>
      <c r="W59" s="142">
        <v>45772</v>
      </c>
      <c r="X59" s="61" t="s">
        <v>89</v>
      </c>
      <c r="Y59" s="148">
        <f t="shared" ca="1" si="4"/>
        <v>3100</v>
      </c>
      <c r="Z59" s="149" t="str">
        <f t="shared" ca="1" si="5"/>
        <v>0</v>
      </c>
    </row>
    <row r="60" spans="1:26" x14ac:dyDescent="0.3">
      <c r="A60" s="146" t="s">
        <v>0</v>
      </c>
      <c r="B60" s="61"/>
      <c r="C60" s="61" t="s">
        <v>15</v>
      </c>
      <c r="D60" s="61">
        <v>61</v>
      </c>
      <c r="E60" s="142">
        <v>45709</v>
      </c>
      <c r="F60" s="142">
        <v>45737</v>
      </c>
      <c r="G60" s="142">
        <v>45737</v>
      </c>
      <c r="H60" s="147">
        <v>1900</v>
      </c>
      <c r="I60" s="147" t="s">
        <v>17</v>
      </c>
      <c r="J60" s="147" t="s">
        <v>82</v>
      </c>
      <c r="K60" s="147" t="s">
        <v>56</v>
      </c>
      <c r="L60" s="61" t="s">
        <v>131</v>
      </c>
      <c r="M60" s="61" t="str">
        <f t="shared" ca="1" si="6"/>
        <v>Vencido</v>
      </c>
      <c r="N60" s="61">
        <f t="shared" ca="1" si="7"/>
        <v>58</v>
      </c>
      <c r="O60" s="61" t="str">
        <f t="shared" ca="1" si="8"/>
        <v>31-60 dias</v>
      </c>
      <c r="P60" s="61" t="str">
        <f t="shared" ca="1" si="9"/>
        <v>Atraso Médio</v>
      </c>
      <c r="Q60" s="61" t="s">
        <v>60</v>
      </c>
      <c r="R60" s="61" t="s">
        <v>61</v>
      </c>
      <c r="S60" s="61"/>
      <c r="T60" s="61">
        <v>1</v>
      </c>
      <c r="U60" s="61" t="s">
        <v>61</v>
      </c>
      <c r="V60" s="142">
        <v>45740</v>
      </c>
      <c r="W60" s="142">
        <v>45772</v>
      </c>
      <c r="X60" s="61" t="s">
        <v>89</v>
      </c>
      <c r="Y60" s="148">
        <f t="shared" ca="1" si="4"/>
        <v>1900</v>
      </c>
      <c r="Z60" s="149" t="str">
        <f t="shared" ca="1" si="5"/>
        <v>0</v>
      </c>
    </row>
    <row r="61" spans="1:26" x14ac:dyDescent="0.3">
      <c r="A61" s="146" t="s">
        <v>1</v>
      </c>
      <c r="B61" s="61"/>
      <c r="C61" s="61" t="s">
        <v>16</v>
      </c>
      <c r="D61" s="61">
        <v>62</v>
      </c>
      <c r="E61" s="142">
        <v>45709</v>
      </c>
      <c r="F61" s="142">
        <v>45737</v>
      </c>
      <c r="G61" s="142">
        <v>45737</v>
      </c>
      <c r="H61" s="147">
        <v>2300</v>
      </c>
      <c r="I61" s="147" t="s">
        <v>18</v>
      </c>
      <c r="J61" s="147" t="s">
        <v>82</v>
      </c>
      <c r="K61" s="147" t="s">
        <v>56</v>
      </c>
      <c r="L61" s="61" t="s">
        <v>131</v>
      </c>
      <c r="M61" s="61" t="str">
        <f t="shared" ca="1" si="6"/>
        <v>Vencido</v>
      </c>
      <c r="N61" s="61">
        <f t="shared" ca="1" si="7"/>
        <v>58</v>
      </c>
      <c r="O61" s="61" t="str">
        <f t="shared" ca="1" si="8"/>
        <v>31-60 dias</v>
      </c>
      <c r="P61" s="61" t="str">
        <f t="shared" ca="1" si="9"/>
        <v>Atraso Médio</v>
      </c>
      <c r="Q61" s="61" t="s">
        <v>60</v>
      </c>
      <c r="R61" s="61" t="s">
        <v>61</v>
      </c>
      <c r="S61" s="61"/>
      <c r="T61" s="61">
        <v>1</v>
      </c>
      <c r="U61" s="61" t="s">
        <v>61</v>
      </c>
      <c r="V61" s="142">
        <v>45740</v>
      </c>
      <c r="W61" s="142">
        <v>45772</v>
      </c>
      <c r="X61" s="61" t="s">
        <v>89</v>
      </c>
      <c r="Y61" s="148">
        <f t="shared" ca="1" si="4"/>
        <v>2300</v>
      </c>
      <c r="Z61" s="149" t="str">
        <f t="shared" ca="1" si="5"/>
        <v>0</v>
      </c>
    </row>
    <row r="62" spans="1:26" x14ac:dyDescent="0.3">
      <c r="A62" s="146" t="s">
        <v>0</v>
      </c>
      <c r="B62" s="61"/>
      <c r="C62" s="61" t="s">
        <v>16</v>
      </c>
      <c r="D62" s="61">
        <v>63</v>
      </c>
      <c r="E62" s="142">
        <v>45709</v>
      </c>
      <c r="F62" s="142">
        <v>45737</v>
      </c>
      <c r="G62" s="142">
        <v>45737</v>
      </c>
      <c r="H62" s="147">
        <v>1700</v>
      </c>
      <c r="I62" s="147" t="s">
        <v>19</v>
      </c>
      <c r="J62" s="147" t="s">
        <v>82</v>
      </c>
      <c r="K62" s="147" t="s">
        <v>56</v>
      </c>
      <c r="L62" s="61" t="s">
        <v>131</v>
      </c>
      <c r="M62" s="61" t="str">
        <f t="shared" ca="1" si="6"/>
        <v>Vencido</v>
      </c>
      <c r="N62" s="61">
        <f t="shared" ca="1" si="7"/>
        <v>58</v>
      </c>
      <c r="O62" s="61" t="str">
        <f t="shared" ca="1" si="8"/>
        <v>31-60 dias</v>
      </c>
      <c r="P62" s="61" t="str">
        <f t="shared" ca="1" si="9"/>
        <v>Atraso Médio</v>
      </c>
      <c r="Q62" s="61" t="s">
        <v>60</v>
      </c>
      <c r="R62" s="61" t="s">
        <v>61</v>
      </c>
      <c r="S62" s="61"/>
      <c r="T62" s="61">
        <v>1</v>
      </c>
      <c r="U62" s="61" t="s">
        <v>61</v>
      </c>
      <c r="V62" s="142">
        <v>45740</v>
      </c>
      <c r="W62" s="142">
        <v>45772</v>
      </c>
      <c r="X62" s="61" t="s">
        <v>89</v>
      </c>
      <c r="Y62" s="148">
        <f t="shared" ca="1" si="4"/>
        <v>1700</v>
      </c>
      <c r="Z62" s="149" t="str">
        <f t="shared" ca="1" si="5"/>
        <v>0</v>
      </c>
    </row>
    <row r="63" spans="1:26" x14ac:dyDescent="0.3">
      <c r="A63" s="146" t="s">
        <v>1</v>
      </c>
      <c r="B63" s="61"/>
      <c r="C63" s="61" t="s">
        <v>16</v>
      </c>
      <c r="D63" s="61">
        <v>64</v>
      </c>
      <c r="E63" s="142">
        <v>45709</v>
      </c>
      <c r="F63" s="142">
        <v>45737</v>
      </c>
      <c r="G63" s="142">
        <v>45737</v>
      </c>
      <c r="H63" s="147">
        <v>2200</v>
      </c>
      <c r="I63" s="147" t="s">
        <v>20</v>
      </c>
      <c r="J63" s="147" t="s">
        <v>82</v>
      </c>
      <c r="K63" s="147" t="s">
        <v>56</v>
      </c>
      <c r="L63" s="61" t="s">
        <v>131</v>
      </c>
      <c r="M63" s="61" t="str">
        <f t="shared" ca="1" si="6"/>
        <v>Vencido</v>
      </c>
      <c r="N63" s="61">
        <f t="shared" ca="1" si="7"/>
        <v>58</v>
      </c>
      <c r="O63" s="61" t="str">
        <f t="shared" ca="1" si="8"/>
        <v>31-60 dias</v>
      </c>
      <c r="P63" s="61" t="str">
        <f t="shared" ca="1" si="9"/>
        <v>Atraso Médio</v>
      </c>
      <c r="Q63" s="61" t="s">
        <v>60</v>
      </c>
      <c r="R63" s="61" t="s">
        <v>61</v>
      </c>
      <c r="S63" s="61"/>
      <c r="T63" s="61">
        <v>1</v>
      </c>
      <c r="U63" s="61" t="s">
        <v>61</v>
      </c>
      <c r="V63" s="142">
        <v>45740</v>
      </c>
      <c r="W63" s="142">
        <v>45772</v>
      </c>
      <c r="X63" s="61" t="s">
        <v>89</v>
      </c>
      <c r="Y63" s="148">
        <f t="shared" ca="1" si="4"/>
        <v>2200</v>
      </c>
      <c r="Z63" s="149" t="str">
        <f t="shared" ca="1" si="5"/>
        <v>0</v>
      </c>
    </row>
    <row r="64" spans="1:26" x14ac:dyDescent="0.3">
      <c r="A64" s="146" t="s">
        <v>0</v>
      </c>
      <c r="B64" s="61"/>
      <c r="C64" s="61" t="s">
        <v>16</v>
      </c>
      <c r="D64" s="61">
        <v>65</v>
      </c>
      <c r="E64" s="142">
        <v>45709</v>
      </c>
      <c r="F64" s="142">
        <v>45737</v>
      </c>
      <c r="G64" s="142">
        <v>45737</v>
      </c>
      <c r="H64" s="147">
        <v>2500</v>
      </c>
      <c r="I64" s="147" t="s">
        <v>21</v>
      </c>
      <c r="J64" s="147" t="s">
        <v>82</v>
      </c>
      <c r="K64" s="147" t="s">
        <v>56</v>
      </c>
      <c r="L64" s="61" t="s">
        <v>131</v>
      </c>
      <c r="M64" s="61" t="str">
        <f t="shared" ca="1" si="6"/>
        <v>Vencido</v>
      </c>
      <c r="N64" s="61">
        <f t="shared" ca="1" si="7"/>
        <v>58</v>
      </c>
      <c r="O64" s="61" t="str">
        <f t="shared" ca="1" si="8"/>
        <v>31-60 dias</v>
      </c>
      <c r="P64" s="61" t="str">
        <f t="shared" ca="1" si="9"/>
        <v>Atraso Médio</v>
      </c>
      <c r="Q64" s="61" t="s">
        <v>60</v>
      </c>
      <c r="R64" s="61" t="s">
        <v>61</v>
      </c>
      <c r="S64" s="61"/>
      <c r="T64" s="61">
        <v>1</v>
      </c>
      <c r="U64" s="61" t="s">
        <v>61</v>
      </c>
      <c r="V64" s="142">
        <v>45740</v>
      </c>
      <c r="W64" s="142">
        <v>45772</v>
      </c>
      <c r="X64" s="61" t="s">
        <v>89</v>
      </c>
      <c r="Y64" s="148">
        <f t="shared" ca="1" si="4"/>
        <v>2500</v>
      </c>
      <c r="Z64" s="149" t="str">
        <f t="shared" ca="1" si="5"/>
        <v>0</v>
      </c>
    </row>
    <row r="65" spans="1:26" x14ac:dyDescent="0.3">
      <c r="A65" s="146" t="s">
        <v>1</v>
      </c>
      <c r="B65" s="61"/>
      <c r="C65" s="61" t="s">
        <v>16</v>
      </c>
      <c r="D65" s="61">
        <v>66</v>
      </c>
      <c r="E65" s="142">
        <v>45678</v>
      </c>
      <c r="F65" s="142">
        <v>45678</v>
      </c>
      <c r="G65" s="142">
        <v>45678</v>
      </c>
      <c r="H65" s="147">
        <v>2000</v>
      </c>
      <c r="I65" s="147" t="s">
        <v>22</v>
      </c>
      <c r="J65" s="147" t="s">
        <v>82</v>
      </c>
      <c r="K65" s="147" t="s">
        <v>56</v>
      </c>
      <c r="L65" s="61" t="s">
        <v>131</v>
      </c>
      <c r="M65" s="61" t="str">
        <f t="shared" ca="1" si="6"/>
        <v>Vencido</v>
      </c>
      <c r="N65" s="61">
        <f t="shared" ca="1" si="7"/>
        <v>117</v>
      </c>
      <c r="O65" s="61" t="str">
        <f t="shared" ca="1" si="8"/>
        <v>61+ dias</v>
      </c>
      <c r="P65" s="61" t="str">
        <f t="shared" ca="1" si="9"/>
        <v>Atraso Crítico</v>
      </c>
      <c r="Q65" s="61" t="s">
        <v>60</v>
      </c>
      <c r="R65" s="61" t="s">
        <v>61</v>
      </c>
      <c r="S65" s="61"/>
      <c r="T65" s="61">
        <v>1</v>
      </c>
      <c r="U65" s="61" t="s">
        <v>61</v>
      </c>
      <c r="V65" s="142">
        <v>45740</v>
      </c>
      <c r="W65" s="142">
        <v>45772</v>
      </c>
      <c r="X65" s="61" t="s">
        <v>89</v>
      </c>
      <c r="Y65" s="148">
        <f t="shared" ca="1" si="4"/>
        <v>2000</v>
      </c>
      <c r="Z65" s="149" t="str">
        <f t="shared" ca="1" si="5"/>
        <v>0</v>
      </c>
    </row>
    <row r="66" spans="1:26" x14ac:dyDescent="0.3">
      <c r="A66" s="146" t="s">
        <v>0</v>
      </c>
      <c r="B66" s="61"/>
      <c r="C66" s="61" t="s">
        <v>16</v>
      </c>
      <c r="D66" s="61">
        <v>67</v>
      </c>
      <c r="E66" s="142">
        <v>45709</v>
      </c>
      <c r="F66" s="142">
        <v>45737</v>
      </c>
      <c r="G66" s="142">
        <v>45737</v>
      </c>
      <c r="H66" s="147">
        <v>3200</v>
      </c>
      <c r="I66" s="147" t="s">
        <v>23</v>
      </c>
      <c r="J66" s="147" t="s">
        <v>82</v>
      </c>
      <c r="K66" s="147" t="s">
        <v>56</v>
      </c>
      <c r="L66" s="61" t="s">
        <v>131</v>
      </c>
      <c r="M66" s="61" t="str">
        <f t="shared" ca="1" si="6"/>
        <v>Vencido</v>
      </c>
      <c r="N66" s="61">
        <f t="shared" ca="1" si="7"/>
        <v>58</v>
      </c>
      <c r="O66" s="61" t="str">
        <f t="shared" ca="1" si="8"/>
        <v>31-60 dias</v>
      </c>
      <c r="P66" s="61" t="str">
        <f t="shared" ca="1" si="9"/>
        <v>Atraso Médio</v>
      </c>
      <c r="Q66" s="61" t="s">
        <v>60</v>
      </c>
      <c r="R66" s="61" t="s">
        <v>61</v>
      </c>
      <c r="S66" s="61"/>
      <c r="T66" s="61">
        <v>1</v>
      </c>
      <c r="U66" s="61" t="s">
        <v>61</v>
      </c>
      <c r="V66" s="142">
        <v>45740</v>
      </c>
      <c r="W66" s="142">
        <v>45772</v>
      </c>
      <c r="X66" s="61" t="s">
        <v>89</v>
      </c>
      <c r="Y66" s="148">
        <f t="shared" ca="1" si="4"/>
        <v>3200</v>
      </c>
      <c r="Z66" s="149" t="str">
        <f t="shared" ca="1" si="5"/>
        <v>0</v>
      </c>
    </row>
    <row r="67" spans="1:26" x14ac:dyDescent="0.3">
      <c r="A67" s="146" t="s">
        <v>1</v>
      </c>
      <c r="B67" s="61"/>
      <c r="C67" s="61" t="s">
        <v>16</v>
      </c>
      <c r="D67" s="61">
        <v>68</v>
      </c>
      <c r="E67" s="142">
        <v>45709</v>
      </c>
      <c r="F67" s="142">
        <v>45737</v>
      </c>
      <c r="G67" s="142">
        <v>45737</v>
      </c>
      <c r="H67" s="147">
        <v>1500</v>
      </c>
      <c r="I67" s="147" t="s">
        <v>24</v>
      </c>
      <c r="J67" s="147" t="s">
        <v>82</v>
      </c>
      <c r="K67" s="147" t="s">
        <v>56</v>
      </c>
      <c r="L67" s="61" t="s">
        <v>131</v>
      </c>
      <c r="M67" s="61" t="str">
        <f t="shared" ca="1" si="6"/>
        <v>Vencido</v>
      </c>
      <c r="N67" s="61">
        <f t="shared" ca="1" si="7"/>
        <v>58</v>
      </c>
      <c r="O67" s="61" t="str">
        <f t="shared" ca="1" si="8"/>
        <v>31-60 dias</v>
      </c>
      <c r="P67" s="61" t="str">
        <f t="shared" ca="1" si="9"/>
        <v>Atraso Médio</v>
      </c>
      <c r="Q67" s="61" t="s">
        <v>60</v>
      </c>
      <c r="R67" s="61" t="s">
        <v>61</v>
      </c>
      <c r="S67" s="61"/>
      <c r="T67" s="61">
        <v>1</v>
      </c>
      <c r="U67" s="61" t="s">
        <v>61</v>
      </c>
      <c r="V67" s="142">
        <v>45740</v>
      </c>
      <c r="W67" s="142">
        <v>45772</v>
      </c>
      <c r="X67" s="61" t="s">
        <v>89</v>
      </c>
      <c r="Y67" s="148">
        <f t="shared" ca="1" si="4"/>
        <v>1500</v>
      </c>
      <c r="Z67" s="149" t="str">
        <f t="shared" ca="1" si="5"/>
        <v>0</v>
      </c>
    </row>
    <row r="68" spans="1:26" x14ac:dyDescent="0.3">
      <c r="A68" s="146" t="s">
        <v>0</v>
      </c>
      <c r="B68" s="61"/>
      <c r="C68" s="61" t="s">
        <v>16</v>
      </c>
      <c r="D68" s="61">
        <v>69</v>
      </c>
      <c r="E68" s="142">
        <v>45709</v>
      </c>
      <c r="F68" s="142">
        <v>45737</v>
      </c>
      <c r="G68" s="142">
        <v>45737</v>
      </c>
      <c r="H68" s="147">
        <v>2800</v>
      </c>
      <c r="I68" s="147" t="s">
        <v>25</v>
      </c>
      <c r="J68" s="147" t="s">
        <v>82</v>
      </c>
      <c r="K68" s="147" t="s">
        <v>56</v>
      </c>
      <c r="L68" s="61" t="s">
        <v>131</v>
      </c>
      <c r="M68" s="61" t="str">
        <f t="shared" ca="1" si="6"/>
        <v>Vencido</v>
      </c>
      <c r="N68" s="61">
        <f t="shared" ca="1" si="7"/>
        <v>58</v>
      </c>
      <c r="O68" s="61" t="str">
        <f t="shared" ca="1" si="8"/>
        <v>31-60 dias</v>
      </c>
      <c r="P68" s="61" t="str">
        <f t="shared" ca="1" si="9"/>
        <v>Atraso Médio</v>
      </c>
      <c r="Q68" s="61" t="s">
        <v>60</v>
      </c>
      <c r="R68" s="61" t="s">
        <v>61</v>
      </c>
      <c r="S68" s="61"/>
      <c r="T68" s="61">
        <v>1</v>
      </c>
      <c r="U68" s="61" t="s">
        <v>61</v>
      </c>
      <c r="V68" s="142">
        <v>45740</v>
      </c>
      <c r="W68" s="142">
        <v>45772</v>
      </c>
      <c r="X68" s="61" t="s">
        <v>89</v>
      </c>
      <c r="Y68" s="148">
        <f t="shared" ca="1" si="4"/>
        <v>2800</v>
      </c>
      <c r="Z68" s="149" t="str">
        <f t="shared" ca="1" si="5"/>
        <v>0</v>
      </c>
    </row>
    <row r="69" spans="1:26" x14ac:dyDescent="0.3">
      <c r="A69" s="146" t="s">
        <v>1</v>
      </c>
      <c r="B69" s="61"/>
      <c r="C69" s="61" t="s">
        <v>16</v>
      </c>
      <c r="D69" s="61">
        <v>70</v>
      </c>
      <c r="E69" s="142">
        <v>45709</v>
      </c>
      <c r="F69" s="142">
        <v>45737</v>
      </c>
      <c r="G69" s="142">
        <v>45737</v>
      </c>
      <c r="H69" s="147">
        <v>1700</v>
      </c>
      <c r="I69" s="147" t="s">
        <v>26</v>
      </c>
      <c r="J69" s="147" t="s">
        <v>82</v>
      </c>
      <c r="K69" s="147" t="s">
        <v>56</v>
      </c>
      <c r="L69" s="61" t="s">
        <v>131</v>
      </c>
      <c r="M69" s="61" t="str">
        <f t="shared" ca="1" si="6"/>
        <v>Vencido</v>
      </c>
      <c r="N69" s="61">
        <f t="shared" ca="1" si="7"/>
        <v>58</v>
      </c>
      <c r="O69" s="61" t="str">
        <f t="shared" ca="1" si="8"/>
        <v>31-60 dias</v>
      </c>
      <c r="P69" s="61" t="str">
        <f t="shared" ca="1" si="9"/>
        <v>Atraso Médio</v>
      </c>
      <c r="Q69" s="61" t="s">
        <v>60</v>
      </c>
      <c r="R69" s="61" t="s">
        <v>61</v>
      </c>
      <c r="S69" s="61"/>
      <c r="T69" s="61">
        <v>1</v>
      </c>
      <c r="U69" s="61" t="s">
        <v>61</v>
      </c>
      <c r="V69" s="142">
        <v>45740</v>
      </c>
      <c r="W69" s="142">
        <v>45772</v>
      </c>
      <c r="X69" s="61" t="s">
        <v>89</v>
      </c>
      <c r="Y69" s="148">
        <f t="shared" ca="1" si="4"/>
        <v>1700</v>
      </c>
      <c r="Z69" s="149" t="str">
        <f t="shared" ca="1" si="5"/>
        <v>0</v>
      </c>
    </row>
    <row r="70" spans="1:26" x14ac:dyDescent="0.3">
      <c r="A70" s="146" t="s">
        <v>0</v>
      </c>
      <c r="B70" s="61"/>
      <c r="C70" s="61" t="s">
        <v>14</v>
      </c>
      <c r="D70" s="61">
        <v>71</v>
      </c>
      <c r="E70" s="142">
        <v>45709</v>
      </c>
      <c r="F70" s="142">
        <v>45737</v>
      </c>
      <c r="G70" s="142">
        <v>45737</v>
      </c>
      <c r="H70" s="147">
        <v>2200</v>
      </c>
      <c r="I70" s="147" t="s">
        <v>27</v>
      </c>
      <c r="J70" s="147" t="s">
        <v>82</v>
      </c>
      <c r="K70" s="147" t="s">
        <v>56</v>
      </c>
      <c r="L70" s="61" t="s">
        <v>131</v>
      </c>
      <c r="M70" s="61" t="str">
        <f t="shared" ca="1" si="6"/>
        <v>Vencido</v>
      </c>
      <c r="N70" s="61">
        <f t="shared" ca="1" si="7"/>
        <v>58</v>
      </c>
      <c r="O70" s="61" t="str">
        <f t="shared" ca="1" si="8"/>
        <v>31-60 dias</v>
      </c>
      <c r="P70" s="61" t="str">
        <f t="shared" ca="1" si="9"/>
        <v>Atraso Médio</v>
      </c>
      <c r="Q70" s="61" t="s">
        <v>60</v>
      </c>
      <c r="R70" s="61" t="s">
        <v>61</v>
      </c>
      <c r="S70" s="61"/>
      <c r="T70" s="61">
        <v>1</v>
      </c>
      <c r="U70" s="61" t="s">
        <v>61</v>
      </c>
      <c r="V70" s="142">
        <v>45740</v>
      </c>
      <c r="W70" s="142">
        <v>45772</v>
      </c>
      <c r="X70" s="61" t="s">
        <v>89</v>
      </c>
      <c r="Y70" s="148">
        <f t="shared" ca="1" si="4"/>
        <v>2200</v>
      </c>
      <c r="Z70" s="149" t="str">
        <f t="shared" ca="1" si="5"/>
        <v>0</v>
      </c>
    </row>
    <row r="71" spans="1:26" x14ac:dyDescent="0.3">
      <c r="A71" s="146" t="s">
        <v>1</v>
      </c>
      <c r="B71" s="61"/>
      <c r="C71" s="61" t="s">
        <v>14</v>
      </c>
      <c r="D71" s="61">
        <v>72</v>
      </c>
      <c r="E71" s="142">
        <v>45709</v>
      </c>
      <c r="F71" s="142">
        <v>45737</v>
      </c>
      <c r="G71" s="142">
        <v>45737</v>
      </c>
      <c r="H71" s="147">
        <v>2200</v>
      </c>
      <c r="I71" s="147" t="s">
        <v>27</v>
      </c>
      <c r="J71" s="147" t="s">
        <v>85</v>
      </c>
      <c r="K71" s="147" t="s">
        <v>56</v>
      </c>
      <c r="L71" s="61" t="s">
        <v>131</v>
      </c>
      <c r="M71" s="61" t="str">
        <f t="shared" ca="1" si="6"/>
        <v>Vencido</v>
      </c>
      <c r="N71" s="61">
        <f t="shared" ca="1" si="7"/>
        <v>58</v>
      </c>
      <c r="O71" s="61" t="str">
        <f t="shared" ca="1" si="8"/>
        <v>31-60 dias</v>
      </c>
      <c r="P71" s="61" t="str">
        <f t="shared" ca="1" si="9"/>
        <v>Atraso Médio</v>
      </c>
      <c r="Q71" s="61" t="s">
        <v>60</v>
      </c>
      <c r="R71" s="61" t="s">
        <v>61</v>
      </c>
      <c r="S71" s="61"/>
      <c r="T71" s="61">
        <v>1</v>
      </c>
      <c r="U71" s="61" t="s">
        <v>61</v>
      </c>
      <c r="V71" s="142">
        <v>45740</v>
      </c>
      <c r="W71" s="142">
        <v>45772</v>
      </c>
      <c r="X71" s="61" t="s">
        <v>89</v>
      </c>
      <c r="Y71" s="148">
        <f t="shared" ca="1" si="4"/>
        <v>2200</v>
      </c>
      <c r="Z71" s="149" t="str">
        <f t="shared" ca="1" si="5"/>
        <v>0</v>
      </c>
    </row>
    <row r="72" spans="1:26" x14ac:dyDescent="0.3">
      <c r="A72" s="146" t="s">
        <v>0</v>
      </c>
      <c r="B72" s="61"/>
      <c r="C72" s="61" t="s">
        <v>14</v>
      </c>
      <c r="D72" s="61">
        <v>51</v>
      </c>
      <c r="E72" s="142">
        <v>45709</v>
      </c>
      <c r="F72" s="142">
        <v>45737</v>
      </c>
      <c r="G72" s="142">
        <v>45737</v>
      </c>
      <c r="H72" s="147">
        <v>1500</v>
      </c>
      <c r="I72" s="147" t="s">
        <v>27</v>
      </c>
      <c r="J72" s="147" t="s">
        <v>82</v>
      </c>
      <c r="K72" s="147" t="s">
        <v>56</v>
      </c>
      <c r="L72" s="61" t="s">
        <v>131</v>
      </c>
      <c r="M72" s="61" t="str">
        <f t="shared" ref="M72:M79" ca="1" si="10">IF(K72="Sim", "Quitado", IF(F72&lt;($B$3), "Vencido", IF(F72&gt;=($B$3), "A Vencer", "")))</f>
        <v>Vencido</v>
      </c>
      <c r="N72" s="61">
        <f t="shared" ref="N72:N79" ca="1" si="11">IF(K72="Sim", 0, IF(F72&lt;($B$3), $B$3-F72, IF(F72&gt;=($B$3), F72-$B$3, "")))</f>
        <v>58</v>
      </c>
      <c r="O72" s="61" t="str">
        <f t="shared" ref="O72:O79" ca="1" si="12">IF(OR(M72="Quitado",M72="A Vencer"),"",IF(N72&lt;=30,"0-30 dias",IF(N72&lt;=60,"31-60 dias","61+ dias")))</f>
        <v>31-60 dias</v>
      </c>
      <c r="P72" s="61" t="str">
        <f t="shared" ref="P72:P79" ca="1" si="13">IF(O72="0-30 dias", "Atraso Recente", IF(O72="31-60 dias", "Atraso Médio", IF(O72="61+ dias", "Atraso Crítico", "")))</f>
        <v>Atraso Médio</v>
      </c>
      <c r="Q72" s="61" t="s">
        <v>60</v>
      </c>
      <c r="R72" s="61" t="s">
        <v>61</v>
      </c>
      <c r="S72" s="61"/>
      <c r="T72" s="61">
        <v>1</v>
      </c>
      <c r="U72" s="61" t="s">
        <v>61</v>
      </c>
      <c r="V72" s="142">
        <v>45740</v>
      </c>
      <c r="W72" s="142">
        <v>45772</v>
      </c>
      <c r="X72" s="61" t="s">
        <v>89</v>
      </c>
      <c r="Y72" s="148">
        <f t="shared" ca="1" si="4"/>
        <v>1500</v>
      </c>
      <c r="Z72" s="149" t="str">
        <f t="shared" ca="1" si="5"/>
        <v>0</v>
      </c>
    </row>
    <row r="73" spans="1:26" x14ac:dyDescent="0.3">
      <c r="A73" s="146" t="s">
        <v>0</v>
      </c>
      <c r="B73" s="61"/>
      <c r="C73" s="61" t="s">
        <v>14</v>
      </c>
      <c r="D73" s="61">
        <v>45</v>
      </c>
      <c r="E73" s="142">
        <v>45724</v>
      </c>
      <c r="F73" s="142">
        <v>45737</v>
      </c>
      <c r="G73" s="142">
        <v>45737</v>
      </c>
      <c r="H73" s="147">
        <v>2100</v>
      </c>
      <c r="I73" s="147" t="s">
        <v>21</v>
      </c>
      <c r="J73" s="147" t="s">
        <v>84</v>
      </c>
      <c r="K73" s="147" t="s">
        <v>56</v>
      </c>
      <c r="L73" s="61" t="s">
        <v>131</v>
      </c>
      <c r="M73" s="61" t="str">
        <f t="shared" ca="1" si="10"/>
        <v>Vencido</v>
      </c>
      <c r="N73" s="61">
        <f t="shared" ca="1" si="11"/>
        <v>58</v>
      </c>
      <c r="O73" s="61" t="str">
        <f t="shared" ca="1" si="12"/>
        <v>31-60 dias</v>
      </c>
      <c r="P73" s="61" t="str">
        <f t="shared" ca="1" si="13"/>
        <v>Atraso Médio</v>
      </c>
      <c r="Q73" s="61" t="s">
        <v>60</v>
      </c>
      <c r="R73" s="61" t="s">
        <v>61</v>
      </c>
      <c r="S73" s="61"/>
      <c r="T73" s="61">
        <v>1</v>
      </c>
      <c r="U73" s="61" t="s">
        <v>61</v>
      </c>
      <c r="V73" s="142">
        <v>45740</v>
      </c>
      <c r="W73" s="142">
        <v>45740</v>
      </c>
      <c r="X73" s="61" t="s">
        <v>89</v>
      </c>
      <c r="Y73" s="148">
        <f t="shared" ref="Y73:Y79" ca="1" si="14">IF(M73="vencido",H73, "0")</f>
        <v>2100</v>
      </c>
      <c r="Z73" s="149" t="str">
        <f t="shared" ref="Z73:Z79" ca="1" si="15">IF(M73="A vencer",H73, "0")</f>
        <v>0</v>
      </c>
    </row>
    <row r="74" spans="1:26" x14ac:dyDescent="0.3">
      <c r="A74" s="146" t="s">
        <v>1</v>
      </c>
      <c r="B74" s="61"/>
      <c r="C74" s="61" t="s">
        <v>14</v>
      </c>
      <c r="D74" s="61">
        <v>46</v>
      </c>
      <c r="E74" s="142">
        <v>45726</v>
      </c>
      <c r="F74" s="142">
        <v>45738</v>
      </c>
      <c r="G74" s="142">
        <v>45738</v>
      </c>
      <c r="H74" s="147">
        <v>1900</v>
      </c>
      <c r="I74" s="147" t="s">
        <v>22</v>
      </c>
      <c r="J74" s="147" t="s">
        <v>84</v>
      </c>
      <c r="K74" s="147" t="s">
        <v>56</v>
      </c>
      <c r="L74" s="61" t="s">
        <v>70</v>
      </c>
      <c r="M74" s="61" t="str">
        <f t="shared" ca="1" si="10"/>
        <v>Vencido</v>
      </c>
      <c r="N74" s="61">
        <f t="shared" ca="1" si="11"/>
        <v>57</v>
      </c>
      <c r="O74" s="61" t="str">
        <f t="shared" ca="1" si="12"/>
        <v>31-60 dias</v>
      </c>
      <c r="P74" s="61" t="str">
        <f t="shared" ca="1" si="13"/>
        <v>Atraso Médio</v>
      </c>
      <c r="Q74" s="61" t="s">
        <v>60</v>
      </c>
      <c r="R74" s="61" t="s">
        <v>61</v>
      </c>
      <c r="S74" s="61"/>
      <c r="T74" s="61">
        <v>1</v>
      </c>
      <c r="U74" s="61" t="s">
        <v>61</v>
      </c>
      <c r="V74" s="142">
        <v>45740</v>
      </c>
      <c r="W74" s="142">
        <v>45740</v>
      </c>
      <c r="X74" s="61" t="s">
        <v>89</v>
      </c>
      <c r="Y74" s="148">
        <f t="shared" ca="1" si="14"/>
        <v>1900</v>
      </c>
      <c r="Z74" s="149" t="str">
        <f t="shared" ca="1" si="15"/>
        <v>0</v>
      </c>
    </row>
    <row r="75" spans="1:26" x14ac:dyDescent="0.3">
      <c r="A75" s="146" t="s">
        <v>0</v>
      </c>
      <c r="B75" s="61"/>
      <c r="C75" s="61" t="s">
        <v>14</v>
      </c>
      <c r="D75" s="61">
        <v>47</v>
      </c>
      <c r="E75" s="142">
        <v>45728</v>
      </c>
      <c r="F75" s="142">
        <v>45739</v>
      </c>
      <c r="G75" s="142">
        <v>45739</v>
      </c>
      <c r="H75" s="147">
        <v>2500</v>
      </c>
      <c r="I75" s="147" t="s">
        <v>23</v>
      </c>
      <c r="J75" s="147" t="s">
        <v>84</v>
      </c>
      <c r="K75" s="147" t="s">
        <v>56</v>
      </c>
      <c r="L75" s="61" t="s">
        <v>71</v>
      </c>
      <c r="M75" s="61" t="str">
        <f t="shared" ca="1" si="10"/>
        <v>Vencido</v>
      </c>
      <c r="N75" s="61">
        <f t="shared" ca="1" si="11"/>
        <v>56</v>
      </c>
      <c r="O75" s="61" t="str">
        <f t="shared" ca="1" si="12"/>
        <v>31-60 dias</v>
      </c>
      <c r="P75" s="61" t="str">
        <f t="shared" ca="1" si="13"/>
        <v>Atraso Médio</v>
      </c>
      <c r="Q75" s="61" t="s">
        <v>60</v>
      </c>
      <c r="R75" s="61" t="s">
        <v>62</v>
      </c>
      <c r="S75" s="61"/>
      <c r="T75" s="61">
        <v>1</v>
      </c>
      <c r="U75" s="61" t="s">
        <v>61</v>
      </c>
      <c r="V75" s="142">
        <v>45740</v>
      </c>
      <c r="W75" s="142">
        <v>45740</v>
      </c>
      <c r="X75" s="61" t="s">
        <v>89</v>
      </c>
      <c r="Y75" s="148">
        <f t="shared" ca="1" si="14"/>
        <v>2500</v>
      </c>
      <c r="Z75" s="149" t="str">
        <f t="shared" ca="1" si="15"/>
        <v>0</v>
      </c>
    </row>
    <row r="76" spans="1:26" x14ac:dyDescent="0.3">
      <c r="A76" s="146" t="s">
        <v>1</v>
      </c>
      <c r="B76" s="61"/>
      <c r="C76" s="61" t="s">
        <v>14</v>
      </c>
      <c r="D76" s="61">
        <v>48</v>
      </c>
      <c r="E76" s="142">
        <v>45731</v>
      </c>
      <c r="F76" s="142">
        <v>45740</v>
      </c>
      <c r="G76" s="142">
        <v>45740</v>
      </c>
      <c r="H76" s="147">
        <v>2300</v>
      </c>
      <c r="I76" s="147" t="s">
        <v>24</v>
      </c>
      <c r="J76" s="147" t="s">
        <v>84</v>
      </c>
      <c r="K76" s="147" t="s">
        <v>56</v>
      </c>
      <c r="L76" s="61" t="s">
        <v>71</v>
      </c>
      <c r="M76" s="61" t="str">
        <f t="shared" ca="1" si="10"/>
        <v>Vencido</v>
      </c>
      <c r="N76" s="61">
        <f t="shared" ca="1" si="11"/>
        <v>55</v>
      </c>
      <c r="O76" s="61" t="str">
        <f t="shared" ca="1" si="12"/>
        <v>31-60 dias</v>
      </c>
      <c r="P76" s="61" t="str">
        <f t="shared" ca="1" si="13"/>
        <v>Atraso Médio</v>
      </c>
      <c r="Q76" s="61" t="s">
        <v>60</v>
      </c>
      <c r="R76" s="61" t="s">
        <v>62</v>
      </c>
      <c r="S76" s="61"/>
      <c r="T76" s="61"/>
      <c r="U76" s="61" t="s">
        <v>62</v>
      </c>
      <c r="V76" s="142">
        <v>45741</v>
      </c>
      <c r="W76" s="142">
        <v>45741</v>
      </c>
      <c r="X76" s="61" t="s">
        <v>89</v>
      </c>
      <c r="Y76" s="148">
        <f t="shared" ca="1" si="14"/>
        <v>2300</v>
      </c>
      <c r="Z76" s="149" t="str">
        <f t="shared" ca="1" si="15"/>
        <v>0</v>
      </c>
    </row>
    <row r="77" spans="1:26" x14ac:dyDescent="0.3">
      <c r="A77" s="146" t="s">
        <v>0</v>
      </c>
      <c r="B77" s="61"/>
      <c r="C77" s="61" t="s">
        <v>14</v>
      </c>
      <c r="D77" s="61">
        <v>49</v>
      </c>
      <c r="E77" s="142">
        <v>45734</v>
      </c>
      <c r="F77" s="142">
        <v>45741</v>
      </c>
      <c r="G77" s="142">
        <v>45741</v>
      </c>
      <c r="H77" s="147">
        <v>2200</v>
      </c>
      <c r="I77" s="147" t="s">
        <v>24</v>
      </c>
      <c r="J77" s="147" t="s">
        <v>84</v>
      </c>
      <c r="K77" s="147" t="s">
        <v>56</v>
      </c>
      <c r="L77" s="61" t="s">
        <v>71</v>
      </c>
      <c r="M77" s="61" t="str">
        <f t="shared" ca="1" si="10"/>
        <v>Vencido</v>
      </c>
      <c r="N77" s="61">
        <f t="shared" ca="1" si="11"/>
        <v>54</v>
      </c>
      <c r="O77" s="61" t="str">
        <f t="shared" ca="1" si="12"/>
        <v>31-60 dias</v>
      </c>
      <c r="P77" s="61" t="str">
        <f t="shared" ca="1" si="13"/>
        <v>Atraso Médio</v>
      </c>
      <c r="Q77" s="61" t="s">
        <v>60</v>
      </c>
      <c r="R77" s="61" t="s">
        <v>62</v>
      </c>
      <c r="S77" s="61"/>
      <c r="T77" s="61"/>
      <c r="U77" s="61" t="s">
        <v>62</v>
      </c>
      <c r="V77" s="142">
        <v>45743</v>
      </c>
      <c r="W77" s="142">
        <v>45743</v>
      </c>
      <c r="X77" s="61" t="s">
        <v>89</v>
      </c>
      <c r="Y77" s="148">
        <f t="shared" ca="1" si="14"/>
        <v>2200</v>
      </c>
      <c r="Z77" s="149" t="str">
        <f t="shared" ca="1" si="15"/>
        <v>0</v>
      </c>
    </row>
    <row r="78" spans="1:26" x14ac:dyDescent="0.3">
      <c r="A78" s="146" t="s">
        <v>1</v>
      </c>
      <c r="B78" s="61"/>
      <c r="C78" s="61" t="s">
        <v>14</v>
      </c>
      <c r="D78" s="61">
        <v>50</v>
      </c>
      <c r="E78" s="142">
        <v>45738</v>
      </c>
      <c r="F78" s="142">
        <v>45742</v>
      </c>
      <c r="G78" s="142">
        <v>45742</v>
      </c>
      <c r="H78" s="147">
        <v>1800</v>
      </c>
      <c r="I78" s="147" t="s">
        <v>26</v>
      </c>
      <c r="J78" s="147" t="s">
        <v>84</v>
      </c>
      <c r="K78" s="147" t="s">
        <v>56</v>
      </c>
      <c r="L78" s="61" t="s">
        <v>71</v>
      </c>
      <c r="M78" s="61" t="str">
        <f t="shared" ca="1" si="10"/>
        <v>Vencido</v>
      </c>
      <c r="N78" s="61">
        <f t="shared" ca="1" si="11"/>
        <v>53</v>
      </c>
      <c r="O78" s="61" t="str">
        <f t="shared" ca="1" si="12"/>
        <v>31-60 dias</v>
      </c>
      <c r="P78" s="61" t="str">
        <f t="shared" ca="1" si="13"/>
        <v>Atraso Médio</v>
      </c>
      <c r="Q78" s="61" t="s">
        <v>60</v>
      </c>
      <c r="R78" s="61" t="s">
        <v>62</v>
      </c>
      <c r="S78" s="61"/>
      <c r="T78" s="61"/>
      <c r="U78" s="61" t="s">
        <v>62</v>
      </c>
      <c r="V78" s="142">
        <v>45744</v>
      </c>
      <c r="W78" s="142">
        <v>45744</v>
      </c>
      <c r="X78" s="61" t="s">
        <v>89</v>
      </c>
      <c r="Y78" s="148">
        <f t="shared" ca="1" si="14"/>
        <v>1800</v>
      </c>
      <c r="Z78" s="149" t="str">
        <f t="shared" ca="1" si="15"/>
        <v>0</v>
      </c>
    </row>
    <row r="79" spans="1:26" x14ac:dyDescent="0.3">
      <c r="A79" s="146" t="s">
        <v>1</v>
      </c>
      <c r="B79" s="61"/>
      <c r="C79" s="61" t="s">
        <v>14</v>
      </c>
      <c r="D79" s="61">
        <v>42</v>
      </c>
      <c r="E79" s="142">
        <v>45716</v>
      </c>
      <c r="F79" s="142">
        <v>45744</v>
      </c>
      <c r="G79" s="142">
        <v>45744</v>
      </c>
      <c r="H79" s="147">
        <v>2300</v>
      </c>
      <c r="I79" s="147" t="s">
        <v>18</v>
      </c>
      <c r="J79" s="147" t="s">
        <v>84</v>
      </c>
      <c r="K79" s="147" t="s">
        <v>56</v>
      </c>
      <c r="L79" s="61" t="s">
        <v>71</v>
      </c>
      <c r="M79" s="61" t="str">
        <f t="shared" ca="1" si="10"/>
        <v>Vencido</v>
      </c>
      <c r="N79" s="61">
        <f t="shared" ca="1" si="11"/>
        <v>51</v>
      </c>
      <c r="O79" s="61" t="str">
        <f t="shared" ca="1" si="12"/>
        <v>31-60 dias</v>
      </c>
      <c r="P79" s="61" t="str">
        <f t="shared" ca="1" si="13"/>
        <v>Atraso Médio</v>
      </c>
      <c r="Q79" s="61" t="s">
        <v>60</v>
      </c>
      <c r="R79" s="61" t="s">
        <v>62</v>
      </c>
      <c r="S79" s="61"/>
      <c r="T79" s="61"/>
      <c r="U79" s="61" t="s">
        <v>62</v>
      </c>
      <c r="V79" s="142">
        <v>45745</v>
      </c>
      <c r="W79" s="142">
        <v>45745</v>
      </c>
      <c r="X79" s="61" t="s">
        <v>89</v>
      </c>
      <c r="Y79" s="148">
        <f t="shared" ca="1" si="14"/>
        <v>2300</v>
      </c>
      <c r="Z79" s="149" t="str">
        <f t="shared" ca="1" si="15"/>
        <v>0</v>
      </c>
    </row>
    <row r="80" spans="1:26" x14ac:dyDescent="0.3">
      <c r="A80" s="146"/>
      <c r="B80" s="61"/>
      <c r="C80" s="61"/>
      <c r="D80" s="61"/>
      <c r="E80" s="142"/>
      <c r="F80" s="142"/>
      <c r="G80" s="142"/>
      <c r="H80" s="147"/>
      <c r="I80" s="147"/>
      <c r="J80" s="147"/>
      <c r="K80" s="147"/>
      <c r="L80" s="147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149"/>
    </row>
    <row r="81" spans="1:26" x14ac:dyDescent="0.3">
      <c r="A81" s="146"/>
      <c r="B81" s="61"/>
      <c r="C81" s="61"/>
      <c r="D81" s="61"/>
      <c r="E81" s="142"/>
      <c r="F81" s="142"/>
      <c r="G81" s="142"/>
      <c r="H81" s="147"/>
      <c r="I81" s="147"/>
      <c r="J81" s="147"/>
      <c r="K81" s="147"/>
      <c r="L81" s="147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149"/>
    </row>
    <row r="82" spans="1:26" x14ac:dyDescent="0.3">
      <c r="A82" s="146"/>
      <c r="B82" s="61"/>
      <c r="C82" s="61"/>
      <c r="D82" s="61"/>
      <c r="E82" s="142"/>
      <c r="F82" s="142"/>
      <c r="G82" s="142"/>
      <c r="H82" s="147"/>
      <c r="I82" s="147"/>
      <c r="J82" s="147"/>
      <c r="K82" s="147"/>
      <c r="L82" s="147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149"/>
    </row>
    <row r="83" spans="1:26" x14ac:dyDescent="0.3">
      <c r="A83" s="146"/>
      <c r="B83" s="61"/>
      <c r="C83" s="61"/>
      <c r="D83" s="61"/>
      <c r="E83" s="142"/>
      <c r="F83" s="142"/>
      <c r="G83" s="142"/>
      <c r="H83" s="147"/>
      <c r="I83" s="147"/>
      <c r="J83" s="147"/>
      <c r="K83" s="147"/>
      <c r="L83" s="147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149"/>
    </row>
    <row r="84" spans="1:26" x14ac:dyDescent="0.3">
      <c r="A84" s="146"/>
      <c r="B84" s="61"/>
      <c r="C84" s="61"/>
      <c r="D84" s="61"/>
      <c r="E84" s="142"/>
      <c r="F84" s="142"/>
      <c r="G84" s="142"/>
      <c r="H84" s="147"/>
      <c r="I84" s="147"/>
      <c r="J84" s="147"/>
      <c r="K84" s="147"/>
      <c r="L84" s="147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149"/>
    </row>
    <row r="85" spans="1:26" x14ac:dyDescent="0.3">
      <c r="A85" s="146"/>
      <c r="B85" s="61"/>
      <c r="C85" s="61"/>
      <c r="D85" s="61"/>
      <c r="E85" s="142"/>
      <c r="F85" s="142"/>
      <c r="G85" s="142"/>
      <c r="H85" s="147"/>
      <c r="I85" s="147"/>
      <c r="J85" s="147"/>
      <c r="K85" s="147"/>
      <c r="L85" s="147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149"/>
    </row>
    <row r="86" spans="1:26" x14ac:dyDescent="0.3">
      <c r="A86" s="146"/>
      <c r="B86" s="61"/>
      <c r="C86" s="61"/>
      <c r="D86" s="61"/>
      <c r="E86" s="142"/>
      <c r="F86" s="142"/>
      <c r="G86" s="142"/>
      <c r="H86" s="147"/>
      <c r="I86" s="147"/>
      <c r="J86" s="147"/>
      <c r="K86" s="147"/>
      <c r="L86" s="147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149"/>
    </row>
    <row r="87" spans="1:26" x14ac:dyDescent="0.3">
      <c r="A87" s="146"/>
      <c r="B87" s="61"/>
      <c r="C87" s="61"/>
      <c r="D87" s="61"/>
      <c r="E87" s="142"/>
      <c r="F87" s="142"/>
      <c r="G87" s="142"/>
      <c r="H87" s="147"/>
      <c r="I87" s="147"/>
      <c r="J87" s="147"/>
      <c r="K87" s="147"/>
      <c r="L87" s="147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149"/>
    </row>
    <row r="88" spans="1:26" x14ac:dyDescent="0.3">
      <c r="A88" s="146"/>
      <c r="B88" s="61"/>
      <c r="C88" s="61"/>
      <c r="D88" s="61"/>
      <c r="E88" s="142"/>
      <c r="F88" s="142"/>
      <c r="G88" s="142"/>
      <c r="H88" s="147"/>
      <c r="I88" s="147"/>
      <c r="J88" s="147"/>
      <c r="K88" s="147"/>
      <c r="L88" s="147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149"/>
    </row>
    <row r="89" spans="1:26" x14ac:dyDescent="0.3">
      <c r="A89" s="146"/>
      <c r="B89" s="61"/>
      <c r="C89" s="61"/>
      <c r="D89" s="61"/>
      <c r="E89" s="142"/>
      <c r="F89" s="142"/>
      <c r="G89" s="142"/>
      <c r="H89" s="147"/>
      <c r="I89" s="147"/>
      <c r="J89" s="147"/>
      <c r="K89" s="147"/>
      <c r="L89" s="147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149"/>
    </row>
    <row r="90" spans="1:26" x14ac:dyDescent="0.3">
      <c r="A90" s="146"/>
      <c r="B90" s="61"/>
      <c r="C90" s="61"/>
      <c r="D90" s="61"/>
      <c r="E90" s="142"/>
      <c r="F90" s="142"/>
      <c r="G90" s="142"/>
      <c r="H90" s="147"/>
      <c r="I90" s="147"/>
      <c r="J90" s="147"/>
      <c r="K90" s="147"/>
      <c r="L90" s="147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149"/>
    </row>
    <row r="91" spans="1:26" x14ac:dyDescent="0.3">
      <c r="A91" s="146"/>
      <c r="B91" s="61"/>
      <c r="C91" s="61"/>
      <c r="D91" s="61"/>
      <c r="E91" s="142"/>
      <c r="F91" s="142"/>
      <c r="G91" s="142"/>
      <c r="H91" s="147"/>
      <c r="I91" s="147"/>
      <c r="J91" s="147"/>
      <c r="K91" s="147"/>
      <c r="L91" s="147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149"/>
    </row>
    <row r="92" spans="1:26" x14ac:dyDescent="0.3">
      <c r="A92" s="146"/>
      <c r="B92" s="61"/>
      <c r="C92" s="61"/>
      <c r="D92" s="61"/>
      <c r="E92" s="142"/>
      <c r="F92" s="142"/>
      <c r="G92" s="142"/>
      <c r="H92" s="147"/>
      <c r="I92" s="147"/>
      <c r="J92" s="147"/>
      <c r="K92" s="147"/>
      <c r="L92" s="147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149"/>
    </row>
    <row r="93" spans="1:26" x14ac:dyDescent="0.3">
      <c r="A93" s="146"/>
      <c r="B93" s="61"/>
      <c r="C93" s="61"/>
      <c r="D93" s="61"/>
      <c r="E93" s="142"/>
      <c r="F93" s="142"/>
      <c r="G93" s="142"/>
      <c r="H93" s="147"/>
      <c r="I93" s="147"/>
      <c r="J93" s="147"/>
      <c r="K93" s="147"/>
      <c r="L93" s="147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149"/>
    </row>
    <row r="94" spans="1:26" x14ac:dyDescent="0.3">
      <c r="A94" s="146"/>
      <c r="B94" s="61"/>
      <c r="C94" s="61"/>
      <c r="D94" s="61"/>
      <c r="E94" s="142"/>
      <c r="F94" s="142"/>
      <c r="G94" s="142"/>
      <c r="H94" s="147"/>
      <c r="I94" s="147"/>
      <c r="J94" s="147"/>
      <c r="K94" s="147"/>
      <c r="L94" s="147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149"/>
    </row>
    <row r="95" spans="1:26" x14ac:dyDescent="0.3">
      <c r="A95" s="146"/>
      <c r="B95" s="61"/>
      <c r="C95" s="61"/>
      <c r="D95" s="61"/>
      <c r="E95" s="142"/>
      <c r="F95" s="142"/>
      <c r="G95" s="142"/>
      <c r="H95" s="147"/>
      <c r="I95" s="147"/>
      <c r="J95" s="147"/>
      <c r="K95" s="147"/>
      <c r="L95" s="147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149"/>
    </row>
    <row r="96" spans="1:26" x14ac:dyDescent="0.3">
      <c r="A96" s="146"/>
      <c r="B96" s="61"/>
      <c r="C96" s="61"/>
      <c r="D96" s="61"/>
      <c r="E96" s="142"/>
      <c r="F96" s="142"/>
      <c r="G96" s="142"/>
      <c r="H96" s="147"/>
      <c r="I96" s="147"/>
      <c r="J96" s="147"/>
      <c r="K96" s="147"/>
      <c r="L96" s="147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149"/>
    </row>
    <row r="97" spans="1:26" x14ac:dyDescent="0.3">
      <c r="A97" s="146"/>
      <c r="B97" s="61"/>
      <c r="C97" s="61"/>
      <c r="D97" s="61"/>
      <c r="E97" s="142"/>
      <c r="F97" s="142"/>
      <c r="G97" s="142"/>
      <c r="H97" s="147"/>
      <c r="I97" s="147"/>
      <c r="J97" s="147"/>
      <c r="K97" s="147"/>
      <c r="L97" s="147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149"/>
    </row>
    <row r="98" spans="1:26" x14ac:dyDescent="0.3">
      <c r="A98" s="146"/>
      <c r="B98" s="61"/>
      <c r="C98" s="61"/>
      <c r="D98" s="61"/>
      <c r="E98" s="142"/>
      <c r="F98" s="142"/>
      <c r="G98" s="142"/>
      <c r="H98" s="147"/>
      <c r="I98" s="147"/>
      <c r="J98" s="147"/>
      <c r="K98" s="147"/>
      <c r="L98" s="147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149"/>
    </row>
    <row r="99" spans="1:26" x14ac:dyDescent="0.3">
      <c r="A99" s="146"/>
      <c r="B99" s="61"/>
      <c r="C99" s="61"/>
      <c r="D99" s="61"/>
      <c r="E99" s="142"/>
      <c r="F99" s="142"/>
      <c r="G99" s="142"/>
      <c r="H99" s="147"/>
      <c r="I99" s="147"/>
      <c r="J99" s="147"/>
      <c r="K99" s="147"/>
      <c r="L99" s="147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149"/>
    </row>
    <row r="100" spans="1:26" x14ac:dyDescent="0.3">
      <c r="A100" s="146"/>
      <c r="B100" s="61"/>
      <c r="C100" s="61"/>
      <c r="D100" s="61"/>
      <c r="E100" s="142"/>
      <c r="F100" s="142"/>
      <c r="G100" s="142"/>
      <c r="H100" s="147"/>
      <c r="I100" s="147"/>
      <c r="J100" s="147"/>
      <c r="K100" s="147"/>
      <c r="L100" s="147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149"/>
    </row>
    <row r="101" spans="1:26" x14ac:dyDescent="0.3">
      <c r="A101" s="146"/>
      <c r="B101" s="61"/>
      <c r="C101" s="61"/>
      <c r="D101" s="61"/>
      <c r="E101" s="142"/>
      <c r="F101" s="142"/>
      <c r="G101" s="142"/>
      <c r="H101" s="147"/>
      <c r="I101" s="147"/>
      <c r="J101" s="147"/>
      <c r="K101" s="147"/>
      <c r="L101" s="147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149"/>
    </row>
    <row r="102" spans="1:26" x14ac:dyDescent="0.3">
      <c r="A102" s="146"/>
      <c r="B102" s="61"/>
      <c r="C102" s="61"/>
      <c r="D102" s="61"/>
      <c r="E102" s="142"/>
      <c r="F102" s="142"/>
      <c r="G102" s="142"/>
      <c r="H102" s="147"/>
      <c r="I102" s="147"/>
      <c r="J102" s="147"/>
      <c r="K102" s="147"/>
      <c r="L102" s="147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149"/>
    </row>
    <row r="103" spans="1:26" x14ac:dyDescent="0.3">
      <c r="A103" s="146"/>
      <c r="B103" s="61"/>
      <c r="C103" s="61"/>
      <c r="D103" s="61"/>
      <c r="E103" s="142"/>
      <c r="F103" s="142"/>
      <c r="G103" s="142"/>
      <c r="H103" s="147"/>
      <c r="I103" s="147"/>
      <c r="J103" s="147"/>
      <c r="K103" s="147"/>
      <c r="L103" s="147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149"/>
    </row>
    <row r="104" spans="1:26" x14ac:dyDescent="0.3">
      <c r="A104" s="146"/>
      <c r="B104" s="61"/>
      <c r="C104" s="61"/>
      <c r="D104" s="61"/>
      <c r="E104" s="142"/>
      <c r="F104" s="142"/>
      <c r="G104" s="142"/>
      <c r="H104" s="147"/>
      <c r="I104" s="147"/>
      <c r="J104" s="147"/>
      <c r="K104" s="147"/>
      <c r="L104" s="147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149"/>
    </row>
    <row r="105" spans="1:26" x14ac:dyDescent="0.3">
      <c r="A105" s="146"/>
      <c r="B105" s="61"/>
      <c r="C105" s="61"/>
      <c r="D105" s="61"/>
      <c r="E105" s="142"/>
      <c r="F105" s="142"/>
      <c r="G105" s="142"/>
      <c r="H105" s="147"/>
      <c r="I105" s="147"/>
      <c r="J105" s="147"/>
      <c r="K105" s="147"/>
      <c r="L105" s="147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149"/>
    </row>
    <row r="106" spans="1:26" x14ac:dyDescent="0.3">
      <c r="A106" s="146"/>
      <c r="B106" s="61"/>
      <c r="C106" s="61"/>
      <c r="D106" s="61"/>
      <c r="E106" s="142"/>
      <c r="F106" s="142"/>
      <c r="G106" s="142"/>
      <c r="H106" s="147"/>
      <c r="I106" s="147"/>
      <c r="J106" s="147"/>
      <c r="K106" s="147"/>
      <c r="L106" s="147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149"/>
    </row>
    <row r="107" spans="1:26" x14ac:dyDescent="0.3">
      <c r="A107" s="146"/>
      <c r="B107" s="61"/>
      <c r="C107" s="61"/>
      <c r="D107" s="61"/>
      <c r="E107" s="142"/>
      <c r="F107" s="142"/>
      <c r="G107" s="142"/>
      <c r="H107" s="147"/>
      <c r="I107" s="147"/>
      <c r="J107" s="147"/>
      <c r="K107" s="147"/>
      <c r="L107" s="147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149"/>
    </row>
    <row r="108" spans="1:26" x14ac:dyDescent="0.3">
      <c r="A108" s="146"/>
      <c r="B108" s="61"/>
      <c r="C108" s="61"/>
      <c r="D108" s="61"/>
      <c r="E108" s="142"/>
      <c r="F108" s="142"/>
      <c r="G108" s="142"/>
      <c r="H108" s="147"/>
      <c r="I108" s="147"/>
      <c r="J108" s="147"/>
      <c r="K108" s="147"/>
      <c r="L108" s="147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149"/>
    </row>
    <row r="109" spans="1:26" x14ac:dyDescent="0.3">
      <c r="A109" s="146"/>
      <c r="B109" s="61"/>
      <c r="C109" s="61"/>
      <c r="D109" s="61"/>
      <c r="E109" s="142"/>
      <c r="F109" s="142"/>
      <c r="G109" s="142"/>
      <c r="H109" s="147"/>
      <c r="I109" s="147"/>
      <c r="J109" s="147"/>
      <c r="K109" s="147"/>
      <c r="L109" s="147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149"/>
    </row>
    <row r="110" spans="1:26" x14ac:dyDescent="0.3">
      <c r="A110" s="146"/>
      <c r="B110" s="61"/>
      <c r="C110" s="61"/>
      <c r="D110" s="61"/>
      <c r="E110" s="142"/>
      <c r="F110" s="142"/>
      <c r="G110" s="142"/>
      <c r="H110" s="147"/>
      <c r="I110" s="147"/>
      <c r="J110" s="147"/>
      <c r="K110" s="147"/>
      <c r="L110" s="147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149"/>
    </row>
    <row r="111" spans="1:26" x14ac:dyDescent="0.3">
      <c r="A111" s="146"/>
      <c r="B111" s="61"/>
      <c r="C111" s="61"/>
      <c r="D111" s="61"/>
      <c r="E111" s="142"/>
      <c r="F111" s="142"/>
      <c r="G111" s="142"/>
      <c r="H111" s="147"/>
      <c r="I111" s="147"/>
      <c r="J111" s="147"/>
      <c r="K111" s="147"/>
      <c r="L111" s="147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149"/>
    </row>
    <row r="112" spans="1:26" x14ac:dyDescent="0.3">
      <c r="A112" s="146"/>
      <c r="B112" s="61"/>
      <c r="C112" s="61"/>
      <c r="D112" s="61"/>
      <c r="E112" s="142"/>
      <c r="F112" s="142"/>
      <c r="G112" s="142"/>
      <c r="H112" s="147"/>
      <c r="I112" s="147"/>
      <c r="J112" s="147"/>
      <c r="K112" s="147"/>
      <c r="L112" s="147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149"/>
    </row>
    <row r="113" spans="1:26" x14ac:dyDescent="0.3">
      <c r="A113" s="146"/>
      <c r="B113" s="61"/>
      <c r="C113" s="61"/>
      <c r="D113" s="61"/>
      <c r="E113" s="142"/>
      <c r="F113" s="142"/>
      <c r="G113" s="142"/>
      <c r="H113" s="147"/>
      <c r="I113" s="147"/>
      <c r="J113" s="147"/>
      <c r="K113" s="147"/>
      <c r="L113" s="147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149"/>
    </row>
    <row r="114" spans="1:26" x14ac:dyDescent="0.3">
      <c r="A114" s="146"/>
      <c r="B114" s="61"/>
      <c r="C114" s="61"/>
      <c r="D114" s="61"/>
      <c r="E114" s="142"/>
      <c r="F114" s="142"/>
      <c r="G114" s="142"/>
      <c r="H114" s="147"/>
      <c r="I114" s="147"/>
      <c r="J114" s="147"/>
      <c r="K114" s="147"/>
      <c r="L114" s="147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149"/>
    </row>
    <row r="115" spans="1:26" x14ac:dyDescent="0.3">
      <c r="A115" s="146"/>
      <c r="B115" s="61"/>
      <c r="C115" s="61"/>
      <c r="D115" s="61"/>
      <c r="E115" s="142"/>
      <c r="F115" s="142"/>
      <c r="G115" s="142"/>
      <c r="H115" s="147"/>
      <c r="I115" s="147"/>
      <c r="J115" s="147"/>
      <c r="K115" s="147"/>
      <c r="L115" s="147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149"/>
    </row>
    <row r="116" spans="1:26" x14ac:dyDescent="0.3">
      <c r="A116" s="146"/>
      <c r="B116" s="61"/>
      <c r="C116" s="61"/>
      <c r="D116" s="61"/>
      <c r="E116" s="142"/>
      <c r="F116" s="142"/>
      <c r="G116" s="142"/>
      <c r="H116" s="147"/>
      <c r="I116" s="147"/>
      <c r="J116" s="147"/>
      <c r="K116" s="147"/>
      <c r="L116" s="147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149"/>
    </row>
    <row r="117" spans="1:26" x14ac:dyDescent="0.3">
      <c r="A117" s="146"/>
      <c r="B117" s="61"/>
      <c r="C117" s="61"/>
      <c r="D117" s="61"/>
      <c r="E117" s="142"/>
      <c r="F117" s="142"/>
      <c r="G117" s="142"/>
      <c r="H117" s="147"/>
      <c r="I117" s="147"/>
      <c r="J117" s="147"/>
      <c r="K117" s="147"/>
      <c r="L117" s="147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149"/>
    </row>
    <row r="118" spans="1:26" x14ac:dyDescent="0.3">
      <c r="A118" s="146"/>
      <c r="B118" s="61"/>
      <c r="C118" s="61"/>
      <c r="D118" s="61"/>
      <c r="E118" s="142"/>
      <c r="F118" s="142"/>
      <c r="G118" s="142"/>
      <c r="H118" s="147"/>
      <c r="I118" s="147"/>
      <c r="J118" s="147"/>
      <c r="K118" s="147"/>
      <c r="L118" s="147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149"/>
    </row>
    <row r="119" spans="1:26" x14ac:dyDescent="0.3">
      <c r="A119" s="146"/>
      <c r="B119" s="61"/>
      <c r="C119" s="61"/>
      <c r="D119" s="61"/>
      <c r="E119" s="142"/>
      <c r="F119" s="142"/>
      <c r="G119" s="142"/>
      <c r="H119" s="147"/>
      <c r="I119" s="147"/>
      <c r="J119" s="147"/>
      <c r="K119" s="147"/>
      <c r="L119" s="147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149"/>
    </row>
    <row r="120" spans="1:26" x14ac:dyDescent="0.3">
      <c r="A120" s="146"/>
      <c r="B120" s="61"/>
      <c r="C120" s="61"/>
      <c r="D120" s="61"/>
      <c r="E120" s="142"/>
      <c r="F120" s="142"/>
      <c r="G120" s="142"/>
      <c r="H120" s="147"/>
      <c r="I120" s="147"/>
      <c r="J120" s="147"/>
      <c r="K120" s="147"/>
      <c r="L120" s="147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149"/>
    </row>
    <row r="121" spans="1:26" x14ac:dyDescent="0.3">
      <c r="A121" s="146"/>
      <c r="B121" s="61"/>
      <c r="C121" s="61"/>
      <c r="D121" s="61"/>
      <c r="E121" s="142"/>
      <c r="F121" s="142"/>
      <c r="G121" s="142"/>
      <c r="H121" s="147"/>
      <c r="I121" s="147"/>
      <c r="J121" s="147"/>
      <c r="K121" s="147"/>
      <c r="L121" s="147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149"/>
    </row>
    <row r="122" spans="1:26" x14ac:dyDescent="0.3">
      <c r="A122" s="146"/>
      <c r="B122" s="61"/>
      <c r="C122" s="61"/>
      <c r="D122" s="61"/>
      <c r="E122" s="142"/>
      <c r="F122" s="142"/>
      <c r="G122" s="142"/>
      <c r="H122" s="147"/>
      <c r="I122" s="147"/>
      <c r="J122" s="147"/>
      <c r="K122" s="147"/>
      <c r="L122" s="147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149"/>
    </row>
    <row r="123" spans="1:26" x14ac:dyDescent="0.3">
      <c r="A123" s="146"/>
      <c r="B123" s="61"/>
      <c r="C123" s="61"/>
      <c r="D123" s="61"/>
      <c r="E123" s="142"/>
      <c r="F123" s="142"/>
      <c r="G123" s="142"/>
      <c r="H123" s="147"/>
      <c r="I123" s="147"/>
      <c r="J123" s="147"/>
      <c r="K123" s="147"/>
      <c r="L123" s="147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149"/>
    </row>
    <row r="124" spans="1:26" x14ac:dyDescent="0.3">
      <c r="A124" s="146"/>
      <c r="B124" s="61"/>
      <c r="C124" s="61"/>
      <c r="D124" s="61"/>
      <c r="E124" s="142"/>
      <c r="F124" s="142"/>
      <c r="G124" s="142"/>
      <c r="H124" s="147"/>
      <c r="I124" s="147"/>
      <c r="J124" s="147"/>
      <c r="K124" s="147"/>
      <c r="L124" s="147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149"/>
    </row>
    <row r="125" spans="1:26" x14ac:dyDescent="0.3">
      <c r="A125" s="146"/>
      <c r="B125" s="61"/>
      <c r="C125" s="61"/>
      <c r="D125" s="61"/>
      <c r="E125" s="142"/>
      <c r="F125" s="142"/>
      <c r="G125" s="142"/>
      <c r="H125" s="147"/>
      <c r="I125" s="147"/>
      <c r="J125" s="147"/>
      <c r="K125" s="147"/>
      <c r="L125" s="147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149"/>
    </row>
    <row r="126" spans="1:26" x14ac:dyDescent="0.3">
      <c r="A126" s="146"/>
      <c r="B126" s="61"/>
      <c r="C126" s="61"/>
      <c r="D126" s="61"/>
      <c r="E126" s="142"/>
      <c r="F126" s="142"/>
      <c r="G126" s="142"/>
      <c r="H126" s="147"/>
      <c r="I126" s="147"/>
      <c r="J126" s="147"/>
      <c r="K126" s="147"/>
      <c r="L126" s="147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149"/>
    </row>
    <row r="127" spans="1:26" x14ac:dyDescent="0.3">
      <c r="A127" s="146"/>
      <c r="B127" s="61"/>
      <c r="C127" s="61"/>
      <c r="D127" s="61"/>
      <c r="E127" s="142"/>
      <c r="F127" s="142"/>
      <c r="G127" s="142"/>
      <c r="H127" s="147"/>
      <c r="I127" s="147"/>
      <c r="J127" s="147"/>
      <c r="K127" s="147"/>
      <c r="L127" s="147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149"/>
    </row>
    <row r="128" spans="1:26" x14ac:dyDescent="0.3">
      <c r="A128" s="146"/>
      <c r="B128" s="61"/>
      <c r="C128" s="61"/>
      <c r="D128" s="61"/>
      <c r="E128" s="142"/>
      <c r="F128" s="142"/>
      <c r="G128" s="142"/>
      <c r="H128" s="147"/>
      <c r="I128" s="147"/>
      <c r="J128" s="147"/>
      <c r="K128" s="147"/>
      <c r="L128" s="147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149"/>
    </row>
    <row r="129" spans="1:26" x14ac:dyDescent="0.3">
      <c r="A129" s="146"/>
      <c r="B129" s="61"/>
      <c r="C129" s="61"/>
      <c r="D129" s="61"/>
      <c r="E129" s="142"/>
      <c r="F129" s="142"/>
      <c r="G129" s="142"/>
      <c r="H129" s="147"/>
      <c r="I129" s="147"/>
      <c r="J129" s="147"/>
      <c r="K129" s="147"/>
      <c r="L129" s="147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149"/>
    </row>
    <row r="130" spans="1:26" x14ac:dyDescent="0.3">
      <c r="A130" s="146"/>
      <c r="B130" s="61"/>
      <c r="C130" s="61"/>
      <c r="D130" s="61"/>
      <c r="E130" s="142"/>
      <c r="F130" s="142"/>
      <c r="G130" s="142"/>
      <c r="H130" s="147"/>
      <c r="I130" s="147"/>
      <c r="J130" s="147"/>
      <c r="K130" s="147"/>
      <c r="L130" s="147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149"/>
    </row>
    <row r="131" spans="1:26" x14ac:dyDescent="0.3">
      <c r="A131" s="146"/>
      <c r="B131" s="61"/>
      <c r="C131" s="61"/>
      <c r="D131" s="61"/>
      <c r="E131" s="142"/>
      <c r="F131" s="142"/>
      <c r="G131" s="142"/>
      <c r="H131" s="147"/>
      <c r="I131" s="147"/>
      <c r="J131" s="147"/>
      <c r="K131" s="147"/>
      <c r="L131" s="147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149"/>
    </row>
    <row r="132" spans="1:26" x14ac:dyDescent="0.3">
      <c r="A132" s="146"/>
      <c r="B132" s="61"/>
      <c r="C132" s="61"/>
      <c r="D132" s="61"/>
      <c r="E132" s="142"/>
      <c r="F132" s="142"/>
      <c r="G132" s="142"/>
      <c r="H132" s="147"/>
      <c r="I132" s="147"/>
      <c r="J132" s="147"/>
      <c r="K132" s="147"/>
      <c r="L132" s="147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149"/>
    </row>
    <row r="133" spans="1:26" x14ac:dyDescent="0.3">
      <c r="A133" s="146"/>
      <c r="B133" s="61"/>
      <c r="C133" s="61"/>
      <c r="D133" s="61"/>
      <c r="E133" s="142"/>
      <c r="F133" s="142"/>
      <c r="G133" s="142"/>
      <c r="H133" s="147"/>
      <c r="I133" s="147"/>
      <c r="J133" s="147"/>
      <c r="K133" s="147"/>
      <c r="L133" s="147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149"/>
    </row>
    <row r="134" spans="1:26" x14ac:dyDescent="0.3">
      <c r="A134" s="146"/>
      <c r="B134" s="61"/>
      <c r="C134" s="61"/>
      <c r="D134" s="61"/>
      <c r="E134" s="142"/>
      <c r="F134" s="142"/>
      <c r="G134" s="142"/>
      <c r="H134" s="147"/>
      <c r="I134" s="147"/>
      <c r="J134" s="147"/>
      <c r="K134" s="147"/>
      <c r="L134" s="147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149"/>
    </row>
    <row r="135" spans="1:26" x14ac:dyDescent="0.3">
      <c r="A135" s="146"/>
      <c r="B135" s="61"/>
      <c r="C135" s="61"/>
      <c r="D135" s="61"/>
      <c r="E135" s="142"/>
      <c r="F135" s="142"/>
      <c r="G135" s="142"/>
      <c r="H135" s="147"/>
      <c r="I135" s="147"/>
      <c r="J135" s="147"/>
      <c r="K135" s="147"/>
      <c r="L135" s="147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149"/>
    </row>
    <row r="136" spans="1:26" x14ac:dyDescent="0.3">
      <c r="A136" s="146"/>
      <c r="B136" s="61"/>
      <c r="C136" s="61"/>
      <c r="D136" s="61"/>
      <c r="E136" s="142"/>
      <c r="F136" s="142"/>
      <c r="G136" s="142"/>
      <c r="H136" s="147"/>
      <c r="I136" s="147"/>
      <c r="J136" s="147"/>
      <c r="K136" s="147"/>
      <c r="L136" s="147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149"/>
    </row>
    <row r="137" spans="1:26" x14ac:dyDescent="0.3">
      <c r="A137" s="146"/>
      <c r="B137" s="61"/>
      <c r="C137" s="61"/>
      <c r="D137" s="61"/>
      <c r="E137" s="142"/>
      <c r="F137" s="142"/>
      <c r="G137" s="142"/>
      <c r="H137" s="147"/>
      <c r="I137" s="147"/>
      <c r="J137" s="147"/>
      <c r="K137" s="147"/>
      <c r="L137" s="147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149"/>
    </row>
    <row r="138" spans="1:26" x14ac:dyDescent="0.3">
      <c r="A138" s="146"/>
      <c r="B138" s="61"/>
      <c r="C138" s="61"/>
      <c r="D138" s="61"/>
      <c r="E138" s="142"/>
      <c r="F138" s="142"/>
      <c r="G138" s="142"/>
      <c r="H138" s="147"/>
      <c r="I138" s="147"/>
      <c r="J138" s="147"/>
      <c r="K138" s="147"/>
      <c r="L138" s="147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149"/>
    </row>
    <row r="139" spans="1:26" x14ac:dyDescent="0.3">
      <c r="A139" s="146"/>
      <c r="B139" s="61"/>
      <c r="C139" s="61"/>
      <c r="D139" s="61"/>
      <c r="E139" s="142"/>
      <c r="F139" s="142"/>
      <c r="G139" s="142"/>
      <c r="H139" s="147"/>
      <c r="I139" s="147"/>
      <c r="J139" s="147"/>
      <c r="K139" s="147"/>
      <c r="L139" s="147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149"/>
    </row>
    <row r="140" spans="1:26" x14ac:dyDescent="0.3">
      <c r="A140" s="146"/>
      <c r="B140" s="61"/>
      <c r="C140" s="61"/>
      <c r="D140" s="61"/>
      <c r="E140" s="142"/>
      <c r="F140" s="142"/>
      <c r="G140" s="142"/>
      <c r="H140" s="147"/>
      <c r="I140" s="147"/>
      <c r="J140" s="147"/>
      <c r="K140" s="147"/>
      <c r="L140" s="147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149"/>
    </row>
    <row r="141" spans="1:26" x14ac:dyDescent="0.3">
      <c r="A141" s="146"/>
      <c r="B141" s="61"/>
      <c r="C141" s="61"/>
      <c r="D141" s="61"/>
      <c r="E141" s="142"/>
      <c r="F141" s="142"/>
      <c r="G141" s="142"/>
      <c r="H141" s="147"/>
      <c r="I141" s="147"/>
      <c r="J141" s="147"/>
      <c r="K141" s="147"/>
      <c r="L141" s="147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149"/>
    </row>
    <row r="142" spans="1:26" x14ac:dyDescent="0.3">
      <c r="A142" s="146"/>
      <c r="B142" s="61"/>
      <c r="C142" s="61"/>
      <c r="D142" s="61"/>
      <c r="E142" s="142"/>
      <c r="F142" s="142"/>
      <c r="G142" s="142"/>
      <c r="H142" s="147"/>
      <c r="I142" s="147"/>
      <c r="J142" s="147"/>
      <c r="K142" s="147"/>
      <c r="L142" s="147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149"/>
    </row>
    <row r="143" spans="1:26" x14ac:dyDescent="0.3">
      <c r="A143" s="146"/>
      <c r="B143" s="61"/>
      <c r="C143" s="61"/>
      <c r="D143" s="61"/>
      <c r="E143" s="142"/>
      <c r="F143" s="142"/>
      <c r="G143" s="142"/>
      <c r="H143" s="147"/>
      <c r="I143" s="147"/>
      <c r="J143" s="147"/>
      <c r="K143" s="147"/>
      <c r="L143" s="147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149"/>
    </row>
    <row r="144" spans="1:26" x14ac:dyDescent="0.3">
      <c r="A144" s="146"/>
      <c r="B144" s="61"/>
      <c r="C144" s="61"/>
      <c r="D144" s="61"/>
      <c r="E144" s="142"/>
      <c r="F144" s="142"/>
      <c r="G144" s="142"/>
      <c r="H144" s="147"/>
      <c r="I144" s="147"/>
      <c r="J144" s="147"/>
      <c r="K144" s="147"/>
      <c r="L144" s="147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149"/>
    </row>
    <row r="145" spans="1:26" x14ac:dyDescent="0.3">
      <c r="A145" s="146"/>
      <c r="B145" s="61"/>
      <c r="C145" s="61"/>
      <c r="D145" s="61"/>
      <c r="E145" s="142"/>
      <c r="F145" s="142"/>
      <c r="G145" s="142"/>
      <c r="H145" s="147"/>
      <c r="I145" s="147"/>
      <c r="J145" s="147"/>
      <c r="K145" s="147"/>
      <c r="L145" s="147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149"/>
    </row>
    <row r="146" spans="1:26" x14ac:dyDescent="0.3">
      <c r="A146" s="146"/>
      <c r="B146" s="61"/>
      <c r="C146" s="61"/>
      <c r="D146" s="61"/>
      <c r="E146" s="142"/>
      <c r="F146" s="142"/>
      <c r="G146" s="142"/>
      <c r="H146" s="147"/>
      <c r="I146" s="147"/>
      <c r="J146" s="147"/>
      <c r="K146" s="147"/>
      <c r="L146" s="147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149"/>
    </row>
    <row r="147" spans="1:26" x14ac:dyDescent="0.3">
      <c r="A147" s="146"/>
      <c r="B147" s="61"/>
      <c r="C147" s="61"/>
      <c r="D147" s="61"/>
      <c r="E147" s="142"/>
      <c r="F147" s="142"/>
      <c r="G147" s="142"/>
      <c r="H147" s="147"/>
      <c r="I147" s="147"/>
      <c r="J147" s="147"/>
      <c r="K147" s="147"/>
      <c r="L147" s="147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149"/>
    </row>
    <row r="148" spans="1:26" x14ac:dyDescent="0.3">
      <c r="A148" s="146"/>
      <c r="B148" s="61"/>
      <c r="C148" s="61"/>
      <c r="D148" s="61"/>
      <c r="E148" s="142"/>
      <c r="F148" s="142"/>
      <c r="G148" s="142"/>
      <c r="H148" s="147"/>
      <c r="I148" s="147"/>
      <c r="J148" s="147"/>
      <c r="K148" s="147"/>
      <c r="L148" s="147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149"/>
    </row>
    <row r="149" spans="1:26" x14ac:dyDescent="0.3">
      <c r="A149" s="146"/>
      <c r="B149" s="61"/>
      <c r="C149" s="61"/>
      <c r="D149" s="61"/>
      <c r="E149" s="142"/>
      <c r="F149" s="142"/>
      <c r="G149" s="142"/>
      <c r="H149" s="147"/>
      <c r="I149" s="147"/>
      <c r="J149" s="147"/>
      <c r="K149" s="147"/>
      <c r="L149" s="147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149"/>
    </row>
    <row r="150" spans="1:26" x14ac:dyDescent="0.3">
      <c r="A150" s="146"/>
      <c r="B150" s="61"/>
      <c r="C150" s="61"/>
      <c r="D150" s="61"/>
      <c r="E150" s="142"/>
      <c r="F150" s="142"/>
      <c r="G150" s="142"/>
      <c r="H150" s="147"/>
      <c r="I150" s="147"/>
      <c r="J150" s="147"/>
      <c r="K150" s="147"/>
      <c r="L150" s="147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149"/>
    </row>
    <row r="151" spans="1:26" x14ac:dyDescent="0.3">
      <c r="A151" s="146"/>
      <c r="B151" s="61"/>
      <c r="C151" s="61"/>
      <c r="D151" s="61"/>
      <c r="E151" s="142"/>
      <c r="F151" s="142"/>
      <c r="G151" s="142"/>
      <c r="H151" s="147"/>
      <c r="I151" s="147"/>
      <c r="J151" s="147"/>
      <c r="K151" s="147"/>
      <c r="L151" s="147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149"/>
    </row>
    <row r="152" spans="1:26" x14ac:dyDescent="0.3">
      <c r="A152" s="146"/>
      <c r="B152" s="61"/>
      <c r="C152" s="61"/>
      <c r="D152" s="61"/>
      <c r="E152" s="142"/>
      <c r="F152" s="142"/>
      <c r="G152" s="142"/>
      <c r="H152" s="147"/>
      <c r="I152" s="147"/>
      <c r="J152" s="147"/>
      <c r="K152" s="147"/>
      <c r="L152" s="147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149"/>
    </row>
    <row r="153" spans="1:26" x14ac:dyDescent="0.3">
      <c r="A153" s="146"/>
      <c r="B153" s="61"/>
      <c r="C153" s="61"/>
      <c r="D153" s="61"/>
      <c r="E153" s="142"/>
      <c r="F153" s="142"/>
      <c r="G153" s="142"/>
      <c r="H153" s="147"/>
      <c r="I153" s="147"/>
      <c r="J153" s="147"/>
      <c r="K153" s="147"/>
      <c r="L153" s="147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149"/>
    </row>
    <row r="154" spans="1:26" x14ac:dyDescent="0.3">
      <c r="A154" s="146"/>
      <c r="B154" s="61"/>
      <c r="C154" s="61"/>
      <c r="D154" s="61"/>
      <c r="E154" s="142"/>
      <c r="F154" s="142"/>
      <c r="G154" s="142"/>
      <c r="H154" s="147"/>
      <c r="I154" s="147"/>
      <c r="J154" s="147"/>
      <c r="K154" s="147"/>
      <c r="L154" s="147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149"/>
    </row>
    <row r="155" spans="1:26" x14ac:dyDescent="0.3">
      <c r="A155" s="146"/>
      <c r="B155" s="61"/>
      <c r="C155" s="61"/>
      <c r="D155" s="61"/>
      <c r="E155" s="142"/>
      <c r="F155" s="142"/>
      <c r="G155" s="142"/>
      <c r="H155" s="147"/>
      <c r="I155" s="147"/>
      <c r="J155" s="147"/>
      <c r="K155" s="147"/>
      <c r="L155" s="147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149"/>
    </row>
    <row r="156" spans="1:26" x14ac:dyDescent="0.3">
      <c r="A156" s="146"/>
      <c r="B156" s="61"/>
      <c r="C156" s="61"/>
      <c r="D156" s="61"/>
      <c r="E156" s="142"/>
      <c r="F156" s="142"/>
      <c r="G156" s="142"/>
      <c r="H156" s="147"/>
      <c r="I156" s="147"/>
      <c r="J156" s="147"/>
      <c r="K156" s="147"/>
      <c r="L156" s="147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149"/>
    </row>
    <row r="157" spans="1:26" x14ac:dyDescent="0.3">
      <c r="A157" s="146"/>
      <c r="B157" s="61"/>
      <c r="C157" s="61"/>
      <c r="D157" s="61"/>
      <c r="E157" s="142"/>
      <c r="F157" s="142"/>
      <c r="G157" s="142"/>
      <c r="H157" s="147"/>
      <c r="I157" s="147"/>
      <c r="J157" s="147"/>
      <c r="K157" s="147"/>
      <c r="L157" s="147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149"/>
    </row>
    <row r="158" spans="1:26" x14ac:dyDescent="0.3">
      <c r="A158" s="146"/>
      <c r="B158" s="61"/>
      <c r="C158" s="61"/>
      <c r="D158" s="61"/>
      <c r="E158" s="142"/>
      <c r="F158" s="142"/>
      <c r="G158" s="142"/>
      <c r="H158" s="147"/>
      <c r="I158" s="147"/>
      <c r="J158" s="147"/>
      <c r="K158" s="147"/>
      <c r="L158" s="147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149"/>
    </row>
    <row r="159" spans="1:26" x14ac:dyDescent="0.3">
      <c r="A159" s="146"/>
      <c r="B159" s="61"/>
      <c r="C159" s="61"/>
      <c r="D159" s="61"/>
      <c r="E159" s="142"/>
      <c r="F159" s="142"/>
      <c r="G159" s="142"/>
      <c r="H159" s="147"/>
      <c r="I159" s="147"/>
      <c r="J159" s="147"/>
      <c r="K159" s="147"/>
      <c r="L159" s="147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149"/>
    </row>
    <row r="160" spans="1:26" x14ac:dyDescent="0.3">
      <c r="A160" s="146"/>
      <c r="B160" s="61"/>
      <c r="C160" s="61"/>
      <c r="D160" s="61"/>
      <c r="E160" s="142"/>
      <c r="F160" s="142"/>
      <c r="G160" s="142"/>
      <c r="H160" s="147"/>
      <c r="I160" s="147"/>
      <c r="J160" s="147"/>
      <c r="K160" s="147"/>
      <c r="L160" s="147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149"/>
    </row>
    <row r="161" spans="1:26" x14ac:dyDescent="0.3">
      <c r="A161" s="146"/>
      <c r="B161" s="61"/>
      <c r="C161" s="61"/>
      <c r="D161" s="61"/>
      <c r="E161" s="142"/>
      <c r="F161" s="142"/>
      <c r="G161" s="142"/>
      <c r="H161" s="147"/>
      <c r="I161" s="147"/>
      <c r="J161" s="147"/>
      <c r="K161" s="147"/>
      <c r="L161" s="147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149"/>
    </row>
    <row r="162" spans="1:26" x14ac:dyDescent="0.3">
      <c r="A162" s="146"/>
      <c r="B162" s="61"/>
      <c r="C162" s="61"/>
      <c r="D162" s="61"/>
      <c r="E162" s="142"/>
      <c r="F162" s="142"/>
      <c r="G162" s="142"/>
      <c r="H162" s="147"/>
      <c r="I162" s="147"/>
      <c r="J162" s="147"/>
      <c r="K162" s="147"/>
      <c r="L162" s="147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149"/>
    </row>
    <row r="163" spans="1:26" x14ac:dyDescent="0.3">
      <c r="A163" s="146"/>
      <c r="B163" s="61"/>
      <c r="C163" s="61"/>
      <c r="D163" s="61"/>
      <c r="E163" s="142"/>
      <c r="F163" s="142"/>
      <c r="G163" s="142"/>
      <c r="H163" s="147"/>
      <c r="I163" s="147"/>
      <c r="J163" s="147"/>
      <c r="K163" s="147"/>
      <c r="L163" s="147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149"/>
    </row>
    <row r="164" spans="1:26" x14ac:dyDescent="0.3">
      <c r="A164" s="146"/>
      <c r="B164" s="61"/>
      <c r="C164" s="61"/>
      <c r="D164" s="61"/>
      <c r="E164" s="142"/>
      <c r="F164" s="142"/>
      <c r="G164" s="142"/>
      <c r="H164" s="147"/>
      <c r="I164" s="147"/>
      <c r="J164" s="147"/>
      <c r="K164" s="147"/>
      <c r="L164" s="147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149"/>
    </row>
    <row r="165" spans="1:26" x14ac:dyDescent="0.3">
      <c r="A165" s="146"/>
      <c r="B165" s="61"/>
      <c r="C165" s="61"/>
      <c r="D165" s="61"/>
      <c r="E165" s="142"/>
      <c r="F165" s="142"/>
      <c r="G165" s="142"/>
      <c r="H165" s="147"/>
      <c r="I165" s="147"/>
      <c r="J165" s="147"/>
      <c r="K165" s="147"/>
      <c r="L165" s="147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149"/>
    </row>
    <row r="166" spans="1:26" x14ac:dyDescent="0.3">
      <c r="A166" s="146"/>
      <c r="B166" s="61"/>
      <c r="C166" s="61"/>
      <c r="D166" s="61"/>
      <c r="E166" s="142"/>
      <c r="F166" s="142"/>
      <c r="G166" s="142"/>
      <c r="H166" s="147"/>
      <c r="I166" s="147"/>
      <c r="J166" s="147"/>
      <c r="K166" s="147"/>
      <c r="L166" s="147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149"/>
    </row>
    <row r="167" spans="1:26" x14ac:dyDescent="0.3">
      <c r="A167" s="146"/>
      <c r="B167" s="61"/>
      <c r="C167" s="61"/>
      <c r="D167" s="61"/>
      <c r="E167" s="142"/>
      <c r="F167" s="142"/>
      <c r="G167" s="142"/>
      <c r="H167" s="147"/>
      <c r="I167" s="147"/>
      <c r="J167" s="147"/>
      <c r="K167" s="147"/>
      <c r="L167" s="147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149"/>
    </row>
    <row r="168" spans="1:26" x14ac:dyDescent="0.3">
      <c r="A168" s="146"/>
      <c r="B168" s="61"/>
      <c r="C168" s="61"/>
      <c r="D168" s="61"/>
      <c r="E168" s="142"/>
      <c r="F168" s="142"/>
      <c r="G168" s="142"/>
      <c r="H168" s="147"/>
      <c r="I168" s="147"/>
      <c r="J168" s="147"/>
      <c r="K168" s="147"/>
      <c r="L168" s="147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149"/>
    </row>
    <row r="169" spans="1:26" x14ac:dyDescent="0.3">
      <c r="A169" s="146"/>
      <c r="B169" s="61"/>
      <c r="C169" s="61"/>
      <c r="D169" s="61"/>
      <c r="E169" s="142"/>
      <c r="F169" s="142"/>
      <c r="G169" s="142"/>
      <c r="H169" s="147"/>
      <c r="I169" s="147"/>
      <c r="J169" s="147"/>
      <c r="K169" s="147"/>
      <c r="L169" s="147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149"/>
    </row>
    <row r="170" spans="1:26" x14ac:dyDescent="0.3">
      <c r="A170" s="146"/>
      <c r="B170" s="61"/>
      <c r="C170" s="61"/>
      <c r="D170" s="61"/>
      <c r="E170" s="142"/>
      <c r="F170" s="142"/>
      <c r="G170" s="142"/>
      <c r="H170" s="147"/>
      <c r="I170" s="147"/>
      <c r="J170" s="147"/>
      <c r="K170" s="147"/>
      <c r="L170" s="147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149"/>
    </row>
    <row r="171" spans="1:26" x14ac:dyDescent="0.3">
      <c r="A171" s="146"/>
      <c r="B171" s="61"/>
      <c r="C171" s="61"/>
      <c r="D171" s="61"/>
      <c r="E171" s="142"/>
      <c r="F171" s="142"/>
      <c r="G171" s="142"/>
      <c r="H171" s="147"/>
      <c r="I171" s="147"/>
      <c r="J171" s="147"/>
      <c r="K171" s="147"/>
      <c r="L171" s="147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149"/>
    </row>
    <row r="172" spans="1:26" x14ac:dyDescent="0.3">
      <c r="A172" s="146"/>
      <c r="B172" s="61"/>
      <c r="C172" s="61"/>
      <c r="D172" s="61"/>
      <c r="E172" s="142"/>
      <c r="F172" s="142"/>
      <c r="G172" s="142"/>
      <c r="H172" s="147"/>
      <c r="I172" s="147"/>
      <c r="J172" s="147"/>
      <c r="K172" s="147"/>
      <c r="L172" s="147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149"/>
    </row>
    <row r="173" spans="1:26" x14ac:dyDescent="0.3">
      <c r="A173" s="146"/>
      <c r="B173" s="61"/>
      <c r="C173" s="61"/>
      <c r="D173" s="61"/>
      <c r="E173" s="142"/>
      <c r="F173" s="142"/>
      <c r="G173" s="142"/>
      <c r="H173" s="147"/>
      <c r="I173" s="147"/>
      <c r="J173" s="147"/>
      <c r="K173" s="147"/>
      <c r="L173" s="147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149"/>
    </row>
    <row r="174" spans="1:26" x14ac:dyDescent="0.3">
      <c r="A174" s="146"/>
      <c r="B174" s="61"/>
      <c r="C174" s="61"/>
      <c r="D174" s="61"/>
      <c r="E174" s="142"/>
      <c r="F174" s="142"/>
      <c r="G174" s="142"/>
      <c r="H174" s="147"/>
      <c r="I174" s="147"/>
      <c r="J174" s="147"/>
      <c r="K174" s="147"/>
      <c r="L174" s="147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149"/>
    </row>
    <row r="175" spans="1:26" x14ac:dyDescent="0.3">
      <c r="A175" s="146"/>
      <c r="B175" s="61"/>
      <c r="C175" s="61"/>
      <c r="D175" s="61"/>
      <c r="E175" s="142"/>
      <c r="F175" s="142"/>
      <c r="G175" s="142"/>
      <c r="H175" s="147"/>
      <c r="I175" s="147"/>
      <c r="J175" s="147"/>
      <c r="K175" s="147"/>
      <c r="L175" s="147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149"/>
    </row>
    <row r="176" spans="1:26" x14ac:dyDescent="0.3">
      <c r="A176" s="146"/>
      <c r="B176" s="61"/>
      <c r="C176" s="61"/>
      <c r="D176" s="61"/>
      <c r="E176" s="142"/>
      <c r="F176" s="142"/>
      <c r="G176" s="142"/>
      <c r="H176" s="147"/>
      <c r="I176" s="147"/>
      <c r="J176" s="147"/>
      <c r="K176" s="147"/>
      <c r="L176" s="147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149"/>
    </row>
    <row r="177" spans="1:26" x14ac:dyDescent="0.3">
      <c r="A177" s="146"/>
      <c r="B177" s="61"/>
      <c r="C177" s="61"/>
      <c r="D177" s="61"/>
      <c r="E177" s="142"/>
      <c r="F177" s="142"/>
      <c r="G177" s="142"/>
      <c r="H177" s="147"/>
      <c r="I177" s="147"/>
      <c r="J177" s="147"/>
      <c r="K177" s="147"/>
      <c r="L177" s="147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149"/>
    </row>
    <row r="178" spans="1:26" x14ac:dyDescent="0.3">
      <c r="A178" s="146"/>
      <c r="B178" s="61"/>
      <c r="C178" s="61"/>
      <c r="D178" s="61"/>
      <c r="E178" s="142"/>
      <c r="F178" s="142"/>
      <c r="G178" s="142"/>
      <c r="H178" s="147"/>
      <c r="I178" s="147"/>
      <c r="J178" s="147"/>
      <c r="K178" s="147"/>
      <c r="L178" s="147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149"/>
    </row>
    <row r="179" spans="1:26" x14ac:dyDescent="0.3">
      <c r="A179" s="146"/>
      <c r="B179" s="61"/>
      <c r="C179" s="61"/>
      <c r="D179" s="61"/>
      <c r="E179" s="142"/>
      <c r="F179" s="142"/>
      <c r="G179" s="142"/>
      <c r="H179" s="147"/>
      <c r="I179" s="147"/>
      <c r="J179" s="147"/>
      <c r="K179" s="147"/>
      <c r="L179" s="147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149"/>
    </row>
    <row r="180" spans="1:26" x14ac:dyDescent="0.3">
      <c r="A180" s="146"/>
      <c r="B180" s="61"/>
      <c r="C180" s="61"/>
      <c r="D180" s="61"/>
      <c r="E180" s="142"/>
      <c r="F180" s="142"/>
      <c r="G180" s="142"/>
      <c r="H180" s="147"/>
      <c r="I180" s="147"/>
      <c r="J180" s="147"/>
      <c r="K180" s="147"/>
      <c r="L180" s="147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149"/>
    </row>
    <row r="181" spans="1:26" x14ac:dyDescent="0.3">
      <c r="A181" s="146"/>
      <c r="B181" s="61"/>
      <c r="C181" s="61"/>
      <c r="D181" s="61"/>
      <c r="E181" s="142"/>
      <c r="F181" s="142"/>
      <c r="G181" s="142"/>
      <c r="H181" s="147"/>
      <c r="I181" s="147"/>
      <c r="J181" s="147"/>
      <c r="K181" s="147"/>
      <c r="L181" s="147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149"/>
    </row>
    <row r="182" spans="1:26" x14ac:dyDescent="0.3">
      <c r="A182" s="146"/>
      <c r="B182" s="61"/>
      <c r="C182" s="61"/>
      <c r="D182" s="61"/>
      <c r="E182" s="142"/>
      <c r="F182" s="142"/>
      <c r="G182" s="142"/>
      <c r="H182" s="147"/>
      <c r="I182" s="147"/>
      <c r="J182" s="147"/>
      <c r="K182" s="147"/>
      <c r="L182" s="147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149"/>
    </row>
    <row r="183" spans="1:26" x14ac:dyDescent="0.3">
      <c r="A183" s="146"/>
      <c r="B183" s="61"/>
      <c r="C183" s="61"/>
      <c r="D183" s="61"/>
      <c r="E183" s="142"/>
      <c r="F183" s="142"/>
      <c r="G183" s="142"/>
      <c r="H183" s="147"/>
      <c r="I183" s="147"/>
      <c r="J183" s="147"/>
      <c r="K183" s="147"/>
      <c r="L183" s="147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149"/>
    </row>
    <row r="184" spans="1:26" x14ac:dyDescent="0.3">
      <c r="A184" s="146"/>
      <c r="B184" s="61"/>
      <c r="C184" s="61"/>
      <c r="D184" s="61"/>
      <c r="E184" s="142"/>
      <c r="F184" s="142"/>
      <c r="G184" s="142"/>
      <c r="H184" s="147"/>
      <c r="I184" s="147"/>
      <c r="J184" s="147"/>
      <c r="K184" s="147"/>
      <c r="L184" s="147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149"/>
    </row>
    <row r="185" spans="1:26" x14ac:dyDescent="0.3">
      <c r="A185" s="146"/>
      <c r="B185" s="61"/>
      <c r="C185" s="61"/>
      <c r="D185" s="61"/>
      <c r="E185" s="142"/>
      <c r="F185" s="142"/>
      <c r="G185" s="142"/>
      <c r="H185" s="147"/>
      <c r="I185" s="147"/>
      <c r="J185" s="147"/>
      <c r="K185" s="147"/>
      <c r="L185" s="147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149"/>
    </row>
    <row r="186" spans="1:26" x14ac:dyDescent="0.3">
      <c r="A186" s="146"/>
      <c r="B186" s="61"/>
      <c r="C186" s="61"/>
      <c r="D186" s="61"/>
      <c r="E186" s="142"/>
      <c r="F186" s="142"/>
      <c r="G186" s="142"/>
      <c r="H186" s="147"/>
      <c r="I186" s="147"/>
      <c r="J186" s="147"/>
      <c r="K186" s="147"/>
      <c r="L186" s="147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149"/>
    </row>
    <row r="187" spans="1:26" x14ac:dyDescent="0.3">
      <c r="A187" s="146"/>
      <c r="B187" s="61"/>
      <c r="C187" s="61"/>
      <c r="D187" s="61"/>
      <c r="E187" s="142"/>
      <c r="F187" s="142"/>
      <c r="G187" s="142"/>
      <c r="H187" s="147"/>
      <c r="I187" s="147"/>
      <c r="J187" s="147"/>
      <c r="K187" s="147"/>
      <c r="L187" s="147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149"/>
    </row>
    <row r="188" spans="1:26" x14ac:dyDescent="0.3">
      <c r="A188" s="146"/>
      <c r="B188" s="61"/>
      <c r="C188" s="61"/>
      <c r="D188" s="61"/>
      <c r="E188" s="142"/>
      <c r="F188" s="142"/>
      <c r="G188" s="142"/>
      <c r="H188" s="147"/>
      <c r="I188" s="147"/>
      <c r="J188" s="147"/>
      <c r="K188" s="147"/>
      <c r="L188" s="147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149"/>
    </row>
    <row r="189" spans="1:26" x14ac:dyDescent="0.3">
      <c r="A189" s="146"/>
      <c r="B189" s="61"/>
      <c r="C189" s="61"/>
      <c r="D189" s="61"/>
      <c r="E189" s="142"/>
      <c r="F189" s="142"/>
      <c r="G189" s="142"/>
      <c r="H189" s="147"/>
      <c r="I189" s="147"/>
      <c r="J189" s="147"/>
      <c r="K189" s="147"/>
      <c r="L189" s="147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149"/>
    </row>
    <row r="190" spans="1:26" x14ac:dyDescent="0.3">
      <c r="A190" s="146"/>
      <c r="B190" s="61"/>
      <c r="C190" s="61"/>
      <c r="D190" s="61"/>
      <c r="E190" s="142"/>
      <c r="F190" s="142"/>
      <c r="G190" s="142"/>
      <c r="H190" s="147"/>
      <c r="I190" s="147"/>
      <c r="J190" s="147"/>
      <c r="K190" s="147"/>
      <c r="L190" s="147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149"/>
    </row>
    <row r="191" spans="1:26" x14ac:dyDescent="0.3">
      <c r="A191" s="146"/>
      <c r="B191" s="61"/>
      <c r="C191" s="61"/>
      <c r="D191" s="61"/>
      <c r="E191" s="142"/>
      <c r="F191" s="142"/>
      <c r="G191" s="142"/>
      <c r="H191" s="147"/>
      <c r="I191" s="147"/>
      <c r="J191" s="147"/>
      <c r="K191" s="147"/>
      <c r="L191" s="147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149"/>
    </row>
    <row r="192" spans="1:26" x14ac:dyDescent="0.3">
      <c r="A192" s="146"/>
      <c r="B192" s="61"/>
      <c r="C192" s="61"/>
      <c r="D192" s="61"/>
      <c r="E192" s="142"/>
      <c r="F192" s="142"/>
      <c r="G192" s="142"/>
      <c r="H192" s="147"/>
      <c r="I192" s="147"/>
      <c r="J192" s="147"/>
      <c r="K192" s="147"/>
      <c r="L192" s="147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149"/>
    </row>
    <row r="193" spans="1:26" x14ac:dyDescent="0.3">
      <c r="A193" s="146"/>
      <c r="B193" s="61"/>
      <c r="C193" s="61"/>
      <c r="D193" s="61"/>
      <c r="E193" s="142"/>
      <c r="F193" s="142"/>
      <c r="G193" s="142"/>
      <c r="H193" s="147"/>
      <c r="I193" s="147"/>
      <c r="J193" s="147"/>
      <c r="K193" s="147"/>
      <c r="L193" s="147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149"/>
    </row>
    <row r="194" spans="1:26" x14ac:dyDescent="0.3">
      <c r="A194" s="146"/>
      <c r="B194" s="61"/>
      <c r="C194" s="61"/>
      <c r="D194" s="61"/>
      <c r="E194" s="142"/>
      <c r="F194" s="142"/>
      <c r="G194" s="142"/>
      <c r="H194" s="147"/>
      <c r="I194" s="147"/>
      <c r="J194" s="147"/>
      <c r="K194" s="147"/>
      <c r="L194" s="147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149"/>
    </row>
    <row r="195" spans="1:26" x14ac:dyDescent="0.3">
      <c r="A195" s="146"/>
      <c r="B195" s="61"/>
      <c r="C195" s="61"/>
      <c r="D195" s="61"/>
      <c r="E195" s="142"/>
      <c r="F195" s="142"/>
      <c r="G195" s="142"/>
      <c r="H195" s="147"/>
      <c r="I195" s="147"/>
      <c r="J195" s="147"/>
      <c r="K195" s="147"/>
      <c r="L195" s="147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149"/>
    </row>
    <row r="196" spans="1:26" x14ac:dyDescent="0.3">
      <c r="A196" s="150"/>
      <c r="B196" s="143"/>
      <c r="C196" s="143"/>
      <c r="D196" s="143"/>
      <c r="E196" s="151"/>
      <c r="F196" s="151"/>
      <c r="G196" s="151"/>
      <c r="H196" s="152"/>
      <c r="I196" s="152"/>
      <c r="J196" s="152"/>
      <c r="K196" s="152"/>
      <c r="L196" s="152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53"/>
    </row>
  </sheetData>
  <mergeCells count="4">
    <mergeCell ref="S2:V2"/>
    <mergeCell ref="A5:K5"/>
    <mergeCell ref="L5:R5"/>
    <mergeCell ref="S5:Z5"/>
  </mergeCells>
  <conditionalFormatting sqref="Y8:Y19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disablePrompts="1" count="2">
    <dataValidation type="list" allowBlank="1" showInputMessage="1" showErrorMessage="1" sqref="K8:K79" xr:uid="{E166EB23-AB7C-4922-A828-9C765F87214E}">
      <formula1>"SIM,NÃO"</formula1>
    </dataValidation>
    <dataValidation type="list" allowBlank="1" showInputMessage="1" showErrorMessage="1" sqref="U8:U79 R8:R79" xr:uid="{275FA3B7-FCFE-4F80-807B-DC406546C17F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C94-7D1E-41A9-AA87-039C724AB688}">
  <sheetPr codeName="Planilha2">
    <tabColor theme="2" tint="-0.749992370372631"/>
  </sheetPr>
  <dimension ref="A1:B8"/>
  <sheetViews>
    <sheetView workbookViewId="0">
      <selection activeCell="N20" sqref="N20"/>
    </sheetView>
  </sheetViews>
  <sheetFormatPr defaultRowHeight="14.4" x14ac:dyDescent="0.3"/>
  <cols>
    <col min="1" max="1" width="17.21875" bestFit="1" customWidth="1"/>
    <col min="2" max="2" width="23.5546875" style="43" bestFit="1" customWidth="1"/>
  </cols>
  <sheetData>
    <row r="1" spans="1:2" x14ac:dyDescent="0.3">
      <c r="A1" s="38" t="s">
        <v>145</v>
      </c>
      <c r="B1" s="43" t="s">
        <v>149</v>
      </c>
    </row>
    <row r="2" spans="1:2" x14ac:dyDescent="0.3">
      <c r="A2" s="39" t="s">
        <v>182</v>
      </c>
      <c r="B2" s="43">
        <v>2000</v>
      </c>
    </row>
    <row r="3" spans="1:2" x14ac:dyDescent="0.3">
      <c r="A3" s="39" t="s">
        <v>146</v>
      </c>
      <c r="B3" s="43">
        <v>85500</v>
      </c>
    </row>
    <row r="4" spans="1:2" x14ac:dyDescent="0.3">
      <c r="A4" s="39" t="s">
        <v>180</v>
      </c>
      <c r="B4" s="43">
        <v>0</v>
      </c>
    </row>
    <row r="5" spans="1:2" x14ac:dyDescent="0.3">
      <c r="A5" s="39" t="s">
        <v>181</v>
      </c>
      <c r="B5" s="43">
        <v>1400</v>
      </c>
    </row>
    <row r="6" spans="1:2" x14ac:dyDescent="0.3">
      <c r="A6" s="39" t="s">
        <v>147</v>
      </c>
      <c r="B6" s="43">
        <v>43400</v>
      </c>
    </row>
    <row r="7" spans="1:2" x14ac:dyDescent="0.3">
      <c r="A7" s="39" t="s">
        <v>148</v>
      </c>
      <c r="B7" s="43">
        <v>17500</v>
      </c>
    </row>
    <row r="8" spans="1:2" x14ac:dyDescent="0.3">
      <c r="A8" s="39" t="s">
        <v>119</v>
      </c>
      <c r="B8" s="43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91A0-1469-49F3-8E37-EA4755C86125}">
  <sheetPr codeName="Planilha3">
    <tabColor theme="2" tint="-0.749992370372631"/>
  </sheetPr>
  <dimension ref="A1:B8"/>
  <sheetViews>
    <sheetView workbookViewId="0">
      <selection activeCell="L22" sqref="L22"/>
    </sheetView>
  </sheetViews>
  <sheetFormatPr defaultRowHeight="14.4" x14ac:dyDescent="0.3"/>
  <cols>
    <col min="1" max="1" width="17.21875" bestFit="1" customWidth="1"/>
    <col min="2" max="2" width="23.5546875" style="43" bestFit="1" customWidth="1"/>
  </cols>
  <sheetData>
    <row r="1" spans="1:2" x14ac:dyDescent="0.3">
      <c r="A1" s="38" t="s">
        <v>145</v>
      </c>
      <c r="B1" s="43" t="s">
        <v>149</v>
      </c>
    </row>
    <row r="2" spans="1:2" x14ac:dyDescent="0.3">
      <c r="A2" s="39" t="s">
        <v>134</v>
      </c>
      <c r="B2" s="43">
        <v>2000</v>
      </c>
    </row>
    <row r="3" spans="1:2" x14ac:dyDescent="0.3">
      <c r="A3" s="39" t="s">
        <v>146</v>
      </c>
      <c r="B3" s="43">
        <v>80200</v>
      </c>
    </row>
    <row r="4" spans="1:2" x14ac:dyDescent="0.3">
      <c r="A4" s="39" t="s">
        <v>180</v>
      </c>
      <c r="B4" s="43">
        <v>0</v>
      </c>
    </row>
    <row r="5" spans="1:2" x14ac:dyDescent="0.3">
      <c r="A5" s="39" t="s">
        <v>181</v>
      </c>
      <c r="B5" s="43">
        <v>1400</v>
      </c>
    </row>
    <row r="6" spans="1:2" x14ac:dyDescent="0.3">
      <c r="A6" s="39" t="s">
        <v>147</v>
      </c>
      <c r="B6" s="43">
        <v>2000</v>
      </c>
    </row>
    <row r="7" spans="1:2" x14ac:dyDescent="0.3">
      <c r="A7" s="39" t="s">
        <v>148</v>
      </c>
      <c r="B7" s="43">
        <v>64200</v>
      </c>
    </row>
    <row r="8" spans="1:2" x14ac:dyDescent="0.3">
      <c r="A8" s="39" t="s">
        <v>119</v>
      </c>
      <c r="B8" s="43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87CE-CB1B-45AF-BB81-A05D0593E457}">
  <sheetPr codeName="Planilha4">
    <tabColor theme="2" tint="-0.749992370372631"/>
  </sheetPr>
  <dimension ref="A1:B8"/>
  <sheetViews>
    <sheetView workbookViewId="0">
      <selection activeCell="M19" sqref="M19"/>
    </sheetView>
  </sheetViews>
  <sheetFormatPr defaultRowHeight="14.4" x14ac:dyDescent="0.3"/>
  <cols>
    <col min="1" max="1" width="17.21875" bestFit="1" customWidth="1"/>
    <col min="2" max="2" width="23.5546875" style="43" bestFit="1" customWidth="1"/>
  </cols>
  <sheetData>
    <row r="1" spans="1:2" x14ac:dyDescent="0.3">
      <c r="A1" s="38" t="s">
        <v>145</v>
      </c>
      <c r="B1" s="43" t="s">
        <v>149</v>
      </c>
    </row>
    <row r="2" spans="1:2" x14ac:dyDescent="0.3">
      <c r="A2" s="39" t="s">
        <v>182</v>
      </c>
      <c r="B2" s="43">
        <v>2000</v>
      </c>
    </row>
    <row r="3" spans="1:2" x14ac:dyDescent="0.3">
      <c r="A3" s="39" t="s">
        <v>146</v>
      </c>
      <c r="B3" s="43">
        <v>41000</v>
      </c>
    </row>
    <row r="4" spans="1:2" x14ac:dyDescent="0.3">
      <c r="A4" s="39" t="s">
        <v>180</v>
      </c>
      <c r="B4" s="43">
        <v>0</v>
      </c>
    </row>
    <row r="5" spans="1:2" x14ac:dyDescent="0.3">
      <c r="A5" s="39" t="s">
        <v>181</v>
      </c>
      <c r="B5" s="43">
        <v>1400</v>
      </c>
    </row>
    <row r="6" spans="1:2" x14ac:dyDescent="0.3">
      <c r="A6" s="39" t="s">
        <v>147</v>
      </c>
      <c r="B6" s="43">
        <v>2000</v>
      </c>
    </row>
    <row r="7" spans="1:2" x14ac:dyDescent="0.3">
      <c r="A7" s="39" t="s">
        <v>148</v>
      </c>
      <c r="B7" s="43">
        <v>103400</v>
      </c>
    </row>
    <row r="8" spans="1:2" x14ac:dyDescent="0.3">
      <c r="A8" s="39" t="s">
        <v>119</v>
      </c>
      <c r="B8" s="43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35AB-F76E-4DAD-A787-C34982BCFE8A}">
  <sheetPr codeName="Planilha5">
    <tabColor theme="2" tint="-0.499984740745262"/>
  </sheetPr>
  <dimension ref="A1:B6"/>
  <sheetViews>
    <sheetView workbookViewId="0">
      <selection activeCell="M9" sqref="M9"/>
    </sheetView>
  </sheetViews>
  <sheetFormatPr defaultRowHeight="14.4" x14ac:dyDescent="0.3"/>
  <cols>
    <col min="1" max="1" width="17.6640625" bestFit="1" customWidth="1"/>
    <col min="2" max="2" width="23.5546875" style="43" bestFit="1" customWidth="1"/>
  </cols>
  <sheetData>
    <row r="1" spans="1:2" x14ac:dyDescent="0.3">
      <c r="A1" s="38" t="s">
        <v>145</v>
      </c>
      <c r="B1" s="43" t="s">
        <v>149</v>
      </c>
    </row>
    <row r="2" spans="1:2" x14ac:dyDescent="0.3">
      <c r="A2" s="39">
        <v>0</v>
      </c>
      <c r="B2" s="43">
        <v>0</v>
      </c>
    </row>
    <row r="3" spans="1:2" x14ac:dyDescent="0.3">
      <c r="A3" s="39" t="s">
        <v>84</v>
      </c>
      <c r="B3" s="43">
        <v>54600</v>
      </c>
    </row>
    <row r="4" spans="1:2" x14ac:dyDescent="0.3">
      <c r="A4" s="39" t="s">
        <v>82</v>
      </c>
      <c r="B4" s="43">
        <v>45600</v>
      </c>
    </row>
    <row r="5" spans="1:2" x14ac:dyDescent="0.3">
      <c r="A5" s="39" t="s">
        <v>85</v>
      </c>
      <c r="B5" s="43">
        <v>49600</v>
      </c>
    </row>
    <row r="6" spans="1:2" x14ac:dyDescent="0.3">
      <c r="A6" s="39" t="s">
        <v>119</v>
      </c>
      <c r="B6" s="43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CDF2-E6F2-4A1A-A82F-76AB35D7B71D}">
  <sheetPr codeName="Planilha6">
    <tabColor theme="2" tint="-0.749992370372631"/>
  </sheetPr>
  <dimension ref="A1:B23"/>
  <sheetViews>
    <sheetView workbookViewId="0">
      <selection activeCell="H20" sqref="H20"/>
    </sheetView>
  </sheetViews>
  <sheetFormatPr defaultRowHeight="14.4" x14ac:dyDescent="0.3"/>
  <cols>
    <col min="1" max="1" width="17.21875" bestFit="1" customWidth="1"/>
    <col min="2" max="2" width="23.5546875" style="43" bestFit="1" customWidth="1"/>
  </cols>
  <sheetData>
    <row r="1" spans="1:2" x14ac:dyDescent="0.3">
      <c r="A1" s="38" t="s">
        <v>145</v>
      </c>
      <c r="B1" s="43" t="s">
        <v>149</v>
      </c>
    </row>
    <row r="2" spans="1:2" x14ac:dyDescent="0.3">
      <c r="A2" s="39">
        <v>0</v>
      </c>
      <c r="B2" s="43">
        <v>0</v>
      </c>
    </row>
    <row r="3" spans="1:2" x14ac:dyDescent="0.3">
      <c r="A3" s="39" t="s">
        <v>20</v>
      </c>
      <c r="B3" s="43">
        <v>6900</v>
      </c>
    </row>
    <row r="4" spans="1:2" x14ac:dyDescent="0.3">
      <c r="A4" s="39" t="s">
        <v>32</v>
      </c>
      <c r="B4" s="43">
        <v>4800</v>
      </c>
    </row>
    <row r="5" spans="1:2" x14ac:dyDescent="0.3">
      <c r="A5" s="39" t="s">
        <v>21</v>
      </c>
      <c r="B5" s="43">
        <v>9000</v>
      </c>
    </row>
    <row r="6" spans="1:2" x14ac:dyDescent="0.3">
      <c r="A6" s="39" t="s">
        <v>29</v>
      </c>
      <c r="B6" s="43">
        <v>5100</v>
      </c>
    </row>
    <row r="7" spans="1:2" x14ac:dyDescent="0.3">
      <c r="A7" s="39" t="s">
        <v>23</v>
      </c>
      <c r="B7" s="43">
        <v>8700</v>
      </c>
    </row>
    <row r="8" spans="1:2" x14ac:dyDescent="0.3">
      <c r="A8" s="39" t="s">
        <v>19</v>
      </c>
      <c r="B8" s="43">
        <v>10700</v>
      </c>
    </row>
    <row r="9" spans="1:2" x14ac:dyDescent="0.3">
      <c r="A9" s="39" t="s">
        <v>28</v>
      </c>
      <c r="B9" s="43">
        <v>7400</v>
      </c>
    </row>
    <row r="10" spans="1:2" x14ac:dyDescent="0.3">
      <c r="A10" s="39" t="s">
        <v>27</v>
      </c>
      <c r="B10" s="43">
        <v>10900</v>
      </c>
    </row>
    <row r="11" spans="1:2" x14ac:dyDescent="0.3">
      <c r="A11" s="39" t="s">
        <v>26</v>
      </c>
      <c r="B11" s="43">
        <v>5900</v>
      </c>
    </row>
    <row r="12" spans="1:2" x14ac:dyDescent="0.3">
      <c r="A12" s="39" t="s">
        <v>17</v>
      </c>
      <c r="B12" s="43">
        <v>5300</v>
      </c>
    </row>
    <row r="13" spans="1:2" x14ac:dyDescent="0.3">
      <c r="A13" s="39" t="s">
        <v>25</v>
      </c>
      <c r="B13" s="43">
        <v>8400</v>
      </c>
    </row>
    <row r="14" spans="1:2" x14ac:dyDescent="0.3">
      <c r="A14" s="39" t="s">
        <v>33</v>
      </c>
      <c r="B14" s="43">
        <v>6200</v>
      </c>
    </row>
    <row r="15" spans="1:2" x14ac:dyDescent="0.3">
      <c r="A15" s="39" t="s">
        <v>22</v>
      </c>
      <c r="B15" s="43">
        <v>5900</v>
      </c>
    </row>
    <row r="16" spans="1:2" x14ac:dyDescent="0.3">
      <c r="A16" s="39" t="s">
        <v>36</v>
      </c>
      <c r="B16" s="43">
        <v>8100</v>
      </c>
    </row>
    <row r="17" spans="1:2" x14ac:dyDescent="0.3">
      <c r="A17" s="39" t="s">
        <v>18</v>
      </c>
      <c r="B17" s="43">
        <v>9600</v>
      </c>
    </row>
    <row r="18" spans="1:2" x14ac:dyDescent="0.3">
      <c r="A18" s="39" t="s">
        <v>30</v>
      </c>
      <c r="B18" s="43">
        <v>5600</v>
      </c>
    </row>
    <row r="19" spans="1:2" x14ac:dyDescent="0.3">
      <c r="A19" s="39" t="s">
        <v>34</v>
      </c>
      <c r="B19" s="43">
        <v>3500</v>
      </c>
    </row>
    <row r="20" spans="1:2" x14ac:dyDescent="0.3">
      <c r="A20" s="39" t="s">
        <v>24</v>
      </c>
      <c r="B20" s="43">
        <v>12000</v>
      </c>
    </row>
    <row r="21" spans="1:2" x14ac:dyDescent="0.3">
      <c r="A21" s="39" t="s">
        <v>35</v>
      </c>
      <c r="B21" s="43">
        <v>6400</v>
      </c>
    </row>
    <row r="22" spans="1:2" x14ac:dyDescent="0.3">
      <c r="A22" s="39" t="s">
        <v>31</v>
      </c>
      <c r="B22" s="43">
        <v>9400</v>
      </c>
    </row>
    <row r="23" spans="1:2" x14ac:dyDescent="0.3">
      <c r="A23" s="39" t="s">
        <v>119</v>
      </c>
      <c r="B23" s="43">
        <v>149800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3DAC-FFBB-4BA3-A96E-F23C11726923}">
  <sheetPr codeName="Planilha7">
    <tabColor theme="2" tint="-0.749992370372631"/>
  </sheetPr>
  <dimension ref="A1:C6"/>
  <sheetViews>
    <sheetView workbookViewId="0">
      <selection activeCell="A3" sqref="A2:A4"/>
    </sheetView>
  </sheetViews>
  <sheetFormatPr defaultRowHeight="14.4" x14ac:dyDescent="0.3"/>
  <cols>
    <col min="1" max="1" width="17.21875" bestFit="1" customWidth="1"/>
    <col min="2" max="2" width="24.44140625" bestFit="1" customWidth="1"/>
    <col min="3" max="3" width="24.44140625" style="43" bestFit="1" customWidth="1"/>
  </cols>
  <sheetData>
    <row r="1" spans="1:3" x14ac:dyDescent="0.3">
      <c r="A1" s="38" t="s">
        <v>145</v>
      </c>
      <c r="B1" t="s">
        <v>154</v>
      </c>
      <c r="C1"/>
    </row>
    <row r="2" spans="1:3" x14ac:dyDescent="0.3">
      <c r="A2" s="39" t="s">
        <v>153</v>
      </c>
      <c r="B2" s="43">
        <v>48100</v>
      </c>
      <c r="C2"/>
    </row>
    <row r="3" spans="1:3" x14ac:dyDescent="0.3">
      <c r="A3" s="39" t="s">
        <v>180</v>
      </c>
      <c r="B3" s="43">
        <v>0</v>
      </c>
      <c r="C3"/>
    </row>
    <row r="4" spans="1:3" x14ac:dyDescent="0.3">
      <c r="A4" s="39" t="s">
        <v>202</v>
      </c>
      <c r="B4" s="43">
        <v>43400</v>
      </c>
      <c r="C4"/>
    </row>
    <row r="5" spans="1:3" x14ac:dyDescent="0.3">
      <c r="A5" s="39" t="s">
        <v>148</v>
      </c>
      <c r="B5" s="43">
        <v>53600</v>
      </c>
      <c r="C5"/>
    </row>
    <row r="6" spans="1:3" x14ac:dyDescent="0.3">
      <c r="A6" s="39" t="s">
        <v>119</v>
      </c>
      <c r="B6" s="43">
        <v>145100</v>
      </c>
      <c r="C6"/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31B9-B14A-426A-8A26-FD8078D1B964}">
  <sheetPr codeName="Planilha8">
    <tabColor theme="2" tint="-0.749992370372631"/>
  </sheetPr>
  <dimension ref="A1:B6"/>
  <sheetViews>
    <sheetView workbookViewId="0">
      <selection activeCell="J23" sqref="J23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38" t="s">
        <v>145</v>
      </c>
      <c r="B1" t="s">
        <v>151</v>
      </c>
    </row>
    <row r="2" spans="1:2" x14ac:dyDescent="0.3">
      <c r="A2" s="39">
        <v>0</v>
      </c>
      <c r="B2">
        <v>166</v>
      </c>
    </row>
    <row r="3" spans="1:2" x14ac:dyDescent="0.3">
      <c r="A3" s="39"/>
      <c r="B3">
        <v>2</v>
      </c>
    </row>
    <row r="4" spans="1:2" x14ac:dyDescent="0.3">
      <c r="A4" s="39" t="s">
        <v>203</v>
      </c>
      <c r="B4">
        <v>42</v>
      </c>
    </row>
    <row r="5" spans="1:2" x14ac:dyDescent="0.3">
      <c r="A5" s="39" t="s">
        <v>155</v>
      </c>
      <c r="B5">
        <v>28</v>
      </c>
    </row>
    <row r="6" spans="1:2" x14ac:dyDescent="0.3">
      <c r="A6" s="39" t="s">
        <v>119</v>
      </c>
      <c r="B6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A14-16E9-4D7C-BE13-FAB7803051C2}">
  <sheetPr codeName="Planilha9">
    <tabColor theme="2" tint="-0.499984740745262"/>
  </sheetPr>
  <dimension ref="A1:B6"/>
  <sheetViews>
    <sheetView workbookViewId="0">
      <selection activeCell="K23" sqref="K23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38" t="s">
        <v>145</v>
      </c>
      <c r="B1" t="s">
        <v>151</v>
      </c>
    </row>
    <row r="2" spans="1:2" x14ac:dyDescent="0.3">
      <c r="A2" s="39">
        <v>0</v>
      </c>
      <c r="B2">
        <v>166</v>
      </c>
    </row>
    <row r="3" spans="1:2" x14ac:dyDescent="0.3">
      <c r="A3" s="39" t="s">
        <v>207</v>
      </c>
      <c r="B3">
        <v>1</v>
      </c>
    </row>
    <row r="4" spans="1:2" x14ac:dyDescent="0.3">
      <c r="A4" s="39" t="s">
        <v>204</v>
      </c>
      <c r="B4">
        <v>1</v>
      </c>
    </row>
    <row r="5" spans="1:2" x14ac:dyDescent="0.3">
      <c r="A5" s="39" t="s">
        <v>152</v>
      </c>
      <c r="B5">
        <v>70</v>
      </c>
    </row>
    <row r="6" spans="1:2" x14ac:dyDescent="0.3">
      <c r="A6" s="39" t="s">
        <v>119</v>
      </c>
      <c r="B6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133E-2706-4996-AF1A-EDBA379B2F13}">
  <sheetPr codeName="Planilha10">
    <tabColor theme="2" tint="-0.499984740745262"/>
  </sheetPr>
  <dimension ref="A1:B23"/>
  <sheetViews>
    <sheetView workbookViewId="0">
      <selection activeCell="D22" sqref="D22"/>
    </sheetView>
  </sheetViews>
  <sheetFormatPr defaultRowHeight="14.4" x14ac:dyDescent="0.3"/>
  <cols>
    <col min="1" max="1" width="51.5546875" bestFit="1" customWidth="1"/>
    <col min="2" max="2" width="20.21875" bestFit="1" customWidth="1"/>
  </cols>
  <sheetData>
    <row r="1" spans="1:2" x14ac:dyDescent="0.3">
      <c r="A1" s="38" t="s">
        <v>145</v>
      </c>
      <c r="B1" t="s">
        <v>151</v>
      </c>
    </row>
    <row r="2" spans="1:2" x14ac:dyDescent="0.3">
      <c r="A2" s="39">
        <v>0</v>
      </c>
      <c r="B2">
        <v>166</v>
      </c>
    </row>
    <row r="3" spans="1:2" x14ac:dyDescent="0.3">
      <c r="A3" s="39" t="s">
        <v>74</v>
      </c>
      <c r="B3">
        <v>2</v>
      </c>
    </row>
    <row r="4" spans="1:2" x14ac:dyDescent="0.3">
      <c r="A4" s="39" t="s">
        <v>64</v>
      </c>
      <c r="B4">
        <v>2</v>
      </c>
    </row>
    <row r="5" spans="1:2" x14ac:dyDescent="0.3">
      <c r="A5" s="39" t="s">
        <v>71</v>
      </c>
      <c r="B5">
        <v>7</v>
      </c>
    </row>
    <row r="6" spans="1:2" x14ac:dyDescent="0.3">
      <c r="A6" s="39" t="s">
        <v>66</v>
      </c>
      <c r="B6">
        <v>2</v>
      </c>
    </row>
    <row r="7" spans="1:2" x14ac:dyDescent="0.3">
      <c r="A7" s="39" t="s">
        <v>75</v>
      </c>
      <c r="B7">
        <v>2</v>
      </c>
    </row>
    <row r="8" spans="1:2" x14ac:dyDescent="0.3">
      <c r="A8" s="39" t="s">
        <v>81</v>
      </c>
      <c r="B8">
        <v>2</v>
      </c>
    </row>
    <row r="9" spans="1:2" x14ac:dyDescent="0.3">
      <c r="A9" s="39" t="s">
        <v>70</v>
      </c>
      <c r="B9">
        <v>3</v>
      </c>
    </row>
    <row r="10" spans="1:2" x14ac:dyDescent="0.3">
      <c r="A10" s="39" t="s">
        <v>79</v>
      </c>
      <c r="B10">
        <v>2</v>
      </c>
    </row>
    <row r="11" spans="1:2" x14ac:dyDescent="0.3">
      <c r="A11" s="39" t="s">
        <v>80</v>
      </c>
      <c r="B11">
        <v>2</v>
      </c>
    </row>
    <row r="12" spans="1:2" x14ac:dyDescent="0.3">
      <c r="A12" s="39" t="s">
        <v>77</v>
      </c>
      <c r="B12">
        <v>2</v>
      </c>
    </row>
    <row r="13" spans="1:2" x14ac:dyDescent="0.3">
      <c r="A13" s="39" t="s">
        <v>73</v>
      </c>
      <c r="B13">
        <v>2</v>
      </c>
    </row>
    <row r="14" spans="1:2" x14ac:dyDescent="0.3">
      <c r="A14" s="39" t="s">
        <v>67</v>
      </c>
      <c r="B14">
        <v>3</v>
      </c>
    </row>
    <row r="15" spans="1:2" x14ac:dyDescent="0.3">
      <c r="A15" s="39" t="s">
        <v>72</v>
      </c>
      <c r="B15">
        <v>2</v>
      </c>
    </row>
    <row r="16" spans="1:2" x14ac:dyDescent="0.3">
      <c r="A16" s="39" t="s">
        <v>76</v>
      </c>
      <c r="B16">
        <v>4</v>
      </c>
    </row>
    <row r="17" spans="1:2" x14ac:dyDescent="0.3">
      <c r="A17" s="39" t="s">
        <v>63</v>
      </c>
      <c r="B17">
        <v>3</v>
      </c>
    </row>
    <row r="18" spans="1:2" x14ac:dyDescent="0.3">
      <c r="A18" s="39" t="s">
        <v>68</v>
      </c>
      <c r="B18">
        <v>3</v>
      </c>
    </row>
    <row r="19" spans="1:2" x14ac:dyDescent="0.3">
      <c r="A19" s="39" t="s">
        <v>69</v>
      </c>
      <c r="B19">
        <v>2</v>
      </c>
    </row>
    <row r="20" spans="1:2" x14ac:dyDescent="0.3">
      <c r="A20" s="39" t="s">
        <v>131</v>
      </c>
      <c r="B20">
        <v>22</v>
      </c>
    </row>
    <row r="21" spans="1:2" x14ac:dyDescent="0.3">
      <c r="A21" s="39" t="s">
        <v>65</v>
      </c>
      <c r="B21">
        <v>3</v>
      </c>
    </row>
    <row r="22" spans="1:2" x14ac:dyDescent="0.3">
      <c r="A22" s="39" t="s">
        <v>78</v>
      </c>
      <c r="B22">
        <v>2</v>
      </c>
    </row>
    <row r="23" spans="1:2" x14ac:dyDescent="0.3">
      <c r="A23" s="39" t="s">
        <v>119</v>
      </c>
      <c r="B23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FB14-08C9-4910-BA43-C12756782045}">
  <sheetPr codeName="Planilha11"/>
  <dimension ref="A1:C5"/>
  <sheetViews>
    <sheetView workbookViewId="0">
      <selection activeCell="C18" sqref="C18"/>
    </sheetView>
  </sheetViews>
  <sheetFormatPr defaultRowHeight="14.4" x14ac:dyDescent="0.3"/>
  <cols>
    <col min="1" max="1" width="17.21875" bestFit="1" customWidth="1"/>
    <col min="2" max="2" width="23.5546875" style="43" bestFit="1" customWidth="1"/>
    <col min="3" max="3" width="24.5546875" bestFit="1" customWidth="1"/>
  </cols>
  <sheetData>
    <row r="1" spans="1:3" x14ac:dyDescent="0.3">
      <c r="A1" s="38" t="s">
        <v>145</v>
      </c>
      <c r="B1" t="s">
        <v>149</v>
      </c>
      <c r="C1" t="s">
        <v>156</v>
      </c>
    </row>
    <row r="2" spans="1:3" x14ac:dyDescent="0.3">
      <c r="A2" s="39">
        <v>0</v>
      </c>
      <c r="B2" s="43">
        <v>0</v>
      </c>
      <c r="C2" s="41">
        <v>0</v>
      </c>
    </row>
    <row r="3" spans="1:3" x14ac:dyDescent="0.3">
      <c r="A3" s="39" t="s">
        <v>1</v>
      </c>
      <c r="B3" s="43">
        <v>69700</v>
      </c>
      <c r="C3" s="41">
        <v>0.4652870493991989</v>
      </c>
    </row>
    <row r="4" spans="1:3" x14ac:dyDescent="0.3">
      <c r="A4" s="39" t="s">
        <v>0</v>
      </c>
      <c r="B4" s="43">
        <v>80100</v>
      </c>
      <c r="C4" s="41">
        <v>0.53471295060080104</v>
      </c>
    </row>
    <row r="5" spans="1:3" x14ac:dyDescent="0.3">
      <c r="A5" s="39" t="s">
        <v>119</v>
      </c>
      <c r="B5" s="43">
        <v>149800</v>
      </c>
      <c r="C5" s="41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F458-AAB5-493A-9C30-BB285C86734A}">
  <sheetPr codeName="Planilha12"/>
  <dimension ref="A1:C5"/>
  <sheetViews>
    <sheetView workbookViewId="0">
      <selection activeCell="C4" sqref="C4"/>
    </sheetView>
  </sheetViews>
  <sheetFormatPr defaultRowHeight="14.4" x14ac:dyDescent="0.3"/>
  <cols>
    <col min="1" max="1" width="17.21875" bestFit="1" customWidth="1"/>
    <col min="2" max="2" width="23.5546875" style="43" bestFit="1" customWidth="1"/>
    <col min="3" max="3" width="24.5546875" bestFit="1" customWidth="1"/>
  </cols>
  <sheetData>
    <row r="1" spans="1:3" x14ac:dyDescent="0.3">
      <c r="A1" s="38" t="s">
        <v>145</v>
      </c>
      <c r="B1" t="s">
        <v>149</v>
      </c>
      <c r="C1" t="s">
        <v>156</v>
      </c>
    </row>
    <row r="2" spans="1:3" x14ac:dyDescent="0.3">
      <c r="A2" s="39">
        <v>0</v>
      </c>
      <c r="B2" s="43">
        <v>104800</v>
      </c>
      <c r="C2" s="41">
        <v>0.69959946595460609</v>
      </c>
    </row>
    <row r="3" spans="1:3" x14ac:dyDescent="0.3">
      <c r="A3" s="39" t="s">
        <v>40</v>
      </c>
      <c r="B3" s="43">
        <v>24300</v>
      </c>
      <c r="C3" s="41">
        <v>0.16221628838451269</v>
      </c>
    </row>
    <row r="4" spans="1:3" x14ac:dyDescent="0.3">
      <c r="A4" s="39" t="s">
        <v>41</v>
      </c>
      <c r="B4" s="43">
        <v>20700</v>
      </c>
      <c r="C4" s="41">
        <v>0.13818424566088117</v>
      </c>
    </row>
    <row r="5" spans="1:3" x14ac:dyDescent="0.3">
      <c r="A5" s="39" t="s">
        <v>119</v>
      </c>
      <c r="B5" s="43">
        <v>149800</v>
      </c>
      <c r="C5" s="41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FD73-F2D6-4436-B873-AFC7E45F5D9B}">
  <sheetPr codeName="Planilha13"/>
  <dimension ref="A1:B15"/>
  <sheetViews>
    <sheetView workbookViewId="0">
      <selection activeCell="F27" sqref="F27"/>
    </sheetView>
  </sheetViews>
  <sheetFormatPr defaultRowHeight="14.4" x14ac:dyDescent="0.3"/>
  <cols>
    <col min="1" max="1" width="17.21875" bestFit="1" customWidth="1"/>
    <col min="2" max="2" width="16.21875" bestFit="1" customWidth="1"/>
  </cols>
  <sheetData>
    <row r="1" spans="1:2" x14ac:dyDescent="0.3">
      <c r="A1" s="38" t="s">
        <v>145</v>
      </c>
      <c r="B1" t="s">
        <v>150</v>
      </c>
    </row>
    <row r="2" spans="1:2" x14ac:dyDescent="0.3">
      <c r="A2" s="39">
        <v>0</v>
      </c>
      <c r="B2">
        <v>0</v>
      </c>
    </row>
    <row r="3" spans="1:2" x14ac:dyDescent="0.3">
      <c r="A3" s="39" t="s">
        <v>40</v>
      </c>
      <c r="B3">
        <v>124</v>
      </c>
    </row>
    <row r="4" spans="1:2" x14ac:dyDescent="0.3">
      <c r="A4" s="39" t="s">
        <v>13</v>
      </c>
      <c r="B4">
        <v>131</v>
      </c>
    </row>
    <row r="5" spans="1:2" x14ac:dyDescent="0.3">
      <c r="A5" s="39" t="s">
        <v>7</v>
      </c>
      <c r="B5">
        <v>2</v>
      </c>
    </row>
    <row r="6" spans="1:2" x14ac:dyDescent="0.3">
      <c r="A6" s="39" t="s">
        <v>8</v>
      </c>
      <c r="B6">
        <v>7</v>
      </c>
    </row>
    <row r="7" spans="1:2" x14ac:dyDescent="0.3">
      <c r="A7" s="39" t="s">
        <v>41</v>
      </c>
      <c r="B7">
        <v>300</v>
      </c>
    </row>
    <row r="8" spans="1:2" x14ac:dyDescent="0.3">
      <c r="A8" s="39" t="s">
        <v>14</v>
      </c>
      <c r="B8">
        <v>521</v>
      </c>
    </row>
    <row r="9" spans="1:2" x14ac:dyDescent="0.3">
      <c r="A9" s="39" t="s">
        <v>15</v>
      </c>
      <c r="B9">
        <v>454</v>
      </c>
    </row>
    <row r="10" spans="1:2" x14ac:dyDescent="0.3">
      <c r="A10" s="39" t="s">
        <v>11</v>
      </c>
      <c r="B10">
        <v>180</v>
      </c>
    </row>
    <row r="11" spans="1:2" x14ac:dyDescent="0.3">
      <c r="A11" s="39" t="s">
        <v>16</v>
      </c>
      <c r="B11">
        <v>594</v>
      </c>
    </row>
    <row r="12" spans="1:2" x14ac:dyDescent="0.3">
      <c r="A12" s="39" t="s">
        <v>12</v>
      </c>
      <c r="B12">
        <v>304</v>
      </c>
    </row>
    <row r="13" spans="1:2" x14ac:dyDescent="0.3">
      <c r="A13" s="39" t="s">
        <v>10</v>
      </c>
      <c r="B13">
        <v>5</v>
      </c>
    </row>
    <row r="14" spans="1:2" x14ac:dyDescent="0.3">
      <c r="A14" s="39" t="s">
        <v>9</v>
      </c>
      <c r="B14">
        <v>6</v>
      </c>
    </row>
    <row r="15" spans="1:2" x14ac:dyDescent="0.3">
      <c r="A15" s="39" t="s">
        <v>119</v>
      </c>
      <c r="B15">
        <v>2628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4DB9-274E-4FAB-BA2F-523ED9FC8BE6}">
  <sheetPr codeName="Planilha14"/>
  <dimension ref="A1:C15"/>
  <sheetViews>
    <sheetView workbookViewId="0">
      <selection activeCell="C23" sqref="C23"/>
    </sheetView>
  </sheetViews>
  <sheetFormatPr defaultRowHeight="14.4" x14ac:dyDescent="0.3"/>
  <cols>
    <col min="1" max="1" width="17.21875" bestFit="1" customWidth="1"/>
    <col min="2" max="2" width="23.5546875" style="43" bestFit="1" customWidth="1"/>
    <col min="3" max="3" width="24.5546875" bestFit="1" customWidth="1"/>
  </cols>
  <sheetData>
    <row r="1" spans="1:3" x14ac:dyDescent="0.3">
      <c r="A1" s="38" t="s">
        <v>145</v>
      </c>
      <c r="B1" t="s">
        <v>149</v>
      </c>
      <c r="C1" t="s">
        <v>156</v>
      </c>
    </row>
    <row r="2" spans="1:3" x14ac:dyDescent="0.3">
      <c r="A2" s="39">
        <v>0</v>
      </c>
      <c r="B2" s="43">
        <v>0</v>
      </c>
      <c r="C2" s="41">
        <v>0</v>
      </c>
    </row>
    <row r="3" spans="1:3" x14ac:dyDescent="0.3">
      <c r="A3" s="39" t="s">
        <v>40</v>
      </c>
      <c r="B3" s="43">
        <v>12300</v>
      </c>
      <c r="C3" s="41">
        <v>8.2109479305740987E-2</v>
      </c>
    </row>
    <row r="4" spans="1:3" x14ac:dyDescent="0.3">
      <c r="A4" s="39" t="s">
        <v>13</v>
      </c>
      <c r="B4" s="43">
        <v>11800</v>
      </c>
      <c r="C4" s="41">
        <v>7.8771695594125501E-2</v>
      </c>
    </row>
    <row r="5" spans="1:3" x14ac:dyDescent="0.3">
      <c r="A5" s="39" t="s">
        <v>7</v>
      </c>
      <c r="B5" s="43">
        <v>1000</v>
      </c>
      <c r="C5" s="41">
        <v>6.6755674232309749E-3</v>
      </c>
    </row>
    <row r="6" spans="1:3" x14ac:dyDescent="0.3">
      <c r="A6" s="39" t="s">
        <v>8</v>
      </c>
      <c r="B6" s="43">
        <v>5000</v>
      </c>
      <c r="C6" s="41">
        <v>3.3377837116154871E-2</v>
      </c>
    </row>
    <row r="7" spans="1:3" x14ac:dyDescent="0.3">
      <c r="A7" s="39" t="s">
        <v>41</v>
      </c>
      <c r="B7" s="43">
        <v>20700</v>
      </c>
      <c r="C7" s="41">
        <v>0.13818424566088117</v>
      </c>
    </row>
    <row r="8" spans="1:3" x14ac:dyDescent="0.3">
      <c r="A8" s="39" t="s">
        <v>14</v>
      </c>
      <c r="B8" s="43">
        <v>21000</v>
      </c>
      <c r="C8" s="41">
        <v>0.14018691588785046</v>
      </c>
    </row>
    <row r="9" spans="1:3" x14ac:dyDescent="0.3">
      <c r="A9" s="39" t="s">
        <v>15</v>
      </c>
      <c r="B9" s="43">
        <v>17800</v>
      </c>
      <c r="C9" s="41">
        <v>0.11882510013351134</v>
      </c>
    </row>
    <row r="10" spans="1:3" x14ac:dyDescent="0.3">
      <c r="A10" s="39" t="s">
        <v>11</v>
      </c>
      <c r="B10" s="43">
        <v>18200</v>
      </c>
      <c r="C10" s="41">
        <v>0.12149532710280374</v>
      </c>
    </row>
    <row r="11" spans="1:3" x14ac:dyDescent="0.3">
      <c r="A11" s="39" t="s">
        <v>16</v>
      </c>
      <c r="B11" s="43">
        <v>19900</v>
      </c>
      <c r="C11" s="41">
        <v>0.13284379172229641</v>
      </c>
    </row>
    <row r="12" spans="1:3" x14ac:dyDescent="0.3">
      <c r="A12" s="39" t="s">
        <v>12</v>
      </c>
      <c r="B12" s="43">
        <v>16100</v>
      </c>
      <c r="C12" s="41">
        <v>0.10747663551401869</v>
      </c>
    </row>
    <row r="13" spans="1:3" x14ac:dyDescent="0.3">
      <c r="A13" s="39" t="s">
        <v>10</v>
      </c>
      <c r="B13" s="43">
        <v>3000</v>
      </c>
      <c r="C13" s="41">
        <v>2.0026702269692925E-2</v>
      </c>
    </row>
    <row r="14" spans="1:3" x14ac:dyDescent="0.3">
      <c r="A14" s="39" t="s">
        <v>9</v>
      </c>
      <c r="B14" s="43">
        <v>3000</v>
      </c>
      <c r="C14" s="41">
        <v>2.0026702269692925E-2</v>
      </c>
    </row>
    <row r="15" spans="1:3" x14ac:dyDescent="0.3">
      <c r="A15" s="39" t="s">
        <v>119</v>
      </c>
      <c r="B15" s="43">
        <v>149800</v>
      </c>
      <c r="C15" s="41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0BB2-EBF0-4579-B18B-CFC0A81682A3}">
  <dimension ref="A1:C7"/>
  <sheetViews>
    <sheetView workbookViewId="0">
      <selection activeCell="B2" sqref="B2"/>
    </sheetView>
  </sheetViews>
  <sheetFormatPr defaultRowHeight="14.4" x14ac:dyDescent="0.3"/>
  <cols>
    <col min="1" max="1" width="19.33203125" bestFit="1" customWidth="1"/>
    <col min="2" max="2" width="23.44140625" style="43" bestFit="1" customWidth="1"/>
    <col min="3" max="3" width="24.44140625" bestFit="1" customWidth="1"/>
  </cols>
  <sheetData>
    <row r="1" spans="1:3" x14ac:dyDescent="0.3">
      <c r="A1" s="38" t="s">
        <v>145</v>
      </c>
      <c r="B1" t="s">
        <v>120</v>
      </c>
      <c r="C1" t="s">
        <v>154</v>
      </c>
    </row>
    <row r="2" spans="1:3" x14ac:dyDescent="0.3">
      <c r="A2" s="39" t="s">
        <v>165</v>
      </c>
      <c r="B2" s="43">
        <v>61500</v>
      </c>
      <c r="C2" s="41">
        <v>0.42384562370778772</v>
      </c>
    </row>
    <row r="3" spans="1:3" x14ac:dyDescent="0.3">
      <c r="A3" s="39" t="s">
        <v>205</v>
      </c>
      <c r="B3" s="43">
        <v>80200</v>
      </c>
      <c r="C3" s="41">
        <v>0.55272226050999307</v>
      </c>
    </row>
    <row r="4" spans="1:3" x14ac:dyDescent="0.3">
      <c r="A4" s="39" t="s">
        <v>206</v>
      </c>
      <c r="B4" s="43">
        <v>0</v>
      </c>
      <c r="C4" s="41">
        <v>0</v>
      </c>
    </row>
    <row r="5" spans="1:3" x14ac:dyDescent="0.3">
      <c r="A5" s="39" t="s">
        <v>208</v>
      </c>
      <c r="B5" s="43">
        <v>3400</v>
      </c>
      <c r="C5" s="41">
        <v>2.3432115782219161E-2</v>
      </c>
    </row>
    <row r="6" spans="1:3" x14ac:dyDescent="0.3">
      <c r="A6" s="39"/>
      <c r="B6" s="43">
        <v>0</v>
      </c>
      <c r="C6" s="41">
        <v>0</v>
      </c>
    </row>
    <row r="7" spans="1:3" x14ac:dyDescent="0.3">
      <c r="A7" s="39" t="s">
        <v>119</v>
      </c>
      <c r="B7" s="43">
        <v>145100</v>
      </c>
      <c r="C7" s="41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6933-AF80-4CF1-8B60-ABC3D926CCC5}">
  <dimension ref="A1:C7"/>
  <sheetViews>
    <sheetView workbookViewId="0">
      <selection activeCell="K12" sqref="K12"/>
    </sheetView>
  </sheetViews>
  <sheetFormatPr defaultRowHeight="14.4" x14ac:dyDescent="0.3"/>
  <cols>
    <col min="1" max="1" width="19.33203125" bestFit="1" customWidth="1"/>
    <col min="2" max="2" width="20.88671875" bestFit="1" customWidth="1"/>
    <col min="3" max="3" width="22" bestFit="1" customWidth="1"/>
  </cols>
  <sheetData>
    <row r="1" spans="1:3" x14ac:dyDescent="0.3">
      <c r="A1" s="38" t="s">
        <v>145</v>
      </c>
      <c r="B1" t="s">
        <v>166</v>
      </c>
      <c r="C1" t="s">
        <v>167</v>
      </c>
    </row>
    <row r="2" spans="1:3" x14ac:dyDescent="0.3">
      <c r="A2" s="39"/>
      <c r="B2">
        <v>166</v>
      </c>
      <c r="C2" s="41">
        <v>0.69747899159663862</v>
      </c>
    </row>
    <row r="3" spans="1:3" x14ac:dyDescent="0.3">
      <c r="A3" s="39" t="s">
        <v>165</v>
      </c>
      <c r="B3">
        <v>28</v>
      </c>
      <c r="C3" s="41">
        <v>0.11764705882352941</v>
      </c>
    </row>
    <row r="4" spans="1:3" x14ac:dyDescent="0.3">
      <c r="A4" s="39" t="s">
        <v>205</v>
      </c>
      <c r="B4">
        <v>40</v>
      </c>
      <c r="C4" s="41">
        <v>0.16806722689075632</v>
      </c>
    </row>
    <row r="5" spans="1:3" x14ac:dyDescent="0.3">
      <c r="A5" s="39" t="s">
        <v>206</v>
      </c>
      <c r="B5">
        <v>1</v>
      </c>
      <c r="C5" s="41">
        <v>4.2016806722689074E-3</v>
      </c>
    </row>
    <row r="6" spans="1:3" x14ac:dyDescent="0.3">
      <c r="A6" s="39" t="s">
        <v>208</v>
      </c>
      <c r="B6">
        <v>3</v>
      </c>
      <c r="C6" s="41">
        <v>1.2605042016806723E-2</v>
      </c>
    </row>
    <row r="7" spans="1:3" x14ac:dyDescent="0.3">
      <c r="A7" s="39" t="s">
        <v>119</v>
      </c>
      <c r="B7">
        <v>238</v>
      </c>
      <c r="C7" s="41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13F2-F7A6-4F7D-87C4-73B4C9703B4C}">
  <sheetPr>
    <tabColor rgb="FF7030A0"/>
  </sheetPr>
  <dimension ref="B1:AL117"/>
  <sheetViews>
    <sheetView showGridLines="0" tabSelected="1" zoomScale="85" zoomScaleNormal="85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AM7" sqref="AM7"/>
    </sheetView>
  </sheetViews>
  <sheetFormatPr defaultRowHeight="14.4" x14ac:dyDescent="0.3"/>
  <cols>
    <col min="1" max="1" width="30.5546875" customWidth="1"/>
    <col min="2" max="2" width="28.5546875" style="30" hidden="1" customWidth="1"/>
    <col min="3" max="3" width="9.6640625" style="30" customWidth="1"/>
    <col min="4" max="4" width="8.88671875" style="30"/>
    <col min="5" max="5" width="13" style="30" bestFit="1" customWidth="1"/>
    <col min="6" max="6" width="15.33203125" style="30" bestFit="1" customWidth="1"/>
    <col min="7" max="7" width="16.6640625" style="30" bestFit="1" customWidth="1"/>
    <col min="8" max="8" width="13" style="30" bestFit="1" customWidth="1"/>
    <col min="9" max="9" width="13.109375" style="30" bestFit="1" customWidth="1"/>
    <col min="10" max="10" width="16.6640625" style="44" customWidth="1"/>
    <col min="11" max="11" width="16.21875" style="30" customWidth="1"/>
    <col min="12" max="12" width="17.5546875" style="30" customWidth="1"/>
    <col min="13" max="13" width="15.88671875" style="44" customWidth="1"/>
    <col min="14" max="14" width="10.44140625" style="30" bestFit="1" customWidth="1"/>
    <col min="15" max="15" width="10.6640625" style="30" bestFit="1" customWidth="1"/>
    <col min="16" max="16" width="13.44140625" style="46" customWidth="1"/>
    <col min="17" max="17" width="12.33203125" style="30" bestFit="1" customWidth="1"/>
    <col min="18" max="18" width="17.77734375" style="30" bestFit="1" customWidth="1"/>
    <col min="19" max="19" width="8.33203125" style="30" customWidth="1"/>
    <col min="20" max="20" width="56.109375" style="30" hidden="1" customWidth="1"/>
    <col min="21" max="21" width="21.88671875" style="30" hidden="1" customWidth="1"/>
    <col min="22" max="22" width="13.33203125" style="30" hidden="1" customWidth="1"/>
    <col min="23" max="23" width="13.5546875" style="30" hidden="1" customWidth="1"/>
    <col min="24" max="24" width="14.5546875" style="30" hidden="1" customWidth="1"/>
    <col min="25" max="25" width="12" style="30" hidden="1" customWidth="1"/>
    <col min="26" max="26" width="14.109375" style="30" hidden="1" customWidth="1"/>
    <col min="27" max="27" width="15.109375" style="30" hidden="1" customWidth="1"/>
    <col min="28" max="28" width="19.33203125" style="30" hidden="1" customWidth="1"/>
    <col min="29" max="29" width="13.44140625" style="30" hidden="1" customWidth="1"/>
    <col min="30" max="30" width="15.109375" style="44" hidden="1" customWidth="1"/>
    <col min="31" max="31" width="13.109375" style="30" hidden="1" customWidth="1"/>
    <col min="32" max="32" width="13.5546875" style="30" hidden="1" customWidth="1"/>
    <col min="33" max="33" width="23.5546875" style="44" hidden="1" customWidth="1"/>
    <col min="34" max="34" width="14.77734375" style="30" hidden="1" customWidth="1"/>
    <col min="35" max="35" width="15.6640625" style="30" hidden="1" customWidth="1"/>
    <col min="36" max="36" width="17" style="30" hidden="1" customWidth="1"/>
    <col min="37" max="37" width="14.33203125" style="46" hidden="1" customWidth="1"/>
    <col min="38" max="38" width="13.77734375" style="46" hidden="1" customWidth="1"/>
  </cols>
  <sheetData>
    <row r="1" spans="2:38" s="66" customFormat="1" ht="27.6" customHeight="1" thickBot="1" x14ac:dyDescent="0.35">
      <c r="B1" s="65"/>
      <c r="C1" s="70"/>
      <c r="D1" s="71"/>
      <c r="E1" s="71"/>
      <c r="F1" s="71"/>
      <c r="G1" s="91"/>
      <c r="H1" s="91"/>
      <c r="I1" s="91"/>
      <c r="J1" s="92" t="s">
        <v>159</v>
      </c>
      <c r="K1" s="91"/>
      <c r="L1" s="91"/>
      <c r="M1" s="93"/>
      <c r="N1" s="91"/>
      <c r="O1" s="91"/>
      <c r="P1" s="94"/>
      <c r="Q1" s="91"/>
      <c r="R1" s="91"/>
      <c r="S1" s="95"/>
      <c r="T1" s="76"/>
      <c r="U1" s="77"/>
      <c r="V1" s="78" t="s">
        <v>160</v>
      </c>
      <c r="W1" s="77"/>
      <c r="X1" s="77"/>
      <c r="Y1" s="77"/>
      <c r="Z1" s="79"/>
      <c r="AA1" s="80"/>
      <c r="AB1" s="81"/>
      <c r="AC1" s="81"/>
      <c r="AD1" s="82"/>
      <c r="AE1" s="81"/>
      <c r="AF1" s="81"/>
      <c r="AG1" s="83" t="s">
        <v>161</v>
      </c>
      <c r="AH1" s="81"/>
      <c r="AI1" s="81"/>
      <c r="AJ1" s="81"/>
      <c r="AK1" s="81"/>
      <c r="AL1" s="84"/>
    </row>
    <row r="2" spans="2:38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2:38" s="57" customFormat="1" ht="43.2" x14ac:dyDescent="0.3">
      <c r="B3" s="58" t="s">
        <v>145</v>
      </c>
      <c r="C3" s="58" t="str">
        <f>Tabela1[[#Headers],[DOC./NF]]</f>
        <v>DOC./NF</v>
      </c>
      <c r="D3" s="58" t="str">
        <f>Tabela1[[#Headers],[UNIDADE]]</f>
        <v>UNIDADE</v>
      </c>
      <c r="E3" s="58" t="str">
        <f>Tabela1[[#Headers],[GRUPO]]</f>
        <v>GRUPO</v>
      </c>
      <c r="F3" s="58" t="str">
        <f>Tabela1[[#Headers],[EMPRESA]]</f>
        <v>EMPRESA</v>
      </c>
      <c r="G3" s="90" t="str">
        <f>Tabela1[[#Headers],[DATA DE EMISSÃO]]</f>
        <v>DATA DE EMISSÃO</v>
      </c>
      <c r="H3" s="90" t="str">
        <f>Tabela1[[#Headers],[MÊS EMISSOR]]</f>
        <v>MÊS EMISSOR</v>
      </c>
      <c r="I3" s="90" t="str">
        <f>Tabela1[[#Headers],[ANO EMISSOR]]</f>
        <v>ANO EMISSOR</v>
      </c>
      <c r="J3" s="96" t="str">
        <f>Tabela1[[#Headers],[VENCIMENTO ORIGINAL]]</f>
        <v>VENCIMENTO ORIGINAL</v>
      </c>
      <c r="K3" s="90" t="str">
        <f>Tabela1[[#Headers],[MÊS VENCIMENTO ORIGINAL]]</f>
        <v>MÊS VENCIMENTO ORIGINAL</v>
      </c>
      <c r="L3" s="90" t="str">
        <f>Tabela1[[#Headers],[ANO VENCIMENTO ORIGINAL]]</f>
        <v>ANO VENCIMENTO ORIGINAL</v>
      </c>
      <c r="M3" s="96" t="str">
        <f>Tabela1[[#Headers],[VENCIMENTO ATUAL]]</f>
        <v>VENCIMENTO ATUAL</v>
      </c>
      <c r="N3" s="90" t="str">
        <f>Tabela1[[#Headers],[MÊS ATUAL]]</f>
        <v>MÊS ATUAL</v>
      </c>
      <c r="O3" s="90" t="str">
        <f>Tabela1[[#Headers],[ANO ATUAL]]</f>
        <v>ANO ATUAL</v>
      </c>
      <c r="P3" s="97" t="str">
        <f>Tabela1[[#Headers],[VALOR ORIGINAL]]</f>
        <v>VALOR ORIGINAL</v>
      </c>
      <c r="Q3" s="90" t="str">
        <f>Tabela1[[#Headers],[VENDEDORES]]</f>
        <v>VENDEDORES</v>
      </c>
      <c r="R3" s="90" t="str">
        <f>Tabela1[[#Headers],[CARTEIRA]]</f>
        <v>CARTEIRA</v>
      </c>
      <c r="S3" s="90" t="str">
        <f>Tabela1[[#Headers],[PAGO]]</f>
        <v>PAGO</v>
      </c>
      <c r="T3" s="64" t="str">
        <f>Tabela1[[#Headers],[Status de Cobrança]]</f>
        <v>Status de Cobrança</v>
      </c>
      <c r="U3" s="64" t="str">
        <f>Tabela1[[#Headers],[Status de Pagamento]]</f>
        <v>Status de Pagamento</v>
      </c>
      <c r="V3" s="64" t="str">
        <f>Tabela1[[#Headers],[Dias em Atraso]]</f>
        <v>Dias em Atraso</v>
      </c>
      <c r="W3" s="64" t="str">
        <f>Tabela1[[#Headers],[Faixa de Atraso]]</f>
        <v>Faixa de Atraso</v>
      </c>
      <c r="X3" s="64" t="str">
        <f>Tabela1[[#Headers],[Título Elegível]]</f>
        <v>Título Elegível</v>
      </c>
      <c r="Y3" s="64" t="str">
        <f>Tabela1[[#Headers],[Valor a Faturar]]</f>
        <v>Valor a Faturar</v>
      </c>
      <c r="Z3" s="64" t="str">
        <f>Tabela1[[#Headers],[Bloqueio de sistema ]]</f>
        <v xml:space="preserve">Bloqueio de sistema </v>
      </c>
      <c r="AA3" s="67" t="str">
        <f>Tabela1[[#Headers],[Statuts de Negociação]]</f>
        <v>Statuts de Negociação</v>
      </c>
      <c r="AB3" s="67" t="str">
        <f>Tabela1[[#Headers],[Número de Negociações Feitas]]</f>
        <v>Número de Negociações Feitas</v>
      </c>
      <c r="AC3" s="67" t="str">
        <f>Tabela1[[#Headers],[Acordo Fechado?]]</f>
        <v>Acordo Fechado?</v>
      </c>
      <c r="AD3" s="68" t="str">
        <f>Tabela1[[#Headers],[Data de Negociação]]</f>
        <v>Data de Negociação</v>
      </c>
      <c r="AE3" s="67" t="str">
        <f>Tabela1[[#Headers],[MÊS NEGOCIAÇÃO]]</f>
        <v>MÊS NEGOCIAÇÃO</v>
      </c>
      <c r="AF3" s="67" t="str">
        <f>Tabela1[[#Headers],[ANO NEGOCIAÇÃO]]</f>
        <v>ANO NEGOCIAÇÃO</v>
      </c>
      <c r="AG3" s="68" t="str">
        <f>Tabela1[[#Headers],[Data da Entrada/Primeira Parcela]]</f>
        <v>Data da Entrada/Primeira Parcela</v>
      </c>
      <c r="AH3" s="67" t="str">
        <f>Tabela1[[#Headers],[MÊS PRIMEIRA PARCELA]]</f>
        <v>MÊS PRIMEIRA PARCELA</v>
      </c>
      <c r="AI3" s="67" t="str">
        <f>Tabela1[[#Headers],[ANO PRIMERA PARCELA]]</f>
        <v>ANO PRIMERA PARCELA</v>
      </c>
      <c r="AJ3" s="67" t="str">
        <f>Tabela1[[#Headers],[Título Quitado? (Sim/Não)]]</f>
        <v>Título Quitado? (Sim/Não)</v>
      </c>
      <c r="AK3" s="69" t="str">
        <f>Tabela1[[#Headers],[Valores Vencidos]]</f>
        <v>Valores Vencidos</v>
      </c>
      <c r="AL3" s="69" t="str">
        <f>Tabela1[[#Headers],[Cobrança3]]</f>
        <v>Cobrança3</v>
      </c>
    </row>
    <row r="4" spans="2:38" x14ac:dyDescent="0.3">
      <c r="B4" s="30">
        <v>0</v>
      </c>
      <c r="C4" s="61">
        <f>IF(B4="","",IFERROR(VLOOKUP(B4,'ANÁLISE DE DADOS'!$A:$AM,1,0),""))</f>
        <v>0</v>
      </c>
      <c r="D4" s="61">
        <f>IF(B4="","",IFERROR(VLOOKUP(B4,'ANÁLISE DE DADOS'!$A:$AM,2,0),""))</f>
        <v>0</v>
      </c>
      <c r="E4" s="61">
        <f>IF(B4="","",IFERROR(VLOOKUP(B4,'ANÁLISE DE DADOS'!$A:$AM,3,0),""))</f>
        <v>0</v>
      </c>
      <c r="F4" s="61">
        <f>IF(B4="","",IFERROR(VLOOKUP(B4,'ANÁLISE DE DADOS'!$A:$AM,4,0),""))</f>
        <v>0</v>
      </c>
      <c r="G4" s="62">
        <f>IF(B4="","",IFERROR(VLOOKUP(B4,'ANÁLISE DE DADOS'!$A:$AM,5,0),""))</f>
        <v>0</v>
      </c>
      <c r="H4" s="62" t="str">
        <f>IF(B4="","",IFERROR(VLOOKUP(B4,'ANÁLISE DE DADOS'!$A:$AM,6,0),""))</f>
        <v>jan-00</v>
      </c>
      <c r="I4" s="62" t="str">
        <f>IF(B4="","",IFERROR(VLOOKUP(B4,'ANÁLISE DE DADOS'!$A:$AM,7,0),""))</f>
        <v>1900</v>
      </c>
      <c r="J4" s="62">
        <f>IF(B4="","",IFERROR(VLOOKUP(B4,'ANÁLISE DE DADOS'!$A:$AM,8,0),""))</f>
        <v>0</v>
      </c>
      <c r="K4" s="61" t="str">
        <f>IF(B4="","",IFERROR(VLOOKUP(B4,'ANÁLISE DE DADOS'!$A:$AM,9,0),""))</f>
        <v>jan-00</v>
      </c>
      <c r="L4" s="61" t="str">
        <f>IF(B4="","",IFERROR(VLOOKUP(B4,'ANÁLISE DE DADOS'!$A:$AM,10,0),""))</f>
        <v>1900</v>
      </c>
      <c r="M4" s="62">
        <f>IF(B4="","",IFERROR(VLOOKUP(B4,'ANÁLISE DE DADOS'!$A:$AM,11,0),""))</f>
        <v>0</v>
      </c>
      <c r="N4" s="61" t="str">
        <f>IF(B4="","",IFERROR(VLOOKUP(B4,'ANÁLISE DE DADOS'!$A:$AM,12,0),""))</f>
        <v>jan-00</v>
      </c>
      <c r="O4" s="61" t="str">
        <f>IF(B4="","",IFERROR(VLOOKUP(B4,'ANÁLISE DE DADOS'!$A:$AM,13,0),""))</f>
        <v>1900</v>
      </c>
      <c r="P4" s="63">
        <f>IF(B4="","",IFERROR(VLOOKUP(B4,'ANÁLISE DE DADOS'!$A:$AM,14,0),""))</f>
        <v>0</v>
      </c>
      <c r="Q4" s="61">
        <f>IF(B4="","",IFERROR(VLOOKUP(B4,'ANÁLISE DE DADOS'!$A:$AM,15,0),""))</f>
        <v>0</v>
      </c>
      <c r="R4" s="61">
        <f>IF(B4="","",IFERROR(VLOOKUP(B4,'ANÁLISE DE DADOS'!$A:$AM,16,0),""))</f>
        <v>0</v>
      </c>
      <c r="S4" s="61">
        <f>IF(B4="","",IFERROR(VLOOKUP(B4,'ANÁLISE DE DADOS'!$A:$AM,17,0),""))</f>
        <v>0</v>
      </c>
      <c r="T4" s="61">
        <f>IF(B4="","",IFERROR(VLOOKUP(B4,'ANÁLISE DE DADOS'!$A:$AM,18,0),""))</f>
        <v>0</v>
      </c>
      <c r="U4" s="61">
        <f>IF(B4="","",IFERROR(VLOOKUP(B4,'ANÁLISE DE DADOS'!$A:$AM,19,0),""))</f>
        <v>0</v>
      </c>
      <c r="V4" s="61">
        <f>IF(B4="","",IFERROR(VLOOKUP(B4,'ANÁLISE DE DADOS'!$A:$AM,20,0),""))</f>
        <v>0</v>
      </c>
      <c r="W4" s="61">
        <f>IF(B4="","",IFERROR(VLOOKUP(B4,'ANÁLISE DE DADOS'!$A:$AM,21,0),""))</f>
        <v>0</v>
      </c>
      <c r="X4" s="61">
        <f>IF(B4="","",IFERROR(VLOOKUP(B4,'ANÁLISE DE DADOS'!$A:$AM,22,0),""))</f>
        <v>0</v>
      </c>
      <c r="Y4" s="61">
        <f>IF(B4="","",IFERROR(VLOOKUP(B4,'ANÁLISE DE DADOS'!$A:$AM,23,0),""))</f>
        <v>0</v>
      </c>
      <c r="Z4" s="61">
        <f>IF(B4="","",IFERROR(VLOOKUP(B4,'ANÁLISE DE DADOS'!$A:$AM,24,0),""))</f>
        <v>0</v>
      </c>
      <c r="AA4" s="61">
        <f>IF(B4="","",IFERROR(VLOOKUP(B4,'ANÁLISE DE DADOS'!$A:$AM,25,0),""))</f>
        <v>0</v>
      </c>
      <c r="AB4" s="61">
        <f>IF(B4="","",IFERROR(VLOOKUP(B4,'ANÁLISE DE DADOS'!$A:$AM,26,0),""))</f>
        <v>0</v>
      </c>
      <c r="AC4" s="61">
        <f>IF(B4="","",IFERROR(VLOOKUP(B4,'ANÁLISE DE DADOS'!$A:$AM,27,0),""))</f>
        <v>0</v>
      </c>
      <c r="AD4" s="62">
        <f>IF(B4="","",IFERROR(VLOOKUP(B4,'ANÁLISE DE DADOS'!$A:$AM,28,0),""))</f>
        <v>0</v>
      </c>
      <c r="AE4" s="61" t="str">
        <f>IF(B4="","",IFERROR(VLOOKUP(B4,'ANÁLISE DE DADOS'!$A:$AM,29,0),""))</f>
        <v>jan-00</v>
      </c>
      <c r="AF4" s="61" t="str">
        <f>IF(B4="","",IFERROR(VLOOKUP(B4,'ANÁLISE DE DADOS'!$A:$AM,30,0),""))</f>
        <v>1900</v>
      </c>
      <c r="AG4" s="62">
        <f>IF(B4="","",IFERROR(VLOOKUP(B4,'ANÁLISE DE DADOS'!$A:$AM,31,0),""))</f>
        <v>0</v>
      </c>
      <c r="AH4" s="61" t="str">
        <f>IF(B4="","",IFERROR(VLOOKUP(B4,'ANÁLISE DE DADOS'!$A:$AM,32,0),""))</f>
        <v>jan-00</v>
      </c>
      <c r="AI4" s="61" t="str">
        <f>IF(B4="","",IFERROR(VLOOKUP(B4,'ANÁLISE DE DADOS'!$A:$AM,33,0),""))</f>
        <v>1900</v>
      </c>
      <c r="AJ4" s="61">
        <f>IF(B4="","",IFERROR(VLOOKUP(B4,'ANÁLISE DE DADOS'!$A:$AM,34,0),""))</f>
        <v>0</v>
      </c>
      <c r="AK4" s="63">
        <f>IF(B4="","",IFERROR(VLOOKUP(B4,'ANÁLISE DE DADOS'!$A:$AM,35,0),""))</f>
        <v>0</v>
      </c>
      <c r="AL4" s="63">
        <f>IF(B4="","",IFERROR(VLOOKUP(B4,'ANÁLISE DE DADOS'!$A:$AM,36,0),""))</f>
        <v>0</v>
      </c>
    </row>
    <row r="5" spans="2:38" x14ac:dyDescent="0.3">
      <c r="B5" s="30">
        <v>1</v>
      </c>
      <c r="C5" s="61">
        <f>IF(B5="","",IFERROR(VLOOKUP(B5,'ANÁLISE DE DADOS'!$A:$AM,1,0),""))</f>
        <v>1</v>
      </c>
      <c r="D5" s="61" t="str">
        <f>IF(B5="","",IFERROR(VLOOKUP(B5,'ANÁLISE DE DADOS'!$A:$AM,2,0),""))</f>
        <v>Matriz</v>
      </c>
      <c r="E5" s="61" t="str">
        <f>IF(B5="","",IFERROR(VLOOKUP(B5,'ANÁLISE DE DADOS'!$A:$AM,3,0),""))</f>
        <v>Alpha &amp; CIA</v>
      </c>
      <c r="F5" s="61" t="str">
        <f>IF(B5="","",IFERROR(VLOOKUP(B5,'ANÁLISE DE DADOS'!$A:$AM,4,0),""))</f>
        <v>Alpha &amp; CIA</v>
      </c>
      <c r="G5" s="62">
        <f>IF(B5="","",IFERROR(VLOOKUP(B5,'ANÁLISE DE DADOS'!$A:$AM,5,0),""))</f>
        <v>45658</v>
      </c>
      <c r="H5" s="62" t="str">
        <f>IF(B5="","",IFERROR(VLOOKUP(B5,'ANÁLISE DE DADOS'!$A:$AM,6,0),""))</f>
        <v>jan-25</v>
      </c>
      <c r="I5" s="62" t="str">
        <f>IF(B5="","",IFERROR(VLOOKUP(B5,'ANÁLISE DE DADOS'!$A:$AM,7,0),""))</f>
        <v>2025</v>
      </c>
      <c r="J5" s="62">
        <f>IF(B5="","",IFERROR(VLOOKUP(B5,'ANÁLISE DE DADOS'!$A:$AM,8,0),""))</f>
        <v>45690</v>
      </c>
      <c r="K5" s="61" t="str">
        <f>IF(B5="","",IFERROR(VLOOKUP(B5,'ANÁLISE DE DADOS'!$A:$AM,9,0),""))</f>
        <v>fev-25</v>
      </c>
      <c r="L5" s="61" t="str">
        <f>IF(B5="","",IFERROR(VLOOKUP(B5,'ANÁLISE DE DADOS'!$A:$AM,10,0),""))</f>
        <v>2025</v>
      </c>
      <c r="M5" s="62">
        <f>IF(B5="","",IFERROR(VLOOKUP(B5,'ANÁLISE DE DADOS'!$A:$AM,11,0),""))</f>
        <v>45737</v>
      </c>
      <c r="N5" s="61" t="str">
        <f>IF(B5="","",IFERROR(VLOOKUP(B5,'ANÁLISE DE DADOS'!$A:$AM,12,0),""))</f>
        <v>mar-25</v>
      </c>
      <c r="O5" s="61" t="str">
        <f>IF(B5="","",IFERROR(VLOOKUP(B5,'ANÁLISE DE DADOS'!$A:$AM,13,0),""))</f>
        <v>2025</v>
      </c>
      <c r="P5" s="63">
        <f>IF(B5="","",IFERROR(VLOOKUP(B5,'ANÁLISE DE DADOS'!$A:$AM,14,0),""))</f>
        <v>1000</v>
      </c>
      <c r="Q5" s="61" t="str">
        <f>IF(B5="","",IFERROR(VLOOKUP(B5,'ANÁLISE DE DADOS'!$A:$AM,15,0),""))</f>
        <v>João</v>
      </c>
      <c r="R5" s="61" t="str">
        <f>IF(B5="","",IFERROR(VLOOKUP(B5,'ANÁLISE DE DADOS'!$A:$AM,16,0),""))</f>
        <v>ANALISTA SIMONE</v>
      </c>
      <c r="S5" s="61" t="str">
        <f>IF(B5="","",IFERROR(VLOOKUP(B5,'ANÁLISE DE DADOS'!$A:$AM,17,0),""))</f>
        <v>NÃO</v>
      </c>
      <c r="T5" s="61" t="str">
        <f>IF(B5="","",IFERROR(VLOOKUP(B5,'ANÁLISE DE DADOS'!$A:$AM,18,0),""))</f>
        <v>Situação com comercial (aguardando análise comercial)</v>
      </c>
      <c r="U5" s="61" t="str">
        <f ca="1">IF(B5="","",IFERROR(VLOOKUP(B5,'ANÁLISE DE DADOS'!$A:$AM,19,0),""))</f>
        <v>Vencido</v>
      </c>
      <c r="V5" s="61">
        <f ca="1">IF(B5="","",IFERROR(VLOOKUP(B5,'ANÁLISE DE DADOS'!$A:$AM,20,0),""))</f>
        <v>105</v>
      </c>
      <c r="W5" s="61" t="str">
        <f ca="1">IF(B5="","",IFERROR(VLOOKUP(B5,'ANÁLISE DE DADOS'!$A:$AM,21,0),""))</f>
        <v>61+ dias</v>
      </c>
      <c r="X5" s="61" t="str">
        <f ca="1">IF(B5="","",IFERROR(VLOOKUP(B5,'ANÁLISE DE DADOS'!$A:$AM,22,0),""))</f>
        <v>Atraso Crítico</v>
      </c>
      <c r="Y5" s="61" t="str">
        <f>IF(B5="","",IFERROR(VLOOKUP(B5,'ANÁLISE DE DADOS'!$A:$AM,23,0),""))</f>
        <v>-</v>
      </c>
      <c r="Z5" s="61" t="str">
        <f>IF(B5="","",IFERROR(VLOOKUP(B5,'ANÁLISE DE DADOS'!$A:$AM,24,0),""))</f>
        <v>Sim</v>
      </c>
      <c r="AA5" s="61">
        <f>IF(B5="","",IFERROR(VLOOKUP(B5,'ANÁLISE DE DADOS'!$A:$AM,25,0),""))</f>
        <v>0</v>
      </c>
      <c r="AB5" s="61">
        <f>IF(B5="","",IFERROR(VLOOKUP(B5,'ANÁLISE DE DADOS'!$A:$AM,26,0),""))</f>
        <v>1</v>
      </c>
      <c r="AC5" s="61" t="str">
        <f>IF(B5="","",IFERROR(VLOOKUP(B5,'ANÁLISE DE DADOS'!$A:$AM,27,0),""))</f>
        <v>Sim</v>
      </c>
      <c r="AD5" s="62">
        <f>IF(B5="","",IFERROR(VLOOKUP(B5,'ANÁLISE DE DADOS'!$A:$AM,28,0),""))</f>
        <v>45740</v>
      </c>
      <c r="AE5" s="61" t="str">
        <f>IF(B5="","",IFERROR(VLOOKUP(B5,'ANÁLISE DE DADOS'!$A:$AM,29,0),""))</f>
        <v>mar-25</v>
      </c>
      <c r="AF5" s="61" t="str">
        <f>IF(B5="","",IFERROR(VLOOKUP(B5,'ANÁLISE DE DADOS'!$A:$AM,30,0),""))</f>
        <v>2025</v>
      </c>
      <c r="AG5" s="62">
        <f>IF(B5="","",IFERROR(VLOOKUP(B5,'ANÁLISE DE DADOS'!$A:$AM,31,0),""))</f>
        <v>45772</v>
      </c>
      <c r="AH5" s="61" t="str">
        <f>IF(B5="","",IFERROR(VLOOKUP(B5,'ANÁLISE DE DADOS'!$A:$AM,32,0),""))</f>
        <v>abr-25</v>
      </c>
      <c r="AI5" s="61" t="str">
        <f>IF(B5="","",IFERROR(VLOOKUP(B5,'ANÁLISE DE DADOS'!$A:$AM,33,0),""))</f>
        <v>2025</v>
      </c>
      <c r="AJ5" s="61" t="str">
        <f>IF(B5="","",IFERROR(VLOOKUP(B5,'ANÁLISE DE DADOS'!$A:$AM,34,0),""))</f>
        <v>Acompanhando</v>
      </c>
      <c r="AK5" s="63">
        <f ca="1">IF(B5="","",IFERROR(VLOOKUP(B5,'ANÁLISE DE DADOS'!$A:$AM,35,0),""))</f>
        <v>1000</v>
      </c>
      <c r="AL5" s="63" t="str">
        <f ca="1">IF(B5="","",IFERROR(VLOOKUP(B5,'ANÁLISE DE DADOS'!$A:$AM,36,0),""))</f>
        <v>0</v>
      </c>
    </row>
    <row r="6" spans="2:38" x14ac:dyDescent="0.3">
      <c r="B6" s="30">
        <v>2</v>
      </c>
      <c r="C6" s="61">
        <f>IF(B6="","",IFERROR(VLOOKUP(B6,'ANÁLISE DE DADOS'!$A:$AM,1,0),""))</f>
        <v>2</v>
      </c>
      <c r="D6" s="61" t="str">
        <f>IF(B6="","",IFERROR(VLOOKUP(B6,'ANÁLISE DE DADOS'!$A:$AM,2,0),""))</f>
        <v>Matriz</v>
      </c>
      <c r="E6" s="61" t="str">
        <f>IF(B6="","",IFERROR(VLOOKUP(B6,'ANÁLISE DE DADOS'!$A:$AM,3,0),""))</f>
        <v>Alpha &amp; CIA</v>
      </c>
      <c r="F6" s="61" t="str">
        <f>IF(B6="","",IFERROR(VLOOKUP(B6,'ANÁLISE DE DADOS'!$A:$AM,4,0),""))</f>
        <v>Beta</v>
      </c>
      <c r="G6" s="62">
        <f>IF(B6="","",IFERROR(VLOOKUP(B6,'ANÁLISE DE DADOS'!$A:$AM,5,0),""))</f>
        <v>45658</v>
      </c>
      <c r="H6" s="62" t="str">
        <f>IF(B6="","",IFERROR(VLOOKUP(B6,'ANÁLISE DE DADOS'!$A:$AM,6,0),""))</f>
        <v>jan-25</v>
      </c>
      <c r="I6" s="62" t="str">
        <f>IF(B6="","",IFERROR(VLOOKUP(B6,'ANÁLISE DE DADOS'!$A:$AM,7,0),""))</f>
        <v>2025</v>
      </c>
      <c r="J6" s="62">
        <f>IF(B6="","",IFERROR(VLOOKUP(B6,'ANÁLISE DE DADOS'!$A:$AM,8,0),""))</f>
        <v>45690</v>
      </c>
      <c r="K6" s="61" t="str">
        <f>IF(B6="","",IFERROR(VLOOKUP(B6,'ANÁLISE DE DADOS'!$A:$AM,9,0),""))</f>
        <v>fev-25</v>
      </c>
      <c r="L6" s="61" t="str">
        <f>IF(B6="","",IFERROR(VLOOKUP(B6,'ANÁLISE DE DADOS'!$A:$AM,10,0),""))</f>
        <v>2025</v>
      </c>
      <c r="M6" s="62">
        <f>IF(B6="","",IFERROR(VLOOKUP(B6,'ANÁLISE DE DADOS'!$A:$AM,11,0),""))</f>
        <v>45737</v>
      </c>
      <c r="N6" s="61" t="str">
        <f>IF(B6="","",IFERROR(VLOOKUP(B6,'ANÁLISE DE DADOS'!$A:$AM,12,0),""))</f>
        <v>mar-25</v>
      </c>
      <c r="O6" s="61" t="str">
        <f>IF(B6="","",IFERROR(VLOOKUP(B6,'ANÁLISE DE DADOS'!$A:$AM,13,0),""))</f>
        <v>2025</v>
      </c>
      <c r="P6" s="63">
        <f>IF(B6="","",IFERROR(VLOOKUP(B6,'ANÁLISE DE DADOS'!$A:$AM,14,0),""))</f>
        <v>1000</v>
      </c>
      <c r="Q6" s="61" t="str">
        <f>IF(B6="","",IFERROR(VLOOKUP(B6,'ANÁLISE DE DADOS'!$A:$AM,15,0),""))</f>
        <v>João</v>
      </c>
      <c r="R6" s="61" t="str">
        <f>IF(B6="","",IFERROR(VLOOKUP(B6,'ANÁLISE DE DADOS'!$A:$AM,16,0),""))</f>
        <v>ANALISTA SIMONE</v>
      </c>
      <c r="S6" s="61" t="str">
        <f>IF(B6="","",IFERROR(VLOOKUP(B6,'ANÁLISE DE DADOS'!$A:$AM,17,0),""))</f>
        <v>NÃO</v>
      </c>
      <c r="T6" s="61" t="str">
        <f>IF(B6="","",IFERROR(VLOOKUP(B6,'ANÁLISE DE DADOS'!$A:$AM,18,0),""))</f>
        <v>Aguardando aprovação de crédito</v>
      </c>
      <c r="U6" s="61" t="str">
        <f ca="1">IF(B6="","",IFERROR(VLOOKUP(B6,'ANÁLISE DE DADOS'!$A:$AM,19,0),""))</f>
        <v>Vencido</v>
      </c>
      <c r="V6" s="61">
        <f ca="1">IF(B6="","",IFERROR(VLOOKUP(B6,'ANÁLISE DE DADOS'!$A:$AM,20,0),""))</f>
        <v>105</v>
      </c>
      <c r="W6" s="61" t="str">
        <f ca="1">IF(B6="","",IFERROR(VLOOKUP(B6,'ANÁLISE DE DADOS'!$A:$AM,21,0),""))</f>
        <v>61+ dias</v>
      </c>
      <c r="X6" s="61" t="str">
        <f ca="1">IF(B6="","",IFERROR(VLOOKUP(B6,'ANÁLISE DE DADOS'!$A:$AM,22,0),""))</f>
        <v>Atraso Crítico</v>
      </c>
      <c r="Y6" s="61" t="str">
        <f>IF(B6="","",IFERROR(VLOOKUP(B6,'ANÁLISE DE DADOS'!$A:$AM,23,0),""))</f>
        <v>-</v>
      </c>
      <c r="Z6" s="61" t="str">
        <f>IF(B6="","",IFERROR(VLOOKUP(B6,'ANÁLISE DE DADOS'!$A:$AM,24,0),""))</f>
        <v>Sim</v>
      </c>
      <c r="AA6" s="61">
        <f>IF(B6="","",IFERROR(VLOOKUP(B6,'ANÁLISE DE DADOS'!$A:$AM,25,0),""))</f>
        <v>0</v>
      </c>
      <c r="AB6" s="61">
        <f>IF(B6="","",IFERROR(VLOOKUP(B6,'ANÁLISE DE DADOS'!$A:$AM,26,0),""))</f>
        <v>1</v>
      </c>
      <c r="AC6" s="61" t="str">
        <f>IF(B6="","",IFERROR(VLOOKUP(B6,'ANÁLISE DE DADOS'!$A:$AM,27,0),""))</f>
        <v>Sim</v>
      </c>
      <c r="AD6" s="62">
        <f>IF(B6="","",IFERROR(VLOOKUP(B6,'ANÁLISE DE DADOS'!$A:$AM,28,0),""))</f>
        <v>45740</v>
      </c>
      <c r="AE6" s="61" t="str">
        <f>IF(B6="","",IFERROR(VLOOKUP(B6,'ANÁLISE DE DADOS'!$A:$AM,29,0),""))</f>
        <v>mar-25</v>
      </c>
      <c r="AF6" s="61" t="str">
        <f>IF(B6="","",IFERROR(VLOOKUP(B6,'ANÁLISE DE DADOS'!$A:$AM,30,0),""))</f>
        <v>2025</v>
      </c>
      <c r="AG6" s="62">
        <f>IF(B6="","",IFERROR(VLOOKUP(B6,'ANÁLISE DE DADOS'!$A:$AM,31,0),""))</f>
        <v>45802</v>
      </c>
      <c r="AH6" s="61" t="str">
        <f>IF(B6="","",IFERROR(VLOOKUP(B6,'ANÁLISE DE DADOS'!$A:$AM,32,0),""))</f>
        <v>mai-25</v>
      </c>
      <c r="AI6" s="61" t="str">
        <f>IF(B6="","",IFERROR(VLOOKUP(B6,'ANÁLISE DE DADOS'!$A:$AM,33,0),""))</f>
        <v>2025</v>
      </c>
      <c r="AJ6" s="61" t="str">
        <f>IF(B6="","",IFERROR(VLOOKUP(B6,'ANÁLISE DE DADOS'!$A:$AM,34,0),""))</f>
        <v>Acompanhando</v>
      </c>
      <c r="AK6" s="63">
        <f ca="1">IF(B6="","",IFERROR(VLOOKUP(B6,'ANÁLISE DE DADOS'!$A:$AM,35,0),""))</f>
        <v>1000</v>
      </c>
      <c r="AL6" s="63" t="str">
        <f ca="1">IF(B6="","",IFERROR(VLOOKUP(B6,'ANÁLISE DE DADOS'!$A:$AM,36,0),""))</f>
        <v>0</v>
      </c>
    </row>
    <row r="7" spans="2:38" x14ac:dyDescent="0.3">
      <c r="B7" s="30">
        <v>3</v>
      </c>
      <c r="C7" s="61">
        <f>IF(B7="","",IFERROR(VLOOKUP(B7,'ANÁLISE DE DADOS'!$A:$AM,1,0),""))</f>
        <v>3</v>
      </c>
      <c r="D7" s="61" t="str">
        <f>IF(B7="","",IFERROR(VLOOKUP(B7,'ANÁLISE DE DADOS'!$A:$AM,2,0),""))</f>
        <v>Filial</v>
      </c>
      <c r="E7" s="61" t="str">
        <f>IF(B7="","",IFERROR(VLOOKUP(B7,'ANÁLISE DE DADOS'!$A:$AM,3,0),""))</f>
        <v>Alpha &amp; CIA</v>
      </c>
      <c r="F7" s="61" t="str">
        <f>IF(B7="","",IFERROR(VLOOKUP(B7,'ANÁLISE DE DADOS'!$A:$AM,4,0),""))</f>
        <v>Delta</v>
      </c>
      <c r="G7" s="62">
        <f>IF(B7="","",IFERROR(VLOOKUP(B7,'ANÁLISE DE DADOS'!$A:$AM,5,0),""))</f>
        <v>45659</v>
      </c>
      <c r="H7" s="62" t="str">
        <f>IF(B7="","",IFERROR(VLOOKUP(B7,'ANÁLISE DE DADOS'!$A:$AM,6,0),""))</f>
        <v>jan-25</v>
      </c>
      <c r="I7" s="62" t="str">
        <f>IF(B7="","",IFERROR(VLOOKUP(B7,'ANÁLISE DE DADOS'!$A:$AM,7,0),""))</f>
        <v>2025</v>
      </c>
      <c r="J7" s="62">
        <f>IF(B7="","",IFERROR(VLOOKUP(B7,'ANÁLISE DE DADOS'!$A:$AM,8,0),""))</f>
        <v>45690</v>
      </c>
      <c r="K7" s="61" t="str">
        <f>IF(B7="","",IFERROR(VLOOKUP(B7,'ANÁLISE DE DADOS'!$A:$AM,9,0),""))</f>
        <v>fev-25</v>
      </c>
      <c r="L7" s="61" t="str">
        <f>IF(B7="","",IFERROR(VLOOKUP(B7,'ANÁLISE DE DADOS'!$A:$AM,10,0),""))</f>
        <v>2025</v>
      </c>
      <c r="M7" s="62">
        <f>IF(B7="","",IFERROR(VLOOKUP(B7,'ANÁLISE DE DADOS'!$A:$AM,11,0),""))</f>
        <v>45737</v>
      </c>
      <c r="N7" s="61" t="str">
        <f>IF(B7="","",IFERROR(VLOOKUP(B7,'ANÁLISE DE DADOS'!$A:$AM,12,0),""))</f>
        <v>mar-25</v>
      </c>
      <c r="O7" s="61" t="str">
        <f>IF(B7="","",IFERROR(VLOOKUP(B7,'ANÁLISE DE DADOS'!$A:$AM,13,0),""))</f>
        <v>2025</v>
      </c>
      <c r="P7" s="63">
        <f>IF(B7="","",IFERROR(VLOOKUP(B7,'ANÁLISE DE DADOS'!$A:$AM,14,0),""))</f>
        <v>2500</v>
      </c>
      <c r="Q7" s="61" t="str">
        <f>IF(B7="","",IFERROR(VLOOKUP(B7,'ANÁLISE DE DADOS'!$A:$AM,15,0),""))</f>
        <v>Maria</v>
      </c>
      <c r="R7" s="61" t="str">
        <f>IF(B7="","",IFERROR(VLOOKUP(B7,'ANÁLISE DE DADOS'!$A:$AM,16,0),""))</f>
        <v>ANALISTA SIMONE</v>
      </c>
      <c r="S7" s="61" t="str">
        <f>IF(B7="","",IFERROR(VLOOKUP(B7,'ANÁLISE DE DADOS'!$A:$AM,17,0),""))</f>
        <v>NÃO</v>
      </c>
      <c r="T7" s="61" t="str">
        <f>IF(B7="","",IFERROR(VLOOKUP(B7,'ANÁLISE DE DADOS'!$A:$AM,18,0),""))</f>
        <v>Cliente não localizado</v>
      </c>
      <c r="U7" s="61" t="str">
        <f ca="1">IF(B7="","",IFERROR(VLOOKUP(B7,'ANÁLISE DE DADOS'!$A:$AM,19,0),""))</f>
        <v>Vencido</v>
      </c>
      <c r="V7" s="61">
        <f ca="1">IF(B7="","",IFERROR(VLOOKUP(B7,'ANÁLISE DE DADOS'!$A:$AM,20,0),""))</f>
        <v>105</v>
      </c>
      <c r="W7" s="61" t="str">
        <f ca="1">IF(B7="","",IFERROR(VLOOKUP(B7,'ANÁLISE DE DADOS'!$A:$AM,21,0),""))</f>
        <v>61+ dias</v>
      </c>
      <c r="X7" s="61" t="str">
        <f ca="1">IF(B7="","",IFERROR(VLOOKUP(B7,'ANÁLISE DE DADOS'!$A:$AM,22,0),""))</f>
        <v>Atraso Crítico</v>
      </c>
      <c r="Y7" s="61" t="str">
        <f>IF(B7="","",IFERROR(VLOOKUP(B7,'ANÁLISE DE DADOS'!$A:$AM,23,0),""))</f>
        <v>-</v>
      </c>
      <c r="Z7" s="61" t="str">
        <f>IF(B7="","",IFERROR(VLOOKUP(B7,'ANÁLISE DE DADOS'!$A:$AM,24,0),""))</f>
        <v>Sim</v>
      </c>
      <c r="AA7" s="61">
        <f>IF(B7="","",IFERROR(VLOOKUP(B7,'ANÁLISE DE DADOS'!$A:$AM,25,0),""))</f>
        <v>0</v>
      </c>
      <c r="AB7" s="61">
        <f>IF(B7="","",IFERROR(VLOOKUP(B7,'ANÁLISE DE DADOS'!$A:$AM,26,0),""))</f>
        <v>1</v>
      </c>
      <c r="AC7" s="61" t="str">
        <f>IF(B7="","",IFERROR(VLOOKUP(B7,'ANÁLISE DE DADOS'!$A:$AM,27,0),""))</f>
        <v>Sim</v>
      </c>
      <c r="AD7" s="62">
        <f>IF(B7="","",IFERROR(VLOOKUP(B7,'ANÁLISE DE DADOS'!$A:$AM,28,0),""))</f>
        <v>45740</v>
      </c>
      <c r="AE7" s="61" t="str">
        <f>IF(B7="","",IFERROR(VLOOKUP(B7,'ANÁLISE DE DADOS'!$A:$AM,29,0),""))</f>
        <v>mar-25</v>
      </c>
      <c r="AF7" s="61" t="str">
        <f>IF(B7="","",IFERROR(VLOOKUP(B7,'ANÁLISE DE DADOS'!$A:$AM,30,0),""))</f>
        <v>2025</v>
      </c>
      <c r="AG7" s="62">
        <f>IF(B7="","",IFERROR(VLOOKUP(B7,'ANÁLISE DE DADOS'!$A:$AM,31,0),""))</f>
        <v>45802</v>
      </c>
      <c r="AH7" s="61" t="str">
        <f>IF(B7="","",IFERROR(VLOOKUP(B7,'ANÁLISE DE DADOS'!$A:$AM,32,0),""))</f>
        <v>mai-25</v>
      </c>
      <c r="AI7" s="61" t="str">
        <f>IF(B7="","",IFERROR(VLOOKUP(B7,'ANÁLISE DE DADOS'!$A:$AM,33,0),""))</f>
        <v>2025</v>
      </c>
      <c r="AJ7" s="61" t="str">
        <f>IF(B7="","",IFERROR(VLOOKUP(B7,'ANÁLISE DE DADOS'!$A:$AM,34,0),""))</f>
        <v>Acompanhando</v>
      </c>
      <c r="AK7" s="63">
        <f ca="1">IF(B7="","",IFERROR(VLOOKUP(B7,'ANÁLISE DE DADOS'!$A:$AM,35,0),""))</f>
        <v>2500</v>
      </c>
      <c r="AL7" s="63" t="str">
        <f ca="1">IF(B7="","",IFERROR(VLOOKUP(B7,'ANÁLISE DE DADOS'!$A:$AM,36,0),""))</f>
        <v>0</v>
      </c>
    </row>
    <row r="8" spans="2:38" x14ac:dyDescent="0.3">
      <c r="B8" s="30">
        <v>4</v>
      </c>
      <c r="C8" s="61">
        <f>IF(B8="","",IFERROR(VLOOKUP(B8,'ANÁLISE DE DADOS'!$A:$AM,1,0),""))</f>
        <v>4</v>
      </c>
      <c r="D8" s="61" t="str">
        <f>IF(B8="","",IFERROR(VLOOKUP(B8,'ANÁLISE DE DADOS'!$A:$AM,2,0),""))</f>
        <v>Filial</v>
      </c>
      <c r="E8" s="61" t="str">
        <f>IF(B8="","",IFERROR(VLOOKUP(B8,'ANÁLISE DE DADOS'!$A:$AM,3,0),""))</f>
        <v>Alpha &amp; CIA</v>
      </c>
      <c r="F8" s="61" t="str">
        <f>IF(B8="","",IFERROR(VLOOKUP(B8,'ANÁLISE DE DADOS'!$A:$AM,4,0),""))</f>
        <v>Delta</v>
      </c>
      <c r="G8" s="62">
        <f>IF(B8="","",IFERROR(VLOOKUP(B8,'ANÁLISE DE DADOS'!$A:$AM,5,0),""))</f>
        <v>45659</v>
      </c>
      <c r="H8" s="62" t="str">
        <f>IF(B8="","",IFERROR(VLOOKUP(B8,'ANÁLISE DE DADOS'!$A:$AM,6,0),""))</f>
        <v>jan-25</v>
      </c>
      <c r="I8" s="62" t="str">
        <f>IF(B8="","",IFERROR(VLOOKUP(B8,'ANÁLISE DE DADOS'!$A:$AM,7,0),""))</f>
        <v>2025</v>
      </c>
      <c r="J8" s="62">
        <f>IF(B8="","",IFERROR(VLOOKUP(B8,'ANÁLISE DE DADOS'!$A:$AM,8,0),""))</f>
        <v>45690</v>
      </c>
      <c r="K8" s="61" t="str">
        <f>IF(B8="","",IFERROR(VLOOKUP(B8,'ANÁLISE DE DADOS'!$A:$AM,9,0),""))</f>
        <v>fev-25</v>
      </c>
      <c r="L8" s="61" t="str">
        <f>IF(B8="","",IFERROR(VLOOKUP(B8,'ANÁLISE DE DADOS'!$A:$AM,10,0),""))</f>
        <v>2025</v>
      </c>
      <c r="M8" s="62">
        <f>IF(B8="","",IFERROR(VLOOKUP(B8,'ANÁLISE DE DADOS'!$A:$AM,11,0),""))</f>
        <v>45737</v>
      </c>
      <c r="N8" s="61" t="str">
        <f>IF(B8="","",IFERROR(VLOOKUP(B8,'ANÁLISE DE DADOS'!$A:$AM,12,0),""))</f>
        <v>mar-25</v>
      </c>
      <c r="O8" s="61" t="str">
        <f>IF(B8="","",IFERROR(VLOOKUP(B8,'ANÁLISE DE DADOS'!$A:$AM,13,0),""))</f>
        <v>2025</v>
      </c>
      <c r="P8" s="63">
        <f>IF(B8="","",IFERROR(VLOOKUP(B8,'ANÁLISE DE DADOS'!$A:$AM,14,0),""))</f>
        <v>2500</v>
      </c>
      <c r="Q8" s="61" t="str">
        <f>IF(B8="","",IFERROR(VLOOKUP(B8,'ANÁLISE DE DADOS'!$A:$AM,15,0),""))</f>
        <v>Maria</v>
      </c>
      <c r="R8" s="61" t="str">
        <f>IF(B8="","",IFERROR(VLOOKUP(B8,'ANÁLISE DE DADOS'!$A:$AM,16,0),""))</f>
        <v>ANALISTA SIMONE</v>
      </c>
      <c r="S8" s="61" t="str">
        <f>IF(B8="","",IFERROR(VLOOKUP(B8,'ANÁLISE DE DADOS'!$A:$AM,17,0),""))</f>
        <v>NÃO</v>
      </c>
      <c r="T8" s="61" t="str">
        <f>IF(B8="","",IFERROR(VLOOKUP(B8,'ANÁLISE DE DADOS'!$A:$AM,18,0),""))</f>
        <v>Promessa de pagamento refeito</v>
      </c>
      <c r="U8" s="61" t="str">
        <f ca="1">IF(B8="","",IFERROR(VLOOKUP(B8,'ANÁLISE DE DADOS'!$A:$AM,19,0),""))</f>
        <v>Vencido</v>
      </c>
      <c r="V8" s="61">
        <f ca="1">IF(B8="","",IFERROR(VLOOKUP(B8,'ANÁLISE DE DADOS'!$A:$AM,20,0),""))</f>
        <v>105</v>
      </c>
      <c r="W8" s="61" t="str">
        <f ca="1">IF(B8="","",IFERROR(VLOOKUP(B8,'ANÁLISE DE DADOS'!$A:$AM,21,0),""))</f>
        <v>61+ dias</v>
      </c>
      <c r="X8" s="61" t="str">
        <f ca="1">IF(B8="","",IFERROR(VLOOKUP(B8,'ANÁLISE DE DADOS'!$A:$AM,22,0),""))</f>
        <v>Atraso Crítico</v>
      </c>
      <c r="Y8" s="61" t="str">
        <f>IF(B8="","",IFERROR(VLOOKUP(B8,'ANÁLISE DE DADOS'!$A:$AM,23,0),""))</f>
        <v>-</v>
      </c>
      <c r="Z8" s="61" t="str">
        <f>IF(B8="","",IFERROR(VLOOKUP(B8,'ANÁLISE DE DADOS'!$A:$AM,24,0),""))</f>
        <v>Sim</v>
      </c>
      <c r="AA8" s="61">
        <f>IF(B8="","",IFERROR(VLOOKUP(B8,'ANÁLISE DE DADOS'!$A:$AM,25,0),""))</f>
        <v>0</v>
      </c>
      <c r="AB8" s="61">
        <f>IF(B8="","",IFERROR(VLOOKUP(B8,'ANÁLISE DE DADOS'!$A:$AM,26,0),""))</f>
        <v>1</v>
      </c>
      <c r="AC8" s="61" t="str">
        <f>IF(B8="","",IFERROR(VLOOKUP(B8,'ANÁLISE DE DADOS'!$A:$AM,27,0),""))</f>
        <v>Sim</v>
      </c>
      <c r="AD8" s="62">
        <f>IF(B8="","",IFERROR(VLOOKUP(B8,'ANÁLISE DE DADOS'!$A:$AM,28,0),""))</f>
        <v>45740</v>
      </c>
      <c r="AE8" s="61" t="str">
        <f>IF(B8="","",IFERROR(VLOOKUP(B8,'ANÁLISE DE DADOS'!$A:$AM,29,0),""))</f>
        <v>mar-25</v>
      </c>
      <c r="AF8" s="61" t="str">
        <f>IF(B8="","",IFERROR(VLOOKUP(B8,'ANÁLISE DE DADOS'!$A:$AM,30,0),""))</f>
        <v>2025</v>
      </c>
      <c r="AG8" s="62">
        <f>IF(B8="","",IFERROR(VLOOKUP(B8,'ANÁLISE DE DADOS'!$A:$AM,31,0),""))</f>
        <v>45802</v>
      </c>
      <c r="AH8" s="61" t="str">
        <f>IF(B8="","",IFERROR(VLOOKUP(B8,'ANÁLISE DE DADOS'!$A:$AM,32,0),""))</f>
        <v>mai-25</v>
      </c>
      <c r="AI8" s="61" t="str">
        <f>IF(B8="","",IFERROR(VLOOKUP(B8,'ANÁLISE DE DADOS'!$A:$AM,33,0),""))</f>
        <v>2025</v>
      </c>
      <c r="AJ8" s="61" t="str">
        <f>IF(B8="","",IFERROR(VLOOKUP(B8,'ANÁLISE DE DADOS'!$A:$AM,34,0),""))</f>
        <v>Acompanhando</v>
      </c>
      <c r="AK8" s="63">
        <f ca="1">IF(B8="","",IFERROR(VLOOKUP(B8,'ANÁLISE DE DADOS'!$A:$AM,35,0),""))</f>
        <v>2500</v>
      </c>
      <c r="AL8" s="63" t="str">
        <f ca="1">IF(B8="","",IFERROR(VLOOKUP(B8,'ANÁLISE DE DADOS'!$A:$AM,36,0),""))</f>
        <v>0</v>
      </c>
    </row>
    <row r="9" spans="2:38" x14ac:dyDescent="0.3">
      <c r="B9" s="30">
        <v>5</v>
      </c>
      <c r="C9" s="61">
        <f>IF(B9="","",IFERROR(VLOOKUP(B9,'ANÁLISE DE DADOS'!$A:$AM,1,0),""))</f>
        <v>5</v>
      </c>
      <c r="D9" s="61" t="str">
        <f>IF(B9="","",IFERROR(VLOOKUP(B9,'ANÁLISE DE DADOS'!$A:$AM,2,0),""))</f>
        <v>Matriz</v>
      </c>
      <c r="E9" s="61" t="str">
        <f>IF(B9="","",IFERROR(VLOOKUP(B9,'ANÁLISE DE DADOS'!$A:$AM,3,0),""))</f>
        <v>Alpha &amp; CIA</v>
      </c>
      <c r="F9" s="61" t="str">
        <f>IF(B9="","",IFERROR(VLOOKUP(B9,'ANÁLISE DE DADOS'!$A:$AM,4,0),""))</f>
        <v>Theta</v>
      </c>
      <c r="G9" s="62">
        <f>IF(B9="","",IFERROR(VLOOKUP(B9,'ANÁLISE DE DADOS'!$A:$AM,5,0),""))</f>
        <v>45662</v>
      </c>
      <c r="H9" s="62" t="str">
        <f>IF(B9="","",IFERROR(VLOOKUP(B9,'ANÁLISE DE DADOS'!$A:$AM,6,0),""))</f>
        <v>jan-25</v>
      </c>
      <c r="I9" s="62" t="str">
        <f>IF(B9="","",IFERROR(VLOOKUP(B9,'ANÁLISE DE DADOS'!$A:$AM,7,0),""))</f>
        <v>2025</v>
      </c>
      <c r="J9" s="62">
        <f>IF(B9="","",IFERROR(VLOOKUP(B9,'ANÁLISE DE DADOS'!$A:$AM,8,0),""))</f>
        <v>45690</v>
      </c>
      <c r="K9" s="61" t="str">
        <f>IF(B9="","",IFERROR(VLOOKUP(B9,'ANÁLISE DE DADOS'!$A:$AM,9,0),""))</f>
        <v>fev-25</v>
      </c>
      <c r="L9" s="61" t="str">
        <f>IF(B9="","",IFERROR(VLOOKUP(B9,'ANÁLISE DE DADOS'!$A:$AM,10,0),""))</f>
        <v>2025</v>
      </c>
      <c r="M9" s="62">
        <f>IF(B9="","",IFERROR(VLOOKUP(B9,'ANÁLISE DE DADOS'!$A:$AM,11,0),""))</f>
        <v>45737</v>
      </c>
      <c r="N9" s="61" t="str">
        <f>IF(B9="","",IFERROR(VLOOKUP(B9,'ANÁLISE DE DADOS'!$A:$AM,12,0),""))</f>
        <v>mar-25</v>
      </c>
      <c r="O9" s="61" t="str">
        <f>IF(B9="","",IFERROR(VLOOKUP(B9,'ANÁLISE DE DADOS'!$A:$AM,13,0),""))</f>
        <v>2025</v>
      </c>
      <c r="P9" s="63">
        <f>IF(B9="","",IFERROR(VLOOKUP(B9,'ANÁLISE DE DADOS'!$A:$AM,14,0),""))</f>
        <v>3000</v>
      </c>
      <c r="Q9" s="61" t="str">
        <f>IF(B9="","",IFERROR(VLOOKUP(B9,'ANÁLISE DE DADOS'!$A:$AM,15,0),""))</f>
        <v>Carlos</v>
      </c>
      <c r="R9" s="61" t="str">
        <f>IF(B9="","",IFERROR(VLOOKUP(B9,'ANÁLISE DE DADOS'!$A:$AM,16,0),""))</f>
        <v>ANALISTA SIMONE</v>
      </c>
      <c r="S9" s="61" t="str">
        <f>IF(B9="","",IFERROR(VLOOKUP(B9,'ANÁLISE DE DADOS'!$A:$AM,17,0),""))</f>
        <v>NÃO</v>
      </c>
      <c r="T9" s="61" t="str">
        <f>IF(B9="","",IFERROR(VLOOKUP(B9,'ANÁLISE DE DADOS'!$A:$AM,18,0),""))</f>
        <v>Proposta de renegociação pendente</v>
      </c>
      <c r="U9" s="61" t="str">
        <f ca="1">IF(B9="","",IFERROR(VLOOKUP(B9,'ANÁLISE DE DADOS'!$A:$AM,19,0),""))</f>
        <v>Vencido</v>
      </c>
      <c r="V9" s="61">
        <f ca="1">IF(B9="","",IFERROR(VLOOKUP(B9,'ANÁLISE DE DADOS'!$A:$AM,20,0),""))</f>
        <v>105</v>
      </c>
      <c r="W9" s="61" t="str">
        <f ca="1">IF(B9="","",IFERROR(VLOOKUP(B9,'ANÁLISE DE DADOS'!$A:$AM,21,0),""))</f>
        <v>61+ dias</v>
      </c>
      <c r="X9" s="61" t="str">
        <f ca="1">IF(B9="","",IFERROR(VLOOKUP(B9,'ANÁLISE DE DADOS'!$A:$AM,22,0),""))</f>
        <v>Atraso Crítico</v>
      </c>
      <c r="Y9" s="61" t="str">
        <f>IF(B9="","",IFERROR(VLOOKUP(B9,'ANÁLISE DE DADOS'!$A:$AM,23,0),""))</f>
        <v>-</v>
      </c>
      <c r="Z9" s="61" t="str">
        <f>IF(B9="","",IFERROR(VLOOKUP(B9,'ANÁLISE DE DADOS'!$A:$AM,24,0),""))</f>
        <v>Sim</v>
      </c>
      <c r="AA9" s="61">
        <f>IF(B9="","",IFERROR(VLOOKUP(B9,'ANÁLISE DE DADOS'!$A:$AM,25,0),""))</f>
        <v>0</v>
      </c>
      <c r="AB9" s="61">
        <f>IF(B9="","",IFERROR(VLOOKUP(B9,'ANÁLISE DE DADOS'!$A:$AM,26,0),""))</f>
        <v>1</v>
      </c>
      <c r="AC9" s="61" t="str">
        <f>IF(B9="","",IFERROR(VLOOKUP(B9,'ANÁLISE DE DADOS'!$A:$AM,27,0),""))</f>
        <v>Sim</v>
      </c>
      <c r="AD9" s="62">
        <f>IF(B9="","",IFERROR(VLOOKUP(B9,'ANÁLISE DE DADOS'!$A:$AM,28,0),""))</f>
        <v>45740</v>
      </c>
      <c r="AE9" s="61" t="str">
        <f>IF(B9="","",IFERROR(VLOOKUP(B9,'ANÁLISE DE DADOS'!$A:$AM,29,0),""))</f>
        <v>mar-25</v>
      </c>
      <c r="AF9" s="61" t="str">
        <f>IF(B9="","",IFERROR(VLOOKUP(B9,'ANÁLISE DE DADOS'!$A:$AM,30,0),""))</f>
        <v>2025</v>
      </c>
      <c r="AG9" s="62">
        <f>IF(B9="","",IFERROR(VLOOKUP(B9,'ANÁLISE DE DADOS'!$A:$AM,31,0),""))</f>
        <v>45802</v>
      </c>
      <c r="AH9" s="61" t="str">
        <f>IF(B9="","",IFERROR(VLOOKUP(B9,'ANÁLISE DE DADOS'!$A:$AM,32,0),""))</f>
        <v>mai-25</v>
      </c>
      <c r="AI9" s="61" t="str">
        <f>IF(B9="","",IFERROR(VLOOKUP(B9,'ANÁLISE DE DADOS'!$A:$AM,33,0),""))</f>
        <v>2025</v>
      </c>
      <c r="AJ9" s="61" t="str">
        <f>IF(B9="","",IFERROR(VLOOKUP(B9,'ANÁLISE DE DADOS'!$A:$AM,34,0),""))</f>
        <v>Acompanhando</v>
      </c>
      <c r="AK9" s="63">
        <f ca="1">IF(B9="","",IFERROR(VLOOKUP(B9,'ANÁLISE DE DADOS'!$A:$AM,35,0),""))</f>
        <v>3000</v>
      </c>
      <c r="AL9" s="63" t="str">
        <f ca="1">IF(B9="","",IFERROR(VLOOKUP(B9,'ANÁLISE DE DADOS'!$A:$AM,36,0),""))</f>
        <v>0</v>
      </c>
    </row>
    <row r="10" spans="2:38" x14ac:dyDescent="0.3">
      <c r="B10" s="30">
        <v>6</v>
      </c>
      <c r="C10" s="61">
        <f>IF(B10="","",IFERROR(VLOOKUP(B10,'ANÁLISE DE DADOS'!$A:$AM,1,0),""))</f>
        <v>6</v>
      </c>
      <c r="D10" s="61" t="str">
        <f>IF(B10="","",IFERROR(VLOOKUP(B10,'ANÁLISE DE DADOS'!$A:$AM,2,0),""))</f>
        <v>Matriz</v>
      </c>
      <c r="E10" s="61" t="str">
        <f>IF(B10="","",IFERROR(VLOOKUP(B10,'ANÁLISE DE DADOS'!$A:$AM,3,0),""))</f>
        <v>Alpha &amp; CIA</v>
      </c>
      <c r="F10" s="61" t="str">
        <f>IF(B10="","",IFERROR(VLOOKUP(B10,'ANÁLISE DE DADOS'!$A:$AM,4,0),""))</f>
        <v>Zeta</v>
      </c>
      <c r="G10" s="62">
        <f>IF(B10="","",IFERROR(VLOOKUP(B10,'ANÁLISE DE DADOS'!$A:$AM,5,0),""))</f>
        <v>45662</v>
      </c>
      <c r="H10" s="62" t="str">
        <f>IF(B10="","",IFERROR(VLOOKUP(B10,'ANÁLISE DE DADOS'!$A:$AM,6,0),""))</f>
        <v>jan-25</v>
      </c>
      <c r="I10" s="62" t="str">
        <f>IF(B10="","",IFERROR(VLOOKUP(B10,'ANÁLISE DE DADOS'!$A:$AM,7,0),""))</f>
        <v>2025</v>
      </c>
      <c r="J10" s="62">
        <f>IF(B10="","",IFERROR(VLOOKUP(B10,'ANÁLISE DE DADOS'!$A:$AM,8,0),""))</f>
        <v>45690</v>
      </c>
      <c r="K10" s="61" t="str">
        <f>IF(B10="","",IFERROR(VLOOKUP(B10,'ANÁLISE DE DADOS'!$A:$AM,9,0),""))</f>
        <v>fev-25</v>
      </c>
      <c r="L10" s="61" t="str">
        <f>IF(B10="","",IFERROR(VLOOKUP(B10,'ANÁLISE DE DADOS'!$A:$AM,10,0),""))</f>
        <v>2025</v>
      </c>
      <c r="M10" s="62">
        <f>IF(B10="","",IFERROR(VLOOKUP(B10,'ANÁLISE DE DADOS'!$A:$AM,11,0),""))</f>
        <v>45737</v>
      </c>
      <c r="N10" s="61" t="str">
        <f>IF(B10="","",IFERROR(VLOOKUP(B10,'ANÁLISE DE DADOS'!$A:$AM,12,0),""))</f>
        <v>mar-25</v>
      </c>
      <c r="O10" s="61" t="str">
        <f>IF(B10="","",IFERROR(VLOOKUP(B10,'ANÁLISE DE DADOS'!$A:$AM,13,0),""))</f>
        <v>2025</v>
      </c>
      <c r="P10" s="63">
        <f>IF(B10="","",IFERROR(VLOOKUP(B10,'ANÁLISE DE DADOS'!$A:$AM,14,0),""))</f>
        <v>3000</v>
      </c>
      <c r="Q10" s="61" t="str">
        <f>IF(B10="","",IFERROR(VLOOKUP(B10,'ANÁLISE DE DADOS'!$A:$AM,15,0),""))</f>
        <v>Carlos</v>
      </c>
      <c r="R10" s="61" t="str">
        <f>IF(B10="","",IFERROR(VLOOKUP(B10,'ANÁLISE DE DADOS'!$A:$AM,16,0),""))</f>
        <v>ANALISTA SIMONE</v>
      </c>
      <c r="S10" s="61" t="str">
        <f>IF(B10="","",IFERROR(VLOOKUP(B10,'ANÁLISE DE DADOS'!$A:$AM,17,0),""))</f>
        <v>NÃO</v>
      </c>
      <c r="T10" s="61" t="str">
        <f>IF(B10="","",IFERROR(VLOOKUP(B10,'ANÁLISE DE DADOS'!$A:$AM,18,0),""))</f>
        <v>Bloqueio de sistema por inadimplência</v>
      </c>
      <c r="U10" s="61" t="str">
        <f ca="1">IF(B10="","",IFERROR(VLOOKUP(B10,'ANÁLISE DE DADOS'!$A:$AM,19,0),""))</f>
        <v>Vencido</v>
      </c>
      <c r="V10" s="61">
        <f ca="1">IF(B10="","",IFERROR(VLOOKUP(B10,'ANÁLISE DE DADOS'!$A:$AM,20,0),""))</f>
        <v>105</v>
      </c>
      <c r="W10" s="61" t="str">
        <f ca="1">IF(B10="","",IFERROR(VLOOKUP(B10,'ANÁLISE DE DADOS'!$A:$AM,21,0),""))</f>
        <v>61+ dias</v>
      </c>
      <c r="X10" s="61" t="str">
        <f ca="1">IF(B10="","",IFERROR(VLOOKUP(B10,'ANÁLISE DE DADOS'!$A:$AM,22,0),""))</f>
        <v>Atraso Crítico</v>
      </c>
      <c r="Y10" s="61" t="str">
        <f>IF(B10="","",IFERROR(VLOOKUP(B10,'ANÁLISE DE DADOS'!$A:$AM,23,0),""))</f>
        <v>-</v>
      </c>
      <c r="Z10" s="61" t="str">
        <f>IF(B10="","",IFERROR(VLOOKUP(B10,'ANÁLISE DE DADOS'!$A:$AM,24,0),""))</f>
        <v>Sim</v>
      </c>
      <c r="AA10" s="61">
        <f>IF(B10="","",IFERROR(VLOOKUP(B10,'ANÁLISE DE DADOS'!$A:$AM,25,0),""))</f>
        <v>0</v>
      </c>
      <c r="AB10" s="61">
        <f>IF(B10="","",IFERROR(VLOOKUP(B10,'ANÁLISE DE DADOS'!$A:$AM,26,0),""))</f>
        <v>1</v>
      </c>
      <c r="AC10" s="61" t="str">
        <f>IF(B10="","",IFERROR(VLOOKUP(B10,'ANÁLISE DE DADOS'!$A:$AM,27,0),""))</f>
        <v>Sim</v>
      </c>
      <c r="AD10" s="62">
        <f>IF(B10="","",IFERROR(VLOOKUP(B10,'ANÁLISE DE DADOS'!$A:$AM,28,0),""))</f>
        <v>45740</v>
      </c>
      <c r="AE10" s="61" t="str">
        <f>IF(B10="","",IFERROR(VLOOKUP(B10,'ANÁLISE DE DADOS'!$A:$AM,29,0),""))</f>
        <v>mar-25</v>
      </c>
      <c r="AF10" s="61" t="str">
        <f>IF(B10="","",IFERROR(VLOOKUP(B10,'ANÁLISE DE DADOS'!$A:$AM,30,0),""))</f>
        <v>2025</v>
      </c>
      <c r="AG10" s="62">
        <f>IF(B10="","",IFERROR(VLOOKUP(B10,'ANÁLISE DE DADOS'!$A:$AM,31,0),""))</f>
        <v>45802</v>
      </c>
      <c r="AH10" s="61" t="str">
        <f>IF(B10="","",IFERROR(VLOOKUP(B10,'ANÁLISE DE DADOS'!$A:$AM,32,0),""))</f>
        <v>mai-25</v>
      </c>
      <c r="AI10" s="61" t="str">
        <f>IF(B10="","",IFERROR(VLOOKUP(B10,'ANÁLISE DE DADOS'!$A:$AM,33,0),""))</f>
        <v>2025</v>
      </c>
      <c r="AJ10" s="61" t="str">
        <f>IF(B10="","",IFERROR(VLOOKUP(B10,'ANÁLISE DE DADOS'!$A:$AM,34,0),""))</f>
        <v>Acompanhando</v>
      </c>
      <c r="AK10" s="63">
        <f ca="1">IF(B10="","",IFERROR(VLOOKUP(B10,'ANÁLISE DE DADOS'!$A:$AM,35,0),""))</f>
        <v>3000</v>
      </c>
      <c r="AL10" s="63" t="str">
        <f ca="1">IF(B10="","",IFERROR(VLOOKUP(B10,'ANÁLISE DE DADOS'!$A:$AM,36,0),""))</f>
        <v>0</v>
      </c>
    </row>
    <row r="11" spans="2:38" x14ac:dyDescent="0.3">
      <c r="B11" s="30">
        <v>7</v>
      </c>
      <c r="C11" s="61">
        <f>IF(B11="","",IFERROR(VLOOKUP(B11,'ANÁLISE DE DADOS'!$A:$AM,1,0),""))</f>
        <v>7</v>
      </c>
      <c r="D11" s="61" t="str">
        <f>IF(B11="","",IFERROR(VLOOKUP(B11,'ANÁLISE DE DADOS'!$A:$AM,2,0),""))</f>
        <v>Filial</v>
      </c>
      <c r="E11" s="61">
        <f>IF(B11="","",IFERROR(VLOOKUP(B11,'ANÁLISE DE DADOS'!$A:$AM,3,0),""))</f>
        <v>0</v>
      </c>
      <c r="F11" s="61" t="str">
        <f>IF(B11="","",IFERROR(VLOOKUP(B11,'ANÁLISE DE DADOS'!$A:$AM,4,0),""))</f>
        <v>BemEstar</v>
      </c>
      <c r="G11" s="62">
        <f>IF(B11="","",IFERROR(VLOOKUP(B11,'ANÁLISE DE DADOS'!$A:$AM,5,0),""))</f>
        <v>45663</v>
      </c>
      <c r="H11" s="62" t="str">
        <f>IF(B11="","",IFERROR(VLOOKUP(B11,'ANÁLISE DE DADOS'!$A:$AM,6,0),""))</f>
        <v>jan-25</v>
      </c>
      <c r="I11" s="62" t="str">
        <f>IF(B11="","",IFERROR(VLOOKUP(B11,'ANÁLISE DE DADOS'!$A:$AM,7,0),""))</f>
        <v>2025</v>
      </c>
      <c r="J11" s="62">
        <f>IF(B11="","",IFERROR(VLOOKUP(B11,'ANÁLISE DE DADOS'!$A:$AM,8,0),""))</f>
        <v>45690</v>
      </c>
      <c r="K11" s="61" t="str">
        <f>IF(B11="","",IFERROR(VLOOKUP(B11,'ANÁLISE DE DADOS'!$A:$AM,9,0),""))</f>
        <v>fev-25</v>
      </c>
      <c r="L11" s="61" t="str">
        <f>IF(B11="","",IFERROR(VLOOKUP(B11,'ANÁLISE DE DADOS'!$A:$AM,10,0),""))</f>
        <v>2025</v>
      </c>
      <c r="M11" s="62">
        <f>IF(B11="","",IFERROR(VLOOKUP(B11,'ANÁLISE DE DADOS'!$A:$AM,11,0),""))</f>
        <v>45737</v>
      </c>
      <c r="N11" s="61" t="str">
        <f>IF(B11="","",IFERROR(VLOOKUP(B11,'ANÁLISE DE DADOS'!$A:$AM,12,0),""))</f>
        <v>mar-25</v>
      </c>
      <c r="O11" s="61" t="str">
        <f>IF(B11="","",IFERROR(VLOOKUP(B11,'ANÁLISE DE DADOS'!$A:$AM,13,0),""))</f>
        <v>2025</v>
      </c>
      <c r="P11" s="63">
        <f>IF(B11="","",IFERROR(VLOOKUP(B11,'ANÁLISE DE DADOS'!$A:$AM,14,0),""))</f>
        <v>1500</v>
      </c>
      <c r="Q11" s="61" t="str">
        <f>IF(B11="","",IFERROR(VLOOKUP(B11,'ANÁLISE DE DADOS'!$A:$AM,15,0),""))</f>
        <v>Ana</v>
      </c>
      <c r="R11" s="61" t="str">
        <f>IF(B11="","",IFERROR(VLOOKUP(B11,'ANÁLISE DE DADOS'!$A:$AM,16,0),""))</f>
        <v>ANALISTA SIMONE</v>
      </c>
      <c r="S11" s="61" t="str">
        <f>IF(B11="","",IFERROR(VLOOKUP(B11,'ANÁLISE DE DADOS'!$A:$AM,17,0),""))</f>
        <v>NÃO</v>
      </c>
      <c r="T11" s="61" t="str">
        <f>IF(B11="","",IFERROR(VLOOKUP(B11,'ANÁLISE DE DADOS'!$A:$AM,18,0),""))</f>
        <v>Acordo em andamento (aguardando pagamento)</v>
      </c>
      <c r="U11" s="61" t="str">
        <f ca="1">IF(B11="","",IFERROR(VLOOKUP(B11,'ANÁLISE DE DADOS'!$A:$AM,19,0),""))</f>
        <v>Vencido</v>
      </c>
      <c r="V11" s="61">
        <f ca="1">IF(B11="","",IFERROR(VLOOKUP(B11,'ANÁLISE DE DADOS'!$A:$AM,20,0),""))</f>
        <v>105</v>
      </c>
      <c r="W11" s="61" t="str">
        <f ca="1">IF(B11="","",IFERROR(VLOOKUP(B11,'ANÁLISE DE DADOS'!$A:$AM,21,0),""))</f>
        <v>61+ dias</v>
      </c>
      <c r="X11" s="61" t="str">
        <f ca="1">IF(B11="","",IFERROR(VLOOKUP(B11,'ANÁLISE DE DADOS'!$A:$AM,22,0),""))</f>
        <v>Atraso Crítico</v>
      </c>
      <c r="Y11" s="61" t="str">
        <f>IF(B11="","",IFERROR(VLOOKUP(B11,'ANÁLISE DE DADOS'!$A:$AM,23,0),""))</f>
        <v>-</v>
      </c>
      <c r="Z11" s="61" t="str">
        <f>IF(B11="","",IFERROR(VLOOKUP(B11,'ANÁLISE DE DADOS'!$A:$AM,24,0),""))</f>
        <v>Sim</v>
      </c>
      <c r="AA11" s="61">
        <f>IF(B11="","",IFERROR(VLOOKUP(B11,'ANÁLISE DE DADOS'!$A:$AM,25,0),""))</f>
        <v>0</v>
      </c>
      <c r="AB11" s="61">
        <f>IF(B11="","",IFERROR(VLOOKUP(B11,'ANÁLISE DE DADOS'!$A:$AM,26,0),""))</f>
        <v>1</v>
      </c>
      <c r="AC11" s="61" t="str">
        <f>IF(B11="","",IFERROR(VLOOKUP(B11,'ANÁLISE DE DADOS'!$A:$AM,27,0),""))</f>
        <v>Sim</v>
      </c>
      <c r="AD11" s="62">
        <f>IF(B11="","",IFERROR(VLOOKUP(B11,'ANÁLISE DE DADOS'!$A:$AM,28,0),""))</f>
        <v>45740</v>
      </c>
      <c r="AE11" s="61" t="str">
        <f>IF(B11="","",IFERROR(VLOOKUP(B11,'ANÁLISE DE DADOS'!$A:$AM,29,0),""))</f>
        <v>mar-25</v>
      </c>
      <c r="AF11" s="61" t="str">
        <f>IF(B11="","",IFERROR(VLOOKUP(B11,'ANÁLISE DE DADOS'!$A:$AM,30,0),""))</f>
        <v>2025</v>
      </c>
      <c r="AG11" s="62">
        <f>IF(B11="","",IFERROR(VLOOKUP(B11,'ANÁLISE DE DADOS'!$A:$AM,31,0),""))</f>
        <v>45802</v>
      </c>
      <c r="AH11" s="61" t="str">
        <f>IF(B11="","",IFERROR(VLOOKUP(B11,'ANÁLISE DE DADOS'!$A:$AM,32,0),""))</f>
        <v>mai-25</v>
      </c>
      <c r="AI11" s="61" t="str">
        <f>IF(B11="","",IFERROR(VLOOKUP(B11,'ANÁLISE DE DADOS'!$A:$AM,33,0),""))</f>
        <v>2025</v>
      </c>
      <c r="AJ11" s="61" t="str">
        <f>IF(B11="","",IFERROR(VLOOKUP(B11,'ANÁLISE DE DADOS'!$A:$AM,34,0),""))</f>
        <v>Acompanhando</v>
      </c>
      <c r="AK11" s="63">
        <f ca="1">IF(B11="","",IFERROR(VLOOKUP(B11,'ANÁLISE DE DADOS'!$A:$AM,35,0),""))</f>
        <v>1500</v>
      </c>
      <c r="AL11" s="63" t="str">
        <f ca="1">IF(B11="","",IFERROR(VLOOKUP(B11,'ANÁLISE DE DADOS'!$A:$AM,36,0),""))</f>
        <v>0</v>
      </c>
    </row>
    <row r="12" spans="2:38" x14ac:dyDescent="0.3">
      <c r="B12" s="30">
        <v>8</v>
      </c>
      <c r="C12" s="61">
        <f>IF(B12="","",IFERROR(VLOOKUP(B12,'ANÁLISE DE DADOS'!$A:$AM,1,0),""))</f>
        <v>8</v>
      </c>
      <c r="D12" s="61" t="str">
        <f>IF(B12="","",IFERROR(VLOOKUP(B12,'ANÁLISE DE DADOS'!$A:$AM,2,0),""))</f>
        <v>Filial</v>
      </c>
      <c r="E12" s="61">
        <f>IF(B12="","",IFERROR(VLOOKUP(B12,'ANÁLISE DE DADOS'!$A:$AM,3,0),""))</f>
        <v>0</v>
      </c>
      <c r="F12" s="61" t="str">
        <f>IF(B12="","",IFERROR(VLOOKUP(B12,'ANÁLISE DE DADOS'!$A:$AM,4,0),""))</f>
        <v>BemEstar</v>
      </c>
      <c r="G12" s="62">
        <f>IF(B12="","",IFERROR(VLOOKUP(B12,'ANÁLISE DE DADOS'!$A:$AM,5,0),""))</f>
        <v>45663</v>
      </c>
      <c r="H12" s="62" t="str">
        <f>IF(B12="","",IFERROR(VLOOKUP(B12,'ANÁLISE DE DADOS'!$A:$AM,6,0),""))</f>
        <v>jan-25</v>
      </c>
      <c r="I12" s="62" t="str">
        <f>IF(B12="","",IFERROR(VLOOKUP(B12,'ANÁLISE DE DADOS'!$A:$AM,7,0),""))</f>
        <v>2025</v>
      </c>
      <c r="J12" s="62">
        <f>IF(B12="","",IFERROR(VLOOKUP(B12,'ANÁLISE DE DADOS'!$A:$AM,8,0),""))</f>
        <v>45690</v>
      </c>
      <c r="K12" s="61" t="str">
        <f>IF(B12="","",IFERROR(VLOOKUP(B12,'ANÁLISE DE DADOS'!$A:$AM,9,0),""))</f>
        <v>fev-25</v>
      </c>
      <c r="L12" s="61" t="str">
        <f>IF(B12="","",IFERROR(VLOOKUP(B12,'ANÁLISE DE DADOS'!$A:$AM,10,0),""))</f>
        <v>2025</v>
      </c>
      <c r="M12" s="62">
        <f>IF(B12="","",IFERROR(VLOOKUP(B12,'ANÁLISE DE DADOS'!$A:$AM,11,0),""))</f>
        <v>45737</v>
      </c>
      <c r="N12" s="61" t="str">
        <f>IF(B12="","",IFERROR(VLOOKUP(B12,'ANÁLISE DE DADOS'!$A:$AM,12,0),""))</f>
        <v>mar-25</v>
      </c>
      <c r="O12" s="61" t="str">
        <f>IF(B12="","",IFERROR(VLOOKUP(B12,'ANÁLISE DE DADOS'!$A:$AM,13,0),""))</f>
        <v>2025</v>
      </c>
      <c r="P12" s="63">
        <f>IF(B12="","",IFERROR(VLOOKUP(B12,'ANÁLISE DE DADOS'!$A:$AM,14,0),""))</f>
        <v>1500</v>
      </c>
      <c r="Q12" s="61" t="str">
        <f>IF(B12="","",IFERROR(VLOOKUP(B12,'ANÁLISE DE DADOS'!$A:$AM,15,0),""))</f>
        <v>Ana</v>
      </c>
      <c r="R12" s="61" t="str">
        <f>IF(B12="","",IFERROR(VLOOKUP(B12,'ANÁLISE DE DADOS'!$A:$AM,16,0),""))</f>
        <v>ANALISTA SIMONE</v>
      </c>
      <c r="S12" s="61" t="str">
        <f>IF(B12="","",IFERROR(VLOOKUP(B12,'ANÁLISE DE DADOS'!$A:$AM,17,0),""))</f>
        <v>NÃO</v>
      </c>
      <c r="T12" s="61" t="str">
        <f>IF(B12="","",IFERROR(VLOOKUP(B12,'ANÁLISE DE DADOS'!$A:$AM,18,0),""))</f>
        <v>Negociação finalizada, pendente de pagamento</v>
      </c>
      <c r="U12" s="61" t="str">
        <f ca="1">IF(B12="","",IFERROR(VLOOKUP(B12,'ANÁLISE DE DADOS'!$A:$AM,19,0),""))</f>
        <v>Vencido</v>
      </c>
      <c r="V12" s="61">
        <f ca="1">IF(B12="","",IFERROR(VLOOKUP(B12,'ANÁLISE DE DADOS'!$A:$AM,20,0),""))</f>
        <v>105</v>
      </c>
      <c r="W12" s="61" t="str">
        <f ca="1">IF(B12="","",IFERROR(VLOOKUP(B12,'ANÁLISE DE DADOS'!$A:$AM,21,0),""))</f>
        <v>61+ dias</v>
      </c>
      <c r="X12" s="61" t="str">
        <f ca="1">IF(B12="","",IFERROR(VLOOKUP(B12,'ANÁLISE DE DADOS'!$A:$AM,22,0),""))</f>
        <v>Atraso Crítico</v>
      </c>
      <c r="Y12" s="61" t="str">
        <f>IF(B12="","",IFERROR(VLOOKUP(B12,'ANÁLISE DE DADOS'!$A:$AM,23,0),""))</f>
        <v>-</v>
      </c>
      <c r="Z12" s="61" t="str">
        <f>IF(B12="","",IFERROR(VLOOKUP(B12,'ANÁLISE DE DADOS'!$A:$AM,24,0),""))</f>
        <v>Sim</v>
      </c>
      <c r="AA12" s="61">
        <f>IF(B12="","",IFERROR(VLOOKUP(B12,'ANÁLISE DE DADOS'!$A:$AM,25,0),""))</f>
        <v>0</v>
      </c>
      <c r="AB12" s="61">
        <f>IF(B12="","",IFERROR(VLOOKUP(B12,'ANÁLISE DE DADOS'!$A:$AM,26,0),""))</f>
        <v>1</v>
      </c>
      <c r="AC12" s="61" t="str">
        <f>IF(B12="","",IFERROR(VLOOKUP(B12,'ANÁLISE DE DADOS'!$A:$AM,27,0),""))</f>
        <v>Sim</v>
      </c>
      <c r="AD12" s="62">
        <f>IF(B12="","",IFERROR(VLOOKUP(B12,'ANÁLISE DE DADOS'!$A:$AM,28,0),""))</f>
        <v>45740</v>
      </c>
      <c r="AE12" s="61" t="str">
        <f>IF(B12="","",IFERROR(VLOOKUP(B12,'ANÁLISE DE DADOS'!$A:$AM,29,0),""))</f>
        <v>mar-25</v>
      </c>
      <c r="AF12" s="61" t="str">
        <f>IF(B12="","",IFERROR(VLOOKUP(B12,'ANÁLISE DE DADOS'!$A:$AM,30,0),""))</f>
        <v>2025</v>
      </c>
      <c r="AG12" s="62">
        <f>IF(B12="","",IFERROR(VLOOKUP(B12,'ANÁLISE DE DADOS'!$A:$AM,31,0),""))</f>
        <v>45802</v>
      </c>
      <c r="AH12" s="61" t="str">
        <f>IF(B12="","",IFERROR(VLOOKUP(B12,'ANÁLISE DE DADOS'!$A:$AM,32,0),""))</f>
        <v>mai-25</v>
      </c>
      <c r="AI12" s="61" t="str">
        <f>IF(B12="","",IFERROR(VLOOKUP(B12,'ANÁLISE DE DADOS'!$A:$AM,33,0),""))</f>
        <v>2025</v>
      </c>
      <c r="AJ12" s="61" t="str">
        <f>IF(B12="","",IFERROR(VLOOKUP(B12,'ANÁLISE DE DADOS'!$A:$AM,34,0),""))</f>
        <v>Acompanhando</v>
      </c>
      <c r="AK12" s="63">
        <f ca="1">IF(B12="","",IFERROR(VLOOKUP(B12,'ANÁLISE DE DADOS'!$A:$AM,35,0),""))</f>
        <v>1500</v>
      </c>
      <c r="AL12" s="63" t="str">
        <f ca="1">IF(B12="","",IFERROR(VLOOKUP(B12,'ANÁLISE DE DADOS'!$A:$AM,36,0),""))</f>
        <v>0</v>
      </c>
    </row>
    <row r="13" spans="2:38" x14ac:dyDescent="0.3">
      <c r="B13" s="30">
        <v>9</v>
      </c>
      <c r="C13" s="61">
        <f>IF(B13="","",IFERROR(VLOOKUP(B13,'ANÁLISE DE DADOS'!$A:$AM,1,0),""))</f>
        <v>9</v>
      </c>
      <c r="D13" s="61" t="str">
        <f>IF(B13="","",IFERROR(VLOOKUP(B13,'ANÁLISE DE DADOS'!$A:$AM,2,0),""))</f>
        <v>Matriz</v>
      </c>
      <c r="E13" s="61">
        <f>IF(B13="","",IFERROR(VLOOKUP(B13,'ANÁLISE DE DADOS'!$A:$AM,3,0),""))</f>
        <v>0</v>
      </c>
      <c r="F13" s="61" t="str">
        <f>IF(B13="","",IFERROR(VLOOKUP(B13,'ANÁLISE DE DADOS'!$A:$AM,4,0),""))</f>
        <v>BemEstar</v>
      </c>
      <c r="G13" s="62">
        <f>IF(B13="","",IFERROR(VLOOKUP(B13,'ANÁLISE DE DADOS'!$A:$AM,5,0),""))</f>
        <v>45667</v>
      </c>
      <c r="H13" s="62" t="str">
        <f>IF(B13="","",IFERROR(VLOOKUP(B13,'ANÁLISE DE DADOS'!$A:$AM,6,0),""))</f>
        <v>jan-25</v>
      </c>
      <c r="I13" s="62" t="str">
        <f>IF(B13="","",IFERROR(VLOOKUP(B13,'ANÁLISE DE DADOS'!$A:$AM,7,0),""))</f>
        <v>2025</v>
      </c>
      <c r="J13" s="62">
        <f>IF(B13="","",IFERROR(VLOOKUP(B13,'ANÁLISE DE DADOS'!$A:$AM,8,0),""))</f>
        <v>45698</v>
      </c>
      <c r="K13" s="61" t="str">
        <f>IF(B13="","",IFERROR(VLOOKUP(B13,'ANÁLISE DE DADOS'!$A:$AM,9,0),""))</f>
        <v>fev-25</v>
      </c>
      <c r="L13" s="61" t="str">
        <f>IF(B13="","",IFERROR(VLOOKUP(B13,'ANÁLISE DE DADOS'!$A:$AM,10,0),""))</f>
        <v>2025</v>
      </c>
      <c r="M13" s="62">
        <f>IF(B13="","",IFERROR(VLOOKUP(B13,'ANÁLISE DE DADOS'!$A:$AM,11,0),""))</f>
        <v>45737</v>
      </c>
      <c r="N13" s="61" t="str">
        <f>IF(B13="","",IFERROR(VLOOKUP(B13,'ANÁLISE DE DADOS'!$A:$AM,12,0),""))</f>
        <v>mar-25</v>
      </c>
      <c r="O13" s="61" t="str">
        <f>IF(B13="","",IFERROR(VLOOKUP(B13,'ANÁLISE DE DADOS'!$A:$AM,13,0),""))</f>
        <v>2025</v>
      </c>
      <c r="P13" s="63">
        <f>IF(B13="","",IFERROR(VLOOKUP(B13,'ANÁLISE DE DADOS'!$A:$AM,14,0),""))</f>
        <v>2200</v>
      </c>
      <c r="Q13" s="61" t="str">
        <f>IF(B13="","",IFERROR(VLOOKUP(B13,'ANÁLISE DE DADOS'!$A:$AM,15,0),""))</f>
        <v>Beatriz</v>
      </c>
      <c r="R13" s="61" t="str">
        <f>IF(B13="","",IFERROR(VLOOKUP(B13,'ANÁLISE DE DADOS'!$A:$AM,16,0),""))</f>
        <v>ANALISTA SIMONE</v>
      </c>
      <c r="S13" s="61" t="str">
        <f>IF(B13="","",IFERROR(VLOOKUP(B13,'ANÁLISE DE DADOS'!$A:$AM,17,0),""))</f>
        <v>NÃO</v>
      </c>
      <c r="T13" s="61" t="str">
        <f>IF(B13="","",IFERROR(VLOOKUP(B13,'ANÁLISE DE DADOS'!$A:$AM,18,0),""))</f>
        <v>Cliente em processo de análise para reativação</v>
      </c>
      <c r="U13" s="61" t="str">
        <f ca="1">IF(B13="","",IFERROR(VLOOKUP(B13,'ANÁLISE DE DADOS'!$A:$AM,19,0),""))</f>
        <v>Vencido</v>
      </c>
      <c r="V13" s="61">
        <f ca="1">IF(B13="","",IFERROR(VLOOKUP(B13,'ANÁLISE DE DADOS'!$A:$AM,20,0),""))</f>
        <v>97</v>
      </c>
      <c r="W13" s="61" t="str">
        <f ca="1">IF(B13="","",IFERROR(VLOOKUP(B13,'ANÁLISE DE DADOS'!$A:$AM,21,0),""))</f>
        <v>61+ dias</v>
      </c>
      <c r="X13" s="61" t="str">
        <f ca="1">IF(B13="","",IFERROR(VLOOKUP(B13,'ANÁLISE DE DADOS'!$A:$AM,22,0),""))</f>
        <v>Atraso Crítico</v>
      </c>
      <c r="Y13" s="61" t="str">
        <f>IF(B13="","",IFERROR(VLOOKUP(B13,'ANÁLISE DE DADOS'!$A:$AM,23,0),""))</f>
        <v>-</v>
      </c>
      <c r="Z13" s="61" t="str">
        <f>IF(B13="","",IFERROR(VLOOKUP(B13,'ANÁLISE DE DADOS'!$A:$AM,24,0),""))</f>
        <v>Sim</v>
      </c>
      <c r="AA13" s="61">
        <f>IF(B13="","",IFERROR(VLOOKUP(B13,'ANÁLISE DE DADOS'!$A:$AM,25,0),""))</f>
        <v>0</v>
      </c>
      <c r="AB13" s="61">
        <f>IF(B13="","",IFERROR(VLOOKUP(B13,'ANÁLISE DE DADOS'!$A:$AM,26,0),""))</f>
        <v>1</v>
      </c>
      <c r="AC13" s="61" t="str">
        <f>IF(B13="","",IFERROR(VLOOKUP(B13,'ANÁLISE DE DADOS'!$A:$AM,27,0),""))</f>
        <v>Sim</v>
      </c>
      <c r="AD13" s="62">
        <f>IF(B13="","",IFERROR(VLOOKUP(B13,'ANÁLISE DE DADOS'!$A:$AM,28,0),""))</f>
        <v>45740</v>
      </c>
      <c r="AE13" s="61" t="str">
        <f>IF(B13="","",IFERROR(VLOOKUP(B13,'ANÁLISE DE DADOS'!$A:$AM,29,0),""))</f>
        <v>mar-25</v>
      </c>
      <c r="AF13" s="61" t="str">
        <f>IF(B13="","",IFERROR(VLOOKUP(B13,'ANÁLISE DE DADOS'!$A:$AM,30,0),""))</f>
        <v>2025</v>
      </c>
      <c r="AG13" s="62">
        <f>IF(B13="","",IFERROR(VLOOKUP(B13,'ANÁLISE DE DADOS'!$A:$AM,31,0),""))</f>
        <v>45802</v>
      </c>
      <c r="AH13" s="61" t="str">
        <f>IF(B13="","",IFERROR(VLOOKUP(B13,'ANÁLISE DE DADOS'!$A:$AM,32,0),""))</f>
        <v>mai-25</v>
      </c>
      <c r="AI13" s="61" t="str">
        <f>IF(B13="","",IFERROR(VLOOKUP(B13,'ANÁLISE DE DADOS'!$A:$AM,33,0),""))</f>
        <v>2025</v>
      </c>
      <c r="AJ13" s="61" t="str">
        <f>IF(B13="","",IFERROR(VLOOKUP(B13,'ANÁLISE DE DADOS'!$A:$AM,34,0),""))</f>
        <v>Acompanhando</v>
      </c>
      <c r="AK13" s="63">
        <f ca="1">IF(B13="","",IFERROR(VLOOKUP(B13,'ANÁLISE DE DADOS'!$A:$AM,35,0),""))</f>
        <v>2200</v>
      </c>
      <c r="AL13" s="63" t="str">
        <f ca="1">IF(B13="","",IFERROR(VLOOKUP(B13,'ANÁLISE DE DADOS'!$A:$AM,36,0),""))</f>
        <v>0</v>
      </c>
    </row>
    <row r="14" spans="2:38" x14ac:dyDescent="0.3">
      <c r="B14" s="30">
        <v>10</v>
      </c>
      <c r="C14" s="61">
        <f>IF(B14="","",IFERROR(VLOOKUP(B14,'ANÁLISE DE DADOS'!$A:$AM,1,0),""))</f>
        <v>10</v>
      </c>
      <c r="D14" s="61" t="str">
        <f>IF(B14="","",IFERROR(VLOOKUP(B14,'ANÁLISE DE DADOS'!$A:$AM,2,0),""))</f>
        <v>Matriz</v>
      </c>
      <c r="E14" s="61">
        <f>IF(B14="","",IFERROR(VLOOKUP(B14,'ANÁLISE DE DADOS'!$A:$AM,3,0),""))</f>
        <v>0</v>
      </c>
      <c r="F14" s="61" t="str">
        <f>IF(B14="","",IFERROR(VLOOKUP(B14,'ANÁLISE DE DADOS'!$A:$AM,4,0),""))</f>
        <v>BemEstar</v>
      </c>
      <c r="G14" s="62">
        <f>IF(B14="","",IFERROR(VLOOKUP(B14,'ANÁLISE DE DADOS'!$A:$AM,5,0),""))</f>
        <v>45667</v>
      </c>
      <c r="H14" s="62" t="str">
        <f>IF(B14="","",IFERROR(VLOOKUP(B14,'ANÁLISE DE DADOS'!$A:$AM,6,0),""))</f>
        <v>jan-25</v>
      </c>
      <c r="I14" s="62" t="str">
        <f>IF(B14="","",IFERROR(VLOOKUP(B14,'ANÁLISE DE DADOS'!$A:$AM,7,0),""))</f>
        <v>2025</v>
      </c>
      <c r="J14" s="62">
        <f>IF(B14="","",IFERROR(VLOOKUP(B14,'ANÁLISE DE DADOS'!$A:$AM,8,0),""))</f>
        <v>45699</v>
      </c>
      <c r="K14" s="61" t="str">
        <f>IF(B14="","",IFERROR(VLOOKUP(B14,'ANÁLISE DE DADOS'!$A:$AM,9,0),""))</f>
        <v>fev-25</v>
      </c>
      <c r="L14" s="61" t="str">
        <f>IF(B14="","",IFERROR(VLOOKUP(B14,'ANÁLISE DE DADOS'!$A:$AM,10,0),""))</f>
        <v>2025</v>
      </c>
      <c r="M14" s="62">
        <f>IF(B14="","",IFERROR(VLOOKUP(B14,'ANÁLISE DE DADOS'!$A:$AM,11,0),""))</f>
        <v>45737</v>
      </c>
      <c r="N14" s="61" t="str">
        <f>IF(B14="","",IFERROR(VLOOKUP(B14,'ANÁLISE DE DADOS'!$A:$AM,12,0),""))</f>
        <v>mar-25</v>
      </c>
      <c r="O14" s="61" t="str">
        <f>IF(B14="","",IFERROR(VLOOKUP(B14,'ANÁLISE DE DADOS'!$A:$AM,13,0),""))</f>
        <v>2025</v>
      </c>
      <c r="P14" s="63">
        <f>IF(B14="","",IFERROR(VLOOKUP(B14,'ANÁLISE DE DADOS'!$A:$AM,14,0),""))</f>
        <v>2200</v>
      </c>
      <c r="Q14" s="61" t="str">
        <f>IF(B14="","",IFERROR(VLOOKUP(B14,'ANÁLISE DE DADOS'!$A:$AM,15,0),""))</f>
        <v>Beatriz</v>
      </c>
      <c r="R14" s="61" t="str">
        <f>IF(B14="","",IFERROR(VLOOKUP(B14,'ANÁLISE DE DADOS'!$A:$AM,16,0),""))</f>
        <v>ANALISTA SIMONE</v>
      </c>
      <c r="S14" s="61" t="str">
        <f>IF(B14="","",IFERROR(VLOOKUP(B14,'ANÁLISE DE DADOS'!$A:$AM,17,0),""))</f>
        <v>NÃO</v>
      </c>
      <c r="T14" s="61" t="str">
        <f>IF(B14="","",IFERROR(VLOOKUP(B14,'ANÁLISE DE DADOS'!$A:$AM,18,0),""))</f>
        <v>Acordo cumprido parcialmente</v>
      </c>
      <c r="U14" s="61" t="str">
        <f ca="1">IF(B14="","",IFERROR(VLOOKUP(B14,'ANÁLISE DE DADOS'!$A:$AM,19,0),""))</f>
        <v>Vencido</v>
      </c>
      <c r="V14" s="61">
        <f ca="1">IF(B14="","",IFERROR(VLOOKUP(B14,'ANÁLISE DE DADOS'!$A:$AM,20,0),""))</f>
        <v>96</v>
      </c>
      <c r="W14" s="61" t="str">
        <f ca="1">IF(B14="","",IFERROR(VLOOKUP(B14,'ANÁLISE DE DADOS'!$A:$AM,21,0),""))</f>
        <v>61+ dias</v>
      </c>
      <c r="X14" s="61" t="str">
        <f ca="1">IF(B14="","",IFERROR(VLOOKUP(B14,'ANÁLISE DE DADOS'!$A:$AM,22,0),""))</f>
        <v>Atraso Crítico</v>
      </c>
      <c r="Y14" s="61" t="str">
        <f>IF(B14="","",IFERROR(VLOOKUP(B14,'ANÁLISE DE DADOS'!$A:$AM,23,0),""))</f>
        <v>-</v>
      </c>
      <c r="Z14" s="61" t="str">
        <f>IF(B14="","",IFERROR(VLOOKUP(B14,'ANÁLISE DE DADOS'!$A:$AM,24,0),""))</f>
        <v>Sim</v>
      </c>
      <c r="AA14" s="61">
        <f>IF(B14="","",IFERROR(VLOOKUP(B14,'ANÁLISE DE DADOS'!$A:$AM,25,0),""))</f>
        <v>0</v>
      </c>
      <c r="AB14" s="61">
        <f>IF(B14="","",IFERROR(VLOOKUP(B14,'ANÁLISE DE DADOS'!$A:$AM,26,0),""))</f>
        <v>1</v>
      </c>
      <c r="AC14" s="61" t="str">
        <f>IF(B14="","",IFERROR(VLOOKUP(B14,'ANÁLISE DE DADOS'!$A:$AM,27,0),""))</f>
        <v>Sim</v>
      </c>
      <c r="AD14" s="62">
        <f>IF(B14="","",IFERROR(VLOOKUP(B14,'ANÁLISE DE DADOS'!$A:$AM,28,0),""))</f>
        <v>45740</v>
      </c>
      <c r="AE14" s="61" t="str">
        <f>IF(B14="","",IFERROR(VLOOKUP(B14,'ANÁLISE DE DADOS'!$A:$AM,29,0),""))</f>
        <v>mar-25</v>
      </c>
      <c r="AF14" s="61" t="str">
        <f>IF(B14="","",IFERROR(VLOOKUP(B14,'ANÁLISE DE DADOS'!$A:$AM,30,0),""))</f>
        <v>2025</v>
      </c>
      <c r="AG14" s="62">
        <f>IF(B14="","",IFERROR(VLOOKUP(B14,'ANÁLISE DE DADOS'!$A:$AM,31,0),""))</f>
        <v>45802</v>
      </c>
      <c r="AH14" s="61" t="str">
        <f>IF(B14="","",IFERROR(VLOOKUP(B14,'ANÁLISE DE DADOS'!$A:$AM,32,0),""))</f>
        <v>mai-25</v>
      </c>
      <c r="AI14" s="61" t="str">
        <f>IF(B14="","",IFERROR(VLOOKUP(B14,'ANÁLISE DE DADOS'!$A:$AM,33,0),""))</f>
        <v>2025</v>
      </c>
      <c r="AJ14" s="61" t="str">
        <f>IF(B14="","",IFERROR(VLOOKUP(B14,'ANÁLISE DE DADOS'!$A:$AM,34,0),""))</f>
        <v>Acompanhando</v>
      </c>
      <c r="AK14" s="63">
        <f ca="1">IF(B14="","",IFERROR(VLOOKUP(B14,'ANÁLISE DE DADOS'!$A:$AM,35,0),""))</f>
        <v>2200</v>
      </c>
      <c r="AL14" s="63" t="str">
        <f ca="1">IF(B14="","",IFERROR(VLOOKUP(B14,'ANÁLISE DE DADOS'!$A:$AM,36,0),""))</f>
        <v>0</v>
      </c>
    </row>
    <row r="15" spans="2:38" x14ac:dyDescent="0.3">
      <c r="B15" s="30">
        <v>11</v>
      </c>
      <c r="C15" s="61">
        <f>IF(B15="","",IFERROR(VLOOKUP(B15,'ANÁLISE DE DADOS'!$A:$AM,1,0),""))</f>
        <v>11</v>
      </c>
      <c r="D15" s="61" t="str">
        <f>IF(B15="","",IFERROR(VLOOKUP(B15,'ANÁLISE DE DADOS'!$A:$AM,2,0),""))</f>
        <v>Filial</v>
      </c>
      <c r="E15" s="61">
        <f>IF(B15="","",IFERROR(VLOOKUP(B15,'ANÁLISE DE DADOS'!$A:$AM,3,0),""))</f>
        <v>0</v>
      </c>
      <c r="F15" s="61" t="str">
        <f>IF(B15="","",IFERROR(VLOOKUP(B15,'ANÁLISE DE DADOS'!$A:$AM,4,0),""))</f>
        <v>BemEstar</v>
      </c>
      <c r="G15" s="62">
        <f>IF(B15="","",IFERROR(VLOOKUP(B15,'ANÁLISE DE DADOS'!$A:$AM,5,0),""))</f>
        <v>45669</v>
      </c>
      <c r="H15" s="62" t="str">
        <f>IF(B15="","",IFERROR(VLOOKUP(B15,'ANÁLISE DE DADOS'!$A:$AM,6,0),""))</f>
        <v>jan-25</v>
      </c>
      <c r="I15" s="62" t="str">
        <f>IF(B15="","",IFERROR(VLOOKUP(B15,'ANÁLISE DE DADOS'!$A:$AM,7,0),""))</f>
        <v>2025</v>
      </c>
      <c r="J15" s="62">
        <f>IF(B15="","",IFERROR(VLOOKUP(B15,'ANÁLISE DE DADOS'!$A:$AM,8,0),""))</f>
        <v>45700</v>
      </c>
      <c r="K15" s="61" t="str">
        <f>IF(B15="","",IFERROR(VLOOKUP(B15,'ANÁLISE DE DADOS'!$A:$AM,9,0),""))</f>
        <v>fev-25</v>
      </c>
      <c r="L15" s="61" t="str">
        <f>IF(B15="","",IFERROR(VLOOKUP(B15,'ANÁLISE DE DADOS'!$A:$AM,10,0),""))</f>
        <v>2025</v>
      </c>
      <c r="M15" s="62">
        <f>IF(B15="","",IFERROR(VLOOKUP(B15,'ANÁLISE DE DADOS'!$A:$AM,11,0),""))</f>
        <v>45701</v>
      </c>
      <c r="N15" s="61" t="str">
        <f>IF(B15="","",IFERROR(VLOOKUP(B15,'ANÁLISE DE DADOS'!$A:$AM,12,0),""))</f>
        <v>fev-25</v>
      </c>
      <c r="O15" s="61" t="str">
        <f>IF(B15="","",IFERROR(VLOOKUP(B15,'ANÁLISE DE DADOS'!$A:$AM,13,0),""))</f>
        <v>2025</v>
      </c>
      <c r="P15" s="63">
        <f>IF(B15="","",IFERROR(VLOOKUP(B15,'ANÁLISE DE DADOS'!$A:$AM,14,0),""))</f>
        <v>1000</v>
      </c>
      <c r="Q15" s="61" t="str">
        <f>IF(B15="","",IFERROR(VLOOKUP(B15,'ANÁLISE DE DADOS'!$A:$AM,15,0),""))</f>
        <v>Lucas</v>
      </c>
      <c r="R15" s="61" t="str">
        <f>IF(B15="","",IFERROR(VLOOKUP(B15,'ANÁLISE DE DADOS'!$A:$AM,16,0),""))</f>
        <v>ANALISTA SIMONE</v>
      </c>
      <c r="S15" s="61" t="str">
        <f>IF(B15="","",IFERROR(VLOOKUP(B15,'ANÁLISE DE DADOS'!$A:$AM,17,0),""))</f>
        <v>NÃO</v>
      </c>
      <c r="T15" s="61" t="str">
        <f>IF(B15="","",IFERROR(VLOOKUP(B15,'ANÁLISE DE DADOS'!$A:$AM,18,0),""))</f>
        <v>Aguardando liberação do financeiro</v>
      </c>
      <c r="U15" s="61" t="str">
        <f ca="1">IF(B15="","",IFERROR(VLOOKUP(B15,'ANÁLISE DE DADOS'!$A:$AM,19,0),""))</f>
        <v>Vencido</v>
      </c>
      <c r="V15" s="61">
        <f ca="1">IF(B15="","",IFERROR(VLOOKUP(B15,'ANÁLISE DE DADOS'!$A:$AM,20,0),""))</f>
        <v>95</v>
      </c>
      <c r="W15" s="61" t="str">
        <f ca="1">IF(B15="","",IFERROR(VLOOKUP(B15,'ANÁLISE DE DADOS'!$A:$AM,21,0),""))</f>
        <v>61+ dias</v>
      </c>
      <c r="X15" s="61" t="str">
        <f ca="1">IF(B15="","",IFERROR(VLOOKUP(B15,'ANÁLISE DE DADOS'!$A:$AM,22,0),""))</f>
        <v>Atraso Crítico</v>
      </c>
      <c r="Y15" s="61" t="str">
        <f>IF(B15="","",IFERROR(VLOOKUP(B15,'ANÁLISE DE DADOS'!$A:$AM,23,0),""))</f>
        <v>-</v>
      </c>
      <c r="Z15" s="61" t="str">
        <f>IF(B15="","",IFERROR(VLOOKUP(B15,'ANÁLISE DE DADOS'!$A:$AM,24,0),""))</f>
        <v>Sim</v>
      </c>
      <c r="AA15" s="61">
        <f>IF(B15="","",IFERROR(VLOOKUP(B15,'ANÁLISE DE DADOS'!$A:$AM,25,0),""))</f>
        <v>0</v>
      </c>
      <c r="AB15" s="61">
        <f>IF(B15="","",IFERROR(VLOOKUP(B15,'ANÁLISE DE DADOS'!$A:$AM,26,0),""))</f>
        <v>1</v>
      </c>
      <c r="AC15" s="61" t="str">
        <f>IF(B15="","",IFERROR(VLOOKUP(B15,'ANÁLISE DE DADOS'!$A:$AM,27,0),""))</f>
        <v>Sim</v>
      </c>
      <c r="AD15" s="62">
        <f>IF(B15="","",IFERROR(VLOOKUP(B15,'ANÁLISE DE DADOS'!$A:$AM,28,0),""))</f>
        <v>45740</v>
      </c>
      <c r="AE15" s="61" t="str">
        <f>IF(B15="","",IFERROR(VLOOKUP(B15,'ANÁLISE DE DADOS'!$A:$AM,29,0),""))</f>
        <v>mar-25</v>
      </c>
      <c r="AF15" s="61" t="str">
        <f>IF(B15="","",IFERROR(VLOOKUP(B15,'ANÁLISE DE DADOS'!$A:$AM,30,0),""))</f>
        <v>2025</v>
      </c>
      <c r="AG15" s="62">
        <f>IF(B15="","",IFERROR(VLOOKUP(B15,'ANÁLISE DE DADOS'!$A:$AM,31,0),""))</f>
        <v>45802</v>
      </c>
      <c r="AH15" s="61" t="str">
        <f>IF(B15="","",IFERROR(VLOOKUP(B15,'ANÁLISE DE DADOS'!$A:$AM,32,0),""))</f>
        <v>mai-25</v>
      </c>
      <c r="AI15" s="61" t="str">
        <f>IF(B15="","",IFERROR(VLOOKUP(B15,'ANÁLISE DE DADOS'!$A:$AM,33,0),""))</f>
        <v>2025</v>
      </c>
      <c r="AJ15" s="61" t="str">
        <f>IF(B15="","",IFERROR(VLOOKUP(B15,'ANÁLISE DE DADOS'!$A:$AM,34,0),""))</f>
        <v>Acompanhando</v>
      </c>
      <c r="AK15" s="63">
        <f ca="1">IF(B15="","",IFERROR(VLOOKUP(B15,'ANÁLISE DE DADOS'!$A:$AM,35,0),""))</f>
        <v>1000</v>
      </c>
      <c r="AL15" s="63" t="str">
        <f ca="1">IF(B15="","",IFERROR(VLOOKUP(B15,'ANÁLISE DE DADOS'!$A:$AM,36,0),""))</f>
        <v>0</v>
      </c>
    </row>
    <row r="16" spans="2:38" x14ac:dyDescent="0.3">
      <c r="B16" s="30">
        <v>12</v>
      </c>
      <c r="C16" s="61">
        <f>IF(B16="","",IFERROR(VLOOKUP(B16,'ANÁLISE DE DADOS'!$A:$AM,1,0),""))</f>
        <v>12</v>
      </c>
      <c r="D16" s="61" t="str">
        <f>IF(B16="","",IFERROR(VLOOKUP(B16,'ANÁLISE DE DADOS'!$A:$AM,2,0),""))</f>
        <v>Filial</v>
      </c>
      <c r="E16" s="61">
        <f>IF(B16="","",IFERROR(VLOOKUP(B16,'ANÁLISE DE DADOS'!$A:$AM,3,0),""))</f>
        <v>0</v>
      </c>
      <c r="F16" s="61" t="str">
        <f>IF(B16="","",IFERROR(VLOOKUP(B16,'ANÁLISE DE DADOS'!$A:$AM,4,0),""))</f>
        <v>MundoInovador</v>
      </c>
      <c r="G16" s="62">
        <f>IF(B16="","",IFERROR(VLOOKUP(B16,'ANÁLISE DE DADOS'!$A:$AM,5,0),""))</f>
        <v>45669</v>
      </c>
      <c r="H16" s="62" t="str">
        <f>IF(B16="","",IFERROR(VLOOKUP(B16,'ANÁLISE DE DADOS'!$A:$AM,6,0),""))</f>
        <v>jan-25</v>
      </c>
      <c r="I16" s="62" t="str">
        <f>IF(B16="","",IFERROR(VLOOKUP(B16,'ANÁLISE DE DADOS'!$A:$AM,7,0),""))</f>
        <v>2025</v>
      </c>
      <c r="J16" s="62">
        <f>IF(B16="","",IFERROR(VLOOKUP(B16,'ANÁLISE DE DADOS'!$A:$AM,8,0),""))</f>
        <v>45701</v>
      </c>
      <c r="K16" s="61" t="str">
        <f>IF(B16="","",IFERROR(VLOOKUP(B16,'ANÁLISE DE DADOS'!$A:$AM,9,0),""))</f>
        <v>fev-25</v>
      </c>
      <c r="L16" s="61" t="str">
        <f>IF(B16="","",IFERROR(VLOOKUP(B16,'ANÁLISE DE DADOS'!$A:$AM,10,0),""))</f>
        <v>2025</v>
      </c>
      <c r="M16" s="62">
        <f>IF(B16="","",IFERROR(VLOOKUP(B16,'ANÁLISE DE DADOS'!$A:$AM,11,0),""))</f>
        <v>45737</v>
      </c>
      <c r="N16" s="61" t="str">
        <f>IF(B16="","",IFERROR(VLOOKUP(B16,'ANÁLISE DE DADOS'!$A:$AM,12,0),""))</f>
        <v>mar-25</v>
      </c>
      <c r="O16" s="61" t="str">
        <f>IF(B16="","",IFERROR(VLOOKUP(B16,'ANÁLISE DE DADOS'!$A:$AM,13,0),""))</f>
        <v>2025</v>
      </c>
      <c r="P16" s="63">
        <f>IF(B16="","",IFERROR(VLOOKUP(B16,'ANÁLISE DE DADOS'!$A:$AM,14,0),""))</f>
        <v>1000</v>
      </c>
      <c r="Q16" s="61" t="str">
        <f>IF(B16="","",IFERROR(VLOOKUP(B16,'ANÁLISE DE DADOS'!$A:$AM,15,0),""))</f>
        <v>Lucas</v>
      </c>
      <c r="R16" s="61" t="str">
        <f>IF(B16="","",IFERROR(VLOOKUP(B16,'ANÁLISE DE DADOS'!$A:$AM,16,0),""))</f>
        <v>ANALISTA SIMONE</v>
      </c>
      <c r="S16" s="61" t="str">
        <f>IF(B16="","",IFERROR(VLOOKUP(B16,'ANÁLISE DE DADOS'!$A:$AM,17,0),""))</f>
        <v>NÃO</v>
      </c>
      <c r="T16" s="61" t="str">
        <f>IF(B16="","",IFERROR(VLOOKUP(B16,'ANÁLISE DE DADOS'!$A:$AM,18,0),""))</f>
        <v>Pagamento em processo (aguardando confirmação bancária)</v>
      </c>
      <c r="U16" s="61" t="str">
        <f ca="1">IF(B16="","",IFERROR(VLOOKUP(B16,'ANÁLISE DE DADOS'!$A:$AM,19,0),""))</f>
        <v>Vencido</v>
      </c>
      <c r="V16" s="61">
        <f ca="1">IF(B16="","",IFERROR(VLOOKUP(B16,'ANÁLISE DE DADOS'!$A:$AM,20,0),""))</f>
        <v>94</v>
      </c>
      <c r="W16" s="61" t="str">
        <f ca="1">IF(B16="","",IFERROR(VLOOKUP(B16,'ANÁLISE DE DADOS'!$A:$AM,21,0),""))</f>
        <v>61+ dias</v>
      </c>
      <c r="X16" s="61" t="str">
        <f ca="1">IF(B16="","",IFERROR(VLOOKUP(B16,'ANÁLISE DE DADOS'!$A:$AM,22,0),""))</f>
        <v>Atraso Crítico</v>
      </c>
      <c r="Y16" s="61" t="str">
        <f>IF(B16="","",IFERROR(VLOOKUP(B16,'ANÁLISE DE DADOS'!$A:$AM,23,0),""))</f>
        <v>-</v>
      </c>
      <c r="Z16" s="61" t="str">
        <f>IF(B16="","",IFERROR(VLOOKUP(B16,'ANÁLISE DE DADOS'!$A:$AM,24,0),""))</f>
        <v>Sim</v>
      </c>
      <c r="AA16" s="61">
        <f>IF(B16="","",IFERROR(VLOOKUP(B16,'ANÁLISE DE DADOS'!$A:$AM,25,0),""))</f>
        <v>0</v>
      </c>
      <c r="AB16" s="61">
        <f>IF(B16="","",IFERROR(VLOOKUP(B16,'ANÁLISE DE DADOS'!$A:$AM,26,0),""))</f>
        <v>1</v>
      </c>
      <c r="AC16" s="61" t="str">
        <f>IF(B16="","",IFERROR(VLOOKUP(B16,'ANÁLISE DE DADOS'!$A:$AM,27,0),""))</f>
        <v>Sim</v>
      </c>
      <c r="AD16" s="62">
        <f>IF(B16="","",IFERROR(VLOOKUP(B16,'ANÁLISE DE DADOS'!$A:$AM,28,0),""))</f>
        <v>45740</v>
      </c>
      <c r="AE16" s="61" t="str">
        <f>IF(B16="","",IFERROR(VLOOKUP(B16,'ANÁLISE DE DADOS'!$A:$AM,29,0),""))</f>
        <v>mar-25</v>
      </c>
      <c r="AF16" s="61" t="str">
        <f>IF(B16="","",IFERROR(VLOOKUP(B16,'ANÁLISE DE DADOS'!$A:$AM,30,0),""))</f>
        <v>2025</v>
      </c>
      <c r="AG16" s="62">
        <f>IF(B16="","",IFERROR(VLOOKUP(B16,'ANÁLISE DE DADOS'!$A:$AM,31,0),""))</f>
        <v>45802</v>
      </c>
      <c r="AH16" s="61" t="str">
        <f>IF(B16="","",IFERROR(VLOOKUP(B16,'ANÁLISE DE DADOS'!$A:$AM,32,0),""))</f>
        <v>mai-25</v>
      </c>
      <c r="AI16" s="61" t="str">
        <f>IF(B16="","",IFERROR(VLOOKUP(B16,'ANÁLISE DE DADOS'!$A:$AM,33,0),""))</f>
        <v>2025</v>
      </c>
      <c r="AJ16" s="61" t="str">
        <f>IF(B16="","",IFERROR(VLOOKUP(B16,'ANÁLISE DE DADOS'!$A:$AM,34,0),""))</f>
        <v>Acompanhando</v>
      </c>
      <c r="AK16" s="63">
        <f ca="1">IF(B16="","",IFERROR(VLOOKUP(B16,'ANÁLISE DE DADOS'!$A:$AM,35,0),""))</f>
        <v>1000</v>
      </c>
      <c r="AL16" s="63" t="str">
        <f ca="1">IF(B16="","",IFERROR(VLOOKUP(B16,'ANÁLISE DE DADOS'!$A:$AM,36,0),""))</f>
        <v>0</v>
      </c>
    </row>
    <row r="17" spans="2:38" x14ac:dyDescent="0.3">
      <c r="B17" s="30">
        <v>13</v>
      </c>
      <c r="C17" s="61">
        <f>IF(B17="","",IFERROR(VLOOKUP(B17,'ANÁLISE DE DADOS'!$A:$AM,1,0),""))</f>
        <v>13</v>
      </c>
      <c r="D17" s="61" t="str">
        <f>IF(B17="","",IFERROR(VLOOKUP(B17,'ANÁLISE DE DADOS'!$A:$AM,2,0),""))</f>
        <v>Matriz</v>
      </c>
      <c r="E17" s="61" t="str">
        <f>IF(B17="","",IFERROR(VLOOKUP(B17,'ANÁLISE DE DADOS'!$A:$AM,3,0),""))</f>
        <v>Alpha &amp; CIA</v>
      </c>
      <c r="F17" s="61" t="str">
        <f>IF(B17="","",IFERROR(VLOOKUP(B17,'ANÁLISE DE DADOS'!$A:$AM,4,0),""))</f>
        <v>Alpha &amp; CIA</v>
      </c>
      <c r="G17" s="62">
        <f>IF(B17="","",IFERROR(VLOOKUP(B17,'ANÁLISE DE DADOS'!$A:$AM,5,0),""))</f>
        <v>45672</v>
      </c>
      <c r="H17" s="62" t="str">
        <f>IF(B17="","",IFERROR(VLOOKUP(B17,'ANÁLISE DE DADOS'!$A:$AM,6,0),""))</f>
        <v>jan-25</v>
      </c>
      <c r="I17" s="62" t="str">
        <f>IF(B17="","",IFERROR(VLOOKUP(B17,'ANÁLISE DE DADOS'!$A:$AM,7,0),""))</f>
        <v>2025</v>
      </c>
      <c r="J17" s="62">
        <f>IF(B17="","",IFERROR(VLOOKUP(B17,'ANÁLISE DE DADOS'!$A:$AM,8,0),""))</f>
        <v>45702</v>
      </c>
      <c r="K17" s="61" t="str">
        <f>IF(B17="","",IFERROR(VLOOKUP(B17,'ANÁLISE DE DADOS'!$A:$AM,9,0),""))</f>
        <v>fev-25</v>
      </c>
      <c r="L17" s="61" t="str">
        <f>IF(B17="","",IFERROR(VLOOKUP(B17,'ANÁLISE DE DADOS'!$A:$AM,10,0),""))</f>
        <v>2025</v>
      </c>
      <c r="M17" s="62">
        <f>IF(B17="","",IFERROR(VLOOKUP(B17,'ANÁLISE DE DADOS'!$A:$AM,11,0),""))</f>
        <v>45737</v>
      </c>
      <c r="N17" s="61" t="str">
        <f>IF(B17="","",IFERROR(VLOOKUP(B17,'ANÁLISE DE DADOS'!$A:$AM,12,0),""))</f>
        <v>mar-25</v>
      </c>
      <c r="O17" s="61" t="str">
        <f>IF(B17="","",IFERROR(VLOOKUP(B17,'ANÁLISE DE DADOS'!$A:$AM,13,0),""))</f>
        <v>2025</v>
      </c>
      <c r="P17" s="63">
        <f>IF(B17="","",IFERROR(VLOOKUP(B17,'ANÁLISE DE DADOS'!$A:$AM,14,0),""))</f>
        <v>1500</v>
      </c>
      <c r="Q17" s="61" t="str">
        <f>IF(B17="","",IFERROR(VLOOKUP(B17,'ANÁLISE DE DADOS'!$A:$AM,15,0),""))</f>
        <v>Carla</v>
      </c>
      <c r="R17" s="61" t="str">
        <f>IF(B17="","",IFERROR(VLOOKUP(B17,'ANÁLISE DE DADOS'!$A:$AM,16,0),""))</f>
        <v>ANALISTA SIMONE</v>
      </c>
      <c r="S17" s="61" t="str">
        <f>IF(B17="","",IFERROR(VLOOKUP(B17,'ANÁLISE DE DADOS'!$A:$AM,17,0),""))</f>
        <v>NÃO</v>
      </c>
      <c r="T17" s="61" t="str">
        <f>IF(B17="","",IFERROR(VLOOKUP(B17,'ANÁLISE DE DADOS'!$A:$AM,18,0),""))</f>
        <v>Cliente em inadimplência sem previsão de pagamento</v>
      </c>
      <c r="U17" s="61" t="str">
        <f ca="1">IF(B17="","",IFERROR(VLOOKUP(B17,'ANÁLISE DE DADOS'!$A:$AM,19,0),""))</f>
        <v>Vencido</v>
      </c>
      <c r="V17" s="61">
        <f ca="1">IF(B17="","",IFERROR(VLOOKUP(B17,'ANÁLISE DE DADOS'!$A:$AM,20,0),""))</f>
        <v>93</v>
      </c>
      <c r="W17" s="61" t="str">
        <f ca="1">IF(B17="","",IFERROR(VLOOKUP(B17,'ANÁLISE DE DADOS'!$A:$AM,21,0),""))</f>
        <v>61+ dias</v>
      </c>
      <c r="X17" s="61" t="str">
        <f ca="1">IF(B17="","",IFERROR(VLOOKUP(B17,'ANÁLISE DE DADOS'!$A:$AM,22,0),""))</f>
        <v>Atraso Crítico</v>
      </c>
      <c r="Y17" s="61" t="str">
        <f>IF(B17="","",IFERROR(VLOOKUP(B17,'ANÁLISE DE DADOS'!$A:$AM,23,0),""))</f>
        <v>-</v>
      </c>
      <c r="Z17" s="61" t="str">
        <f>IF(B17="","",IFERROR(VLOOKUP(B17,'ANÁLISE DE DADOS'!$A:$AM,24,0),""))</f>
        <v>Sim</v>
      </c>
      <c r="AA17" s="61">
        <f>IF(B17="","",IFERROR(VLOOKUP(B17,'ANÁLISE DE DADOS'!$A:$AM,25,0),""))</f>
        <v>0</v>
      </c>
      <c r="AB17" s="61">
        <f>IF(B17="","",IFERROR(VLOOKUP(B17,'ANÁLISE DE DADOS'!$A:$AM,26,0),""))</f>
        <v>1</v>
      </c>
      <c r="AC17" s="61" t="str">
        <f>IF(B17="","",IFERROR(VLOOKUP(B17,'ANÁLISE DE DADOS'!$A:$AM,27,0),""))</f>
        <v>Sim</v>
      </c>
      <c r="AD17" s="62">
        <f>IF(B17="","",IFERROR(VLOOKUP(B17,'ANÁLISE DE DADOS'!$A:$AM,28,0),""))</f>
        <v>45740</v>
      </c>
      <c r="AE17" s="61" t="str">
        <f>IF(B17="","",IFERROR(VLOOKUP(B17,'ANÁLISE DE DADOS'!$A:$AM,29,0),""))</f>
        <v>mar-25</v>
      </c>
      <c r="AF17" s="61" t="str">
        <f>IF(B17="","",IFERROR(VLOOKUP(B17,'ANÁLISE DE DADOS'!$A:$AM,30,0),""))</f>
        <v>2025</v>
      </c>
      <c r="AG17" s="62">
        <f>IF(B17="","",IFERROR(VLOOKUP(B17,'ANÁLISE DE DADOS'!$A:$AM,31,0),""))</f>
        <v>45802</v>
      </c>
      <c r="AH17" s="61" t="str">
        <f>IF(B17="","",IFERROR(VLOOKUP(B17,'ANÁLISE DE DADOS'!$A:$AM,32,0),""))</f>
        <v>mai-25</v>
      </c>
      <c r="AI17" s="61" t="str">
        <f>IF(B17="","",IFERROR(VLOOKUP(B17,'ANÁLISE DE DADOS'!$A:$AM,33,0),""))</f>
        <v>2025</v>
      </c>
      <c r="AJ17" s="61" t="str">
        <f>IF(B17="","",IFERROR(VLOOKUP(B17,'ANÁLISE DE DADOS'!$A:$AM,34,0),""))</f>
        <v>Acompanhando</v>
      </c>
      <c r="AK17" s="63">
        <f ca="1">IF(B17="","",IFERROR(VLOOKUP(B17,'ANÁLISE DE DADOS'!$A:$AM,35,0),""))</f>
        <v>1500</v>
      </c>
      <c r="AL17" s="63" t="str">
        <f ca="1">IF(B17="","",IFERROR(VLOOKUP(B17,'ANÁLISE DE DADOS'!$A:$AM,36,0),""))</f>
        <v>0</v>
      </c>
    </row>
    <row r="18" spans="2:38" x14ac:dyDescent="0.3">
      <c r="B18" s="30">
        <v>14</v>
      </c>
      <c r="C18" s="61">
        <f>IF(B18="","",IFERROR(VLOOKUP(B18,'ANÁLISE DE DADOS'!$A:$AM,1,0),""))</f>
        <v>14</v>
      </c>
      <c r="D18" s="61" t="str">
        <f>IF(B18="","",IFERROR(VLOOKUP(B18,'ANÁLISE DE DADOS'!$A:$AM,2,0),""))</f>
        <v>Matriz</v>
      </c>
      <c r="E18" s="61">
        <f>IF(B18="","",IFERROR(VLOOKUP(B18,'ANÁLISE DE DADOS'!$A:$AM,3,0),""))</f>
        <v>0</v>
      </c>
      <c r="F18" s="61" t="str">
        <f>IF(B18="","",IFERROR(VLOOKUP(B18,'ANÁLISE DE DADOS'!$A:$AM,4,0),""))</f>
        <v>MundoInovador</v>
      </c>
      <c r="G18" s="62">
        <f>IF(B18="","",IFERROR(VLOOKUP(B18,'ANÁLISE DE DADOS'!$A:$AM,5,0),""))</f>
        <v>45672</v>
      </c>
      <c r="H18" s="62" t="str">
        <f>IF(B18="","",IFERROR(VLOOKUP(B18,'ANÁLISE DE DADOS'!$A:$AM,6,0),""))</f>
        <v>jan-25</v>
      </c>
      <c r="I18" s="62" t="str">
        <f>IF(B18="","",IFERROR(VLOOKUP(B18,'ANÁLISE DE DADOS'!$A:$AM,7,0),""))</f>
        <v>2025</v>
      </c>
      <c r="J18" s="62">
        <f>IF(B18="","",IFERROR(VLOOKUP(B18,'ANÁLISE DE DADOS'!$A:$AM,8,0),""))</f>
        <v>45703</v>
      </c>
      <c r="K18" s="61" t="str">
        <f>IF(B18="","",IFERROR(VLOOKUP(B18,'ANÁLISE DE DADOS'!$A:$AM,9,0),""))</f>
        <v>fev-25</v>
      </c>
      <c r="L18" s="61" t="str">
        <f>IF(B18="","",IFERROR(VLOOKUP(B18,'ANÁLISE DE DADOS'!$A:$AM,10,0),""))</f>
        <v>2025</v>
      </c>
      <c r="M18" s="62">
        <f>IF(B18="","",IFERROR(VLOOKUP(B18,'ANÁLISE DE DADOS'!$A:$AM,11,0),""))</f>
        <v>45737</v>
      </c>
      <c r="N18" s="61" t="str">
        <f>IF(B18="","",IFERROR(VLOOKUP(B18,'ANÁLISE DE DADOS'!$A:$AM,12,0),""))</f>
        <v>mar-25</v>
      </c>
      <c r="O18" s="61" t="str">
        <f>IF(B18="","",IFERROR(VLOOKUP(B18,'ANÁLISE DE DADOS'!$A:$AM,13,0),""))</f>
        <v>2025</v>
      </c>
      <c r="P18" s="63">
        <f>IF(B18="","",IFERROR(VLOOKUP(B18,'ANÁLISE DE DADOS'!$A:$AM,14,0),""))</f>
        <v>1500</v>
      </c>
      <c r="Q18" s="61" t="str">
        <f>IF(B18="","",IFERROR(VLOOKUP(B18,'ANÁLISE DE DADOS'!$A:$AM,15,0),""))</f>
        <v>Carla</v>
      </c>
      <c r="R18" s="61" t="str">
        <f>IF(B18="","",IFERROR(VLOOKUP(B18,'ANÁLISE DE DADOS'!$A:$AM,16,0),""))</f>
        <v>ANALISTA SIMONE</v>
      </c>
      <c r="S18" s="61" t="str">
        <f>IF(B18="","",IFERROR(VLOOKUP(B18,'ANÁLISE DE DADOS'!$A:$AM,17,0),""))</f>
        <v>NÃO</v>
      </c>
      <c r="T18" s="61" t="str">
        <f>IF(B18="","",IFERROR(VLOOKUP(B18,'ANÁLISE DE DADOS'!$A:$AM,18,0),""))</f>
        <v>Pagamento em processo (aguardando confirmação bancária)</v>
      </c>
      <c r="U18" s="61" t="str">
        <f ca="1">IF(B18="","",IFERROR(VLOOKUP(B18,'ANÁLISE DE DADOS'!$A:$AM,19,0),""))</f>
        <v>Vencido</v>
      </c>
      <c r="V18" s="61">
        <f ca="1">IF(B18="","",IFERROR(VLOOKUP(B18,'ANÁLISE DE DADOS'!$A:$AM,20,0),""))</f>
        <v>92</v>
      </c>
      <c r="W18" s="61" t="str">
        <f ca="1">IF(B18="","",IFERROR(VLOOKUP(B18,'ANÁLISE DE DADOS'!$A:$AM,21,0),""))</f>
        <v>61+ dias</v>
      </c>
      <c r="X18" s="61" t="str">
        <f ca="1">IF(B18="","",IFERROR(VLOOKUP(B18,'ANÁLISE DE DADOS'!$A:$AM,22,0),""))</f>
        <v>Atraso Crítico</v>
      </c>
      <c r="Y18" s="61" t="str">
        <f>IF(B18="","",IFERROR(VLOOKUP(B18,'ANÁLISE DE DADOS'!$A:$AM,23,0),""))</f>
        <v>-</v>
      </c>
      <c r="Z18" s="61" t="str">
        <f>IF(B18="","",IFERROR(VLOOKUP(B18,'ANÁLISE DE DADOS'!$A:$AM,24,0),""))</f>
        <v>Sim</v>
      </c>
      <c r="AA18" s="61">
        <f>IF(B18="","",IFERROR(VLOOKUP(B18,'ANÁLISE DE DADOS'!$A:$AM,25,0),""))</f>
        <v>0</v>
      </c>
      <c r="AB18" s="61">
        <f>IF(B18="","",IFERROR(VLOOKUP(B18,'ANÁLISE DE DADOS'!$A:$AM,26,0),""))</f>
        <v>1</v>
      </c>
      <c r="AC18" s="61" t="str">
        <f>IF(B18="","",IFERROR(VLOOKUP(B18,'ANÁLISE DE DADOS'!$A:$AM,27,0),""))</f>
        <v>Sim</v>
      </c>
      <c r="AD18" s="62">
        <f>IF(B18="","",IFERROR(VLOOKUP(B18,'ANÁLISE DE DADOS'!$A:$AM,28,0),""))</f>
        <v>45740</v>
      </c>
      <c r="AE18" s="61" t="str">
        <f>IF(B18="","",IFERROR(VLOOKUP(B18,'ANÁLISE DE DADOS'!$A:$AM,29,0),""))</f>
        <v>mar-25</v>
      </c>
      <c r="AF18" s="61" t="str">
        <f>IF(B18="","",IFERROR(VLOOKUP(B18,'ANÁLISE DE DADOS'!$A:$AM,30,0),""))</f>
        <v>2025</v>
      </c>
      <c r="AG18" s="62">
        <f>IF(B18="","",IFERROR(VLOOKUP(B18,'ANÁLISE DE DADOS'!$A:$AM,31,0),""))</f>
        <v>45802</v>
      </c>
      <c r="AH18" s="61" t="str">
        <f>IF(B18="","",IFERROR(VLOOKUP(B18,'ANÁLISE DE DADOS'!$A:$AM,32,0),""))</f>
        <v>mai-25</v>
      </c>
      <c r="AI18" s="61" t="str">
        <f>IF(B18="","",IFERROR(VLOOKUP(B18,'ANÁLISE DE DADOS'!$A:$AM,33,0),""))</f>
        <v>2025</v>
      </c>
      <c r="AJ18" s="61" t="str">
        <f>IF(B18="","",IFERROR(VLOOKUP(B18,'ANÁLISE DE DADOS'!$A:$AM,34,0),""))</f>
        <v>Acompanhando</v>
      </c>
      <c r="AK18" s="63">
        <f ca="1">IF(B18="","",IFERROR(VLOOKUP(B18,'ANÁLISE DE DADOS'!$A:$AM,35,0),""))</f>
        <v>1500</v>
      </c>
      <c r="AL18" s="63" t="str">
        <f ca="1">IF(B18="","",IFERROR(VLOOKUP(B18,'ANÁLISE DE DADOS'!$A:$AM,36,0),""))</f>
        <v>0</v>
      </c>
    </row>
    <row r="19" spans="2:38" x14ac:dyDescent="0.3">
      <c r="B19" s="30">
        <v>15</v>
      </c>
      <c r="C19" s="61">
        <f>IF(B19="","",IFERROR(VLOOKUP(B19,'ANÁLISE DE DADOS'!$A:$AM,1,0),""))</f>
        <v>15</v>
      </c>
      <c r="D19" s="61" t="str">
        <f>IF(B19="","",IFERROR(VLOOKUP(B19,'ANÁLISE DE DADOS'!$A:$AM,2,0),""))</f>
        <v>Filial</v>
      </c>
      <c r="E19" s="61" t="str">
        <f>IF(B19="","",IFERROR(VLOOKUP(B19,'ANÁLISE DE DADOS'!$A:$AM,3,0),""))</f>
        <v>Alpha &amp; CIA</v>
      </c>
      <c r="F19" s="61" t="str">
        <f>IF(B19="","",IFERROR(VLOOKUP(B19,'ANÁLISE DE DADOS'!$A:$AM,4,0),""))</f>
        <v>Alpha &amp; CIA</v>
      </c>
      <c r="G19" s="62">
        <f>IF(B19="","",IFERROR(VLOOKUP(B19,'ANÁLISE DE DADOS'!$A:$AM,5,0),""))</f>
        <v>45675</v>
      </c>
      <c r="H19" s="62" t="str">
        <f>IF(B19="","",IFERROR(VLOOKUP(B19,'ANÁLISE DE DADOS'!$A:$AM,6,0),""))</f>
        <v>jan-25</v>
      </c>
      <c r="I19" s="62" t="str">
        <f>IF(B19="","",IFERROR(VLOOKUP(B19,'ANÁLISE DE DADOS'!$A:$AM,7,0),""))</f>
        <v>2025</v>
      </c>
      <c r="J19" s="62">
        <f>IF(B19="","",IFERROR(VLOOKUP(B19,'ANÁLISE DE DADOS'!$A:$AM,8,0),""))</f>
        <v>45704</v>
      </c>
      <c r="K19" s="61" t="str">
        <f>IF(B19="","",IFERROR(VLOOKUP(B19,'ANÁLISE DE DADOS'!$A:$AM,9,0),""))</f>
        <v>fev-25</v>
      </c>
      <c r="L19" s="61" t="str">
        <f>IF(B19="","",IFERROR(VLOOKUP(B19,'ANÁLISE DE DADOS'!$A:$AM,10,0),""))</f>
        <v>2025</v>
      </c>
      <c r="M19" s="62">
        <f>IF(B19="","",IFERROR(VLOOKUP(B19,'ANÁLISE DE DADOS'!$A:$AM,11,0),""))</f>
        <v>45737</v>
      </c>
      <c r="N19" s="61" t="str">
        <f>IF(B19="","",IFERROR(VLOOKUP(B19,'ANÁLISE DE DADOS'!$A:$AM,12,0),""))</f>
        <v>mar-25</v>
      </c>
      <c r="O19" s="61" t="str">
        <f>IF(B19="","",IFERROR(VLOOKUP(B19,'ANÁLISE DE DADOS'!$A:$AM,13,0),""))</f>
        <v>2025</v>
      </c>
      <c r="P19" s="63">
        <f>IF(B19="","",IFERROR(VLOOKUP(B19,'ANÁLISE DE DADOS'!$A:$AM,14,0),""))</f>
        <v>3000</v>
      </c>
      <c r="Q19" s="61" t="str">
        <f>IF(B19="","",IFERROR(VLOOKUP(B19,'ANÁLISE DE DADOS'!$A:$AM,15,0),""))</f>
        <v>Roberto</v>
      </c>
      <c r="R19" s="61" t="str">
        <f>IF(B19="","",IFERROR(VLOOKUP(B19,'ANÁLISE DE DADOS'!$A:$AM,16,0),""))</f>
        <v>ANALISTA SIMONE</v>
      </c>
      <c r="S19" s="61" t="str">
        <f>IF(B19="","",IFERROR(VLOOKUP(B19,'ANÁLISE DE DADOS'!$A:$AM,17,0),""))</f>
        <v>NÃO</v>
      </c>
      <c r="T19" s="61" t="str">
        <f>IF(B19="","",IFERROR(VLOOKUP(B19,'ANÁLISE DE DADOS'!$A:$AM,18,0),""))</f>
        <v>Situação jurídica em andamento (em processo judicial)</v>
      </c>
      <c r="U19" s="61" t="str">
        <f ca="1">IF(B19="","",IFERROR(VLOOKUP(B19,'ANÁLISE DE DADOS'!$A:$AM,19,0),""))</f>
        <v>Vencido</v>
      </c>
      <c r="V19" s="61">
        <f ca="1">IF(B19="","",IFERROR(VLOOKUP(B19,'ANÁLISE DE DADOS'!$A:$AM,20,0),""))</f>
        <v>91</v>
      </c>
      <c r="W19" s="61" t="str">
        <f ca="1">IF(B19="","",IFERROR(VLOOKUP(B19,'ANÁLISE DE DADOS'!$A:$AM,21,0),""))</f>
        <v>61+ dias</v>
      </c>
      <c r="X19" s="61" t="str">
        <f ca="1">IF(B19="","",IFERROR(VLOOKUP(B19,'ANÁLISE DE DADOS'!$A:$AM,22,0),""))</f>
        <v>Atraso Crítico</v>
      </c>
      <c r="Y19" s="61" t="str">
        <f>IF(B19="","",IFERROR(VLOOKUP(B19,'ANÁLISE DE DADOS'!$A:$AM,23,0),""))</f>
        <v>-</v>
      </c>
      <c r="Z19" s="61" t="str">
        <f>IF(B19="","",IFERROR(VLOOKUP(B19,'ANÁLISE DE DADOS'!$A:$AM,24,0),""))</f>
        <v>Sim</v>
      </c>
      <c r="AA19" s="61">
        <f>IF(B19="","",IFERROR(VLOOKUP(B19,'ANÁLISE DE DADOS'!$A:$AM,25,0),""))</f>
        <v>0</v>
      </c>
      <c r="AB19" s="61">
        <f>IF(B19="","",IFERROR(VLOOKUP(B19,'ANÁLISE DE DADOS'!$A:$AM,26,0),""))</f>
        <v>1</v>
      </c>
      <c r="AC19" s="61" t="str">
        <f>IF(B19="","",IFERROR(VLOOKUP(B19,'ANÁLISE DE DADOS'!$A:$AM,27,0),""))</f>
        <v>Sim</v>
      </c>
      <c r="AD19" s="62">
        <f>IF(B19="","",IFERROR(VLOOKUP(B19,'ANÁLISE DE DADOS'!$A:$AM,28,0),""))</f>
        <v>45740</v>
      </c>
      <c r="AE19" s="61" t="str">
        <f>IF(B19="","",IFERROR(VLOOKUP(B19,'ANÁLISE DE DADOS'!$A:$AM,29,0),""))</f>
        <v>mar-25</v>
      </c>
      <c r="AF19" s="61" t="str">
        <f>IF(B19="","",IFERROR(VLOOKUP(B19,'ANÁLISE DE DADOS'!$A:$AM,30,0),""))</f>
        <v>2025</v>
      </c>
      <c r="AG19" s="62">
        <f>IF(B19="","",IFERROR(VLOOKUP(B19,'ANÁLISE DE DADOS'!$A:$AM,31,0),""))</f>
        <v>45802</v>
      </c>
      <c r="AH19" s="61" t="str">
        <f>IF(B19="","",IFERROR(VLOOKUP(B19,'ANÁLISE DE DADOS'!$A:$AM,32,0),""))</f>
        <v>mai-25</v>
      </c>
      <c r="AI19" s="61" t="str">
        <f>IF(B19="","",IFERROR(VLOOKUP(B19,'ANÁLISE DE DADOS'!$A:$AM,33,0),""))</f>
        <v>2025</v>
      </c>
      <c r="AJ19" s="61" t="str">
        <f>IF(B19="","",IFERROR(VLOOKUP(B19,'ANÁLISE DE DADOS'!$A:$AM,34,0),""))</f>
        <v>Acompanhando</v>
      </c>
      <c r="AK19" s="63">
        <f ca="1">IF(B19="","",IFERROR(VLOOKUP(B19,'ANÁLISE DE DADOS'!$A:$AM,35,0),""))</f>
        <v>3000</v>
      </c>
      <c r="AL19" s="63" t="str">
        <f ca="1">IF(B19="","",IFERROR(VLOOKUP(B19,'ANÁLISE DE DADOS'!$A:$AM,36,0),""))</f>
        <v>0</v>
      </c>
    </row>
    <row r="20" spans="2:38" x14ac:dyDescent="0.3">
      <c r="B20" s="30">
        <v>16</v>
      </c>
      <c r="C20" s="61">
        <f>IF(B20="","",IFERROR(VLOOKUP(B20,'ANÁLISE DE DADOS'!$A:$AM,1,0),""))</f>
        <v>16</v>
      </c>
      <c r="D20" s="61" t="str">
        <f>IF(B20="","",IFERROR(VLOOKUP(B20,'ANÁLISE DE DADOS'!$A:$AM,2,0),""))</f>
        <v>Filial</v>
      </c>
      <c r="E20" s="61">
        <f>IF(B20="","",IFERROR(VLOOKUP(B20,'ANÁLISE DE DADOS'!$A:$AM,3,0),""))</f>
        <v>0</v>
      </c>
      <c r="F20" s="61" t="str">
        <f>IF(B20="","",IFERROR(VLOOKUP(B20,'ANÁLISE DE DADOS'!$A:$AM,4,0),""))</f>
        <v>MundoInovador</v>
      </c>
      <c r="G20" s="62">
        <f>IF(B20="","",IFERROR(VLOOKUP(B20,'ANÁLISE DE DADOS'!$A:$AM,5,0),""))</f>
        <v>45675</v>
      </c>
      <c r="H20" s="62" t="str">
        <f>IF(B20="","",IFERROR(VLOOKUP(B20,'ANÁLISE DE DADOS'!$A:$AM,6,0),""))</f>
        <v>jan-25</v>
      </c>
      <c r="I20" s="62" t="str">
        <f>IF(B20="","",IFERROR(VLOOKUP(B20,'ANÁLISE DE DADOS'!$A:$AM,7,0),""))</f>
        <v>2025</v>
      </c>
      <c r="J20" s="62">
        <f>IF(B20="","",IFERROR(VLOOKUP(B20,'ANÁLISE DE DADOS'!$A:$AM,8,0),""))</f>
        <v>45705</v>
      </c>
      <c r="K20" s="61" t="str">
        <f>IF(B20="","",IFERROR(VLOOKUP(B20,'ANÁLISE DE DADOS'!$A:$AM,9,0),""))</f>
        <v>fev-25</v>
      </c>
      <c r="L20" s="61" t="str">
        <f>IF(B20="","",IFERROR(VLOOKUP(B20,'ANÁLISE DE DADOS'!$A:$AM,10,0),""))</f>
        <v>2025</v>
      </c>
      <c r="M20" s="62">
        <f>IF(B20="","",IFERROR(VLOOKUP(B20,'ANÁLISE DE DADOS'!$A:$AM,11,0),""))</f>
        <v>45737</v>
      </c>
      <c r="N20" s="61" t="str">
        <f>IF(B20="","",IFERROR(VLOOKUP(B20,'ANÁLISE DE DADOS'!$A:$AM,12,0),""))</f>
        <v>mar-25</v>
      </c>
      <c r="O20" s="61" t="str">
        <f>IF(B20="","",IFERROR(VLOOKUP(B20,'ANÁLISE DE DADOS'!$A:$AM,13,0),""))</f>
        <v>2025</v>
      </c>
      <c r="P20" s="63">
        <f>IF(B20="","",IFERROR(VLOOKUP(B20,'ANÁLISE DE DADOS'!$A:$AM,14,0),""))</f>
        <v>3000</v>
      </c>
      <c r="Q20" s="61" t="str">
        <f>IF(B20="","",IFERROR(VLOOKUP(B20,'ANÁLISE DE DADOS'!$A:$AM,15,0),""))</f>
        <v>Roberto</v>
      </c>
      <c r="R20" s="61" t="str">
        <f>IF(B20="","",IFERROR(VLOOKUP(B20,'ANÁLISE DE DADOS'!$A:$AM,16,0),""))</f>
        <v>ANALISTA SIMONE</v>
      </c>
      <c r="S20" s="61" t="str">
        <f>IF(B20="","",IFERROR(VLOOKUP(B20,'ANÁLISE DE DADOS'!$A:$AM,17,0),""))</f>
        <v>NÃO</v>
      </c>
      <c r="T20" s="61" t="str">
        <f>IF(B20="","",IFERROR(VLOOKUP(B20,'ANÁLISE DE DADOS'!$A:$AM,18,0),""))</f>
        <v>Cancelamento de cobrança solicitado</v>
      </c>
      <c r="U20" s="61" t="str">
        <f ca="1">IF(B20="","",IFERROR(VLOOKUP(B20,'ANÁLISE DE DADOS'!$A:$AM,19,0),""))</f>
        <v>Vencido</v>
      </c>
      <c r="V20" s="61">
        <f ca="1">IF(B20="","",IFERROR(VLOOKUP(B20,'ANÁLISE DE DADOS'!$A:$AM,20,0),""))</f>
        <v>90</v>
      </c>
      <c r="W20" s="61" t="str">
        <f ca="1">IF(B20="","",IFERROR(VLOOKUP(B20,'ANÁLISE DE DADOS'!$A:$AM,21,0),""))</f>
        <v>61+ dias</v>
      </c>
      <c r="X20" s="61" t="str">
        <f ca="1">IF(B20="","",IFERROR(VLOOKUP(B20,'ANÁLISE DE DADOS'!$A:$AM,22,0),""))</f>
        <v>Atraso Crítico</v>
      </c>
      <c r="Y20" s="61" t="str">
        <f>IF(B20="","",IFERROR(VLOOKUP(B20,'ANÁLISE DE DADOS'!$A:$AM,23,0),""))</f>
        <v>-</v>
      </c>
      <c r="Z20" s="61" t="str">
        <f>IF(B20="","",IFERROR(VLOOKUP(B20,'ANÁLISE DE DADOS'!$A:$AM,24,0),""))</f>
        <v>Sim</v>
      </c>
      <c r="AA20" s="61">
        <f>IF(B20="","",IFERROR(VLOOKUP(B20,'ANÁLISE DE DADOS'!$A:$AM,25,0),""))</f>
        <v>0</v>
      </c>
      <c r="AB20" s="61">
        <f>IF(B20="","",IFERROR(VLOOKUP(B20,'ANÁLISE DE DADOS'!$A:$AM,26,0),""))</f>
        <v>1</v>
      </c>
      <c r="AC20" s="61" t="str">
        <f>IF(B20="","",IFERROR(VLOOKUP(B20,'ANÁLISE DE DADOS'!$A:$AM,27,0),""))</f>
        <v>Sim</v>
      </c>
      <c r="AD20" s="62">
        <f>IF(B20="","",IFERROR(VLOOKUP(B20,'ANÁLISE DE DADOS'!$A:$AM,28,0),""))</f>
        <v>45740</v>
      </c>
      <c r="AE20" s="61" t="str">
        <f>IF(B20="","",IFERROR(VLOOKUP(B20,'ANÁLISE DE DADOS'!$A:$AM,29,0),""))</f>
        <v>mar-25</v>
      </c>
      <c r="AF20" s="61" t="str">
        <f>IF(B20="","",IFERROR(VLOOKUP(B20,'ANÁLISE DE DADOS'!$A:$AM,30,0),""))</f>
        <v>2025</v>
      </c>
      <c r="AG20" s="62">
        <f>IF(B20="","",IFERROR(VLOOKUP(B20,'ANÁLISE DE DADOS'!$A:$AM,31,0),""))</f>
        <v>45802</v>
      </c>
      <c r="AH20" s="61" t="str">
        <f>IF(B20="","",IFERROR(VLOOKUP(B20,'ANÁLISE DE DADOS'!$A:$AM,32,0),""))</f>
        <v>mai-25</v>
      </c>
      <c r="AI20" s="61" t="str">
        <f>IF(B20="","",IFERROR(VLOOKUP(B20,'ANÁLISE DE DADOS'!$A:$AM,33,0),""))</f>
        <v>2025</v>
      </c>
      <c r="AJ20" s="61" t="str">
        <f>IF(B20="","",IFERROR(VLOOKUP(B20,'ANÁLISE DE DADOS'!$A:$AM,34,0),""))</f>
        <v>Acompanhando</v>
      </c>
      <c r="AK20" s="63">
        <f ca="1">IF(B20="","",IFERROR(VLOOKUP(B20,'ANÁLISE DE DADOS'!$A:$AM,35,0),""))</f>
        <v>3000</v>
      </c>
      <c r="AL20" s="63" t="str">
        <f ca="1">IF(B20="","",IFERROR(VLOOKUP(B20,'ANÁLISE DE DADOS'!$A:$AM,36,0),""))</f>
        <v>0</v>
      </c>
    </row>
    <row r="21" spans="2:38" x14ac:dyDescent="0.3">
      <c r="B21" s="30">
        <v>17</v>
      </c>
      <c r="C21" s="61">
        <f>IF(B21="","",IFERROR(VLOOKUP(B21,'ANÁLISE DE DADOS'!$A:$AM,1,0),""))</f>
        <v>17</v>
      </c>
      <c r="D21" s="61" t="str">
        <f>IF(B21="","",IFERROR(VLOOKUP(B21,'ANÁLISE DE DADOS'!$A:$AM,2,0),""))</f>
        <v>Matriz</v>
      </c>
      <c r="E21" s="61" t="str">
        <f>IF(B21="","",IFERROR(VLOOKUP(B21,'ANÁLISE DE DADOS'!$A:$AM,3,0),""))</f>
        <v>Alpha &amp; CIA</v>
      </c>
      <c r="F21" s="61" t="str">
        <f>IF(B21="","",IFERROR(VLOOKUP(B21,'ANÁLISE DE DADOS'!$A:$AM,4,0),""))</f>
        <v>Alpha &amp; CIA</v>
      </c>
      <c r="G21" s="62">
        <f>IF(B21="","",IFERROR(VLOOKUP(B21,'ANÁLISE DE DADOS'!$A:$AM,5,0),""))</f>
        <v>45677</v>
      </c>
      <c r="H21" s="62" t="str">
        <f>IF(B21="","",IFERROR(VLOOKUP(B21,'ANÁLISE DE DADOS'!$A:$AM,6,0),""))</f>
        <v>jan-25</v>
      </c>
      <c r="I21" s="62" t="str">
        <f>IF(B21="","",IFERROR(VLOOKUP(B21,'ANÁLISE DE DADOS'!$A:$AM,7,0),""))</f>
        <v>2025</v>
      </c>
      <c r="J21" s="62">
        <f>IF(B21="","",IFERROR(VLOOKUP(B21,'ANÁLISE DE DADOS'!$A:$AM,8,0),""))</f>
        <v>45706</v>
      </c>
      <c r="K21" s="61" t="str">
        <f>IF(B21="","",IFERROR(VLOOKUP(B21,'ANÁLISE DE DADOS'!$A:$AM,9,0),""))</f>
        <v>fev-25</v>
      </c>
      <c r="L21" s="61" t="str">
        <f>IF(B21="","",IFERROR(VLOOKUP(B21,'ANÁLISE DE DADOS'!$A:$AM,10,0),""))</f>
        <v>2025</v>
      </c>
      <c r="M21" s="62">
        <f>IF(B21="","",IFERROR(VLOOKUP(B21,'ANÁLISE DE DADOS'!$A:$AM,11,0),""))</f>
        <v>45737</v>
      </c>
      <c r="N21" s="61" t="str">
        <f>IF(B21="","",IFERROR(VLOOKUP(B21,'ANÁLISE DE DADOS'!$A:$AM,12,0),""))</f>
        <v>mar-25</v>
      </c>
      <c r="O21" s="61" t="str">
        <f>IF(B21="","",IFERROR(VLOOKUP(B21,'ANÁLISE DE DADOS'!$A:$AM,13,0),""))</f>
        <v>2025</v>
      </c>
      <c r="P21" s="63">
        <f>IF(B21="","",IFERROR(VLOOKUP(B21,'ANÁLISE DE DADOS'!$A:$AM,14,0),""))</f>
        <v>2800</v>
      </c>
      <c r="Q21" s="61" t="str">
        <f>IF(B21="","",IFERROR(VLOOKUP(B21,'ANÁLISE DE DADOS'!$A:$AM,15,0),""))</f>
        <v>Juliana</v>
      </c>
      <c r="R21" s="61" t="str">
        <f>IF(B21="","",IFERROR(VLOOKUP(B21,'ANÁLISE DE DADOS'!$A:$AM,16,0),""))</f>
        <v>ANALISTA SIMONE</v>
      </c>
      <c r="S21" s="61" t="str">
        <f>IF(B21="","",IFERROR(VLOOKUP(B21,'ANÁLISE DE DADOS'!$A:$AM,17,0),""))</f>
        <v>NÃO</v>
      </c>
      <c r="T21" s="61" t="str">
        <f>IF(B21="","",IFERROR(VLOOKUP(B21,'ANÁLISE DE DADOS'!$A:$AM,18,0),""))</f>
        <v>Cliente alegando dificuldades financeiras</v>
      </c>
      <c r="U21" s="61" t="str">
        <f ca="1">IF(B21="","",IFERROR(VLOOKUP(B21,'ANÁLISE DE DADOS'!$A:$AM,19,0),""))</f>
        <v>Vencido</v>
      </c>
      <c r="V21" s="61">
        <f ca="1">IF(B21="","",IFERROR(VLOOKUP(B21,'ANÁLISE DE DADOS'!$A:$AM,20,0),""))</f>
        <v>89</v>
      </c>
      <c r="W21" s="61" t="str">
        <f ca="1">IF(B21="","",IFERROR(VLOOKUP(B21,'ANÁLISE DE DADOS'!$A:$AM,21,0),""))</f>
        <v>61+ dias</v>
      </c>
      <c r="X21" s="61" t="str">
        <f ca="1">IF(B21="","",IFERROR(VLOOKUP(B21,'ANÁLISE DE DADOS'!$A:$AM,22,0),""))</f>
        <v>Atraso Crítico</v>
      </c>
      <c r="Y21" s="61" t="str">
        <f>IF(B21="","",IFERROR(VLOOKUP(B21,'ANÁLISE DE DADOS'!$A:$AM,23,0),""))</f>
        <v>-</v>
      </c>
      <c r="Z21" s="61" t="str">
        <f>IF(B21="","",IFERROR(VLOOKUP(B21,'ANÁLISE DE DADOS'!$A:$AM,24,0),""))</f>
        <v>Sim</v>
      </c>
      <c r="AA21" s="61">
        <f>IF(B21="","",IFERROR(VLOOKUP(B21,'ANÁLISE DE DADOS'!$A:$AM,25,0),""))</f>
        <v>0</v>
      </c>
      <c r="AB21" s="61">
        <f>IF(B21="","",IFERROR(VLOOKUP(B21,'ANÁLISE DE DADOS'!$A:$AM,26,0),""))</f>
        <v>1</v>
      </c>
      <c r="AC21" s="61" t="str">
        <f>IF(B21="","",IFERROR(VLOOKUP(B21,'ANÁLISE DE DADOS'!$A:$AM,27,0),""))</f>
        <v>Sim</v>
      </c>
      <c r="AD21" s="62">
        <f>IF(B21="","",IFERROR(VLOOKUP(B21,'ANÁLISE DE DADOS'!$A:$AM,28,0),""))</f>
        <v>45740</v>
      </c>
      <c r="AE21" s="61" t="str">
        <f>IF(B21="","",IFERROR(VLOOKUP(B21,'ANÁLISE DE DADOS'!$A:$AM,29,0),""))</f>
        <v>mar-25</v>
      </c>
      <c r="AF21" s="61" t="str">
        <f>IF(B21="","",IFERROR(VLOOKUP(B21,'ANÁLISE DE DADOS'!$A:$AM,30,0),""))</f>
        <v>2025</v>
      </c>
      <c r="AG21" s="62">
        <f>IF(B21="","",IFERROR(VLOOKUP(B21,'ANÁLISE DE DADOS'!$A:$AM,31,0),""))</f>
        <v>45802</v>
      </c>
      <c r="AH21" s="61" t="str">
        <f>IF(B21="","",IFERROR(VLOOKUP(B21,'ANÁLISE DE DADOS'!$A:$AM,32,0),""))</f>
        <v>mai-25</v>
      </c>
      <c r="AI21" s="61" t="str">
        <f>IF(B21="","",IFERROR(VLOOKUP(B21,'ANÁLISE DE DADOS'!$A:$AM,33,0),""))</f>
        <v>2025</v>
      </c>
      <c r="AJ21" s="61" t="str">
        <f>IF(B21="","",IFERROR(VLOOKUP(B21,'ANÁLISE DE DADOS'!$A:$AM,34,0),""))</f>
        <v>Acompanhando</v>
      </c>
      <c r="AK21" s="63">
        <f ca="1">IF(B21="","",IFERROR(VLOOKUP(B21,'ANÁLISE DE DADOS'!$A:$AM,35,0),""))</f>
        <v>2800</v>
      </c>
      <c r="AL21" s="63" t="str">
        <f ca="1">IF(B21="","",IFERROR(VLOOKUP(B21,'ANÁLISE DE DADOS'!$A:$AM,36,0),""))</f>
        <v>0</v>
      </c>
    </row>
    <row r="22" spans="2:38" x14ac:dyDescent="0.3">
      <c r="B22" s="30">
        <v>18</v>
      </c>
      <c r="C22" s="61">
        <f>IF(B22="","",IFERROR(VLOOKUP(B22,'ANÁLISE DE DADOS'!$A:$AM,1,0),""))</f>
        <v>18</v>
      </c>
      <c r="D22" s="61" t="str">
        <f>IF(B22="","",IFERROR(VLOOKUP(B22,'ANÁLISE DE DADOS'!$A:$AM,2,0),""))</f>
        <v>Matriz</v>
      </c>
      <c r="E22" s="61">
        <f>IF(B22="","",IFERROR(VLOOKUP(B22,'ANÁLISE DE DADOS'!$A:$AM,3,0),""))</f>
        <v>0</v>
      </c>
      <c r="F22" s="61" t="str">
        <f>IF(B22="","",IFERROR(VLOOKUP(B22,'ANÁLISE DE DADOS'!$A:$AM,4,0),""))</f>
        <v>MundoInovador</v>
      </c>
      <c r="G22" s="62">
        <f>IF(B22="","",IFERROR(VLOOKUP(B22,'ANÁLISE DE DADOS'!$A:$AM,5,0),""))</f>
        <v>45677</v>
      </c>
      <c r="H22" s="62" t="str">
        <f>IF(B22="","",IFERROR(VLOOKUP(B22,'ANÁLISE DE DADOS'!$A:$AM,6,0),""))</f>
        <v>jan-25</v>
      </c>
      <c r="I22" s="62" t="str">
        <f>IF(B22="","",IFERROR(VLOOKUP(B22,'ANÁLISE DE DADOS'!$A:$AM,7,0),""))</f>
        <v>2025</v>
      </c>
      <c r="J22" s="62">
        <f>IF(B22="","",IFERROR(VLOOKUP(B22,'ANÁLISE DE DADOS'!$A:$AM,8,0),""))</f>
        <v>45707</v>
      </c>
      <c r="K22" s="61" t="str">
        <f>IF(B22="","",IFERROR(VLOOKUP(B22,'ANÁLISE DE DADOS'!$A:$AM,9,0),""))</f>
        <v>fev-25</v>
      </c>
      <c r="L22" s="61" t="str">
        <f>IF(B22="","",IFERROR(VLOOKUP(B22,'ANÁLISE DE DADOS'!$A:$AM,10,0),""))</f>
        <v>2025</v>
      </c>
      <c r="M22" s="62">
        <f>IF(B22="","",IFERROR(VLOOKUP(B22,'ANÁLISE DE DADOS'!$A:$AM,11,0),""))</f>
        <v>45737</v>
      </c>
      <c r="N22" s="61" t="str">
        <f>IF(B22="","",IFERROR(VLOOKUP(B22,'ANÁLISE DE DADOS'!$A:$AM,12,0),""))</f>
        <v>mar-25</v>
      </c>
      <c r="O22" s="61" t="str">
        <f>IF(B22="","",IFERROR(VLOOKUP(B22,'ANÁLISE DE DADOS'!$A:$AM,13,0),""))</f>
        <v>2025</v>
      </c>
      <c r="P22" s="63">
        <f>IF(B22="","",IFERROR(VLOOKUP(B22,'ANÁLISE DE DADOS'!$A:$AM,14,0),""))</f>
        <v>2800</v>
      </c>
      <c r="Q22" s="61" t="str">
        <f>IF(B22="","",IFERROR(VLOOKUP(B22,'ANÁLISE DE DADOS'!$A:$AM,15,0),""))</f>
        <v>Juliana</v>
      </c>
      <c r="R22" s="61" t="str">
        <f>IF(B22="","",IFERROR(VLOOKUP(B22,'ANÁLISE DE DADOS'!$A:$AM,16,0),""))</f>
        <v>ANALISTA SIMONE</v>
      </c>
      <c r="S22" s="61" t="str">
        <f>IF(B22="","",IFERROR(VLOOKUP(B22,'ANÁLISE DE DADOS'!$A:$AM,17,0),""))</f>
        <v>NÃO</v>
      </c>
      <c r="T22" s="61" t="str">
        <f>IF(B22="","",IFERROR(VLOOKUP(B22,'ANÁLISE DE DADOS'!$A:$AM,18,0),""))</f>
        <v>Aguardando resolução interna da empresa</v>
      </c>
      <c r="U22" s="61" t="str">
        <f ca="1">IF(B22="","",IFERROR(VLOOKUP(B22,'ANÁLISE DE DADOS'!$A:$AM,19,0),""))</f>
        <v>Vencido</v>
      </c>
      <c r="V22" s="61">
        <f ca="1">IF(B22="","",IFERROR(VLOOKUP(B22,'ANÁLISE DE DADOS'!$A:$AM,20,0),""))</f>
        <v>88</v>
      </c>
      <c r="W22" s="61" t="str">
        <f ca="1">IF(B22="","",IFERROR(VLOOKUP(B22,'ANÁLISE DE DADOS'!$A:$AM,21,0),""))</f>
        <v>61+ dias</v>
      </c>
      <c r="X22" s="61" t="str">
        <f ca="1">IF(B22="","",IFERROR(VLOOKUP(B22,'ANÁLISE DE DADOS'!$A:$AM,22,0),""))</f>
        <v>Atraso Crítico</v>
      </c>
      <c r="Y22" s="61" t="str">
        <f>IF(B22="","",IFERROR(VLOOKUP(B22,'ANÁLISE DE DADOS'!$A:$AM,23,0),""))</f>
        <v>-</v>
      </c>
      <c r="Z22" s="61" t="str">
        <f>IF(B22="","",IFERROR(VLOOKUP(B22,'ANÁLISE DE DADOS'!$A:$AM,24,0),""))</f>
        <v>Sim</v>
      </c>
      <c r="AA22" s="61">
        <f>IF(B22="","",IFERROR(VLOOKUP(B22,'ANÁLISE DE DADOS'!$A:$AM,25,0),""))</f>
        <v>0</v>
      </c>
      <c r="AB22" s="61">
        <f>IF(B22="","",IFERROR(VLOOKUP(B22,'ANÁLISE DE DADOS'!$A:$AM,26,0),""))</f>
        <v>1</v>
      </c>
      <c r="AC22" s="61" t="str">
        <f>IF(B22="","",IFERROR(VLOOKUP(B22,'ANÁLISE DE DADOS'!$A:$AM,27,0),""))</f>
        <v>Sim</v>
      </c>
      <c r="AD22" s="62">
        <f>IF(B22="","",IFERROR(VLOOKUP(B22,'ANÁLISE DE DADOS'!$A:$AM,28,0),""))</f>
        <v>45740</v>
      </c>
      <c r="AE22" s="61" t="str">
        <f>IF(B22="","",IFERROR(VLOOKUP(B22,'ANÁLISE DE DADOS'!$A:$AM,29,0),""))</f>
        <v>mar-25</v>
      </c>
      <c r="AF22" s="61" t="str">
        <f>IF(B22="","",IFERROR(VLOOKUP(B22,'ANÁLISE DE DADOS'!$A:$AM,30,0),""))</f>
        <v>2025</v>
      </c>
      <c r="AG22" s="62">
        <f>IF(B22="","",IFERROR(VLOOKUP(B22,'ANÁLISE DE DADOS'!$A:$AM,31,0),""))</f>
        <v>45802</v>
      </c>
      <c r="AH22" s="61" t="str">
        <f>IF(B22="","",IFERROR(VLOOKUP(B22,'ANÁLISE DE DADOS'!$A:$AM,32,0),""))</f>
        <v>mai-25</v>
      </c>
      <c r="AI22" s="61" t="str">
        <f>IF(B22="","",IFERROR(VLOOKUP(B22,'ANÁLISE DE DADOS'!$A:$AM,33,0),""))</f>
        <v>2025</v>
      </c>
      <c r="AJ22" s="61" t="str">
        <f>IF(B22="","",IFERROR(VLOOKUP(B22,'ANÁLISE DE DADOS'!$A:$AM,34,0),""))</f>
        <v>Acompanhando</v>
      </c>
      <c r="AK22" s="63">
        <f ca="1">IF(B22="","",IFERROR(VLOOKUP(B22,'ANÁLISE DE DADOS'!$A:$AM,35,0),""))</f>
        <v>2800</v>
      </c>
      <c r="AL22" s="63" t="str">
        <f ca="1">IF(B22="","",IFERROR(VLOOKUP(B22,'ANÁLISE DE DADOS'!$A:$AM,36,0),""))</f>
        <v>0</v>
      </c>
    </row>
    <row r="23" spans="2:38" x14ac:dyDescent="0.3">
      <c r="B23" s="30">
        <v>19</v>
      </c>
      <c r="C23" s="61">
        <f>IF(B23="","",IFERROR(VLOOKUP(B23,'ANÁLISE DE DADOS'!$A:$AM,1,0),""))</f>
        <v>19</v>
      </c>
      <c r="D23" s="61" t="str">
        <f>IF(B23="","",IFERROR(VLOOKUP(B23,'ANÁLISE DE DADOS'!$A:$AM,2,0),""))</f>
        <v>Filial</v>
      </c>
      <c r="E23" s="61" t="str">
        <f>IF(B23="","",IFERROR(VLOOKUP(B23,'ANÁLISE DE DADOS'!$A:$AM,3,0),""))</f>
        <v>Alpha &amp; CIA</v>
      </c>
      <c r="F23" s="61" t="str">
        <f>IF(B23="","",IFERROR(VLOOKUP(B23,'ANÁLISE DE DADOS'!$A:$AM,4,0),""))</f>
        <v>Alpha &amp; CIA</v>
      </c>
      <c r="G23" s="62">
        <f>IF(B23="","",IFERROR(VLOOKUP(B23,'ANÁLISE DE DADOS'!$A:$AM,5,0),""))</f>
        <v>45682</v>
      </c>
      <c r="H23" s="62" t="str">
        <f>IF(B23="","",IFERROR(VLOOKUP(B23,'ANÁLISE DE DADOS'!$A:$AM,6,0),""))</f>
        <v>jan-25</v>
      </c>
      <c r="I23" s="62" t="str">
        <f>IF(B23="","",IFERROR(VLOOKUP(B23,'ANÁLISE DE DADOS'!$A:$AM,7,0),""))</f>
        <v>2025</v>
      </c>
      <c r="J23" s="62">
        <f>IF(B23="","",IFERROR(VLOOKUP(B23,'ANÁLISE DE DADOS'!$A:$AM,8,0),""))</f>
        <v>45708</v>
      </c>
      <c r="K23" s="61" t="str">
        <f>IF(B23="","",IFERROR(VLOOKUP(B23,'ANÁLISE DE DADOS'!$A:$AM,9,0),""))</f>
        <v>fev-25</v>
      </c>
      <c r="L23" s="61" t="str">
        <f>IF(B23="","",IFERROR(VLOOKUP(B23,'ANÁLISE DE DADOS'!$A:$AM,10,0),""))</f>
        <v>2025</v>
      </c>
      <c r="M23" s="62">
        <f>IF(B23="","",IFERROR(VLOOKUP(B23,'ANÁLISE DE DADOS'!$A:$AM,11,0),""))</f>
        <v>45737</v>
      </c>
      <c r="N23" s="61" t="str">
        <f>IF(B23="","",IFERROR(VLOOKUP(B23,'ANÁLISE DE DADOS'!$A:$AM,12,0),""))</f>
        <v>mar-25</v>
      </c>
      <c r="O23" s="61" t="str">
        <f>IF(B23="","",IFERROR(VLOOKUP(B23,'ANÁLISE DE DADOS'!$A:$AM,13,0),""))</f>
        <v>2025</v>
      </c>
      <c r="P23" s="63">
        <f>IF(B23="","",IFERROR(VLOOKUP(B23,'ANÁLISE DE DADOS'!$A:$AM,14,0),""))</f>
        <v>1200</v>
      </c>
      <c r="Q23" s="61" t="str">
        <f>IF(B23="","",IFERROR(VLOOKUP(B23,'ANÁLISE DE DADOS'!$A:$AM,15,0),""))</f>
        <v>Gustavo</v>
      </c>
      <c r="R23" s="61" t="str">
        <f>IF(B23="","",IFERROR(VLOOKUP(B23,'ANÁLISE DE DADOS'!$A:$AM,16,0),""))</f>
        <v>ANALISTA SIMONE</v>
      </c>
      <c r="S23" s="61" t="str">
        <f>IF(B23="","",IFERROR(VLOOKUP(B23,'ANÁLISE DE DADOS'!$A:$AM,17,0),""))</f>
        <v>NÃO</v>
      </c>
      <c r="T23" s="61" t="str">
        <f>IF(B23="","",IFERROR(VLOOKUP(B23,'ANÁLISE DE DADOS'!$A:$AM,18,0),""))</f>
        <v>Promessa de pagamento não cumprida</v>
      </c>
      <c r="U23" s="61" t="str">
        <f ca="1">IF(B23="","",IFERROR(VLOOKUP(B23,'ANÁLISE DE DADOS'!$A:$AM,19,0),""))</f>
        <v>Vencido</v>
      </c>
      <c r="V23" s="61">
        <f ca="1">IF(B23="","",IFERROR(VLOOKUP(B23,'ANÁLISE DE DADOS'!$A:$AM,20,0),""))</f>
        <v>87</v>
      </c>
      <c r="W23" s="61" t="str">
        <f ca="1">IF(B23="","",IFERROR(VLOOKUP(B23,'ANÁLISE DE DADOS'!$A:$AM,21,0),""))</f>
        <v>61+ dias</v>
      </c>
      <c r="X23" s="61" t="str">
        <f ca="1">IF(B23="","",IFERROR(VLOOKUP(B23,'ANÁLISE DE DADOS'!$A:$AM,22,0),""))</f>
        <v>Atraso Crítico</v>
      </c>
      <c r="Y23" s="61" t="str">
        <f>IF(B23="","",IFERROR(VLOOKUP(B23,'ANÁLISE DE DADOS'!$A:$AM,23,0),""))</f>
        <v>-</v>
      </c>
      <c r="Z23" s="61" t="str">
        <f>IF(B23="","",IFERROR(VLOOKUP(B23,'ANÁLISE DE DADOS'!$A:$AM,24,0),""))</f>
        <v>Sim</v>
      </c>
      <c r="AA23" s="61">
        <f>IF(B23="","",IFERROR(VLOOKUP(B23,'ANÁLISE DE DADOS'!$A:$AM,25,0),""))</f>
        <v>0</v>
      </c>
      <c r="AB23" s="61">
        <f>IF(B23="","",IFERROR(VLOOKUP(B23,'ANÁLISE DE DADOS'!$A:$AM,26,0),""))</f>
        <v>1</v>
      </c>
      <c r="AC23" s="61" t="str">
        <f>IF(B23="","",IFERROR(VLOOKUP(B23,'ANÁLISE DE DADOS'!$A:$AM,27,0),""))</f>
        <v>Sim</v>
      </c>
      <c r="AD23" s="62">
        <f>IF(B23="","",IFERROR(VLOOKUP(B23,'ANÁLISE DE DADOS'!$A:$AM,28,0),""))</f>
        <v>45740</v>
      </c>
      <c r="AE23" s="61" t="str">
        <f>IF(B23="","",IFERROR(VLOOKUP(B23,'ANÁLISE DE DADOS'!$A:$AM,29,0),""))</f>
        <v>mar-25</v>
      </c>
      <c r="AF23" s="61" t="str">
        <f>IF(B23="","",IFERROR(VLOOKUP(B23,'ANÁLISE DE DADOS'!$A:$AM,30,0),""))</f>
        <v>2025</v>
      </c>
      <c r="AG23" s="62">
        <f>IF(B23="","",IFERROR(VLOOKUP(B23,'ANÁLISE DE DADOS'!$A:$AM,31,0),""))</f>
        <v>45802</v>
      </c>
      <c r="AH23" s="61" t="str">
        <f>IF(B23="","",IFERROR(VLOOKUP(B23,'ANÁLISE DE DADOS'!$A:$AM,32,0),""))</f>
        <v>mai-25</v>
      </c>
      <c r="AI23" s="61" t="str">
        <f>IF(B23="","",IFERROR(VLOOKUP(B23,'ANÁLISE DE DADOS'!$A:$AM,33,0),""))</f>
        <v>2025</v>
      </c>
      <c r="AJ23" s="61" t="str">
        <f>IF(B23="","",IFERROR(VLOOKUP(B23,'ANÁLISE DE DADOS'!$A:$AM,34,0),""))</f>
        <v>Acompanhando</v>
      </c>
      <c r="AK23" s="63">
        <f ca="1">IF(B23="","",IFERROR(VLOOKUP(B23,'ANÁLISE DE DADOS'!$A:$AM,35,0),""))</f>
        <v>1200</v>
      </c>
      <c r="AL23" s="63" t="str">
        <f ca="1">IF(B23="","",IFERROR(VLOOKUP(B23,'ANÁLISE DE DADOS'!$A:$AM,36,0),""))</f>
        <v>0</v>
      </c>
    </row>
    <row r="24" spans="2:38" x14ac:dyDescent="0.3">
      <c r="B24" s="30">
        <v>20</v>
      </c>
      <c r="C24" s="61">
        <f>IF(B24="","",IFERROR(VLOOKUP(B24,'ANÁLISE DE DADOS'!$A:$AM,1,0),""))</f>
        <v>20</v>
      </c>
      <c r="D24" s="61" t="str">
        <f>IF(B24="","",IFERROR(VLOOKUP(B24,'ANÁLISE DE DADOS'!$A:$AM,2,0),""))</f>
        <v>Filial</v>
      </c>
      <c r="E24" s="61">
        <f>IF(B24="","",IFERROR(VLOOKUP(B24,'ANÁLISE DE DADOS'!$A:$AM,3,0),""))</f>
        <v>0</v>
      </c>
      <c r="F24" s="61" t="str">
        <f>IF(B24="","",IFERROR(VLOOKUP(B24,'ANÁLISE DE DADOS'!$A:$AM,4,0),""))</f>
        <v>MundoInovador</v>
      </c>
      <c r="G24" s="62">
        <f>IF(B24="","",IFERROR(VLOOKUP(B24,'ANÁLISE DE DADOS'!$A:$AM,5,0),""))</f>
        <v>45682</v>
      </c>
      <c r="H24" s="62" t="str">
        <f>IF(B24="","",IFERROR(VLOOKUP(B24,'ANÁLISE DE DADOS'!$A:$AM,6,0),""))</f>
        <v>jan-25</v>
      </c>
      <c r="I24" s="62" t="str">
        <f>IF(B24="","",IFERROR(VLOOKUP(B24,'ANÁLISE DE DADOS'!$A:$AM,7,0),""))</f>
        <v>2025</v>
      </c>
      <c r="J24" s="62">
        <f>IF(B24="","",IFERROR(VLOOKUP(B24,'ANÁLISE DE DADOS'!$A:$AM,8,0),""))</f>
        <v>45709</v>
      </c>
      <c r="K24" s="61" t="str">
        <f>IF(B24="","",IFERROR(VLOOKUP(B24,'ANÁLISE DE DADOS'!$A:$AM,9,0),""))</f>
        <v>fev-25</v>
      </c>
      <c r="L24" s="61" t="str">
        <f>IF(B24="","",IFERROR(VLOOKUP(B24,'ANÁLISE DE DADOS'!$A:$AM,10,0),""))</f>
        <v>2025</v>
      </c>
      <c r="M24" s="62">
        <f>IF(B24="","",IFERROR(VLOOKUP(B24,'ANÁLISE DE DADOS'!$A:$AM,11,0),""))</f>
        <v>45709</v>
      </c>
      <c r="N24" s="61" t="str">
        <f>IF(B24="","",IFERROR(VLOOKUP(B24,'ANÁLISE DE DADOS'!$A:$AM,12,0),""))</f>
        <v>fev-25</v>
      </c>
      <c r="O24" s="61" t="str">
        <f>IF(B24="","",IFERROR(VLOOKUP(B24,'ANÁLISE DE DADOS'!$A:$AM,13,0),""))</f>
        <v>2025</v>
      </c>
      <c r="P24" s="63">
        <f>IF(B24="","",IFERROR(VLOOKUP(B24,'ANÁLISE DE DADOS'!$A:$AM,14,0),""))</f>
        <v>1200</v>
      </c>
      <c r="Q24" s="61" t="str">
        <f>IF(B24="","",IFERROR(VLOOKUP(B24,'ANÁLISE DE DADOS'!$A:$AM,15,0),""))</f>
        <v>Gustavo</v>
      </c>
      <c r="R24" s="61" t="str">
        <f>IF(B24="","",IFERROR(VLOOKUP(B24,'ANÁLISE DE DADOS'!$A:$AM,16,0),""))</f>
        <v>ANALISTA SIMONE</v>
      </c>
      <c r="S24" s="61" t="str">
        <f>IF(B24="","",IFERROR(VLOOKUP(B24,'ANÁLISE DE DADOS'!$A:$AM,17,0),""))</f>
        <v>NÃO</v>
      </c>
      <c r="T24" s="61" t="str">
        <f>IF(B24="","",IFERROR(VLOOKUP(B24,'ANÁLISE DE DADOS'!$A:$AM,18,0),""))</f>
        <v>Situação com comercial (aguardando análise comercial)</v>
      </c>
      <c r="U24" s="61" t="str">
        <f ca="1">IF(B24="","",IFERROR(VLOOKUP(B24,'ANÁLISE DE DADOS'!$A:$AM,19,0),""))</f>
        <v>Vencido</v>
      </c>
      <c r="V24" s="61">
        <f ca="1">IF(B24="","",IFERROR(VLOOKUP(B24,'ANÁLISE DE DADOS'!$A:$AM,20,0),""))</f>
        <v>86</v>
      </c>
      <c r="W24" s="61" t="str">
        <f ca="1">IF(B24="","",IFERROR(VLOOKUP(B24,'ANÁLISE DE DADOS'!$A:$AM,21,0),""))</f>
        <v>61+ dias</v>
      </c>
      <c r="X24" s="61" t="str">
        <f ca="1">IF(B24="","",IFERROR(VLOOKUP(B24,'ANÁLISE DE DADOS'!$A:$AM,22,0),""))</f>
        <v>Atraso Crítico</v>
      </c>
      <c r="Y24" s="61" t="str">
        <f>IF(B24="","",IFERROR(VLOOKUP(B24,'ANÁLISE DE DADOS'!$A:$AM,23,0),""))</f>
        <v>-</v>
      </c>
      <c r="Z24" s="61" t="str">
        <f>IF(B24="","",IFERROR(VLOOKUP(B24,'ANÁLISE DE DADOS'!$A:$AM,24,0),""))</f>
        <v>Sim</v>
      </c>
      <c r="AA24" s="61">
        <f>IF(B24="","",IFERROR(VLOOKUP(B24,'ANÁLISE DE DADOS'!$A:$AM,25,0),""))</f>
        <v>0</v>
      </c>
      <c r="AB24" s="61">
        <f>IF(B24="","",IFERROR(VLOOKUP(B24,'ANÁLISE DE DADOS'!$A:$AM,26,0),""))</f>
        <v>1</v>
      </c>
      <c r="AC24" s="61" t="str">
        <f>IF(B24="","",IFERROR(VLOOKUP(B24,'ANÁLISE DE DADOS'!$A:$AM,27,0),""))</f>
        <v>Sim</v>
      </c>
      <c r="AD24" s="62">
        <f>IF(B24="","",IFERROR(VLOOKUP(B24,'ANÁLISE DE DADOS'!$A:$AM,28,0),""))</f>
        <v>45740</v>
      </c>
      <c r="AE24" s="61" t="str">
        <f>IF(B24="","",IFERROR(VLOOKUP(B24,'ANÁLISE DE DADOS'!$A:$AM,29,0),""))</f>
        <v>mar-25</v>
      </c>
      <c r="AF24" s="61" t="str">
        <f>IF(B24="","",IFERROR(VLOOKUP(B24,'ANÁLISE DE DADOS'!$A:$AM,30,0),""))</f>
        <v>2025</v>
      </c>
      <c r="AG24" s="62">
        <f>IF(B24="","",IFERROR(VLOOKUP(B24,'ANÁLISE DE DADOS'!$A:$AM,31,0),""))</f>
        <v>45802</v>
      </c>
      <c r="AH24" s="61" t="str">
        <f>IF(B24="","",IFERROR(VLOOKUP(B24,'ANÁLISE DE DADOS'!$A:$AM,32,0),""))</f>
        <v>mai-25</v>
      </c>
      <c r="AI24" s="61" t="str">
        <f>IF(B24="","",IFERROR(VLOOKUP(B24,'ANÁLISE DE DADOS'!$A:$AM,33,0),""))</f>
        <v>2025</v>
      </c>
      <c r="AJ24" s="61" t="str">
        <f>IF(B24="","",IFERROR(VLOOKUP(B24,'ANÁLISE DE DADOS'!$A:$AM,34,0),""))</f>
        <v>Acompanhando</v>
      </c>
      <c r="AK24" s="63">
        <f ca="1">IF(B24="","",IFERROR(VLOOKUP(B24,'ANÁLISE DE DADOS'!$A:$AM,35,0),""))</f>
        <v>1200</v>
      </c>
      <c r="AL24" s="63" t="str">
        <f ca="1">IF(B24="","",IFERROR(VLOOKUP(B24,'ANÁLISE DE DADOS'!$A:$AM,36,0),""))</f>
        <v>0</v>
      </c>
    </row>
    <row r="25" spans="2:38" x14ac:dyDescent="0.3">
      <c r="B25" s="30">
        <v>21</v>
      </c>
      <c r="C25" s="61">
        <f>IF(B25="","",IFERROR(VLOOKUP(B25,'ANÁLISE DE DADOS'!$A:$AM,1,0),""))</f>
        <v>21</v>
      </c>
      <c r="D25" s="61" t="str">
        <f>IF(B25="","",IFERROR(VLOOKUP(B25,'ANÁLISE DE DADOS'!$A:$AM,2,0),""))</f>
        <v>Matriz</v>
      </c>
      <c r="E25" s="61" t="str">
        <f>IF(B25="","",IFERROR(VLOOKUP(B25,'ANÁLISE DE DADOS'!$A:$AM,3,0),""))</f>
        <v>Gamma &amp; CIA</v>
      </c>
      <c r="F25" s="61" t="str">
        <f>IF(B25="","",IFERROR(VLOOKUP(B25,'ANÁLISE DE DADOS'!$A:$AM,4,0),""))</f>
        <v>Gamma &amp; CIA</v>
      </c>
      <c r="G25" s="62">
        <f>IF(B25="","",IFERROR(VLOOKUP(B25,'ANÁLISE DE DADOS'!$A:$AM,5,0),""))</f>
        <v>45689</v>
      </c>
      <c r="H25" s="62" t="str">
        <f>IF(B25="","",IFERROR(VLOOKUP(B25,'ANÁLISE DE DADOS'!$A:$AM,6,0),""))</f>
        <v>fev-25</v>
      </c>
      <c r="I25" s="62" t="str">
        <f>IF(B25="","",IFERROR(VLOOKUP(B25,'ANÁLISE DE DADOS'!$A:$AM,7,0),""))</f>
        <v>2025</v>
      </c>
      <c r="J25" s="62">
        <f>IF(B25="","",IFERROR(VLOOKUP(B25,'ANÁLISE DE DADOS'!$A:$AM,8,0),""))</f>
        <v>45708</v>
      </c>
      <c r="K25" s="61" t="str">
        <f>IF(B25="","",IFERROR(VLOOKUP(B25,'ANÁLISE DE DADOS'!$A:$AM,9,0),""))</f>
        <v>fev-25</v>
      </c>
      <c r="L25" s="61" t="str">
        <f>IF(B25="","",IFERROR(VLOOKUP(B25,'ANÁLISE DE DADOS'!$A:$AM,10,0),""))</f>
        <v>2025</v>
      </c>
      <c r="M25" s="62">
        <f>IF(B25="","",IFERROR(VLOOKUP(B25,'ANÁLISE DE DADOS'!$A:$AM,11,0),""))</f>
        <v>45708</v>
      </c>
      <c r="N25" s="61" t="str">
        <f>IF(B25="","",IFERROR(VLOOKUP(B25,'ANÁLISE DE DADOS'!$A:$AM,12,0),""))</f>
        <v>fev-25</v>
      </c>
      <c r="O25" s="61" t="str">
        <f>IF(B25="","",IFERROR(VLOOKUP(B25,'ANÁLISE DE DADOS'!$A:$AM,13,0),""))</f>
        <v>2025</v>
      </c>
      <c r="P25" s="63">
        <f>IF(B25="","",IFERROR(VLOOKUP(B25,'ANÁLISE DE DADOS'!$A:$AM,14,0),""))</f>
        <v>2500</v>
      </c>
      <c r="Q25" s="61" t="str">
        <f>IF(B25="","",IFERROR(VLOOKUP(B25,'ANÁLISE DE DADOS'!$A:$AM,15,0),""))</f>
        <v>Fernanda</v>
      </c>
      <c r="R25" s="61" t="str">
        <f>IF(B25="","",IFERROR(VLOOKUP(B25,'ANÁLISE DE DADOS'!$A:$AM,16,0),""))</f>
        <v>ANALISTA SIMONE</v>
      </c>
      <c r="S25" s="61" t="str">
        <f>IF(B25="","",IFERROR(VLOOKUP(B25,'ANÁLISE DE DADOS'!$A:$AM,17,0),""))</f>
        <v>NÃO</v>
      </c>
      <c r="T25" s="61" t="str">
        <f>IF(B25="","",IFERROR(VLOOKUP(B25,'ANÁLISE DE DADOS'!$A:$AM,18,0),""))</f>
        <v>Acordo de pagamento pendente</v>
      </c>
      <c r="U25" s="61" t="str">
        <f ca="1">IF(B25="","",IFERROR(VLOOKUP(B25,'ANÁLISE DE DADOS'!$A:$AM,19,0),""))</f>
        <v>Vencido</v>
      </c>
      <c r="V25" s="61">
        <f ca="1">IF(B25="","",IFERROR(VLOOKUP(B25,'ANÁLISE DE DADOS'!$A:$AM,20,0),""))</f>
        <v>87</v>
      </c>
      <c r="W25" s="61" t="str">
        <f ca="1">IF(B25="","",IFERROR(VLOOKUP(B25,'ANÁLISE DE DADOS'!$A:$AM,21,0),""))</f>
        <v>61+ dias</v>
      </c>
      <c r="X25" s="61" t="str">
        <f ca="1">IF(B25="","",IFERROR(VLOOKUP(B25,'ANÁLISE DE DADOS'!$A:$AM,22,0),""))</f>
        <v>Atraso Crítico</v>
      </c>
      <c r="Y25" s="61" t="str">
        <f>IF(B25="","",IFERROR(VLOOKUP(B25,'ANÁLISE DE DADOS'!$A:$AM,23,0),""))</f>
        <v>-</v>
      </c>
      <c r="Z25" s="61" t="str">
        <f>IF(B25="","",IFERROR(VLOOKUP(B25,'ANÁLISE DE DADOS'!$A:$AM,24,0),""))</f>
        <v>Sim</v>
      </c>
      <c r="AA25" s="61">
        <f>IF(B25="","",IFERROR(VLOOKUP(B25,'ANÁLISE DE DADOS'!$A:$AM,25,0),""))</f>
        <v>0</v>
      </c>
      <c r="AB25" s="61">
        <f>IF(B25="","",IFERROR(VLOOKUP(B25,'ANÁLISE DE DADOS'!$A:$AM,26,0),""))</f>
        <v>1</v>
      </c>
      <c r="AC25" s="61" t="str">
        <f>IF(B25="","",IFERROR(VLOOKUP(B25,'ANÁLISE DE DADOS'!$A:$AM,27,0),""))</f>
        <v>Sim</v>
      </c>
      <c r="AD25" s="62">
        <f>IF(B25="","",IFERROR(VLOOKUP(B25,'ANÁLISE DE DADOS'!$A:$AM,28,0),""))</f>
        <v>45740</v>
      </c>
      <c r="AE25" s="61" t="str">
        <f>IF(B25="","",IFERROR(VLOOKUP(B25,'ANÁLISE DE DADOS'!$A:$AM,29,0),""))</f>
        <v>mar-25</v>
      </c>
      <c r="AF25" s="61" t="str">
        <f>IF(B25="","",IFERROR(VLOOKUP(B25,'ANÁLISE DE DADOS'!$A:$AM,30,0),""))</f>
        <v>2025</v>
      </c>
      <c r="AG25" s="62">
        <f>IF(B25="","",IFERROR(VLOOKUP(B25,'ANÁLISE DE DADOS'!$A:$AM,31,0),""))</f>
        <v>45802</v>
      </c>
      <c r="AH25" s="61" t="str">
        <f>IF(B25="","",IFERROR(VLOOKUP(B25,'ANÁLISE DE DADOS'!$A:$AM,32,0),""))</f>
        <v>mai-25</v>
      </c>
      <c r="AI25" s="61" t="str">
        <f>IF(B25="","",IFERROR(VLOOKUP(B25,'ANÁLISE DE DADOS'!$A:$AM,33,0),""))</f>
        <v>2025</v>
      </c>
      <c r="AJ25" s="61" t="str">
        <f>IF(B25="","",IFERROR(VLOOKUP(B25,'ANÁLISE DE DADOS'!$A:$AM,34,0),""))</f>
        <v>Acompanhando</v>
      </c>
      <c r="AK25" s="63">
        <f ca="1">IF(B25="","",IFERROR(VLOOKUP(B25,'ANÁLISE DE DADOS'!$A:$AM,35,0),""))</f>
        <v>2500</v>
      </c>
      <c r="AL25" s="63" t="str">
        <f ca="1">IF(B25="","",IFERROR(VLOOKUP(B25,'ANÁLISE DE DADOS'!$A:$AM,36,0),""))</f>
        <v>0</v>
      </c>
    </row>
    <row r="26" spans="2:38" x14ac:dyDescent="0.3">
      <c r="B26" s="30">
        <v>22</v>
      </c>
      <c r="C26" s="61">
        <f>IF(B26="","",IFERROR(VLOOKUP(B26,'ANÁLISE DE DADOS'!$A:$AM,1,0),""))</f>
        <v>22</v>
      </c>
      <c r="D26" s="61" t="str">
        <f>IF(B26="","",IFERROR(VLOOKUP(B26,'ANÁLISE DE DADOS'!$A:$AM,2,0),""))</f>
        <v>Matriz</v>
      </c>
      <c r="E26" s="61">
        <f>IF(B26="","",IFERROR(VLOOKUP(B26,'ANÁLISE DE DADOS'!$A:$AM,3,0),""))</f>
        <v>0</v>
      </c>
      <c r="F26" s="61" t="str">
        <f>IF(B26="","",IFERROR(VLOOKUP(B26,'ANÁLISE DE DADOS'!$A:$AM,4,0),""))</f>
        <v>MundoInovador</v>
      </c>
      <c r="G26" s="62">
        <f>IF(B26="","",IFERROR(VLOOKUP(B26,'ANÁLISE DE DADOS'!$A:$AM,5,0),""))</f>
        <v>45689</v>
      </c>
      <c r="H26" s="62" t="str">
        <f>IF(B26="","",IFERROR(VLOOKUP(B26,'ANÁLISE DE DADOS'!$A:$AM,6,0),""))</f>
        <v>fev-25</v>
      </c>
      <c r="I26" s="62" t="str">
        <f>IF(B26="","",IFERROR(VLOOKUP(B26,'ANÁLISE DE DADOS'!$A:$AM,7,0),""))</f>
        <v>2025</v>
      </c>
      <c r="J26" s="62">
        <f>IF(B26="","",IFERROR(VLOOKUP(B26,'ANÁLISE DE DADOS'!$A:$AM,8,0),""))</f>
        <v>45709</v>
      </c>
      <c r="K26" s="61" t="str">
        <f>IF(B26="","",IFERROR(VLOOKUP(B26,'ANÁLISE DE DADOS'!$A:$AM,9,0),""))</f>
        <v>fev-25</v>
      </c>
      <c r="L26" s="61" t="str">
        <f>IF(B26="","",IFERROR(VLOOKUP(B26,'ANÁLISE DE DADOS'!$A:$AM,10,0),""))</f>
        <v>2025</v>
      </c>
      <c r="M26" s="62">
        <f>IF(B26="","",IFERROR(VLOOKUP(B26,'ANÁLISE DE DADOS'!$A:$AM,11,0),""))</f>
        <v>45709</v>
      </c>
      <c r="N26" s="61" t="str">
        <f>IF(B26="","",IFERROR(VLOOKUP(B26,'ANÁLISE DE DADOS'!$A:$AM,12,0),""))</f>
        <v>fev-25</v>
      </c>
      <c r="O26" s="61" t="str">
        <f>IF(B26="","",IFERROR(VLOOKUP(B26,'ANÁLISE DE DADOS'!$A:$AM,13,0),""))</f>
        <v>2025</v>
      </c>
      <c r="P26" s="63">
        <f>IF(B26="","",IFERROR(VLOOKUP(B26,'ANÁLISE DE DADOS'!$A:$AM,14,0),""))</f>
        <v>2500</v>
      </c>
      <c r="Q26" s="61" t="str">
        <f>IF(B26="","",IFERROR(VLOOKUP(B26,'ANÁLISE DE DADOS'!$A:$AM,15,0),""))</f>
        <v>Fernanda</v>
      </c>
      <c r="R26" s="61" t="str">
        <f>IF(B26="","",IFERROR(VLOOKUP(B26,'ANÁLISE DE DADOS'!$A:$AM,16,0),""))</f>
        <v>ANALISTA SIMONE</v>
      </c>
      <c r="S26" s="61" t="str">
        <f>IF(B26="","",IFERROR(VLOOKUP(B26,'ANÁLISE DE DADOS'!$A:$AM,17,0),""))</f>
        <v>NÃO</v>
      </c>
      <c r="T26" s="61" t="str">
        <f>IF(B26="","",IFERROR(VLOOKUP(B26,'ANÁLISE DE DADOS'!$A:$AM,18,0),""))</f>
        <v>Aguardando aprovação de crédito</v>
      </c>
      <c r="U26" s="61" t="str">
        <f ca="1">IF(B26="","",IFERROR(VLOOKUP(B26,'ANÁLISE DE DADOS'!$A:$AM,19,0),""))</f>
        <v>Vencido</v>
      </c>
      <c r="V26" s="61">
        <f ca="1">IF(B26="","",IFERROR(VLOOKUP(B26,'ANÁLISE DE DADOS'!$A:$AM,20,0),""))</f>
        <v>86</v>
      </c>
      <c r="W26" s="61" t="str">
        <f ca="1">IF(B26="","",IFERROR(VLOOKUP(B26,'ANÁLISE DE DADOS'!$A:$AM,21,0),""))</f>
        <v>61+ dias</v>
      </c>
      <c r="X26" s="61" t="str">
        <f ca="1">IF(B26="","",IFERROR(VLOOKUP(B26,'ANÁLISE DE DADOS'!$A:$AM,22,0),""))</f>
        <v>Atraso Crítico</v>
      </c>
      <c r="Y26" s="61" t="str">
        <f>IF(B26="","",IFERROR(VLOOKUP(B26,'ANÁLISE DE DADOS'!$A:$AM,23,0),""))</f>
        <v>-</v>
      </c>
      <c r="Z26" s="61" t="str">
        <f>IF(B26="","",IFERROR(VLOOKUP(B26,'ANÁLISE DE DADOS'!$A:$AM,24,0),""))</f>
        <v>Sim</v>
      </c>
      <c r="AA26" s="61">
        <f>IF(B26="","",IFERROR(VLOOKUP(B26,'ANÁLISE DE DADOS'!$A:$AM,25,0),""))</f>
        <v>0</v>
      </c>
      <c r="AB26" s="61">
        <f>IF(B26="","",IFERROR(VLOOKUP(B26,'ANÁLISE DE DADOS'!$A:$AM,26,0),""))</f>
        <v>1</v>
      </c>
      <c r="AC26" s="61" t="str">
        <f>IF(B26="","",IFERROR(VLOOKUP(B26,'ANÁLISE DE DADOS'!$A:$AM,27,0),""))</f>
        <v>Sim</v>
      </c>
      <c r="AD26" s="62">
        <f>IF(B26="","",IFERROR(VLOOKUP(B26,'ANÁLISE DE DADOS'!$A:$AM,28,0),""))</f>
        <v>45740</v>
      </c>
      <c r="AE26" s="61" t="str">
        <f>IF(B26="","",IFERROR(VLOOKUP(B26,'ANÁLISE DE DADOS'!$A:$AM,29,0),""))</f>
        <v>mar-25</v>
      </c>
      <c r="AF26" s="61" t="str">
        <f>IF(B26="","",IFERROR(VLOOKUP(B26,'ANÁLISE DE DADOS'!$A:$AM,30,0),""))</f>
        <v>2025</v>
      </c>
      <c r="AG26" s="62">
        <f>IF(B26="","",IFERROR(VLOOKUP(B26,'ANÁLISE DE DADOS'!$A:$AM,31,0),""))</f>
        <v>45802</v>
      </c>
      <c r="AH26" s="61" t="str">
        <f>IF(B26="","",IFERROR(VLOOKUP(B26,'ANÁLISE DE DADOS'!$A:$AM,32,0),""))</f>
        <v>mai-25</v>
      </c>
      <c r="AI26" s="61" t="str">
        <f>IF(B26="","",IFERROR(VLOOKUP(B26,'ANÁLISE DE DADOS'!$A:$AM,33,0),""))</f>
        <v>2025</v>
      </c>
      <c r="AJ26" s="61" t="str">
        <f>IF(B26="","",IFERROR(VLOOKUP(B26,'ANÁLISE DE DADOS'!$A:$AM,34,0),""))</f>
        <v>Acompanhando</v>
      </c>
      <c r="AK26" s="63">
        <f ca="1">IF(B26="","",IFERROR(VLOOKUP(B26,'ANÁLISE DE DADOS'!$A:$AM,35,0),""))</f>
        <v>2500</v>
      </c>
      <c r="AL26" s="63" t="str">
        <f ca="1">IF(B26="","",IFERROR(VLOOKUP(B26,'ANÁLISE DE DADOS'!$A:$AM,36,0),""))</f>
        <v>0</v>
      </c>
    </row>
    <row r="27" spans="2:38" x14ac:dyDescent="0.3">
      <c r="B27" s="30">
        <v>23</v>
      </c>
      <c r="C27" s="61">
        <f>IF(B27="","",IFERROR(VLOOKUP(B27,'ANÁLISE DE DADOS'!$A:$AM,1,0),""))</f>
        <v>23</v>
      </c>
      <c r="D27" s="61" t="str">
        <f>IF(B27="","",IFERROR(VLOOKUP(B27,'ANÁLISE DE DADOS'!$A:$AM,2,0),""))</f>
        <v>Filial</v>
      </c>
      <c r="E27" s="61" t="str">
        <f>IF(B27="","",IFERROR(VLOOKUP(B27,'ANÁLISE DE DADOS'!$A:$AM,3,0),""))</f>
        <v>Gamma &amp; CIA</v>
      </c>
      <c r="F27" s="61" t="str">
        <f>IF(B27="","",IFERROR(VLOOKUP(B27,'ANÁLISE DE DADOS'!$A:$AM,4,0),""))</f>
        <v>Gamma &amp; CIA</v>
      </c>
      <c r="G27" s="62">
        <f>IF(B27="","",IFERROR(VLOOKUP(B27,'ANÁLISE DE DADOS'!$A:$AM,5,0),""))</f>
        <v>45690</v>
      </c>
      <c r="H27" s="62" t="str">
        <f>IF(B27="","",IFERROR(VLOOKUP(B27,'ANÁLISE DE DADOS'!$A:$AM,6,0),""))</f>
        <v>fev-25</v>
      </c>
      <c r="I27" s="62" t="str">
        <f>IF(B27="","",IFERROR(VLOOKUP(B27,'ANÁLISE DE DADOS'!$A:$AM,7,0),""))</f>
        <v>2025</v>
      </c>
      <c r="J27" s="62">
        <f>IF(B27="","",IFERROR(VLOOKUP(B27,'ANÁLISE DE DADOS'!$A:$AM,8,0),""))</f>
        <v>45710</v>
      </c>
      <c r="K27" s="61" t="str">
        <f>IF(B27="","",IFERROR(VLOOKUP(B27,'ANÁLISE DE DADOS'!$A:$AM,9,0),""))</f>
        <v>fev-25</v>
      </c>
      <c r="L27" s="61" t="str">
        <f>IF(B27="","",IFERROR(VLOOKUP(B27,'ANÁLISE DE DADOS'!$A:$AM,10,0),""))</f>
        <v>2025</v>
      </c>
      <c r="M27" s="62">
        <f>IF(B27="","",IFERROR(VLOOKUP(B27,'ANÁLISE DE DADOS'!$A:$AM,11,0),""))</f>
        <v>45710</v>
      </c>
      <c r="N27" s="61" t="str">
        <f>IF(B27="","",IFERROR(VLOOKUP(B27,'ANÁLISE DE DADOS'!$A:$AM,12,0),""))</f>
        <v>fev-25</v>
      </c>
      <c r="O27" s="61" t="str">
        <f>IF(B27="","",IFERROR(VLOOKUP(B27,'ANÁLISE DE DADOS'!$A:$AM,13,0),""))</f>
        <v>2025</v>
      </c>
      <c r="P27" s="63">
        <f>IF(B27="","",IFERROR(VLOOKUP(B27,'ANÁLISE DE DADOS'!$A:$AM,14,0),""))</f>
        <v>3000</v>
      </c>
      <c r="Q27" s="61" t="str">
        <f>IF(B27="","",IFERROR(VLOOKUP(B27,'ANÁLISE DE DADOS'!$A:$AM,15,0),""))</f>
        <v>Felipe</v>
      </c>
      <c r="R27" s="61" t="str">
        <f>IF(B27="","",IFERROR(VLOOKUP(B27,'ANÁLISE DE DADOS'!$A:$AM,16,0),""))</f>
        <v>ANALISTA SIMONE</v>
      </c>
      <c r="S27" s="61" t="str">
        <f>IF(B27="","",IFERROR(VLOOKUP(B27,'ANÁLISE DE DADOS'!$A:$AM,17,0),""))</f>
        <v>NÃO</v>
      </c>
      <c r="T27" s="61" t="str">
        <f>IF(B27="","",IFERROR(VLOOKUP(B27,'ANÁLISE DE DADOS'!$A:$AM,18,0),""))</f>
        <v>Cliente não localizado</v>
      </c>
      <c r="U27" s="61" t="str">
        <f ca="1">IF(B27="","",IFERROR(VLOOKUP(B27,'ANÁLISE DE DADOS'!$A:$AM,19,0),""))</f>
        <v>Vencido</v>
      </c>
      <c r="V27" s="61">
        <f ca="1">IF(B27="","",IFERROR(VLOOKUP(B27,'ANÁLISE DE DADOS'!$A:$AM,20,0),""))</f>
        <v>85</v>
      </c>
      <c r="W27" s="61" t="str">
        <f ca="1">IF(B27="","",IFERROR(VLOOKUP(B27,'ANÁLISE DE DADOS'!$A:$AM,21,0),""))</f>
        <v>61+ dias</v>
      </c>
      <c r="X27" s="61" t="str">
        <f ca="1">IF(B27="","",IFERROR(VLOOKUP(B27,'ANÁLISE DE DADOS'!$A:$AM,22,0),""))</f>
        <v>Atraso Crítico</v>
      </c>
      <c r="Y27" s="61" t="str">
        <f>IF(B27="","",IFERROR(VLOOKUP(B27,'ANÁLISE DE DADOS'!$A:$AM,23,0),""))</f>
        <v>-</v>
      </c>
      <c r="Z27" s="61" t="str">
        <f>IF(B27="","",IFERROR(VLOOKUP(B27,'ANÁLISE DE DADOS'!$A:$AM,24,0),""))</f>
        <v>Sim</v>
      </c>
      <c r="AA27" s="61">
        <f>IF(B27="","",IFERROR(VLOOKUP(B27,'ANÁLISE DE DADOS'!$A:$AM,25,0),""))</f>
        <v>0</v>
      </c>
      <c r="AB27" s="61">
        <f>IF(B27="","",IFERROR(VLOOKUP(B27,'ANÁLISE DE DADOS'!$A:$AM,26,0),""))</f>
        <v>1</v>
      </c>
      <c r="AC27" s="61" t="str">
        <f>IF(B27="","",IFERROR(VLOOKUP(B27,'ANÁLISE DE DADOS'!$A:$AM,27,0),""))</f>
        <v>Sim</v>
      </c>
      <c r="AD27" s="62">
        <f>IF(B27="","",IFERROR(VLOOKUP(B27,'ANÁLISE DE DADOS'!$A:$AM,28,0),""))</f>
        <v>45740</v>
      </c>
      <c r="AE27" s="61" t="str">
        <f>IF(B27="","",IFERROR(VLOOKUP(B27,'ANÁLISE DE DADOS'!$A:$AM,29,0),""))</f>
        <v>mar-25</v>
      </c>
      <c r="AF27" s="61" t="str">
        <f>IF(B27="","",IFERROR(VLOOKUP(B27,'ANÁLISE DE DADOS'!$A:$AM,30,0),""))</f>
        <v>2025</v>
      </c>
      <c r="AG27" s="62">
        <f>IF(B27="","",IFERROR(VLOOKUP(B27,'ANÁLISE DE DADOS'!$A:$AM,31,0),""))</f>
        <v>45740</v>
      </c>
      <c r="AH27" s="61" t="str">
        <f>IF(B27="","",IFERROR(VLOOKUP(B27,'ANÁLISE DE DADOS'!$A:$AM,32,0),""))</f>
        <v>mar-25</v>
      </c>
      <c r="AI27" s="61" t="str">
        <f>IF(B27="","",IFERROR(VLOOKUP(B27,'ANÁLISE DE DADOS'!$A:$AM,33,0),""))</f>
        <v>2025</v>
      </c>
      <c r="AJ27" s="61" t="str">
        <f>IF(B27="","",IFERROR(VLOOKUP(B27,'ANÁLISE DE DADOS'!$A:$AM,34,0),""))</f>
        <v>Acompanhando</v>
      </c>
      <c r="AK27" s="63">
        <f ca="1">IF(B27="","",IFERROR(VLOOKUP(B27,'ANÁLISE DE DADOS'!$A:$AM,35,0),""))</f>
        <v>3000</v>
      </c>
      <c r="AL27" s="63" t="str">
        <f ca="1">IF(B27="","",IFERROR(VLOOKUP(B27,'ANÁLISE DE DADOS'!$A:$AM,36,0),""))</f>
        <v>0</v>
      </c>
    </row>
    <row r="28" spans="2:38" x14ac:dyDescent="0.3">
      <c r="B28" s="30">
        <v>24</v>
      </c>
      <c r="C28" s="61">
        <f>IF(B28="","",IFERROR(VLOOKUP(B28,'ANÁLISE DE DADOS'!$A:$AM,1,0),""))</f>
        <v>24</v>
      </c>
      <c r="D28" s="61" t="str">
        <f>IF(B28="","",IFERROR(VLOOKUP(B28,'ANÁLISE DE DADOS'!$A:$AM,2,0),""))</f>
        <v>Filial</v>
      </c>
      <c r="E28" s="61">
        <f>IF(B28="","",IFERROR(VLOOKUP(B28,'ANÁLISE DE DADOS'!$A:$AM,3,0),""))</f>
        <v>0</v>
      </c>
      <c r="F28" s="61" t="str">
        <f>IF(B28="","",IFERROR(VLOOKUP(B28,'ANÁLISE DE DADOS'!$A:$AM,4,0),""))</f>
        <v>MundoInovador</v>
      </c>
      <c r="G28" s="62">
        <f>IF(B28="","",IFERROR(VLOOKUP(B28,'ANÁLISE DE DADOS'!$A:$AM,5,0),""))</f>
        <v>45690</v>
      </c>
      <c r="H28" s="62" t="str">
        <f>IF(B28="","",IFERROR(VLOOKUP(B28,'ANÁLISE DE DADOS'!$A:$AM,6,0),""))</f>
        <v>fev-25</v>
      </c>
      <c r="I28" s="62" t="str">
        <f>IF(B28="","",IFERROR(VLOOKUP(B28,'ANÁLISE DE DADOS'!$A:$AM,7,0),""))</f>
        <v>2025</v>
      </c>
      <c r="J28" s="62">
        <f>IF(B28="","",IFERROR(VLOOKUP(B28,'ANÁLISE DE DADOS'!$A:$AM,8,0),""))</f>
        <v>45711</v>
      </c>
      <c r="K28" s="61" t="str">
        <f>IF(B28="","",IFERROR(VLOOKUP(B28,'ANÁLISE DE DADOS'!$A:$AM,9,0),""))</f>
        <v>fev-25</v>
      </c>
      <c r="L28" s="61" t="str">
        <f>IF(B28="","",IFERROR(VLOOKUP(B28,'ANÁLISE DE DADOS'!$A:$AM,10,0),""))</f>
        <v>2025</v>
      </c>
      <c r="M28" s="62">
        <f>IF(B28="","",IFERROR(VLOOKUP(B28,'ANÁLISE DE DADOS'!$A:$AM,11,0),""))</f>
        <v>45711</v>
      </c>
      <c r="N28" s="61" t="str">
        <f>IF(B28="","",IFERROR(VLOOKUP(B28,'ANÁLISE DE DADOS'!$A:$AM,12,0),""))</f>
        <v>fev-25</v>
      </c>
      <c r="O28" s="61" t="str">
        <f>IF(B28="","",IFERROR(VLOOKUP(B28,'ANÁLISE DE DADOS'!$A:$AM,13,0),""))</f>
        <v>2025</v>
      </c>
      <c r="P28" s="63">
        <f>IF(B28="","",IFERROR(VLOOKUP(B28,'ANÁLISE DE DADOS'!$A:$AM,14,0),""))</f>
        <v>3000</v>
      </c>
      <c r="Q28" s="61" t="str">
        <f>IF(B28="","",IFERROR(VLOOKUP(B28,'ANÁLISE DE DADOS'!$A:$AM,15,0),""))</f>
        <v>Felipe</v>
      </c>
      <c r="R28" s="61" t="str">
        <f>IF(B28="","",IFERROR(VLOOKUP(B28,'ANÁLISE DE DADOS'!$A:$AM,16,0),""))</f>
        <v>ANALISTA GUSTAVO</v>
      </c>
      <c r="S28" s="61" t="str">
        <f>IF(B28="","",IFERROR(VLOOKUP(B28,'ANÁLISE DE DADOS'!$A:$AM,17,0),""))</f>
        <v>NÃO</v>
      </c>
      <c r="T28" s="61" t="str">
        <f>IF(B28="","",IFERROR(VLOOKUP(B28,'ANÁLISE DE DADOS'!$A:$AM,18,0),""))</f>
        <v>Promessa de pagamento refeito</v>
      </c>
      <c r="U28" s="61" t="str">
        <f ca="1">IF(B28="","",IFERROR(VLOOKUP(B28,'ANÁLISE DE DADOS'!$A:$AM,19,0),""))</f>
        <v>Vencido</v>
      </c>
      <c r="V28" s="61">
        <f ca="1">IF(B28="","",IFERROR(VLOOKUP(B28,'ANÁLISE DE DADOS'!$A:$AM,20,0),""))</f>
        <v>84</v>
      </c>
      <c r="W28" s="61" t="str">
        <f ca="1">IF(B28="","",IFERROR(VLOOKUP(B28,'ANÁLISE DE DADOS'!$A:$AM,21,0),""))</f>
        <v>61+ dias</v>
      </c>
      <c r="X28" s="61" t="str">
        <f ca="1">IF(B28="","",IFERROR(VLOOKUP(B28,'ANÁLISE DE DADOS'!$A:$AM,22,0),""))</f>
        <v>Atraso Crítico</v>
      </c>
      <c r="Y28" s="61" t="str">
        <f>IF(B28="","",IFERROR(VLOOKUP(B28,'ANÁLISE DE DADOS'!$A:$AM,23,0),""))</f>
        <v>-</v>
      </c>
      <c r="Z28" s="61" t="str">
        <f>IF(B28="","",IFERROR(VLOOKUP(B28,'ANÁLISE DE DADOS'!$A:$AM,24,0),""))</f>
        <v>Sim</v>
      </c>
      <c r="AA28" s="61">
        <f>IF(B28="","",IFERROR(VLOOKUP(B28,'ANÁLISE DE DADOS'!$A:$AM,25,0),""))</f>
        <v>0</v>
      </c>
      <c r="AB28" s="61">
        <f>IF(B28="","",IFERROR(VLOOKUP(B28,'ANÁLISE DE DADOS'!$A:$AM,26,0),""))</f>
        <v>1</v>
      </c>
      <c r="AC28" s="61" t="str">
        <f>IF(B28="","",IFERROR(VLOOKUP(B28,'ANÁLISE DE DADOS'!$A:$AM,27,0),""))</f>
        <v>Sim</v>
      </c>
      <c r="AD28" s="62">
        <f>IF(B28="","",IFERROR(VLOOKUP(B28,'ANÁLISE DE DADOS'!$A:$AM,28,0),""))</f>
        <v>45740</v>
      </c>
      <c r="AE28" s="61" t="str">
        <f>IF(B28="","",IFERROR(VLOOKUP(B28,'ANÁLISE DE DADOS'!$A:$AM,29,0),""))</f>
        <v>mar-25</v>
      </c>
      <c r="AF28" s="61" t="str">
        <f>IF(B28="","",IFERROR(VLOOKUP(B28,'ANÁLISE DE DADOS'!$A:$AM,30,0),""))</f>
        <v>2025</v>
      </c>
      <c r="AG28" s="62">
        <f>IF(B28="","",IFERROR(VLOOKUP(B28,'ANÁLISE DE DADOS'!$A:$AM,31,0),""))</f>
        <v>45740</v>
      </c>
      <c r="AH28" s="61" t="str">
        <f>IF(B28="","",IFERROR(VLOOKUP(B28,'ANÁLISE DE DADOS'!$A:$AM,32,0),""))</f>
        <v>mar-25</v>
      </c>
      <c r="AI28" s="61" t="str">
        <f>IF(B28="","",IFERROR(VLOOKUP(B28,'ANÁLISE DE DADOS'!$A:$AM,33,0),""))</f>
        <v>2025</v>
      </c>
      <c r="AJ28" s="61" t="str">
        <f>IF(B28="","",IFERROR(VLOOKUP(B28,'ANÁLISE DE DADOS'!$A:$AM,34,0),""))</f>
        <v>Acompanhando</v>
      </c>
      <c r="AK28" s="63">
        <f ca="1">IF(B28="","",IFERROR(VLOOKUP(B28,'ANÁLISE DE DADOS'!$A:$AM,35,0),""))</f>
        <v>3000</v>
      </c>
      <c r="AL28" s="63" t="str">
        <f ca="1">IF(B28="","",IFERROR(VLOOKUP(B28,'ANÁLISE DE DADOS'!$A:$AM,36,0),""))</f>
        <v>0</v>
      </c>
    </row>
    <row r="29" spans="2:38" x14ac:dyDescent="0.3">
      <c r="B29" s="30">
        <v>25</v>
      </c>
      <c r="C29" s="61">
        <f>IF(B29="","",IFERROR(VLOOKUP(B29,'ANÁLISE DE DADOS'!$A:$AM,1,0),""))</f>
        <v>25</v>
      </c>
      <c r="D29" s="61" t="str">
        <f>IF(B29="","",IFERROR(VLOOKUP(B29,'ANÁLISE DE DADOS'!$A:$AM,2,0),""))</f>
        <v>Matriz</v>
      </c>
      <c r="E29" s="61" t="str">
        <f>IF(B29="","",IFERROR(VLOOKUP(B29,'ANÁLISE DE DADOS'!$A:$AM,3,0),""))</f>
        <v>Gamma &amp; CIA</v>
      </c>
      <c r="F29" s="61" t="str">
        <f>IF(B29="","",IFERROR(VLOOKUP(B29,'ANÁLISE DE DADOS'!$A:$AM,4,0),""))</f>
        <v>Gamma &amp; CIA</v>
      </c>
      <c r="G29" s="62">
        <f>IF(B29="","",IFERROR(VLOOKUP(B29,'ANÁLISE DE DADOS'!$A:$AM,5,0),""))</f>
        <v>45693</v>
      </c>
      <c r="H29" s="62" t="str">
        <f>IF(B29="","",IFERROR(VLOOKUP(B29,'ANÁLISE DE DADOS'!$A:$AM,6,0),""))</f>
        <v>fev-25</v>
      </c>
      <c r="I29" s="62" t="str">
        <f>IF(B29="","",IFERROR(VLOOKUP(B29,'ANÁLISE DE DADOS'!$A:$AM,7,0),""))</f>
        <v>2025</v>
      </c>
      <c r="J29" s="62">
        <f>IF(B29="","",IFERROR(VLOOKUP(B29,'ANÁLISE DE DADOS'!$A:$AM,8,0),""))</f>
        <v>45712</v>
      </c>
      <c r="K29" s="61" t="str">
        <f>IF(B29="","",IFERROR(VLOOKUP(B29,'ANÁLISE DE DADOS'!$A:$AM,9,0),""))</f>
        <v>fev-25</v>
      </c>
      <c r="L29" s="61" t="str">
        <f>IF(B29="","",IFERROR(VLOOKUP(B29,'ANÁLISE DE DADOS'!$A:$AM,10,0),""))</f>
        <v>2025</v>
      </c>
      <c r="M29" s="62">
        <f>IF(B29="","",IFERROR(VLOOKUP(B29,'ANÁLISE DE DADOS'!$A:$AM,11,0),""))</f>
        <v>45712</v>
      </c>
      <c r="N29" s="61" t="str">
        <f>IF(B29="","",IFERROR(VLOOKUP(B29,'ANÁLISE DE DADOS'!$A:$AM,12,0),""))</f>
        <v>fev-25</v>
      </c>
      <c r="O29" s="61" t="str">
        <f>IF(B29="","",IFERROR(VLOOKUP(B29,'ANÁLISE DE DADOS'!$A:$AM,13,0),""))</f>
        <v>2025</v>
      </c>
      <c r="P29" s="63">
        <f>IF(B29="","",IFERROR(VLOOKUP(B29,'ANÁLISE DE DADOS'!$A:$AM,14,0),""))</f>
        <v>1200</v>
      </c>
      <c r="Q29" s="61" t="str">
        <f>IF(B29="","",IFERROR(VLOOKUP(B29,'ANÁLISE DE DADOS'!$A:$AM,15,0),""))</f>
        <v>Camila</v>
      </c>
      <c r="R29" s="61" t="str">
        <f>IF(B29="","",IFERROR(VLOOKUP(B29,'ANÁLISE DE DADOS'!$A:$AM,16,0),""))</f>
        <v>ANALISTA GUSTAVO</v>
      </c>
      <c r="S29" s="61" t="str">
        <f>IF(B29="","",IFERROR(VLOOKUP(B29,'ANÁLISE DE DADOS'!$A:$AM,17,0),""))</f>
        <v>NÃO</v>
      </c>
      <c r="T29" s="61" t="str">
        <f>IF(B29="","",IFERROR(VLOOKUP(B29,'ANÁLISE DE DADOS'!$A:$AM,18,0),""))</f>
        <v>Proposta de renegociação pendente</v>
      </c>
      <c r="U29" s="61" t="str">
        <f ca="1">IF(B29="","",IFERROR(VLOOKUP(B29,'ANÁLISE DE DADOS'!$A:$AM,19,0),""))</f>
        <v>Vencido</v>
      </c>
      <c r="V29" s="61">
        <f ca="1">IF(B29="","",IFERROR(VLOOKUP(B29,'ANÁLISE DE DADOS'!$A:$AM,20,0),""))</f>
        <v>83</v>
      </c>
      <c r="W29" s="61" t="str">
        <f ca="1">IF(B29="","",IFERROR(VLOOKUP(B29,'ANÁLISE DE DADOS'!$A:$AM,21,0),""))</f>
        <v>61+ dias</v>
      </c>
      <c r="X29" s="61" t="str">
        <f ca="1">IF(B29="","",IFERROR(VLOOKUP(B29,'ANÁLISE DE DADOS'!$A:$AM,22,0),""))</f>
        <v>Atraso Crítico</v>
      </c>
      <c r="Y29" s="61" t="str">
        <f>IF(B29="","",IFERROR(VLOOKUP(B29,'ANÁLISE DE DADOS'!$A:$AM,23,0),""))</f>
        <v>-</v>
      </c>
      <c r="Z29" s="61" t="str">
        <f>IF(B29="","",IFERROR(VLOOKUP(B29,'ANÁLISE DE DADOS'!$A:$AM,24,0),""))</f>
        <v>Sim</v>
      </c>
      <c r="AA29" s="61">
        <f>IF(B29="","",IFERROR(VLOOKUP(B29,'ANÁLISE DE DADOS'!$A:$AM,25,0),""))</f>
        <v>0</v>
      </c>
      <c r="AB29" s="61">
        <f>IF(B29="","",IFERROR(VLOOKUP(B29,'ANÁLISE DE DADOS'!$A:$AM,26,0),""))</f>
        <v>1</v>
      </c>
      <c r="AC29" s="61" t="str">
        <f>IF(B29="","",IFERROR(VLOOKUP(B29,'ANÁLISE DE DADOS'!$A:$AM,27,0),""))</f>
        <v>Sim</v>
      </c>
      <c r="AD29" s="62">
        <f>IF(B29="","",IFERROR(VLOOKUP(B29,'ANÁLISE DE DADOS'!$A:$AM,28,0),""))</f>
        <v>45740</v>
      </c>
      <c r="AE29" s="61" t="str">
        <f>IF(B29="","",IFERROR(VLOOKUP(B29,'ANÁLISE DE DADOS'!$A:$AM,29,0),""))</f>
        <v>mar-25</v>
      </c>
      <c r="AF29" s="61" t="str">
        <f>IF(B29="","",IFERROR(VLOOKUP(B29,'ANÁLISE DE DADOS'!$A:$AM,30,0),""))</f>
        <v>2025</v>
      </c>
      <c r="AG29" s="62">
        <f>IF(B29="","",IFERROR(VLOOKUP(B29,'ANÁLISE DE DADOS'!$A:$AM,31,0),""))</f>
        <v>45740</v>
      </c>
      <c r="AH29" s="61" t="str">
        <f>IF(B29="","",IFERROR(VLOOKUP(B29,'ANÁLISE DE DADOS'!$A:$AM,32,0),""))</f>
        <v>mar-25</v>
      </c>
      <c r="AI29" s="61" t="str">
        <f>IF(B29="","",IFERROR(VLOOKUP(B29,'ANÁLISE DE DADOS'!$A:$AM,33,0),""))</f>
        <v>2025</v>
      </c>
      <c r="AJ29" s="61" t="str">
        <f>IF(B29="","",IFERROR(VLOOKUP(B29,'ANÁLISE DE DADOS'!$A:$AM,34,0),""))</f>
        <v>Acompanhando</v>
      </c>
      <c r="AK29" s="63">
        <f ca="1">IF(B29="","",IFERROR(VLOOKUP(B29,'ANÁLISE DE DADOS'!$A:$AM,35,0),""))</f>
        <v>1200</v>
      </c>
      <c r="AL29" s="63" t="str">
        <f ca="1">IF(B29="","",IFERROR(VLOOKUP(B29,'ANÁLISE DE DADOS'!$A:$AM,36,0),""))</f>
        <v>0</v>
      </c>
    </row>
    <row r="30" spans="2:38" x14ac:dyDescent="0.3">
      <c r="B30" s="30">
        <v>26</v>
      </c>
      <c r="C30" s="61">
        <f>IF(B30="","",IFERROR(VLOOKUP(B30,'ANÁLISE DE DADOS'!$A:$AM,1,0),""))</f>
        <v>26</v>
      </c>
      <c r="D30" s="61" t="str">
        <f>IF(B30="","",IFERROR(VLOOKUP(B30,'ANÁLISE DE DADOS'!$A:$AM,2,0),""))</f>
        <v>Matriz</v>
      </c>
      <c r="E30" s="61">
        <f>IF(B30="","",IFERROR(VLOOKUP(B30,'ANÁLISE DE DADOS'!$A:$AM,3,0),""))</f>
        <v>0</v>
      </c>
      <c r="F30" s="61" t="str">
        <f>IF(B30="","",IFERROR(VLOOKUP(B30,'ANÁLISE DE DADOS'!$A:$AM,4,0),""))</f>
        <v>MundoInovador</v>
      </c>
      <c r="G30" s="62">
        <f>IF(B30="","",IFERROR(VLOOKUP(B30,'ANÁLISE DE DADOS'!$A:$AM,5,0),""))</f>
        <v>45693</v>
      </c>
      <c r="H30" s="62" t="str">
        <f>IF(B30="","",IFERROR(VLOOKUP(B30,'ANÁLISE DE DADOS'!$A:$AM,6,0),""))</f>
        <v>fev-25</v>
      </c>
      <c r="I30" s="62" t="str">
        <f>IF(B30="","",IFERROR(VLOOKUP(B30,'ANÁLISE DE DADOS'!$A:$AM,7,0),""))</f>
        <v>2025</v>
      </c>
      <c r="J30" s="62">
        <f>IF(B30="","",IFERROR(VLOOKUP(B30,'ANÁLISE DE DADOS'!$A:$AM,8,0),""))</f>
        <v>45713</v>
      </c>
      <c r="K30" s="61" t="str">
        <f>IF(B30="","",IFERROR(VLOOKUP(B30,'ANÁLISE DE DADOS'!$A:$AM,9,0),""))</f>
        <v>fev-25</v>
      </c>
      <c r="L30" s="61" t="str">
        <f>IF(B30="","",IFERROR(VLOOKUP(B30,'ANÁLISE DE DADOS'!$A:$AM,10,0),""))</f>
        <v>2025</v>
      </c>
      <c r="M30" s="62">
        <f>IF(B30="","",IFERROR(VLOOKUP(B30,'ANÁLISE DE DADOS'!$A:$AM,11,0),""))</f>
        <v>45713</v>
      </c>
      <c r="N30" s="61" t="str">
        <f>IF(B30="","",IFERROR(VLOOKUP(B30,'ANÁLISE DE DADOS'!$A:$AM,12,0),""))</f>
        <v>fev-25</v>
      </c>
      <c r="O30" s="61" t="str">
        <f>IF(B30="","",IFERROR(VLOOKUP(B30,'ANÁLISE DE DADOS'!$A:$AM,13,0),""))</f>
        <v>2025</v>
      </c>
      <c r="P30" s="63">
        <f>IF(B30="","",IFERROR(VLOOKUP(B30,'ANÁLISE DE DADOS'!$A:$AM,14,0),""))</f>
        <v>1200</v>
      </c>
      <c r="Q30" s="61" t="str">
        <f>IF(B30="","",IFERROR(VLOOKUP(B30,'ANÁLISE DE DADOS'!$A:$AM,15,0),""))</f>
        <v>Camila</v>
      </c>
      <c r="R30" s="61" t="str">
        <f>IF(B30="","",IFERROR(VLOOKUP(B30,'ANÁLISE DE DADOS'!$A:$AM,16,0),""))</f>
        <v>ANALISTA GUSTAVO</v>
      </c>
      <c r="S30" s="61" t="str">
        <f>IF(B30="","",IFERROR(VLOOKUP(B30,'ANÁLISE DE DADOS'!$A:$AM,17,0),""))</f>
        <v>NÃO</v>
      </c>
      <c r="T30" s="61" t="str">
        <f>IF(B30="","",IFERROR(VLOOKUP(B30,'ANÁLISE DE DADOS'!$A:$AM,18,0),""))</f>
        <v>Bloqueio de sistema por inadimplência</v>
      </c>
      <c r="U30" s="61" t="str">
        <f ca="1">IF(B30="","",IFERROR(VLOOKUP(B30,'ANÁLISE DE DADOS'!$A:$AM,19,0),""))</f>
        <v>Vencido</v>
      </c>
      <c r="V30" s="61">
        <f ca="1">IF(B30="","",IFERROR(VLOOKUP(B30,'ANÁLISE DE DADOS'!$A:$AM,20,0),""))</f>
        <v>82</v>
      </c>
      <c r="W30" s="61" t="str">
        <f ca="1">IF(B30="","",IFERROR(VLOOKUP(B30,'ANÁLISE DE DADOS'!$A:$AM,21,0),""))</f>
        <v>61+ dias</v>
      </c>
      <c r="X30" s="61" t="str">
        <f ca="1">IF(B30="","",IFERROR(VLOOKUP(B30,'ANÁLISE DE DADOS'!$A:$AM,22,0),""))</f>
        <v>Atraso Crítico</v>
      </c>
      <c r="Y30" s="61" t="str">
        <f>IF(B30="","",IFERROR(VLOOKUP(B30,'ANÁLISE DE DADOS'!$A:$AM,23,0),""))</f>
        <v>-</v>
      </c>
      <c r="Z30" s="61" t="str">
        <f>IF(B30="","",IFERROR(VLOOKUP(B30,'ANÁLISE DE DADOS'!$A:$AM,24,0),""))</f>
        <v>Sim</v>
      </c>
      <c r="AA30" s="61">
        <f>IF(B30="","",IFERROR(VLOOKUP(B30,'ANÁLISE DE DADOS'!$A:$AM,25,0),""))</f>
        <v>0</v>
      </c>
      <c r="AB30" s="61">
        <f>IF(B30="","",IFERROR(VLOOKUP(B30,'ANÁLISE DE DADOS'!$A:$AM,26,0),""))</f>
        <v>1</v>
      </c>
      <c r="AC30" s="61" t="str">
        <f>IF(B30="","",IFERROR(VLOOKUP(B30,'ANÁLISE DE DADOS'!$A:$AM,27,0),""))</f>
        <v>Sim</v>
      </c>
      <c r="AD30" s="62">
        <f>IF(B30="","",IFERROR(VLOOKUP(B30,'ANÁLISE DE DADOS'!$A:$AM,28,0),""))</f>
        <v>45740</v>
      </c>
      <c r="AE30" s="61" t="str">
        <f>IF(B30="","",IFERROR(VLOOKUP(B30,'ANÁLISE DE DADOS'!$A:$AM,29,0),""))</f>
        <v>mar-25</v>
      </c>
      <c r="AF30" s="61" t="str">
        <f>IF(B30="","",IFERROR(VLOOKUP(B30,'ANÁLISE DE DADOS'!$A:$AM,30,0),""))</f>
        <v>2025</v>
      </c>
      <c r="AG30" s="62">
        <f>IF(B30="","",IFERROR(VLOOKUP(B30,'ANÁLISE DE DADOS'!$A:$AM,31,0),""))</f>
        <v>45740</v>
      </c>
      <c r="AH30" s="61" t="str">
        <f>IF(B30="","",IFERROR(VLOOKUP(B30,'ANÁLISE DE DADOS'!$A:$AM,32,0),""))</f>
        <v>mar-25</v>
      </c>
      <c r="AI30" s="61" t="str">
        <f>IF(B30="","",IFERROR(VLOOKUP(B30,'ANÁLISE DE DADOS'!$A:$AM,33,0),""))</f>
        <v>2025</v>
      </c>
      <c r="AJ30" s="61" t="str">
        <f>IF(B30="","",IFERROR(VLOOKUP(B30,'ANÁLISE DE DADOS'!$A:$AM,34,0),""))</f>
        <v>Acompanhando</v>
      </c>
      <c r="AK30" s="63">
        <f ca="1">IF(B30="","",IFERROR(VLOOKUP(B30,'ANÁLISE DE DADOS'!$A:$AM,35,0),""))</f>
        <v>1200</v>
      </c>
      <c r="AL30" s="63" t="str">
        <f ca="1">IF(B30="","",IFERROR(VLOOKUP(B30,'ANÁLISE DE DADOS'!$A:$AM,36,0),""))</f>
        <v>0</v>
      </c>
    </row>
    <row r="31" spans="2:38" x14ac:dyDescent="0.3">
      <c r="B31" s="30">
        <v>27</v>
      </c>
      <c r="C31" s="61">
        <f>IF(B31="","",IFERROR(VLOOKUP(B31,'ANÁLISE DE DADOS'!$A:$AM,1,0),""))</f>
        <v>27</v>
      </c>
      <c r="D31" s="61" t="str">
        <f>IF(B31="","",IFERROR(VLOOKUP(B31,'ANÁLISE DE DADOS'!$A:$AM,2,0),""))</f>
        <v>Filial</v>
      </c>
      <c r="E31" s="61" t="str">
        <f>IF(B31="","",IFERROR(VLOOKUP(B31,'ANÁLISE DE DADOS'!$A:$AM,3,0),""))</f>
        <v>Gamma &amp; CIA</v>
      </c>
      <c r="F31" s="61" t="str">
        <f>IF(B31="","",IFERROR(VLOOKUP(B31,'ANÁLISE DE DADOS'!$A:$AM,4,0),""))</f>
        <v>Gamma &amp; CIA</v>
      </c>
      <c r="G31" s="62">
        <f>IF(B31="","",IFERROR(VLOOKUP(B31,'ANÁLISE DE DADOS'!$A:$AM,5,0),""))</f>
        <v>45694</v>
      </c>
      <c r="H31" s="62" t="str">
        <f>IF(B31="","",IFERROR(VLOOKUP(B31,'ANÁLISE DE DADOS'!$A:$AM,6,0),""))</f>
        <v>fev-25</v>
      </c>
      <c r="I31" s="62" t="str">
        <f>IF(B31="","",IFERROR(VLOOKUP(B31,'ANÁLISE DE DADOS'!$A:$AM,7,0),""))</f>
        <v>2025</v>
      </c>
      <c r="J31" s="62">
        <f>IF(B31="","",IFERROR(VLOOKUP(B31,'ANÁLISE DE DADOS'!$A:$AM,8,0),""))</f>
        <v>45714</v>
      </c>
      <c r="K31" s="61" t="str">
        <f>IF(B31="","",IFERROR(VLOOKUP(B31,'ANÁLISE DE DADOS'!$A:$AM,9,0),""))</f>
        <v>fev-25</v>
      </c>
      <c r="L31" s="61" t="str">
        <f>IF(B31="","",IFERROR(VLOOKUP(B31,'ANÁLISE DE DADOS'!$A:$AM,10,0),""))</f>
        <v>2025</v>
      </c>
      <c r="M31" s="62">
        <f>IF(B31="","",IFERROR(VLOOKUP(B31,'ANÁLISE DE DADOS'!$A:$AM,11,0),""))</f>
        <v>45714</v>
      </c>
      <c r="N31" s="61" t="str">
        <f>IF(B31="","",IFERROR(VLOOKUP(B31,'ANÁLISE DE DADOS'!$A:$AM,12,0),""))</f>
        <v>fev-25</v>
      </c>
      <c r="O31" s="61" t="str">
        <f>IF(B31="","",IFERROR(VLOOKUP(B31,'ANÁLISE DE DADOS'!$A:$AM,13,0),""))</f>
        <v>2025</v>
      </c>
      <c r="P31" s="63">
        <f>IF(B31="","",IFERROR(VLOOKUP(B31,'ANÁLISE DE DADOS'!$A:$AM,14,0),""))</f>
        <v>2000</v>
      </c>
      <c r="Q31" s="61" t="str">
        <f>IF(B31="","",IFERROR(VLOOKUP(B31,'ANÁLISE DE DADOS'!$A:$AM,15,0),""))</f>
        <v>Patrícia</v>
      </c>
      <c r="R31" s="61" t="str">
        <f>IF(B31="","",IFERROR(VLOOKUP(B31,'ANÁLISE DE DADOS'!$A:$AM,16,0),""))</f>
        <v>ANALISTA GUSTAVO</v>
      </c>
      <c r="S31" s="61" t="str">
        <f>IF(B31="","",IFERROR(VLOOKUP(B31,'ANÁLISE DE DADOS'!$A:$AM,17,0),""))</f>
        <v>NÃO</v>
      </c>
      <c r="T31" s="61" t="str">
        <f>IF(B31="","",IFERROR(VLOOKUP(B31,'ANÁLISE DE DADOS'!$A:$AM,18,0),""))</f>
        <v>Acordo em andamento (aguardando pagamento)</v>
      </c>
      <c r="U31" s="61" t="str">
        <f ca="1">IF(B31="","",IFERROR(VLOOKUP(B31,'ANÁLISE DE DADOS'!$A:$AM,19,0),""))</f>
        <v>Vencido</v>
      </c>
      <c r="V31" s="61">
        <f ca="1">IF(B31="","",IFERROR(VLOOKUP(B31,'ANÁLISE DE DADOS'!$A:$AM,20,0),""))</f>
        <v>81</v>
      </c>
      <c r="W31" s="61" t="str">
        <f ca="1">IF(B31="","",IFERROR(VLOOKUP(B31,'ANÁLISE DE DADOS'!$A:$AM,21,0),""))</f>
        <v>61+ dias</v>
      </c>
      <c r="X31" s="61" t="str">
        <f ca="1">IF(B31="","",IFERROR(VLOOKUP(B31,'ANÁLISE DE DADOS'!$A:$AM,22,0),""))</f>
        <v>Atraso Crítico</v>
      </c>
      <c r="Y31" s="61" t="str">
        <f>IF(B31="","",IFERROR(VLOOKUP(B31,'ANÁLISE DE DADOS'!$A:$AM,23,0),""))</f>
        <v>-</v>
      </c>
      <c r="Z31" s="61" t="str">
        <f>IF(B31="","",IFERROR(VLOOKUP(B31,'ANÁLISE DE DADOS'!$A:$AM,24,0),""))</f>
        <v>Sim</v>
      </c>
      <c r="AA31" s="61">
        <f>IF(B31="","",IFERROR(VLOOKUP(B31,'ANÁLISE DE DADOS'!$A:$AM,25,0),""))</f>
        <v>0</v>
      </c>
      <c r="AB31" s="61">
        <f>IF(B31="","",IFERROR(VLOOKUP(B31,'ANÁLISE DE DADOS'!$A:$AM,26,0),""))</f>
        <v>1</v>
      </c>
      <c r="AC31" s="61" t="str">
        <f>IF(B31="","",IFERROR(VLOOKUP(B31,'ANÁLISE DE DADOS'!$A:$AM,27,0),""))</f>
        <v>Sim</v>
      </c>
      <c r="AD31" s="62">
        <f>IF(B31="","",IFERROR(VLOOKUP(B31,'ANÁLISE DE DADOS'!$A:$AM,28,0),""))</f>
        <v>45740</v>
      </c>
      <c r="AE31" s="61" t="str">
        <f>IF(B31="","",IFERROR(VLOOKUP(B31,'ANÁLISE DE DADOS'!$A:$AM,29,0),""))</f>
        <v>mar-25</v>
      </c>
      <c r="AF31" s="61" t="str">
        <f>IF(B31="","",IFERROR(VLOOKUP(B31,'ANÁLISE DE DADOS'!$A:$AM,30,0),""))</f>
        <v>2025</v>
      </c>
      <c r="AG31" s="62">
        <f>IF(B31="","",IFERROR(VLOOKUP(B31,'ANÁLISE DE DADOS'!$A:$AM,31,0),""))</f>
        <v>45740</v>
      </c>
      <c r="AH31" s="61" t="str">
        <f>IF(B31="","",IFERROR(VLOOKUP(B31,'ANÁLISE DE DADOS'!$A:$AM,32,0),""))</f>
        <v>mar-25</v>
      </c>
      <c r="AI31" s="61" t="str">
        <f>IF(B31="","",IFERROR(VLOOKUP(B31,'ANÁLISE DE DADOS'!$A:$AM,33,0),""))</f>
        <v>2025</v>
      </c>
      <c r="AJ31" s="61" t="str">
        <f>IF(B31="","",IFERROR(VLOOKUP(B31,'ANÁLISE DE DADOS'!$A:$AM,34,0),""))</f>
        <v>Acompanhando</v>
      </c>
      <c r="AK31" s="63">
        <f ca="1">IF(B31="","",IFERROR(VLOOKUP(B31,'ANÁLISE DE DADOS'!$A:$AM,35,0),""))</f>
        <v>2000</v>
      </c>
      <c r="AL31" s="63" t="str">
        <f ca="1">IF(B31="","",IFERROR(VLOOKUP(B31,'ANÁLISE DE DADOS'!$A:$AM,36,0),""))</f>
        <v>0</v>
      </c>
    </row>
    <row r="32" spans="2:38" x14ac:dyDescent="0.3">
      <c r="B32" s="30">
        <v>28</v>
      </c>
      <c r="C32" s="61">
        <f>IF(B32="","",IFERROR(VLOOKUP(B32,'ANÁLISE DE DADOS'!$A:$AM,1,0),""))</f>
        <v>28</v>
      </c>
      <c r="D32" s="61" t="str">
        <f>IF(B32="","",IFERROR(VLOOKUP(B32,'ANÁLISE DE DADOS'!$A:$AM,2,0),""))</f>
        <v>Filial</v>
      </c>
      <c r="E32" s="61">
        <f>IF(B32="","",IFERROR(VLOOKUP(B32,'ANÁLISE DE DADOS'!$A:$AM,3,0),""))</f>
        <v>0</v>
      </c>
      <c r="F32" s="61" t="str">
        <f>IF(B32="","",IFERROR(VLOOKUP(B32,'ANÁLISE DE DADOS'!$A:$AM,4,0),""))</f>
        <v>MundoInovador</v>
      </c>
      <c r="G32" s="62">
        <f>IF(B32="","",IFERROR(VLOOKUP(B32,'ANÁLISE DE DADOS'!$A:$AM,5,0),""))</f>
        <v>45694</v>
      </c>
      <c r="H32" s="62" t="str">
        <f>IF(B32="","",IFERROR(VLOOKUP(B32,'ANÁLISE DE DADOS'!$A:$AM,6,0),""))</f>
        <v>fev-25</v>
      </c>
      <c r="I32" s="62" t="str">
        <f>IF(B32="","",IFERROR(VLOOKUP(B32,'ANÁLISE DE DADOS'!$A:$AM,7,0),""))</f>
        <v>2025</v>
      </c>
      <c r="J32" s="62">
        <f>IF(B32="","",IFERROR(VLOOKUP(B32,'ANÁLISE DE DADOS'!$A:$AM,8,0),""))</f>
        <v>45715</v>
      </c>
      <c r="K32" s="61" t="str">
        <f>IF(B32="","",IFERROR(VLOOKUP(B32,'ANÁLISE DE DADOS'!$A:$AM,9,0),""))</f>
        <v>fev-25</v>
      </c>
      <c r="L32" s="61" t="str">
        <f>IF(B32="","",IFERROR(VLOOKUP(B32,'ANÁLISE DE DADOS'!$A:$AM,10,0),""))</f>
        <v>2025</v>
      </c>
      <c r="M32" s="62">
        <f>IF(B32="","",IFERROR(VLOOKUP(B32,'ANÁLISE DE DADOS'!$A:$AM,11,0),""))</f>
        <v>45715</v>
      </c>
      <c r="N32" s="61" t="str">
        <f>IF(B32="","",IFERROR(VLOOKUP(B32,'ANÁLISE DE DADOS'!$A:$AM,12,0),""))</f>
        <v>fev-25</v>
      </c>
      <c r="O32" s="61" t="str">
        <f>IF(B32="","",IFERROR(VLOOKUP(B32,'ANÁLISE DE DADOS'!$A:$AM,13,0),""))</f>
        <v>2025</v>
      </c>
      <c r="P32" s="63">
        <f>IF(B32="","",IFERROR(VLOOKUP(B32,'ANÁLISE DE DADOS'!$A:$AM,14,0),""))</f>
        <v>2000</v>
      </c>
      <c r="Q32" s="61" t="str">
        <f>IF(B32="","",IFERROR(VLOOKUP(B32,'ANÁLISE DE DADOS'!$A:$AM,15,0),""))</f>
        <v>Patrícia</v>
      </c>
      <c r="R32" s="61" t="str">
        <f>IF(B32="","",IFERROR(VLOOKUP(B32,'ANÁLISE DE DADOS'!$A:$AM,16,0),""))</f>
        <v>ANALISTA GUSTAVO</v>
      </c>
      <c r="S32" s="61" t="str">
        <f>IF(B32="","",IFERROR(VLOOKUP(B32,'ANÁLISE DE DADOS'!$A:$AM,17,0),""))</f>
        <v>NÃO</v>
      </c>
      <c r="T32" s="61" t="str">
        <f>IF(B32="","",IFERROR(VLOOKUP(B32,'ANÁLISE DE DADOS'!$A:$AM,18,0),""))</f>
        <v>Negociação finalizada, pendente de pagamento</v>
      </c>
      <c r="U32" s="61" t="str">
        <f ca="1">IF(B32="","",IFERROR(VLOOKUP(B32,'ANÁLISE DE DADOS'!$A:$AM,19,0),""))</f>
        <v>Vencido</v>
      </c>
      <c r="V32" s="61">
        <f ca="1">IF(B32="","",IFERROR(VLOOKUP(B32,'ANÁLISE DE DADOS'!$A:$AM,20,0),""))</f>
        <v>80</v>
      </c>
      <c r="W32" s="61" t="str">
        <f ca="1">IF(B32="","",IFERROR(VLOOKUP(B32,'ANÁLISE DE DADOS'!$A:$AM,21,0),""))</f>
        <v>61+ dias</v>
      </c>
      <c r="X32" s="61" t="str">
        <f ca="1">IF(B32="","",IFERROR(VLOOKUP(B32,'ANÁLISE DE DADOS'!$A:$AM,22,0),""))</f>
        <v>Atraso Crítico</v>
      </c>
      <c r="Y32" s="61" t="str">
        <f>IF(B32="","",IFERROR(VLOOKUP(B32,'ANÁLISE DE DADOS'!$A:$AM,23,0),""))</f>
        <v>-</v>
      </c>
      <c r="Z32" s="61" t="str">
        <f>IF(B32="","",IFERROR(VLOOKUP(B32,'ANÁLISE DE DADOS'!$A:$AM,24,0),""))</f>
        <v>Sim</v>
      </c>
      <c r="AA32" s="61">
        <f>IF(B32="","",IFERROR(VLOOKUP(B32,'ANÁLISE DE DADOS'!$A:$AM,25,0),""))</f>
        <v>0</v>
      </c>
      <c r="AB32" s="61">
        <f>IF(B32="","",IFERROR(VLOOKUP(B32,'ANÁLISE DE DADOS'!$A:$AM,26,0),""))</f>
        <v>1</v>
      </c>
      <c r="AC32" s="61" t="str">
        <f>IF(B32="","",IFERROR(VLOOKUP(B32,'ANÁLISE DE DADOS'!$A:$AM,27,0),""))</f>
        <v>Sim</v>
      </c>
      <c r="AD32" s="62">
        <f>IF(B32="","",IFERROR(VLOOKUP(B32,'ANÁLISE DE DADOS'!$A:$AM,28,0),""))</f>
        <v>45740</v>
      </c>
      <c r="AE32" s="61" t="str">
        <f>IF(B32="","",IFERROR(VLOOKUP(B32,'ANÁLISE DE DADOS'!$A:$AM,29,0),""))</f>
        <v>mar-25</v>
      </c>
      <c r="AF32" s="61" t="str">
        <f>IF(B32="","",IFERROR(VLOOKUP(B32,'ANÁLISE DE DADOS'!$A:$AM,30,0),""))</f>
        <v>2025</v>
      </c>
      <c r="AG32" s="62">
        <f>IF(B32="","",IFERROR(VLOOKUP(B32,'ANÁLISE DE DADOS'!$A:$AM,31,0),""))</f>
        <v>45740</v>
      </c>
      <c r="AH32" s="61" t="str">
        <f>IF(B32="","",IFERROR(VLOOKUP(B32,'ANÁLISE DE DADOS'!$A:$AM,32,0),""))</f>
        <v>mar-25</v>
      </c>
      <c r="AI32" s="61" t="str">
        <f>IF(B32="","",IFERROR(VLOOKUP(B32,'ANÁLISE DE DADOS'!$A:$AM,33,0),""))</f>
        <v>2025</v>
      </c>
      <c r="AJ32" s="61" t="str">
        <f>IF(B32="","",IFERROR(VLOOKUP(B32,'ANÁLISE DE DADOS'!$A:$AM,34,0),""))</f>
        <v>Acompanhando</v>
      </c>
      <c r="AK32" s="63">
        <f ca="1">IF(B32="","",IFERROR(VLOOKUP(B32,'ANÁLISE DE DADOS'!$A:$AM,35,0),""))</f>
        <v>2000</v>
      </c>
      <c r="AL32" s="63" t="str">
        <f ca="1">IF(B32="","",IFERROR(VLOOKUP(B32,'ANÁLISE DE DADOS'!$A:$AM,36,0),""))</f>
        <v>0</v>
      </c>
    </row>
    <row r="33" spans="2:38" x14ac:dyDescent="0.3">
      <c r="B33" s="30">
        <v>29</v>
      </c>
      <c r="C33" s="61">
        <f>IF(B33="","",IFERROR(VLOOKUP(B33,'ANÁLISE DE DADOS'!$A:$AM,1,0),""))</f>
        <v>29</v>
      </c>
      <c r="D33" s="61" t="str">
        <f>IF(B33="","",IFERROR(VLOOKUP(B33,'ANÁLISE DE DADOS'!$A:$AM,2,0),""))</f>
        <v>Matriz</v>
      </c>
      <c r="E33" s="61" t="str">
        <f>IF(B33="","",IFERROR(VLOOKUP(B33,'ANÁLISE DE DADOS'!$A:$AM,3,0),""))</f>
        <v>Gamma &amp; CIA</v>
      </c>
      <c r="F33" s="61" t="str">
        <f>IF(B33="","",IFERROR(VLOOKUP(B33,'ANÁLISE DE DADOS'!$A:$AM,4,0),""))</f>
        <v>Gamma &amp; CIA</v>
      </c>
      <c r="G33" s="62">
        <f>IF(B33="","",IFERROR(VLOOKUP(B33,'ANÁLISE DE DADOS'!$A:$AM,5,0),""))</f>
        <v>45698</v>
      </c>
      <c r="H33" s="62" t="str">
        <f>IF(B33="","",IFERROR(VLOOKUP(B33,'ANÁLISE DE DADOS'!$A:$AM,6,0),""))</f>
        <v>fev-25</v>
      </c>
      <c r="I33" s="62" t="str">
        <f>IF(B33="","",IFERROR(VLOOKUP(B33,'ANÁLISE DE DADOS'!$A:$AM,7,0),""))</f>
        <v>2025</v>
      </c>
      <c r="J33" s="62">
        <f>IF(B33="","",IFERROR(VLOOKUP(B33,'ANÁLISE DE DADOS'!$A:$AM,8,0),""))</f>
        <v>45715</v>
      </c>
      <c r="K33" s="61" t="str">
        <f>IF(B33="","",IFERROR(VLOOKUP(B33,'ANÁLISE DE DADOS'!$A:$AM,9,0),""))</f>
        <v>fev-25</v>
      </c>
      <c r="L33" s="61" t="str">
        <f>IF(B33="","",IFERROR(VLOOKUP(B33,'ANÁLISE DE DADOS'!$A:$AM,10,0),""))</f>
        <v>2025</v>
      </c>
      <c r="M33" s="62">
        <f>IF(B33="","",IFERROR(VLOOKUP(B33,'ANÁLISE DE DADOS'!$A:$AM,11,0),""))</f>
        <v>45715</v>
      </c>
      <c r="N33" s="61" t="str">
        <f>IF(B33="","",IFERROR(VLOOKUP(B33,'ANÁLISE DE DADOS'!$A:$AM,12,0),""))</f>
        <v>fev-25</v>
      </c>
      <c r="O33" s="61" t="str">
        <f>IF(B33="","",IFERROR(VLOOKUP(B33,'ANÁLISE DE DADOS'!$A:$AM,13,0),""))</f>
        <v>2025</v>
      </c>
      <c r="P33" s="63">
        <f>IF(B33="","",IFERROR(VLOOKUP(B33,'ANÁLISE DE DADOS'!$A:$AM,14,0),""))</f>
        <v>3200</v>
      </c>
      <c r="Q33" s="61" t="str">
        <f>IF(B33="","",IFERROR(VLOOKUP(B33,'ANÁLISE DE DADOS'!$A:$AM,15,0),""))</f>
        <v>Tiago</v>
      </c>
      <c r="R33" s="61" t="str">
        <f>IF(B33="","",IFERROR(VLOOKUP(B33,'ANÁLISE DE DADOS'!$A:$AM,16,0),""))</f>
        <v>ANALISTA GUSTAVO</v>
      </c>
      <c r="S33" s="61" t="str">
        <f>IF(B33="","",IFERROR(VLOOKUP(B33,'ANÁLISE DE DADOS'!$A:$AM,17,0),""))</f>
        <v>NÃO</v>
      </c>
      <c r="T33" s="61" t="str">
        <f>IF(B33="","",IFERROR(VLOOKUP(B33,'ANÁLISE DE DADOS'!$A:$AM,18,0),""))</f>
        <v>Cliente em processo de análise para reativação</v>
      </c>
      <c r="U33" s="61" t="str">
        <f ca="1">IF(B33="","",IFERROR(VLOOKUP(B33,'ANÁLISE DE DADOS'!$A:$AM,19,0),""))</f>
        <v>Vencido</v>
      </c>
      <c r="V33" s="61">
        <f ca="1">IF(B33="","",IFERROR(VLOOKUP(B33,'ANÁLISE DE DADOS'!$A:$AM,20,0),""))</f>
        <v>80</v>
      </c>
      <c r="W33" s="61" t="str">
        <f ca="1">IF(B33="","",IFERROR(VLOOKUP(B33,'ANÁLISE DE DADOS'!$A:$AM,21,0),""))</f>
        <v>61+ dias</v>
      </c>
      <c r="X33" s="61" t="str">
        <f ca="1">IF(B33="","",IFERROR(VLOOKUP(B33,'ANÁLISE DE DADOS'!$A:$AM,22,0),""))</f>
        <v>Atraso Crítico</v>
      </c>
      <c r="Y33" s="61" t="str">
        <f>IF(B33="","",IFERROR(VLOOKUP(B33,'ANÁLISE DE DADOS'!$A:$AM,23,0),""))</f>
        <v>-</v>
      </c>
      <c r="Z33" s="61" t="str">
        <f>IF(B33="","",IFERROR(VLOOKUP(B33,'ANÁLISE DE DADOS'!$A:$AM,24,0),""))</f>
        <v>Sim</v>
      </c>
      <c r="AA33" s="61">
        <f>IF(B33="","",IFERROR(VLOOKUP(B33,'ANÁLISE DE DADOS'!$A:$AM,25,0),""))</f>
        <v>0</v>
      </c>
      <c r="AB33" s="61">
        <f>IF(B33="","",IFERROR(VLOOKUP(B33,'ANÁLISE DE DADOS'!$A:$AM,26,0),""))</f>
        <v>1</v>
      </c>
      <c r="AC33" s="61" t="str">
        <f>IF(B33="","",IFERROR(VLOOKUP(B33,'ANÁLISE DE DADOS'!$A:$AM,27,0),""))</f>
        <v>Sim</v>
      </c>
      <c r="AD33" s="62">
        <f>IF(B33="","",IFERROR(VLOOKUP(B33,'ANÁLISE DE DADOS'!$A:$AM,28,0),""))</f>
        <v>45740</v>
      </c>
      <c r="AE33" s="61" t="str">
        <f>IF(B33="","",IFERROR(VLOOKUP(B33,'ANÁLISE DE DADOS'!$A:$AM,29,0),""))</f>
        <v>mar-25</v>
      </c>
      <c r="AF33" s="61" t="str">
        <f>IF(B33="","",IFERROR(VLOOKUP(B33,'ANÁLISE DE DADOS'!$A:$AM,30,0),""))</f>
        <v>2025</v>
      </c>
      <c r="AG33" s="62">
        <f>IF(B33="","",IFERROR(VLOOKUP(B33,'ANÁLISE DE DADOS'!$A:$AM,31,0),""))</f>
        <v>45740</v>
      </c>
      <c r="AH33" s="61" t="str">
        <f>IF(B33="","",IFERROR(VLOOKUP(B33,'ANÁLISE DE DADOS'!$A:$AM,32,0),""))</f>
        <v>mar-25</v>
      </c>
      <c r="AI33" s="61" t="str">
        <f>IF(B33="","",IFERROR(VLOOKUP(B33,'ANÁLISE DE DADOS'!$A:$AM,33,0),""))</f>
        <v>2025</v>
      </c>
      <c r="AJ33" s="61" t="str">
        <f>IF(B33="","",IFERROR(VLOOKUP(B33,'ANÁLISE DE DADOS'!$A:$AM,34,0),""))</f>
        <v>Acompanhando</v>
      </c>
      <c r="AK33" s="63">
        <f ca="1">IF(B33="","",IFERROR(VLOOKUP(B33,'ANÁLISE DE DADOS'!$A:$AM,35,0),""))</f>
        <v>3200</v>
      </c>
      <c r="AL33" s="63" t="str">
        <f ca="1">IF(B33="","",IFERROR(VLOOKUP(B33,'ANÁLISE DE DADOS'!$A:$AM,36,0),""))</f>
        <v>0</v>
      </c>
    </row>
    <row r="34" spans="2:38" x14ac:dyDescent="0.3">
      <c r="B34" s="30">
        <v>30</v>
      </c>
      <c r="C34" s="61">
        <f>IF(B34="","",IFERROR(VLOOKUP(B34,'ANÁLISE DE DADOS'!$A:$AM,1,0),""))</f>
        <v>30</v>
      </c>
      <c r="D34" s="61" t="str">
        <f>IF(B34="","",IFERROR(VLOOKUP(B34,'ANÁLISE DE DADOS'!$A:$AM,2,0),""))</f>
        <v>Matriz</v>
      </c>
      <c r="E34" s="61">
        <f>IF(B34="","",IFERROR(VLOOKUP(B34,'ANÁLISE DE DADOS'!$A:$AM,3,0),""))</f>
        <v>0</v>
      </c>
      <c r="F34" s="61" t="str">
        <f>IF(B34="","",IFERROR(VLOOKUP(B34,'ANÁLISE DE DADOS'!$A:$AM,4,0),""))</f>
        <v>SoftLink</v>
      </c>
      <c r="G34" s="62">
        <f>IF(B34="","",IFERROR(VLOOKUP(B34,'ANÁLISE DE DADOS'!$A:$AM,5,0),""))</f>
        <v>45698</v>
      </c>
      <c r="H34" s="62" t="str">
        <f>IF(B34="","",IFERROR(VLOOKUP(B34,'ANÁLISE DE DADOS'!$A:$AM,6,0),""))</f>
        <v>fev-25</v>
      </c>
      <c r="I34" s="62" t="str">
        <f>IF(B34="","",IFERROR(VLOOKUP(B34,'ANÁLISE DE DADOS'!$A:$AM,7,0),""))</f>
        <v>2025</v>
      </c>
      <c r="J34" s="62">
        <f>IF(B34="","",IFERROR(VLOOKUP(B34,'ANÁLISE DE DADOS'!$A:$AM,8,0),""))</f>
        <v>45715</v>
      </c>
      <c r="K34" s="61" t="str">
        <f>IF(B34="","",IFERROR(VLOOKUP(B34,'ANÁLISE DE DADOS'!$A:$AM,9,0),""))</f>
        <v>fev-25</v>
      </c>
      <c r="L34" s="61" t="str">
        <f>IF(B34="","",IFERROR(VLOOKUP(B34,'ANÁLISE DE DADOS'!$A:$AM,10,0),""))</f>
        <v>2025</v>
      </c>
      <c r="M34" s="62">
        <f>IF(B34="","",IFERROR(VLOOKUP(B34,'ANÁLISE DE DADOS'!$A:$AM,11,0),""))</f>
        <v>45715</v>
      </c>
      <c r="N34" s="61" t="str">
        <f>IF(B34="","",IFERROR(VLOOKUP(B34,'ANÁLISE DE DADOS'!$A:$AM,12,0),""))</f>
        <v>fev-25</v>
      </c>
      <c r="O34" s="61" t="str">
        <f>IF(B34="","",IFERROR(VLOOKUP(B34,'ANÁLISE DE DADOS'!$A:$AM,13,0),""))</f>
        <v>2025</v>
      </c>
      <c r="P34" s="63">
        <f>IF(B34="","",IFERROR(VLOOKUP(B34,'ANÁLISE DE DADOS'!$A:$AM,14,0),""))</f>
        <v>3200</v>
      </c>
      <c r="Q34" s="61" t="str">
        <f>IF(B34="","",IFERROR(VLOOKUP(B34,'ANÁLISE DE DADOS'!$A:$AM,15,0),""))</f>
        <v>Tiago</v>
      </c>
      <c r="R34" s="61" t="str">
        <f>IF(B34="","",IFERROR(VLOOKUP(B34,'ANÁLISE DE DADOS'!$A:$AM,16,0),""))</f>
        <v>ANALISTA GUSTAVO</v>
      </c>
      <c r="S34" s="61" t="str">
        <f>IF(B34="","",IFERROR(VLOOKUP(B34,'ANÁLISE DE DADOS'!$A:$AM,17,0),""))</f>
        <v>NÃO</v>
      </c>
      <c r="T34" s="61" t="str">
        <f>IF(B34="","",IFERROR(VLOOKUP(B34,'ANÁLISE DE DADOS'!$A:$AM,18,0),""))</f>
        <v>Acordo cumprido parcialmente</v>
      </c>
      <c r="U34" s="61" t="str">
        <f ca="1">IF(B34="","",IFERROR(VLOOKUP(B34,'ANÁLISE DE DADOS'!$A:$AM,19,0),""))</f>
        <v>Vencido</v>
      </c>
      <c r="V34" s="61">
        <f ca="1">IF(B34="","",IFERROR(VLOOKUP(B34,'ANÁLISE DE DADOS'!$A:$AM,20,0),""))</f>
        <v>80</v>
      </c>
      <c r="W34" s="61" t="str">
        <f ca="1">IF(B34="","",IFERROR(VLOOKUP(B34,'ANÁLISE DE DADOS'!$A:$AM,21,0),""))</f>
        <v>61+ dias</v>
      </c>
      <c r="X34" s="61" t="str">
        <f ca="1">IF(B34="","",IFERROR(VLOOKUP(B34,'ANÁLISE DE DADOS'!$A:$AM,22,0),""))</f>
        <v>Atraso Crítico</v>
      </c>
      <c r="Y34" s="61" t="str">
        <f>IF(B34="","",IFERROR(VLOOKUP(B34,'ANÁLISE DE DADOS'!$A:$AM,23,0),""))</f>
        <v>-</v>
      </c>
      <c r="Z34" s="61" t="str">
        <f>IF(B34="","",IFERROR(VLOOKUP(B34,'ANÁLISE DE DADOS'!$A:$AM,24,0),""))</f>
        <v>Sim</v>
      </c>
      <c r="AA34" s="61">
        <f>IF(B34="","",IFERROR(VLOOKUP(B34,'ANÁLISE DE DADOS'!$A:$AM,25,0),""))</f>
        <v>0</v>
      </c>
      <c r="AB34" s="61">
        <f>IF(B34="","",IFERROR(VLOOKUP(B34,'ANÁLISE DE DADOS'!$A:$AM,26,0),""))</f>
        <v>1</v>
      </c>
      <c r="AC34" s="61" t="str">
        <f>IF(B34="","",IFERROR(VLOOKUP(B34,'ANÁLISE DE DADOS'!$A:$AM,27,0),""))</f>
        <v>Sim</v>
      </c>
      <c r="AD34" s="62">
        <f>IF(B34="","",IFERROR(VLOOKUP(B34,'ANÁLISE DE DADOS'!$A:$AM,28,0),""))</f>
        <v>45740</v>
      </c>
      <c r="AE34" s="61" t="str">
        <f>IF(B34="","",IFERROR(VLOOKUP(B34,'ANÁLISE DE DADOS'!$A:$AM,29,0),""))</f>
        <v>mar-25</v>
      </c>
      <c r="AF34" s="61" t="str">
        <f>IF(B34="","",IFERROR(VLOOKUP(B34,'ANÁLISE DE DADOS'!$A:$AM,30,0),""))</f>
        <v>2025</v>
      </c>
      <c r="AG34" s="62">
        <f>IF(B34="","",IFERROR(VLOOKUP(B34,'ANÁLISE DE DADOS'!$A:$AM,31,0),""))</f>
        <v>45740</v>
      </c>
      <c r="AH34" s="61" t="str">
        <f>IF(B34="","",IFERROR(VLOOKUP(B34,'ANÁLISE DE DADOS'!$A:$AM,32,0),""))</f>
        <v>mar-25</v>
      </c>
      <c r="AI34" s="61" t="str">
        <f>IF(B34="","",IFERROR(VLOOKUP(B34,'ANÁLISE DE DADOS'!$A:$AM,33,0),""))</f>
        <v>2025</v>
      </c>
      <c r="AJ34" s="61" t="str">
        <f>IF(B34="","",IFERROR(VLOOKUP(B34,'ANÁLISE DE DADOS'!$A:$AM,34,0),""))</f>
        <v>Acompanhando</v>
      </c>
      <c r="AK34" s="63">
        <f ca="1">IF(B34="","",IFERROR(VLOOKUP(B34,'ANÁLISE DE DADOS'!$A:$AM,35,0),""))</f>
        <v>3200</v>
      </c>
      <c r="AL34" s="63" t="str">
        <f ca="1">IF(B34="","",IFERROR(VLOOKUP(B34,'ANÁLISE DE DADOS'!$A:$AM,36,0),""))</f>
        <v>0</v>
      </c>
    </row>
    <row r="35" spans="2:38" x14ac:dyDescent="0.3">
      <c r="B35" s="30">
        <v>31</v>
      </c>
      <c r="C35" s="61">
        <f>IF(B35="","",IFERROR(VLOOKUP(B35,'ANÁLISE DE DADOS'!$A:$AM,1,0),""))</f>
        <v>31</v>
      </c>
      <c r="D35" s="61" t="str">
        <f>IF(B35="","",IFERROR(VLOOKUP(B35,'ANÁLISE DE DADOS'!$A:$AM,2,0),""))</f>
        <v>Filial</v>
      </c>
      <c r="E35" s="61" t="str">
        <f>IF(B35="","",IFERROR(VLOOKUP(B35,'ANÁLISE DE DADOS'!$A:$AM,3,0),""))</f>
        <v>Gamma &amp; CIA</v>
      </c>
      <c r="F35" s="61" t="str">
        <f>IF(B35="","",IFERROR(VLOOKUP(B35,'ANÁLISE DE DADOS'!$A:$AM,4,0),""))</f>
        <v>Gamma &amp; CIA</v>
      </c>
      <c r="G35" s="62">
        <f>IF(B35="","",IFERROR(VLOOKUP(B35,'ANÁLISE DE DADOS'!$A:$AM,5,0),""))</f>
        <v>45700</v>
      </c>
      <c r="H35" s="62" t="str">
        <f>IF(B35="","",IFERROR(VLOOKUP(B35,'ANÁLISE DE DADOS'!$A:$AM,6,0),""))</f>
        <v>fev-25</v>
      </c>
      <c r="I35" s="62" t="str">
        <f>IF(B35="","",IFERROR(VLOOKUP(B35,'ANÁLISE DE DADOS'!$A:$AM,7,0),""))</f>
        <v>2025</v>
      </c>
      <c r="J35" s="62">
        <f>IF(B35="","",IFERROR(VLOOKUP(B35,'ANÁLISE DE DADOS'!$A:$AM,8,0),""))</f>
        <v>45715</v>
      </c>
      <c r="K35" s="61" t="str">
        <f>IF(B35="","",IFERROR(VLOOKUP(B35,'ANÁLISE DE DADOS'!$A:$AM,9,0),""))</f>
        <v>fev-25</v>
      </c>
      <c r="L35" s="61" t="str">
        <f>IF(B35="","",IFERROR(VLOOKUP(B35,'ANÁLISE DE DADOS'!$A:$AM,10,0),""))</f>
        <v>2025</v>
      </c>
      <c r="M35" s="62">
        <f>IF(B35="","",IFERROR(VLOOKUP(B35,'ANÁLISE DE DADOS'!$A:$AM,11,0),""))</f>
        <v>45715</v>
      </c>
      <c r="N35" s="61" t="str">
        <f>IF(B35="","",IFERROR(VLOOKUP(B35,'ANÁLISE DE DADOS'!$A:$AM,12,0),""))</f>
        <v>fev-25</v>
      </c>
      <c r="O35" s="61" t="str">
        <f>IF(B35="","",IFERROR(VLOOKUP(B35,'ANÁLISE DE DADOS'!$A:$AM,13,0),""))</f>
        <v>2025</v>
      </c>
      <c r="P35" s="63">
        <f>IF(B35="","",IFERROR(VLOOKUP(B35,'ANÁLISE DE DADOS'!$A:$AM,14,0),""))</f>
        <v>1500</v>
      </c>
      <c r="Q35" s="61" t="str">
        <f>IF(B35="","",IFERROR(VLOOKUP(B35,'ANÁLISE DE DADOS'!$A:$AM,15,0),""))</f>
        <v>André</v>
      </c>
      <c r="R35" s="61" t="str">
        <f>IF(B35="","",IFERROR(VLOOKUP(B35,'ANÁLISE DE DADOS'!$A:$AM,16,0),""))</f>
        <v>ANALISTA GUSTAVO</v>
      </c>
      <c r="S35" s="61" t="str">
        <f>IF(B35="","",IFERROR(VLOOKUP(B35,'ANÁLISE DE DADOS'!$A:$AM,17,0),""))</f>
        <v>NÃO</v>
      </c>
      <c r="T35" s="61" t="str">
        <f>IF(B35="","",IFERROR(VLOOKUP(B35,'ANÁLISE DE DADOS'!$A:$AM,18,0),""))</f>
        <v>Aguardando liberação do financeiro</v>
      </c>
      <c r="U35" s="61" t="str">
        <f ca="1">IF(B35="","",IFERROR(VLOOKUP(B35,'ANÁLISE DE DADOS'!$A:$AM,19,0),""))</f>
        <v>Vencido</v>
      </c>
      <c r="V35" s="61">
        <f ca="1">IF(B35="","",IFERROR(VLOOKUP(B35,'ANÁLISE DE DADOS'!$A:$AM,20,0),""))</f>
        <v>80</v>
      </c>
      <c r="W35" s="61" t="str">
        <f ca="1">IF(B35="","",IFERROR(VLOOKUP(B35,'ANÁLISE DE DADOS'!$A:$AM,21,0),""))</f>
        <v>61+ dias</v>
      </c>
      <c r="X35" s="61" t="str">
        <f ca="1">IF(B35="","",IFERROR(VLOOKUP(B35,'ANÁLISE DE DADOS'!$A:$AM,22,0),""))</f>
        <v>Atraso Crítico</v>
      </c>
      <c r="Y35" s="61" t="str">
        <f>IF(B35="","",IFERROR(VLOOKUP(B35,'ANÁLISE DE DADOS'!$A:$AM,23,0),""))</f>
        <v>-</v>
      </c>
      <c r="Z35" s="61" t="str">
        <f>IF(B35="","",IFERROR(VLOOKUP(B35,'ANÁLISE DE DADOS'!$A:$AM,24,0),""))</f>
        <v>Sim</v>
      </c>
      <c r="AA35" s="61">
        <f>IF(B35="","",IFERROR(VLOOKUP(B35,'ANÁLISE DE DADOS'!$A:$AM,25,0),""))</f>
        <v>0</v>
      </c>
      <c r="AB35" s="61">
        <f>IF(B35="","",IFERROR(VLOOKUP(B35,'ANÁLISE DE DADOS'!$A:$AM,26,0),""))</f>
        <v>1</v>
      </c>
      <c r="AC35" s="61" t="str">
        <f>IF(B35="","",IFERROR(VLOOKUP(B35,'ANÁLISE DE DADOS'!$A:$AM,27,0),""))</f>
        <v>Sim</v>
      </c>
      <c r="AD35" s="62">
        <f>IF(B35="","",IFERROR(VLOOKUP(B35,'ANÁLISE DE DADOS'!$A:$AM,28,0),""))</f>
        <v>45740</v>
      </c>
      <c r="AE35" s="61" t="str">
        <f>IF(B35="","",IFERROR(VLOOKUP(B35,'ANÁLISE DE DADOS'!$A:$AM,29,0),""))</f>
        <v>mar-25</v>
      </c>
      <c r="AF35" s="61" t="str">
        <f>IF(B35="","",IFERROR(VLOOKUP(B35,'ANÁLISE DE DADOS'!$A:$AM,30,0),""))</f>
        <v>2025</v>
      </c>
      <c r="AG35" s="62">
        <f>IF(B35="","",IFERROR(VLOOKUP(B35,'ANÁLISE DE DADOS'!$A:$AM,31,0),""))</f>
        <v>45740</v>
      </c>
      <c r="AH35" s="61" t="str">
        <f>IF(B35="","",IFERROR(VLOOKUP(B35,'ANÁLISE DE DADOS'!$A:$AM,32,0),""))</f>
        <v>mar-25</v>
      </c>
      <c r="AI35" s="61" t="str">
        <f>IF(B35="","",IFERROR(VLOOKUP(B35,'ANÁLISE DE DADOS'!$A:$AM,33,0),""))</f>
        <v>2025</v>
      </c>
      <c r="AJ35" s="61" t="str">
        <f>IF(B35="","",IFERROR(VLOOKUP(B35,'ANÁLISE DE DADOS'!$A:$AM,34,0),""))</f>
        <v>Acompanhando</v>
      </c>
      <c r="AK35" s="63">
        <f ca="1">IF(B35="","",IFERROR(VLOOKUP(B35,'ANÁLISE DE DADOS'!$A:$AM,35,0),""))</f>
        <v>1500</v>
      </c>
      <c r="AL35" s="63" t="str">
        <f ca="1">IF(B35="","",IFERROR(VLOOKUP(B35,'ANÁLISE DE DADOS'!$A:$AM,36,0),""))</f>
        <v>0</v>
      </c>
    </row>
    <row r="36" spans="2:38" x14ac:dyDescent="0.3">
      <c r="B36" s="30">
        <v>32</v>
      </c>
      <c r="C36" s="61">
        <f>IF(B36="","",IFERROR(VLOOKUP(B36,'ANÁLISE DE DADOS'!$A:$AM,1,0),""))</f>
        <v>32</v>
      </c>
      <c r="D36" s="61" t="str">
        <f>IF(B36="","",IFERROR(VLOOKUP(B36,'ANÁLISE DE DADOS'!$A:$AM,2,0),""))</f>
        <v>Filial</v>
      </c>
      <c r="E36" s="61">
        <f>IF(B36="","",IFERROR(VLOOKUP(B36,'ANÁLISE DE DADOS'!$A:$AM,3,0),""))</f>
        <v>0</v>
      </c>
      <c r="F36" s="61" t="str">
        <f>IF(B36="","",IFERROR(VLOOKUP(B36,'ANÁLISE DE DADOS'!$A:$AM,4,0),""))</f>
        <v>SoftLink</v>
      </c>
      <c r="G36" s="62">
        <f>IF(B36="","",IFERROR(VLOOKUP(B36,'ANÁLISE DE DADOS'!$A:$AM,5,0),""))</f>
        <v>45700</v>
      </c>
      <c r="H36" s="62" t="str">
        <f>IF(B36="","",IFERROR(VLOOKUP(B36,'ANÁLISE DE DADOS'!$A:$AM,6,0),""))</f>
        <v>fev-25</v>
      </c>
      <c r="I36" s="62" t="str">
        <f>IF(B36="","",IFERROR(VLOOKUP(B36,'ANÁLISE DE DADOS'!$A:$AM,7,0),""))</f>
        <v>2025</v>
      </c>
      <c r="J36" s="62">
        <f>IF(B36="","",IFERROR(VLOOKUP(B36,'ANÁLISE DE DADOS'!$A:$AM,8,0),""))</f>
        <v>45715</v>
      </c>
      <c r="K36" s="61" t="str">
        <f>IF(B36="","",IFERROR(VLOOKUP(B36,'ANÁLISE DE DADOS'!$A:$AM,9,0),""))</f>
        <v>fev-25</v>
      </c>
      <c r="L36" s="61" t="str">
        <f>IF(B36="","",IFERROR(VLOOKUP(B36,'ANÁLISE DE DADOS'!$A:$AM,10,0),""))</f>
        <v>2025</v>
      </c>
      <c r="M36" s="62">
        <f>IF(B36="","",IFERROR(VLOOKUP(B36,'ANÁLISE DE DADOS'!$A:$AM,11,0),""))</f>
        <v>45715</v>
      </c>
      <c r="N36" s="61" t="str">
        <f>IF(B36="","",IFERROR(VLOOKUP(B36,'ANÁLISE DE DADOS'!$A:$AM,12,0),""))</f>
        <v>fev-25</v>
      </c>
      <c r="O36" s="61" t="str">
        <f>IF(B36="","",IFERROR(VLOOKUP(B36,'ANÁLISE DE DADOS'!$A:$AM,13,0),""))</f>
        <v>2025</v>
      </c>
      <c r="P36" s="63">
        <f>IF(B36="","",IFERROR(VLOOKUP(B36,'ANÁLISE DE DADOS'!$A:$AM,14,0),""))</f>
        <v>1500</v>
      </c>
      <c r="Q36" s="61" t="str">
        <f>IF(B36="","",IFERROR(VLOOKUP(B36,'ANÁLISE DE DADOS'!$A:$AM,15,0),""))</f>
        <v>André</v>
      </c>
      <c r="R36" s="61" t="str">
        <f>IF(B36="","",IFERROR(VLOOKUP(B36,'ANÁLISE DE DADOS'!$A:$AM,16,0),""))</f>
        <v>ANALISTA GUSTAVO</v>
      </c>
      <c r="S36" s="61" t="str">
        <f>IF(B36="","",IFERROR(VLOOKUP(B36,'ANÁLISE DE DADOS'!$A:$AM,17,0),""))</f>
        <v>NÃO</v>
      </c>
      <c r="T36" s="61" t="str">
        <f>IF(B36="","",IFERROR(VLOOKUP(B36,'ANÁLISE DE DADOS'!$A:$AM,18,0),""))</f>
        <v>Pagamento em processo (aguardando confirmação bancária)</v>
      </c>
      <c r="U36" s="61" t="str">
        <f ca="1">IF(B36="","",IFERROR(VLOOKUP(B36,'ANÁLISE DE DADOS'!$A:$AM,19,0),""))</f>
        <v>Vencido</v>
      </c>
      <c r="V36" s="61">
        <f ca="1">IF(B36="","",IFERROR(VLOOKUP(B36,'ANÁLISE DE DADOS'!$A:$AM,20,0),""))</f>
        <v>80</v>
      </c>
      <c r="W36" s="61" t="str">
        <f ca="1">IF(B36="","",IFERROR(VLOOKUP(B36,'ANÁLISE DE DADOS'!$A:$AM,21,0),""))</f>
        <v>61+ dias</v>
      </c>
      <c r="X36" s="61" t="str">
        <f ca="1">IF(B36="","",IFERROR(VLOOKUP(B36,'ANÁLISE DE DADOS'!$A:$AM,22,0),""))</f>
        <v>Atraso Crítico</v>
      </c>
      <c r="Y36" s="61" t="str">
        <f>IF(B36="","",IFERROR(VLOOKUP(B36,'ANÁLISE DE DADOS'!$A:$AM,23,0),""))</f>
        <v>-</v>
      </c>
      <c r="Z36" s="61" t="str">
        <f>IF(B36="","",IFERROR(VLOOKUP(B36,'ANÁLISE DE DADOS'!$A:$AM,24,0),""))</f>
        <v>Sim</v>
      </c>
      <c r="AA36" s="61">
        <f>IF(B36="","",IFERROR(VLOOKUP(B36,'ANÁLISE DE DADOS'!$A:$AM,25,0),""))</f>
        <v>0</v>
      </c>
      <c r="AB36" s="61">
        <f>IF(B36="","",IFERROR(VLOOKUP(B36,'ANÁLISE DE DADOS'!$A:$AM,26,0),""))</f>
        <v>1</v>
      </c>
      <c r="AC36" s="61" t="str">
        <f>IF(B36="","",IFERROR(VLOOKUP(B36,'ANÁLISE DE DADOS'!$A:$AM,27,0),""))</f>
        <v>Sim</v>
      </c>
      <c r="AD36" s="62">
        <f>IF(B36="","",IFERROR(VLOOKUP(B36,'ANÁLISE DE DADOS'!$A:$AM,28,0),""))</f>
        <v>45740</v>
      </c>
      <c r="AE36" s="61" t="str">
        <f>IF(B36="","",IFERROR(VLOOKUP(B36,'ANÁLISE DE DADOS'!$A:$AM,29,0),""))</f>
        <v>mar-25</v>
      </c>
      <c r="AF36" s="61" t="str">
        <f>IF(B36="","",IFERROR(VLOOKUP(B36,'ANÁLISE DE DADOS'!$A:$AM,30,0),""))</f>
        <v>2025</v>
      </c>
      <c r="AG36" s="62">
        <f>IF(B36="","",IFERROR(VLOOKUP(B36,'ANÁLISE DE DADOS'!$A:$AM,31,0),""))</f>
        <v>45740</v>
      </c>
      <c r="AH36" s="61" t="str">
        <f>IF(B36="","",IFERROR(VLOOKUP(B36,'ANÁLISE DE DADOS'!$A:$AM,32,0),""))</f>
        <v>mar-25</v>
      </c>
      <c r="AI36" s="61" t="str">
        <f>IF(B36="","",IFERROR(VLOOKUP(B36,'ANÁLISE DE DADOS'!$A:$AM,33,0),""))</f>
        <v>2025</v>
      </c>
      <c r="AJ36" s="61" t="str">
        <f>IF(B36="","",IFERROR(VLOOKUP(B36,'ANÁLISE DE DADOS'!$A:$AM,34,0),""))</f>
        <v>Acompanhando</v>
      </c>
      <c r="AK36" s="63">
        <f ca="1">IF(B36="","",IFERROR(VLOOKUP(B36,'ANÁLISE DE DADOS'!$A:$AM,35,0),""))</f>
        <v>1500</v>
      </c>
      <c r="AL36" s="63" t="str">
        <f ca="1">IF(B36="","",IFERROR(VLOOKUP(B36,'ANÁLISE DE DADOS'!$A:$AM,36,0),""))</f>
        <v>0</v>
      </c>
    </row>
    <row r="37" spans="2:38" x14ac:dyDescent="0.3">
      <c r="B37" s="30">
        <v>33</v>
      </c>
      <c r="C37" s="61">
        <f>IF(B37="","",IFERROR(VLOOKUP(B37,'ANÁLISE DE DADOS'!$A:$AM,1,0),""))</f>
        <v>33</v>
      </c>
      <c r="D37" s="61" t="str">
        <f>IF(B37="","",IFERROR(VLOOKUP(B37,'ANÁLISE DE DADOS'!$A:$AM,2,0),""))</f>
        <v>Matriz</v>
      </c>
      <c r="E37" s="61" t="str">
        <f>IF(B37="","",IFERROR(VLOOKUP(B37,'ANÁLISE DE DADOS'!$A:$AM,3,0),""))</f>
        <v>Gamma &amp; CIA</v>
      </c>
      <c r="F37" s="61" t="str">
        <f>IF(B37="","",IFERROR(VLOOKUP(B37,'ANÁLISE DE DADOS'!$A:$AM,4,0),""))</f>
        <v>Gamma &amp; CIA</v>
      </c>
      <c r="G37" s="62">
        <f>IF(B37="","",IFERROR(VLOOKUP(B37,'ANÁLISE DE DADOS'!$A:$AM,5,0),""))</f>
        <v>45337</v>
      </c>
      <c r="H37" s="62" t="str">
        <f>IF(B37="","",IFERROR(VLOOKUP(B37,'ANÁLISE DE DADOS'!$A:$AM,6,0),""))</f>
        <v>fev-24</v>
      </c>
      <c r="I37" s="62" t="str">
        <f>IF(B37="","",IFERROR(VLOOKUP(B37,'ANÁLISE DE DADOS'!$A:$AM,7,0),""))</f>
        <v>2024</v>
      </c>
      <c r="J37" s="62" t="str">
        <f>IF(B37="","",IFERROR(VLOOKUP(B37,'ANÁLISE DE DADOS'!$A:$AM,8,0),""))</f>
        <v xml:space="preserve"> </v>
      </c>
      <c r="K37" s="61" t="str">
        <f>IF(B37="","",IFERROR(VLOOKUP(B37,'ANÁLISE DE DADOS'!$A:$AM,9,0),""))</f>
        <v xml:space="preserve"> </v>
      </c>
      <c r="L37" s="61" t="str">
        <f>IF(B37="","",IFERROR(VLOOKUP(B37,'ANÁLISE DE DADOS'!$A:$AM,10,0),""))</f>
        <v xml:space="preserve"> </v>
      </c>
      <c r="M37" s="62">
        <f>IF(B37="","",IFERROR(VLOOKUP(B37,'ANÁLISE DE DADOS'!$A:$AM,11,0),""))</f>
        <v>45339</v>
      </c>
      <c r="N37" s="61" t="str">
        <f>IF(B37="","",IFERROR(VLOOKUP(B37,'ANÁLISE DE DADOS'!$A:$AM,12,0),""))</f>
        <v>fev-24</v>
      </c>
      <c r="O37" s="61" t="str">
        <f>IF(B37="","",IFERROR(VLOOKUP(B37,'ANÁLISE DE DADOS'!$A:$AM,13,0),""))</f>
        <v>2024</v>
      </c>
      <c r="P37" s="63">
        <f>IF(B37="","",IFERROR(VLOOKUP(B37,'ANÁLISE DE DADOS'!$A:$AM,14,0),""))</f>
        <v>2000</v>
      </c>
      <c r="Q37" s="61" t="str">
        <f>IF(B37="","",IFERROR(VLOOKUP(B37,'ANÁLISE DE DADOS'!$A:$AM,15,0),""))</f>
        <v>Luana</v>
      </c>
      <c r="R37" s="61" t="str">
        <f>IF(B37="","",IFERROR(VLOOKUP(B37,'ANÁLISE DE DADOS'!$A:$AM,16,0),""))</f>
        <v>ANALISTA GUSTAVO</v>
      </c>
      <c r="S37" s="61" t="str">
        <f>IF(B37="","",IFERROR(VLOOKUP(B37,'ANÁLISE DE DADOS'!$A:$AM,17,0),""))</f>
        <v>NÃO</v>
      </c>
      <c r="T37" s="61" t="str">
        <f>IF(B37="","",IFERROR(VLOOKUP(B37,'ANÁLISE DE DADOS'!$A:$AM,18,0),""))</f>
        <v>Cliente em inadimplência sem previsão de pagamento</v>
      </c>
      <c r="U37" s="61" t="str">
        <f ca="1">IF(B37="","",IFERROR(VLOOKUP(B37,'ANÁLISE DE DADOS'!$A:$AM,19,0),""))</f>
        <v>A Vencer</v>
      </c>
      <c r="V37" s="61" t="str">
        <f ca="1">IF(B37="","",IFERROR(VLOOKUP(B37,'ANÁLISE DE DADOS'!$A:$AM,20,0),""))</f>
        <v/>
      </c>
      <c r="W37" s="61" t="str">
        <f ca="1">IF(B37="","",IFERROR(VLOOKUP(B37,'ANÁLISE DE DADOS'!$A:$AM,21,0),""))</f>
        <v/>
      </c>
      <c r="X37" s="61" t="str">
        <f ca="1">IF(B37="","",IFERROR(VLOOKUP(B37,'ANÁLISE DE DADOS'!$A:$AM,22,0),""))</f>
        <v/>
      </c>
      <c r="Y37" s="61" t="str">
        <f>IF(B37="","",IFERROR(VLOOKUP(B37,'ANÁLISE DE DADOS'!$A:$AM,23,0),""))</f>
        <v>-</v>
      </c>
      <c r="Z37" s="61" t="str">
        <f>IF(B37="","",IFERROR(VLOOKUP(B37,'ANÁLISE DE DADOS'!$A:$AM,24,0),""))</f>
        <v>Sim</v>
      </c>
      <c r="AA37" s="61">
        <f>IF(B37="","",IFERROR(VLOOKUP(B37,'ANÁLISE DE DADOS'!$A:$AM,25,0),""))</f>
        <v>0</v>
      </c>
      <c r="AB37" s="61">
        <f>IF(B37="","",IFERROR(VLOOKUP(B37,'ANÁLISE DE DADOS'!$A:$AM,26,0),""))</f>
        <v>1</v>
      </c>
      <c r="AC37" s="61" t="str">
        <f>IF(B37="","",IFERROR(VLOOKUP(B37,'ANÁLISE DE DADOS'!$A:$AM,27,0),""))</f>
        <v>Sim</v>
      </c>
      <c r="AD37" s="62">
        <f>IF(B37="","",IFERROR(VLOOKUP(B37,'ANÁLISE DE DADOS'!$A:$AM,28,0),""))</f>
        <v>45740</v>
      </c>
      <c r="AE37" s="61" t="str">
        <f>IF(B37="","",IFERROR(VLOOKUP(B37,'ANÁLISE DE DADOS'!$A:$AM,29,0),""))</f>
        <v>mar-25</v>
      </c>
      <c r="AF37" s="61" t="str">
        <f>IF(B37="","",IFERROR(VLOOKUP(B37,'ANÁLISE DE DADOS'!$A:$AM,30,0),""))</f>
        <v>2025</v>
      </c>
      <c r="AG37" s="62">
        <f>IF(B37="","",IFERROR(VLOOKUP(B37,'ANÁLISE DE DADOS'!$A:$AM,31,0),""))</f>
        <v>45772</v>
      </c>
      <c r="AH37" s="61" t="str">
        <f>IF(B37="","",IFERROR(VLOOKUP(B37,'ANÁLISE DE DADOS'!$A:$AM,32,0),""))</f>
        <v>abr-25</v>
      </c>
      <c r="AI37" s="61" t="str">
        <f>IF(B37="","",IFERROR(VLOOKUP(B37,'ANÁLISE DE DADOS'!$A:$AM,33,0),""))</f>
        <v>2025</v>
      </c>
      <c r="AJ37" s="61" t="str">
        <f>IF(B37="","",IFERROR(VLOOKUP(B37,'ANÁLISE DE DADOS'!$A:$AM,34,0),""))</f>
        <v>Acompanhando</v>
      </c>
      <c r="AK37" s="63" t="str">
        <f ca="1">IF(B37="","",IFERROR(VLOOKUP(B37,'ANÁLISE DE DADOS'!$A:$AM,35,0),""))</f>
        <v>0</v>
      </c>
      <c r="AL37" s="63">
        <f ca="1">IF(B37="","",IFERROR(VLOOKUP(B37,'ANÁLISE DE DADOS'!$A:$AM,36,0),""))</f>
        <v>2000</v>
      </c>
    </row>
    <row r="38" spans="2:38" x14ac:dyDescent="0.3">
      <c r="B38" s="30">
        <v>34</v>
      </c>
      <c r="C38" s="61">
        <f>IF(B38="","",IFERROR(VLOOKUP(B38,'ANÁLISE DE DADOS'!$A:$AM,1,0),""))</f>
        <v>34</v>
      </c>
      <c r="D38" s="61" t="str">
        <f>IF(B38="","",IFERROR(VLOOKUP(B38,'ANÁLISE DE DADOS'!$A:$AM,2,0),""))</f>
        <v>Matriz</v>
      </c>
      <c r="E38" s="61">
        <f>IF(B38="","",IFERROR(VLOOKUP(B38,'ANÁLISE DE DADOS'!$A:$AM,3,0),""))</f>
        <v>0</v>
      </c>
      <c r="F38" s="61" t="str">
        <f>IF(B38="","",IFERROR(VLOOKUP(B38,'ANÁLISE DE DADOS'!$A:$AM,4,0),""))</f>
        <v>BemEstar</v>
      </c>
      <c r="G38" s="62">
        <f>IF(B38="","",IFERROR(VLOOKUP(B38,'ANÁLISE DE DADOS'!$A:$AM,5,0),""))</f>
        <v>45658</v>
      </c>
      <c r="H38" s="62" t="str">
        <f>IF(B38="","",IFERROR(VLOOKUP(B38,'ANÁLISE DE DADOS'!$A:$AM,6,0),""))</f>
        <v>jan-25</v>
      </c>
      <c r="I38" s="62" t="str">
        <f>IF(B38="","",IFERROR(VLOOKUP(B38,'ANÁLISE DE DADOS'!$A:$AM,7,0),""))</f>
        <v>2025</v>
      </c>
      <c r="J38" s="62">
        <f>IF(B38="","",IFERROR(VLOOKUP(B38,'ANÁLISE DE DADOS'!$A:$AM,8,0),""))</f>
        <v>45689</v>
      </c>
      <c r="K38" s="61" t="str">
        <f>IF(B38="","",IFERROR(VLOOKUP(B38,'ANÁLISE DE DADOS'!$A:$AM,9,0),""))</f>
        <v>fev-25</v>
      </c>
      <c r="L38" s="61" t="str">
        <f>IF(B38="","",IFERROR(VLOOKUP(B38,'ANÁLISE DE DADOS'!$A:$AM,10,0),""))</f>
        <v>2025</v>
      </c>
      <c r="M38" s="62">
        <f>IF(B38="","",IFERROR(VLOOKUP(B38,'ANÁLISE DE DADOS'!$A:$AM,11,0),""))</f>
        <v>45737</v>
      </c>
      <c r="N38" s="61" t="str">
        <f>IF(B38="","",IFERROR(VLOOKUP(B38,'ANÁLISE DE DADOS'!$A:$AM,12,0),""))</f>
        <v>mar-25</v>
      </c>
      <c r="O38" s="61" t="str">
        <f>IF(B38="","",IFERROR(VLOOKUP(B38,'ANÁLISE DE DADOS'!$A:$AM,13,0),""))</f>
        <v>2025</v>
      </c>
      <c r="P38" s="63">
        <f>IF(B38="","",IFERROR(VLOOKUP(B38,'ANÁLISE DE DADOS'!$A:$AM,14,0),""))</f>
        <v>2000</v>
      </c>
      <c r="Q38" s="61" t="str">
        <f>IF(B38="","",IFERROR(VLOOKUP(B38,'ANÁLISE DE DADOS'!$A:$AM,15,0),""))</f>
        <v>Luana</v>
      </c>
      <c r="R38" s="61" t="str">
        <f>IF(B38="","",IFERROR(VLOOKUP(B38,'ANÁLISE DE DADOS'!$A:$AM,16,0),""))</f>
        <v>ANALISTA GUSTAVO</v>
      </c>
      <c r="S38" s="61" t="str">
        <f>IF(B38="","",IFERROR(VLOOKUP(B38,'ANÁLISE DE DADOS'!$A:$AM,17,0),""))</f>
        <v>NÃO</v>
      </c>
      <c r="T38" s="61" t="str">
        <f>IF(B38="","",IFERROR(VLOOKUP(B38,'ANÁLISE DE DADOS'!$A:$AM,18,0),""))</f>
        <v>Pagamento em processo (aguardando confirmação bancária)</v>
      </c>
      <c r="U38" s="61" t="str">
        <f ca="1">IF(B38="","",IFERROR(VLOOKUP(B38,'ANÁLISE DE DADOS'!$A:$AM,19,0),""))</f>
        <v>Vencido</v>
      </c>
      <c r="V38" s="61">
        <f ca="1">IF(B38="","",IFERROR(VLOOKUP(B38,'ANÁLISE DE DADOS'!$A:$AM,20,0),""))</f>
        <v>106</v>
      </c>
      <c r="W38" s="61" t="str">
        <f ca="1">IF(B38="","",IFERROR(VLOOKUP(B38,'ANÁLISE DE DADOS'!$A:$AM,21,0),""))</f>
        <v>61+ dias</v>
      </c>
      <c r="X38" s="61" t="str">
        <f ca="1">IF(B38="","",IFERROR(VLOOKUP(B38,'ANÁLISE DE DADOS'!$A:$AM,22,0),""))</f>
        <v>Atraso Crítico</v>
      </c>
      <c r="Y38" s="61" t="str">
        <f>IF(B38="","",IFERROR(VLOOKUP(B38,'ANÁLISE DE DADOS'!$A:$AM,23,0),""))</f>
        <v>-</v>
      </c>
      <c r="Z38" s="61" t="str">
        <f>IF(B38="","",IFERROR(VLOOKUP(B38,'ANÁLISE DE DADOS'!$A:$AM,24,0),""))</f>
        <v>Sim</v>
      </c>
      <c r="AA38" s="61">
        <f>IF(B38="","",IFERROR(VLOOKUP(B38,'ANÁLISE DE DADOS'!$A:$AM,25,0),""))</f>
        <v>0</v>
      </c>
      <c r="AB38" s="61">
        <f>IF(B38="","",IFERROR(VLOOKUP(B38,'ANÁLISE DE DADOS'!$A:$AM,26,0),""))</f>
        <v>1</v>
      </c>
      <c r="AC38" s="61" t="str">
        <f>IF(B38="","",IFERROR(VLOOKUP(B38,'ANÁLISE DE DADOS'!$A:$AM,27,0),""))</f>
        <v>Sim</v>
      </c>
      <c r="AD38" s="62">
        <f>IF(B38="","",IFERROR(VLOOKUP(B38,'ANÁLISE DE DADOS'!$A:$AM,28,0),""))</f>
        <v>45740</v>
      </c>
      <c r="AE38" s="61" t="str">
        <f>IF(B38="","",IFERROR(VLOOKUP(B38,'ANÁLISE DE DADOS'!$A:$AM,29,0),""))</f>
        <v>mar-25</v>
      </c>
      <c r="AF38" s="61" t="str">
        <f>IF(B38="","",IFERROR(VLOOKUP(B38,'ANÁLISE DE DADOS'!$A:$AM,30,0),""))</f>
        <v>2025</v>
      </c>
      <c r="AG38" s="62">
        <f>IF(B38="","",IFERROR(VLOOKUP(B38,'ANÁLISE DE DADOS'!$A:$AM,31,0),""))</f>
        <v>45772</v>
      </c>
      <c r="AH38" s="61" t="str">
        <f>IF(B38="","",IFERROR(VLOOKUP(B38,'ANÁLISE DE DADOS'!$A:$AM,32,0),""))</f>
        <v>abr-25</v>
      </c>
      <c r="AI38" s="61" t="str">
        <f>IF(B38="","",IFERROR(VLOOKUP(B38,'ANÁLISE DE DADOS'!$A:$AM,33,0),""))</f>
        <v>2025</v>
      </c>
      <c r="AJ38" s="61" t="str">
        <f>IF(B38="","",IFERROR(VLOOKUP(B38,'ANÁLISE DE DADOS'!$A:$AM,34,0),""))</f>
        <v>Acompanhando</v>
      </c>
      <c r="AK38" s="63">
        <f ca="1">IF(B38="","",IFERROR(VLOOKUP(B38,'ANÁLISE DE DADOS'!$A:$AM,35,0),""))</f>
        <v>2000</v>
      </c>
      <c r="AL38" s="63" t="str">
        <f ca="1">IF(B38="","",IFERROR(VLOOKUP(B38,'ANÁLISE DE DADOS'!$A:$AM,36,0),""))</f>
        <v>0</v>
      </c>
    </row>
    <row r="39" spans="2:38" x14ac:dyDescent="0.3">
      <c r="B39" s="30">
        <v>35</v>
      </c>
      <c r="C39" s="61">
        <f>IF(B39="","",IFERROR(VLOOKUP(B39,'ANÁLISE DE DADOS'!$A:$AM,1,0),""))</f>
        <v>35</v>
      </c>
      <c r="D39" s="61" t="str">
        <f>IF(B39="","",IFERROR(VLOOKUP(B39,'ANÁLISE DE DADOS'!$A:$AM,2,0),""))</f>
        <v>Filial</v>
      </c>
      <c r="E39" s="61" t="str">
        <f>IF(B39="","",IFERROR(VLOOKUP(B39,'ANÁLISE DE DADOS'!$A:$AM,3,0),""))</f>
        <v>Gamma &amp; CIA</v>
      </c>
      <c r="F39" s="61" t="str">
        <f>IF(B39="","",IFERROR(VLOOKUP(B39,'ANÁLISE DE DADOS'!$A:$AM,4,0),""))</f>
        <v>Gamma &amp; CIA</v>
      </c>
      <c r="G39" s="62">
        <f>IF(B39="","",IFERROR(VLOOKUP(B39,'ANÁLISE DE DADOS'!$A:$AM,5,0),""))</f>
        <v>45706</v>
      </c>
      <c r="H39" s="62" t="str">
        <f>IF(B39="","",IFERROR(VLOOKUP(B39,'ANÁLISE DE DADOS'!$A:$AM,6,0),""))</f>
        <v>fev-25</v>
      </c>
      <c r="I39" s="62" t="str">
        <f>IF(B39="","",IFERROR(VLOOKUP(B39,'ANÁLISE DE DADOS'!$A:$AM,7,0),""))</f>
        <v>2025</v>
      </c>
      <c r="J39" s="62">
        <f>IF(B39="","",IFERROR(VLOOKUP(B39,'ANÁLISE DE DADOS'!$A:$AM,8,0),""))</f>
        <v>45715</v>
      </c>
      <c r="K39" s="61" t="str">
        <f>IF(B39="","",IFERROR(VLOOKUP(B39,'ANÁLISE DE DADOS'!$A:$AM,9,0),""))</f>
        <v>fev-25</v>
      </c>
      <c r="L39" s="61" t="str">
        <f>IF(B39="","",IFERROR(VLOOKUP(B39,'ANÁLISE DE DADOS'!$A:$AM,10,0),""))</f>
        <v>2025</v>
      </c>
      <c r="M39" s="62">
        <f>IF(B39="","",IFERROR(VLOOKUP(B39,'ANÁLISE DE DADOS'!$A:$AM,11,0),""))</f>
        <v>45715</v>
      </c>
      <c r="N39" s="61" t="str">
        <f>IF(B39="","",IFERROR(VLOOKUP(B39,'ANÁLISE DE DADOS'!$A:$AM,12,0),""))</f>
        <v>fev-25</v>
      </c>
      <c r="O39" s="61" t="str">
        <f>IF(B39="","",IFERROR(VLOOKUP(B39,'ANÁLISE DE DADOS'!$A:$AM,13,0),""))</f>
        <v>2025</v>
      </c>
      <c r="P39" s="63">
        <f>IF(B39="","",IFERROR(VLOOKUP(B39,'ANÁLISE DE DADOS'!$A:$AM,14,0),""))</f>
        <v>1000</v>
      </c>
      <c r="Q39" s="61" t="str">
        <f>IF(B39="","",IFERROR(VLOOKUP(B39,'ANÁLISE DE DADOS'!$A:$AM,15,0),""))</f>
        <v>Pedro</v>
      </c>
      <c r="R39" s="61" t="str">
        <f>IF(B39="","",IFERROR(VLOOKUP(B39,'ANÁLISE DE DADOS'!$A:$AM,16,0),""))</f>
        <v>ANALISTA GUSTAVO</v>
      </c>
      <c r="S39" s="61" t="str">
        <f>IF(B39="","",IFERROR(VLOOKUP(B39,'ANÁLISE DE DADOS'!$A:$AM,17,0),""))</f>
        <v>NÃO</v>
      </c>
      <c r="T39" s="61" t="str">
        <f>IF(B39="","",IFERROR(VLOOKUP(B39,'ANÁLISE DE DADOS'!$A:$AM,18,0),""))</f>
        <v>Situação jurídica em andamento (em processo judicial)</v>
      </c>
      <c r="U39" s="61" t="str">
        <f ca="1">IF(B39="","",IFERROR(VLOOKUP(B39,'ANÁLISE DE DADOS'!$A:$AM,19,0),""))</f>
        <v>Vencido</v>
      </c>
      <c r="V39" s="61">
        <f ca="1">IF(B39="","",IFERROR(VLOOKUP(B39,'ANÁLISE DE DADOS'!$A:$AM,20,0),""))</f>
        <v>80</v>
      </c>
      <c r="W39" s="61" t="str">
        <f ca="1">IF(B39="","",IFERROR(VLOOKUP(B39,'ANÁLISE DE DADOS'!$A:$AM,21,0),""))</f>
        <v>61+ dias</v>
      </c>
      <c r="X39" s="61" t="str">
        <f ca="1">IF(B39="","",IFERROR(VLOOKUP(B39,'ANÁLISE DE DADOS'!$A:$AM,22,0),""))</f>
        <v>Atraso Crítico</v>
      </c>
      <c r="Y39" s="61" t="str">
        <f>IF(B39="","",IFERROR(VLOOKUP(B39,'ANÁLISE DE DADOS'!$A:$AM,23,0),""))</f>
        <v>-</v>
      </c>
      <c r="Z39" s="61" t="str">
        <f>IF(B39="","",IFERROR(VLOOKUP(B39,'ANÁLISE DE DADOS'!$A:$AM,24,0),""))</f>
        <v>Sim</v>
      </c>
      <c r="AA39" s="61">
        <f>IF(B39="","",IFERROR(VLOOKUP(B39,'ANÁLISE DE DADOS'!$A:$AM,25,0),""))</f>
        <v>0</v>
      </c>
      <c r="AB39" s="61">
        <f>IF(B39="","",IFERROR(VLOOKUP(B39,'ANÁLISE DE DADOS'!$A:$AM,26,0),""))</f>
        <v>1</v>
      </c>
      <c r="AC39" s="61" t="str">
        <f>IF(B39="","",IFERROR(VLOOKUP(B39,'ANÁLISE DE DADOS'!$A:$AM,27,0),""))</f>
        <v>Sim</v>
      </c>
      <c r="AD39" s="62">
        <f>IF(B39="","",IFERROR(VLOOKUP(B39,'ANÁLISE DE DADOS'!$A:$AM,28,0),""))</f>
        <v>45740</v>
      </c>
      <c r="AE39" s="61" t="str">
        <f>IF(B39="","",IFERROR(VLOOKUP(B39,'ANÁLISE DE DADOS'!$A:$AM,29,0),""))</f>
        <v>mar-25</v>
      </c>
      <c r="AF39" s="61" t="str">
        <f>IF(B39="","",IFERROR(VLOOKUP(B39,'ANÁLISE DE DADOS'!$A:$AM,30,0),""))</f>
        <v>2025</v>
      </c>
      <c r="AG39" s="62">
        <f>IF(B39="","",IFERROR(VLOOKUP(B39,'ANÁLISE DE DADOS'!$A:$AM,31,0),""))</f>
        <v>45740</v>
      </c>
      <c r="AH39" s="61" t="str">
        <f>IF(B39="","",IFERROR(VLOOKUP(B39,'ANÁLISE DE DADOS'!$A:$AM,32,0),""))</f>
        <v>mar-25</v>
      </c>
      <c r="AI39" s="61" t="str">
        <f>IF(B39="","",IFERROR(VLOOKUP(B39,'ANÁLISE DE DADOS'!$A:$AM,33,0),""))</f>
        <v>2025</v>
      </c>
      <c r="AJ39" s="61" t="str">
        <f>IF(B39="","",IFERROR(VLOOKUP(B39,'ANÁLISE DE DADOS'!$A:$AM,34,0),""))</f>
        <v>Acompanhando</v>
      </c>
      <c r="AK39" s="63">
        <f ca="1">IF(B39="","",IFERROR(VLOOKUP(B39,'ANÁLISE DE DADOS'!$A:$AM,35,0),""))</f>
        <v>1000</v>
      </c>
      <c r="AL39" s="63" t="str">
        <f ca="1">IF(B39="","",IFERROR(VLOOKUP(B39,'ANÁLISE DE DADOS'!$A:$AM,36,0),""))</f>
        <v>0</v>
      </c>
    </row>
    <row r="40" spans="2:38" x14ac:dyDescent="0.3">
      <c r="B40" s="30">
        <v>36</v>
      </c>
      <c r="C40" s="61">
        <f>IF(B40="","",IFERROR(VLOOKUP(B40,'ANÁLISE DE DADOS'!$A:$AM,1,0),""))</f>
        <v>36</v>
      </c>
      <c r="D40" s="61" t="str">
        <f>IF(B40="","",IFERROR(VLOOKUP(B40,'ANÁLISE DE DADOS'!$A:$AM,2,0),""))</f>
        <v>Filial</v>
      </c>
      <c r="E40" s="61">
        <f>IF(B40="","",IFERROR(VLOOKUP(B40,'ANÁLISE DE DADOS'!$A:$AM,3,0),""))</f>
        <v>0</v>
      </c>
      <c r="F40" s="61" t="str">
        <f>IF(B40="","",IFERROR(VLOOKUP(B40,'ANÁLISE DE DADOS'!$A:$AM,4,0),""))</f>
        <v>SoftLink</v>
      </c>
      <c r="G40" s="62">
        <f>IF(B40="","",IFERROR(VLOOKUP(B40,'ANÁLISE DE DADOS'!$A:$AM,5,0),""))</f>
        <v>45706</v>
      </c>
      <c r="H40" s="62" t="str">
        <f>IF(B40="","",IFERROR(VLOOKUP(B40,'ANÁLISE DE DADOS'!$A:$AM,6,0),""))</f>
        <v>fev-25</v>
      </c>
      <c r="I40" s="62" t="str">
        <f>IF(B40="","",IFERROR(VLOOKUP(B40,'ANÁLISE DE DADOS'!$A:$AM,7,0),""))</f>
        <v>2025</v>
      </c>
      <c r="J40" s="62">
        <f>IF(B40="","",IFERROR(VLOOKUP(B40,'ANÁLISE DE DADOS'!$A:$AM,8,0),""))</f>
        <v>45715</v>
      </c>
      <c r="K40" s="61" t="str">
        <f>IF(B40="","",IFERROR(VLOOKUP(B40,'ANÁLISE DE DADOS'!$A:$AM,9,0),""))</f>
        <v>fev-25</v>
      </c>
      <c r="L40" s="61" t="str">
        <f>IF(B40="","",IFERROR(VLOOKUP(B40,'ANÁLISE DE DADOS'!$A:$AM,10,0),""))</f>
        <v>2025</v>
      </c>
      <c r="M40" s="62">
        <f>IF(B40="","",IFERROR(VLOOKUP(B40,'ANÁLISE DE DADOS'!$A:$AM,11,0),""))</f>
        <v>45715</v>
      </c>
      <c r="N40" s="61" t="str">
        <f>IF(B40="","",IFERROR(VLOOKUP(B40,'ANÁLISE DE DADOS'!$A:$AM,12,0),""))</f>
        <v>fev-25</v>
      </c>
      <c r="O40" s="61" t="str">
        <f>IF(B40="","",IFERROR(VLOOKUP(B40,'ANÁLISE DE DADOS'!$A:$AM,13,0),""))</f>
        <v>2025</v>
      </c>
      <c r="P40" s="63">
        <f>IF(B40="","",IFERROR(VLOOKUP(B40,'ANÁLISE DE DADOS'!$A:$AM,14,0),""))</f>
        <v>1000</v>
      </c>
      <c r="Q40" s="61" t="str">
        <f>IF(B40="","",IFERROR(VLOOKUP(B40,'ANÁLISE DE DADOS'!$A:$AM,15,0),""))</f>
        <v>Pedro</v>
      </c>
      <c r="R40" s="61" t="str">
        <f>IF(B40="","",IFERROR(VLOOKUP(B40,'ANÁLISE DE DADOS'!$A:$AM,16,0),""))</f>
        <v>ANALISTA GUSTAVO</v>
      </c>
      <c r="S40" s="61" t="str">
        <f>IF(B40="","",IFERROR(VLOOKUP(B40,'ANÁLISE DE DADOS'!$A:$AM,17,0),""))</f>
        <v>NÃO</v>
      </c>
      <c r="T40" s="61" t="str">
        <f>IF(B40="","",IFERROR(VLOOKUP(B40,'ANÁLISE DE DADOS'!$A:$AM,18,0),""))</f>
        <v>Cancelamento de cobrança solicitado</v>
      </c>
      <c r="U40" s="61" t="str">
        <f ca="1">IF(B40="","",IFERROR(VLOOKUP(B40,'ANÁLISE DE DADOS'!$A:$AM,19,0),""))</f>
        <v>Vencido</v>
      </c>
      <c r="V40" s="61">
        <f ca="1">IF(B40="","",IFERROR(VLOOKUP(B40,'ANÁLISE DE DADOS'!$A:$AM,20,0),""))</f>
        <v>80</v>
      </c>
      <c r="W40" s="61" t="str">
        <f ca="1">IF(B40="","",IFERROR(VLOOKUP(B40,'ANÁLISE DE DADOS'!$A:$AM,21,0),""))</f>
        <v>61+ dias</v>
      </c>
      <c r="X40" s="61" t="str">
        <f ca="1">IF(B40="","",IFERROR(VLOOKUP(B40,'ANÁLISE DE DADOS'!$A:$AM,22,0),""))</f>
        <v>Atraso Crítico</v>
      </c>
      <c r="Y40" s="61" t="str">
        <f>IF(B40="","",IFERROR(VLOOKUP(B40,'ANÁLISE DE DADOS'!$A:$AM,23,0),""))</f>
        <v>-</v>
      </c>
      <c r="Z40" s="61" t="str">
        <f>IF(B40="","",IFERROR(VLOOKUP(B40,'ANÁLISE DE DADOS'!$A:$AM,24,0),""))</f>
        <v>Sim</v>
      </c>
      <c r="AA40" s="61">
        <f>IF(B40="","",IFERROR(VLOOKUP(B40,'ANÁLISE DE DADOS'!$A:$AM,25,0),""))</f>
        <v>0</v>
      </c>
      <c r="AB40" s="61">
        <f>IF(B40="","",IFERROR(VLOOKUP(B40,'ANÁLISE DE DADOS'!$A:$AM,26,0),""))</f>
        <v>1</v>
      </c>
      <c r="AC40" s="61" t="str">
        <f>IF(B40="","",IFERROR(VLOOKUP(B40,'ANÁLISE DE DADOS'!$A:$AM,27,0),""))</f>
        <v>Sim</v>
      </c>
      <c r="AD40" s="62">
        <f>IF(B40="","",IFERROR(VLOOKUP(B40,'ANÁLISE DE DADOS'!$A:$AM,28,0),""))</f>
        <v>45740</v>
      </c>
      <c r="AE40" s="61" t="str">
        <f>IF(B40="","",IFERROR(VLOOKUP(B40,'ANÁLISE DE DADOS'!$A:$AM,29,0),""))</f>
        <v>mar-25</v>
      </c>
      <c r="AF40" s="61" t="str">
        <f>IF(B40="","",IFERROR(VLOOKUP(B40,'ANÁLISE DE DADOS'!$A:$AM,30,0),""))</f>
        <v>2025</v>
      </c>
      <c r="AG40" s="62">
        <f>IF(B40="","",IFERROR(VLOOKUP(B40,'ANÁLISE DE DADOS'!$A:$AM,31,0),""))</f>
        <v>45740</v>
      </c>
      <c r="AH40" s="61" t="str">
        <f>IF(B40="","",IFERROR(VLOOKUP(B40,'ANÁLISE DE DADOS'!$A:$AM,32,0),""))</f>
        <v>mar-25</v>
      </c>
      <c r="AI40" s="61" t="str">
        <f>IF(B40="","",IFERROR(VLOOKUP(B40,'ANÁLISE DE DADOS'!$A:$AM,33,0),""))</f>
        <v>2025</v>
      </c>
      <c r="AJ40" s="61" t="str">
        <f>IF(B40="","",IFERROR(VLOOKUP(B40,'ANÁLISE DE DADOS'!$A:$AM,34,0),""))</f>
        <v>Acompanhando</v>
      </c>
      <c r="AK40" s="63">
        <f ca="1">IF(B40="","",IFERROR(VLOOKUP(B40,'ANÁLISE DE DADOS'!$A:$AM,35,0),""))</f>
        <v>1000</v>
      </c>
      <c r="AL40" s="63" t="str">
        <f ca="1">IF(B40="","",IFERROR(VLOOKUP(B40,'ANÁLISE DE DADOS'!$A:$AM,36,0),""))</f>
        <v>0</v>
      </c>
    </row>
    <row r="41" spans="2:38" x14ac:dyDescent="0.3">
      <c r="B41" s="30">
        <v>37</v>
      </c>
      <c r="C41" s="61">
        <f>IF(B41="","",IFERROR(VLOOKUP(B41,'ANÁLISE DE DADOS'!$A:$AM,1,0),""))</f>
        <v>37</v>
      </c>
      <c r="D41" s="61" t="str">
        <f>IF(B41="","",IFERROR(VLOOKUP(B41,'ANÁLISE DE DADOS'!$A:$AM,2,0),""))</f>
        <v>Matriz</v>
      </c>
      <c r="E41" s="61" t="str">
        <f>IF(B41="","",IFERROR(VLOOKUP(B41,'ANÁLISE DE DADOS'!$A:$AM,3,0),""))</f>
        <v>Gamma &amp; CIA</v>
      </c>
      <c r="F41" s="61" t="str">
        <f>IF(B41="","",IFERROR(VLOOKUP(B41,'ANÁLISE DE DADOS'!$A:$AM,4,0),""))</f>
        <v>Gamma &amp; CIA</v>
      </c>
      <c r="G41" s="62">
        <f>IF(B41="","",IFERROR(VLOOKUP(B41,'ANÁLISE DE DADOS'!$A:$AM,5,0),""))</f>
        <v>45708</v>
      </c>
      <c r="H41" s="62" t="str">
        <f>IF(B41="","",IFERROR(VLOOKUP(B41,'ANÁLISE DE DADOS'!$A:$AM,6,0),""))</f>
        <v>fev-25</v>
      </c>
      <c r="I41" s="62" t="str">
        <f>IF(B41="","",IFERROR(VLOOKUP(B41,'ANÁLISE DE DADOS'!$A:$AM,7,0),""))</f>
        <v>2025</v>
      </c>
      <c r="J41" s="62">
        <f>IF(B41="","",IFERROR(VLOOKUP(B41,'ANÁLISE DE DADOS'!$A:$AM,8,0),""))</f>
        <v>45715</v>
      </c>
      <c r="K41" s="61" t="str">
        <f>IF(B41="","",IFERROR(VLOOKUP(B41,'ANÁLISE DE DADOS'!$A:$AM,9,0),""))</f>
        <v>fev-25</v>
      </c>
      <c r="L41" s="61" t="str">
        <f>IF(B41="","",IFERROR(VLOOKUP(B41,'ANÁLISE DE DADOS'!$A:$AM,10,0),""))</f>
        <v>2025</v>
      </c>
      <c r="M41" s="62">
        <f>IF(B41="","",IFERROR(VLOOKUP(B41,'ANÁLISE DE DADOS'!$A:$AM,11,0),""))</f>
        <v>45715</v>
      </c>
      <c r="N41" s="61" t="str">
        <f>IF(B41="","",IFERROR(VLOOKUP(B41,'ANÁLISE DE DADOS'!$A:$AM,12,0),""))</f>
        <v>fev-25</v>
      </c>
      <c r="O41" s="61" t="str">
        <f>IF(B41="","",IFERROR(VLOOKUP(B41,'ANÁLISE DE DADOS'!$A:$AM,13,0),""))</f>
        <v>2025</v>
      </c>
      <c r="P41" s="63">
        <f>IF(B41="","",IFERROR(VLOOKUP(B41,'ANÁLISE DE DADOS'!$A:$AM,14,0),""))</f>
        <v>1800</v>
      </c>
      <c r="Q41" s="61" t="str">
        <f>IF(B41="","",IFERROR(VLOOKUP(B41,'ANÁLISE DE DADOS'!$A:$AM,15,0),""))</f>
        <v>Sabrina</v>
      </c>
      <c r="R41" s="61" t="str">
        <f>IF(B41="","",IFERROR(VLOOKUP(B41,'ANÁLISE DE DADOS'!$A:$AM,16,0),""))</f>
        <v>ANALISTA GUSTAVO</v>
      </c>
      <c r="S41" s="61" t="str">
        <f>IF(B41="","",IFERROR(VLOOKUP(B41,'ANÁLISE DE DADOS'!$A:$AM,17,0),""))</f>
        <v>NÃO</v>
      </c>
      <c r="T41" s="61" t="str">
        <f>IF(B41="","",IFERROR(VLOOKUP(B41,'ANÁLISE DE DADOS'!$A:$AM,18,0),""))</f>
        <v>Cliente alegando dificuldades financeiras</v>
      </c>
      <c r="U41" s="61" t="str">
        <f ca="1">IF(B41="","",IFERROR(VLOOKUP(B41,'ANÁLISE DE DADOS'!$A:$AM,19,0),""))</f>
        <v>Vencido</v>
      </c>
      <c r="V41" s="61">
        <f ca="1">IF(B41="","",IFERROR(VLOOKUP(B41,'ANÁLISE DE DADOS'!$A:$AM,20,0),""))</f>
        <v>80</v>
      </c>
      <c r="W41" s="61" t="str">
        <f ca="1">IF(B41="","",IFERROR(VLOOKUP(B41,'ANÁLISE DE DADOS'!$A:$AM,21,0),""))</f>
        <v>61+ dias</v>
      </c>
      <c r="X41" s="61" t="str">
        <f ca="1">IF(B41="","",IFERROR(VLOOKUP(B41,'ANÁLISE DE DADOS'!$A:$AM,22,0),""))</f>
        <v>Atraso Crítico</v>
      </c>
      <c r="Y41" s="61" t="str">
        <f>IF(B41="","",IFERROR(VLOOKUP(B41,'ANÁLISE DE DADOS'!$A:$AM,23,0),""))</f>
        <v>-</v>
      </c>
      <c r="Z41" s="61" t="str">
        <f>IF(B41="","",IFERROR(VLOOKUP(B41,'ANÁLISE DE DADOS'!$A:$AM,24,0),""))</f>
        <v>Sim</v>
      </c>
      <c r="AA41" s="61">
        <f>IF(B41="","",IFERROR(VLOOKUP(B41,'ANÁLISE DE DADOS'!$A:$AM,25,0),""))</f>
        <v>0</v>
      </c>
      <c r="AB41" s="61">
        <f>IF(B41="","",IFERROR(VLOOKUP(B41,'ANÁLISE DE DADOS'!$A:$AM,26,0),""))</f>
        <v>1</v>
      </c>
      <c r="AC41" s="61" t="str">
        <f>IF(B41="","",IFERROR(VLOOKUP(B41,'ANÁLISE DE DADOS'!$A:$AM,27,0),""))</f>
        <v>Sim</v>
      </c>
      <c r="AD41" s="62">
        <f>IF(B41="","",IFERROR(VLOOKUP(B41,'ANÁLISE DE DADOS'!$A:$AM,28,0),""))</f>
        <v>45740</v>
      </c>
      <c r="AE41" s="61" t="str">
        <f>IF(B41="","",IFERROR(VLOOKUP(B41,'ANÁLISE DE DADOS'!$A:$AM,29,0),""))</f>
        <v>mar-25</v>
      </c>
      <c r="AF41" s="61" t="str">
        <f>IF(B41="","",IFERROR(VLOOKUP(B41,'ANÁLISE DE DADOS'!$A:$AM,30,0),""))</f>
        <v>2025</v>
      </c>
      <c r="AG41" s="62">
        <f>IF(B41="","",IFERROR(VLOOKUP(B41,'ANÁLISE DE DADOS'!$A:$AM,31,0),""))</f>
        <v>45740</v>
      </c>
      <c r="AH41" s="61" t="str">
        <f>IF(B41="","",IFERROR(VLOOKUP(B41,'ANÁLISE DE DADOS'!$A:$AM,32,0),""))</f>
        <v>mar-25</v>
      </c>
      <c r="AI41" s="61" t="str">
        <f>IF(B41="","",IFERROR(VLOOKUP(B41,'ANÁLISE DE DADOS'!$A:$AM,33,0),""))</f>
        <v>2025</v>
      </c>
      <c r="AJ41" s="61" t="str">
        <f>IF(B41="","",IFERROR(VLOOKUP(B41,'ANÁLISE DE DADOS'!$A:$AM,34,0),""))</f>
        <v>Acompanhando</v>
      </c>
      <c r="AK41" s="63">
        <f ca="1">IF(B41="","",IFERROR(VLOOKUP(B41,'ANÁLISE DE DADOS'!$A:$AM,35,0),""))</f>
        <v>1800</v>
      </c>
      <c r="AL41" s="63" t="str">
        <f ca="1">IF(B41="","",IFERROR(VLOOKUP(B41,'ANÁLISE DE DADOS'!$A:$AM,36,0),""))</f>
        <v>0</v>
      </c>
    </row>
    <row r="42" spans="2:38" x14ac:dyDescent="0.3">
      <c r="B42" s="30">
        <v>38</v>
      </c>
      <c r="C42" s="61">
        <f>IF(B42="","",IFERROR(VLOOKUP(B42,'ANÁLISE DE DADOS'!$A:$AM,1,0),""))</f>
        <v>38</v>
      </c>
      <c r="D42" s="61" t="str">
        <f>IF(B42="","",IFERROR(VLOOKUP(B42,'ANÁLISE DE DADOS'!$A:$AM,2,0),""))</f>
        <v>Matriz</v>
      </c>
      <c r="E42" s="61">
        <f>IF(B42="","",IFERROR(VLOOKUP(B42,'ANÁLISE DE DADOS'!$A:$AM,3,0),""))</f>
        <v>0</v>
      </c>
      <c r="F42" s="61" t="str">
        <f>IF(B42="","",IFERROR(VLOOKUP(B42,'ANÁLISE DE DADOS'!$A:$AM,4,0),""))</f>
        <v>SoftLink</v>
      </c>
      <c r="G42" s="62">
        <f>IF(B42="","",IFERROR(VLOOKUP(B42,'ANÁLISE DE DADOS'!$A:$AM,5,0),""))</f>
        <v>45708</v>
      </c>
      <c r="H42" s="62" t="str">
        <f>IF(B42="","",IFERROR(VLOOKUP(B42,'ANÁLISE DE DADOS'!$A:$AM,6,0),""))</f>
        <v>fev-25</v>
      </c>
      <c r="I42" s="62" t="str">
        <f>IF(B42="","",IFERROR(VLOOKUP(B42,'ANÁLISE DE DADOS'!$A:$AM,7,0),""))</f>
        <v>2025</v>
      </c>
      <c r="J42" s="62">
        <f>IF(B42="","",IFERROR(VLOOKUP(B42,'ANÁLISE DE DADOS'!$A:$AM,8,0),""))</f>
        <v>45715</v>
      </c>
      <c r="K42" s="61" t="str">
        <f>IF(B42="","",IFERROR(VLOOKUP(B42,'ANÁLISE DE DADOS'!$A:$AM,9,0),""))</f>
        <v>fev-25</v>
      </c>
      <c r="L42" s="61" t="str">
        <f>IF(B42="","",IFERROR(VLOOKUP(B42,'ANÁLISE DE DADOS'!$A:$AM,10,0),""))</f>
        <v>2025</v>
      </c>
      <c r="M42" s="62">
        <f>IF(B42="","",IFERROR(VLOOKUP(B42,'ANÁLISE DE DADOS'!$A:$AM,11,0),""))</f>
        <v>45715</v>
      </c>
      <c r="N42" s="61" t="str">
        <f>IF(B42="","",IFERROR(VLOOKUP(B42,'ANÁLISE DE DADOS'!$A:$AM,12,0),""))</f>
        <v>fev-25</v>
      </c>
      <c r="O42" s="61" t="str">
        <f>IF(B42="","",IFERROR(VLOOKUP(B42,'ANÁLISE DE DADOS'!$A:$AM,13,0),""))</f>
        <v>2025</v>
      </c>
      <c r="P42" s="63">
        <f>IF(B42="","",IFERROR(VLOOKUP(B42,'ANÁLISE DE DADOS'!$A:$AM,14,0),""))</f>
        <v>1800</v>
      </c>
      <c r="Q42" s="61" t="str">
        <f>IF(B42="","",IFERROR(VLOOKUP(B42,'ANÁLISE DE DADOS'!$A:$AM,15,0),""))</f>
        <v>Sabrina</v>
      </c>
      <c r="R42" s="61" t="str">
        <f>IF(B42="","",IFERROR(VLOOKUP(B42,'ANÁLISE DE DADOS'!$A:$AM,16,0),""))</f>
        <v>ANALISTA GUSTAVO</v>
      </c>
      <c r="S42" s="61" t="str">
        <f>IF(B42="","",IFERROR(VLOOKUP(B42,'ANÁLISE DE DADOS'!$A:$AM,17,0),""))</f>
        <v>NÃO</v>
      </c>
      <c r="T42" s="61" t="str">
        <f>IF(B42="","",IFERROR(VLOOKUP(B42,'ANÁLISE DE DADOS'!$A:$AM,18,0),""))</f>
        <v>Aguardando resolução interna da empresa</v>
      </c>
      <c r="U42" s="61" t="str">
        <f ca="1">IF(B42="","",IFERROR(VLOOKUP(B42,'ANÁLISE DE DADOS'!$A:$AM,19,0),""))</f>
        <v>Vencido</v>
      </c>
      <c r="V42" s="61">
        <f ca="1">IF(B42="","",IFERROR(VLOOKUP(B42,'ANÁLISE DE DADOS'!$A:$AM,20,0),""))</f>
        <v>80</v>
      </c>
      <c r="W42" s="61" t="str">
        <f ca="1">IF(B42="","",IFERROR(VLOOKUP(B42,'ANÁLISE DE DADOS'!$A:$AM,21,0),""))</f>
        <v>61+ dias</v>
      </c>
      <c r="X42" s="61" t="str">
        <f ca="1">IF(B42="","",IFERROR(VLOOKUP(B42,'ANÁLISE DE DADOS'!$A:$AM,22,0),""))</f>
        <v>Atraso Crítico</v>
      </c>
      <c r="Y42" s="61" t="str">
        <f>IF(B42="","",IFERROR(VLOOKUP(B42,'ANÁLISE DE DADOS'!$A:$AM,23,0),""))</f>
        <v>-</v>
      </c>
      <c r="Z42" s="61" t="str">
        <f>IF(B42="","",IFERROR(VLOOKUP(B42,'ANÁLISE DE DADOS'!$A:$AM,24,0),""))</f>
        <v>Sim</v>
      </c>
      <c r="AA42" s="61">
        <f>IF(B42="","",IFERROR(VLOOKUP(B42,'ANÁLISE DE DADOS'!$A:$AM,25,0),""))</f>
        <v>0</v>
      </c>
      <c r="AB42" s="61">
        <f>IF(B42="","",IFERROR(VLOOKUP(B42,'ANÁLISE DE DADOS'!$A:$AM,26,0),""))</f>
        <v>1</v>
      </c>
      <c r="AC42" s="61" t="str">
        <f>IF(B42="","",IFERROR(VLOOKUP(B42,'ANÁLISE DE DADOS'!$A:$AM,27,0),""))</f>
        <v>Sim</v>
      </c>
      <c r="AD42" s="62">
        <f>IF(B42="","",IFERROR(VLOOKUP(B42,'ANÁLISE DE DADOS'!$A:$AM,28,0),""))</f>
        <v>45740</v>
      </c>
      <c r="AE42" s="61" t="str">
        <f>IF(B42="","",IFERROR(VLOOKUP(B42,'ANÁLISE DE DADOS'!$A:$AM,29,0),""))</f>
        <v>mar-25</v>
      </c>
      <c r="AF42" s="61" t="str">
        <f>IF(B42="","",IFERROR(VLOOKUP(B42,'ANÁLISE DE DADOS'!$A:$AM,30,0),""))</f>
        <v>2025</v>
      </c>
      <c r="AG42" s="62">
        <f>IF(B42="","",IFERROR(VLOOKUP(B42,'ANÁLISE DE DADOS'!$A:$AM,31,0),""))</f>
        <v>45740</v>
      </c>
      <c r="AH42" s="61" t="str">
        <f>IF(B42="","",IFERROR(VLOOKUP(B42,'ANÁLISE DE DADOS'!$A:$AM,32,0),""))</f>
        <v>mar-25</v>
      </c>
      <c r="AI42" s="61" t="str">
        <f>IF(B42="","",IFERROR(VLOOKUP(B42,'ANÁLISE DE DADOS'!$A:$AM,33,0),""))</f>
        <v>2025</v>
      </c>
      <c r="AJ42" s="61" t="str">
        <f>IF(B42="","",IFERROR(VLOOKUP(B42,'ANÁLISE DE DADOS'!$A:$AM,34,0),""))</f>
        <v>Acompanhando</v>
      </c>
      <c r="AK42" s="63">
        <f ca="1">IF(B42="","",IFERROR(VLOOKUP(B42,'ANÁLISE DE DADOS'!$A:$AM,35,0),""))</f>
        <v>1800</v>
      </c>
      <c r="AL42" s="63" t="str">
        <f ca="1">IF(B42="","",IFERROR(VLOOKUP(B42,'ANÁLISE DE DADOS'!$A:$AM,36,0),""))</f>
        <v>0</v>
      </c>
    </row>
    <row r="43" spans="2:38" x14ac:dyDescent="0.3">
      <c r="B43" s="30">
        <v>39</v>
      </c>
      <c r="C43" s="61">
        <f>IF(B43="","",IFERROR(VLOOKUP(B43,'ANÁLISE DE DADOS'!$A:$AM,1,0),""))</f>
        <v>39</v>
      </c>
      <c r="D43" s="61" t="str">
        <f>IF(B43="","",IFERROR(VLOOKUP(B43,'ANÁLISE DE DADOS'!$A:$AM,2,0),""))</f>
        <v>Filial</v>
      </c>
      <c r="E43" s="61" t="str">
        <f>IF(B43="","",IFERROR(VLOOKUP(B43,'ANÁLISE DE DADOS'!$A:$AM,3,0),""))</f>
        <v>Gamma &amp; CIA</v>
      </c>
      <c r="F43" s="61" t="str">
        <f>IF(B43="","",IFERROR(VLOOKUP(B43,'ANÁLISE DE DADOS'!$A:$AM,4,0),""))</f>
        <v>Gamma &amp; CIA</v>
      </c>
      <c r="G43" s="62">
        <f>IF(B43="","",IFERROR(VLOOKUP(B43,'ANÁLISE DE DADOS'!$A:$AM,5,0),""))</f>
        <v>45713</v>
      </c>
      <c r="H43" s="62" t="str">
        <f>IF(B43="","",IFERROR(VLOOKUP(B43,'ANÁLISE DE DADOS'!$A:$AM,6,0),""))</f>
        <v>fev-25</v>
      </c>
      <c r="I43" s="62" t="str">
        <f>IF(B43="","",IFERROR(VLOOKUP(B43,'ANÁLISE DE DADOS'!$A:$AM,7,0),""))</f>
        <v>2025</v>
      </c>
      <c r="J43" s="62">
        <f>IF(B43="","",IFERROR(VLOOKUP(B43,'ANÁLISE DE DADOS'!$A:$AM,8,0),""))</f>
        <v>45715</v>
      </c>
      <c r="K43" s="61" t="str">
        <f>IF(B43="","",IFERROR(VLOOKUP(B43,'ANÁLISE DE DADOS'!$A:$AM,9,0),""))</f>
        <v>fev-25</v>
      </c>
      <c r="L43" s="61" t="str">
        <f>IF(B43="","",IFERROR(VLOOKUP(B43,'ANÁLISE DE DADOS'!$A:$AM,10,0),""))</f>
        <v>2025</v>
      </c>
      <c r="M43" s="62">
        <f>IF(B43="","",IFERROR(VLOOKUP(B43,'ANÁLISE DE DADOS'!$A:$AM,11,0),""))</f>
        <v>45715</v>
      </c>
      <c r="N43" s="61" t="str">
        <f>IF(B43="","",IFERROR(VLOOKUP(B43,'ANÁLISE DE DADOS'!$A:$AM,12,0),""))</f>
        <v>fev-25</v>
      </c>
      <c r="O43" s="61" t="str">
        <f>IF(B43="","",IFERROR(VLOOKUP(B43,'ANÁLISE DE DADOS'!$A:$AM,13,0),""))</f>
        <v>2025</v>
      </c>
      <c r="P43" s="63">
        <f>IF(B43="","",IFERROR(VLOOKUP(B43,'ANÁLISE DE DADOS'!$A:$AM,14,0),""))</f>
        <v>2500</v>
      </c>
      <c r="Q43" s="61" t="str">
        <f>IF(B43="","",IFERROR(VLOOKUP(B43,'ANÁLISE DE DADOS'!$A:$AM,15,0),""))</f>
        <v>Marcos</v>
      </c>
      <c r="R43" s="61" t="str">
        <f>IF(B43="","",IFERROR(VLOOKUP(B43,'ANÁLISE DE DADOS'!$A:$AM,16,0),""))</f>
        <v>ANALISTA GUSTAVO</v>
      </c>
      <c r="S43" s="61" t="str">
        <f>IF(B43="","",IFERROR(VLOOKUP(B43,'ANÁLISE DE DADOS'!$A:$AM,17,0),""))</f>
        <v>NÃO</v>
      </c>
      <c r="T43" s="61" t="str">
        <f>IF(B43="","",IFERROR(VLOOKUP(B43,'ANÁLISE DE DADOS'!$A:$AM,18,0),""))</f>
        <v>Promessa de pagamento não cumprida</v>
      </c>
      <c r="U43" s="61" t="str">
        <f ca="1">IF(B43="","",IFERROR(VLOOKUP(B43,'ANÁLISE DE DADOS'!$A:$AM,19,0),""))</f>
        <v>Vencido</v>
      </c>
      <c r="V43" s="61">
        <f ca="1">IF(B43="","",IFERROR(VLOOKUP(B43,'ANÁLISE DE DADOS'!$A:$AM,20,0),""))</f>
        <v>80</v>
      </c>
      <c r="W43" s="61" t="str">
        <f ca="1">IF(B43="","",IFERROR(VLOOKUP(B43,'ANÁLISE DE DADOS'!$A:$AM,21,0),""))</f>
        <v>61+ dias</v>
      </c>
      <c r="X43" s="61" t="str">
        <f ca="1">IF(B43="","",IFERROR(VLOOKUP(B43,'ANÁLISE DE DADOS'!$A:$AM,22,0),""))</f>
        <v>Atraso Crítico</v>
      </c>
      <c r="Y43" s="61" t="str">
        <f>IF(B43="","",IFERROR(VLOOKUP(B43,'ANÁLISE DE DADOS'!$A:$AM,23,0),""))</f>
        <v>-</v>
      </c>
      <c r="Z43" s="61" t="str">
        <f>IF(B43="","",IFERROR(VLOOKUP(B43,'ANÁLISE DE DADOS'!$A:$AM,24,0),""))</f>
        <v>Sim</v>
      </c>
      <c r="AA43" s="61">
        <f>IF(B43="","",IFERROR(VLOOKUP(B43,'ANÁLISE DE DADOS'!$A:$AM,25,0),""))</f>
        <v>0</v>
      </c>
      <c r="AB43" s="61">
        <f>IF(B43="","",IFERROR(VLOOKUP(B43,'ANÁLISE DE DADOS'!$A:$AM,26,0),""))</f>
        <v>1</v>
      </c>
      <c r="AC43" s="61" t="str">
        <f>IF(B43="","",IFERROR(VLOOKUP(B43,'ANÁLISE DE DADOS'!$A:$AM,27,0),""))</f>
        <v>Sim</v>
      </c>
      <c r="AD43" s="62">
        <f>IF(B43="","",IFERROR(VLOOKUP(B43,'ANÁLISE DE DADOS'!$A:$AM,28,0),""))</f>
        <v>45740</v>
      </c>
      <c r="AE43" s="61" t="str">
        <f>IF(B43="","",IFERROR(VLOOKUP(B43,'ANÁLISE DE DADOS'!$A:$AM,29,0),""))</f>
        <v>mar-25</v>
      </c>
      <c r="AF43" s="61" t="str">
        <f>IF(B43="","",IFERROR(VLOOKUP(B43,'ANÁLISE DE DADOS'!$A:$AM,30,0),""))</f>
        <v>2025</v>
      </c>
      <c r="AG43" s="62">
        <f>IF(B43="","",IFERROR(VLOOKUP(B43,'ANÁLISE DE DADOS'!$A:$AM,31,0),""))</f>
        <v>45740</v>
      </c>
      <c r="AH43" s="61" t="str">
        <f>IF(B43="","",IFERROR(VLOOKUP(B43,'ANÁLISE DE DADOS'!$A:$AM,32,0),""))</f>
        <v>mar-25</v>
      </c>
      <c r="AI43" s="61" t="str">
        <f>IF(B43="","",IFERROR(VLOOKUP(B43,'ANÁLISE DE DADOS'!$A:$AM,33,0),""))</f>
        <v>2025</v>
      </c>
      <c r="AJ43" s="61" t="str">
        <f>IF(B43="","",IFERROR(VLOOKUP(B43,'ANÁLISE DE DADOS'!$A:$AM,34,0),""))</f>
        <v>Acompanhando</v>
      </c>
      <c r="AK43" s="63">
        <f ca="1">IF(B43="","",IFERROR(VLOOKUP(B43,'ANÁLISE DE DADOS'!$A:$AM,35,0),""))</f>
        <v>2500</v>
      </c>
      <c r="AL43" s="63" t="str">
        <f ca="1">IF(B43="","",IFERROR(VLOOKUP(B43,'ANÁLISE DE DADOS'!$A:$AM,36,0),""))</f>
        <v>0</v>
      </c>
    </row>
    <row r="44" spans="2:38" x14ac:dyDescent="0.3">
      <c r="B44" s="30">
        <v>40</v>
      </c>
      <c r="C44" s="61">
        <f>IF(B44="","",IFERROR(VLOOKUP(B44,'ANÁLISE DE DADOS'!$A:$AM,1,0),""))</f>
        <v>40</v>
      </c>
      <c r="D44" s="61" t="str">
        <f>IF(B44="","",IFERROR(VLOOKUP(B44,'ANÁLISE DE DADOS'!$A:$AM,2,0),""))</f>
        <v>Filial</v>
      </c>
      <c r="E44" s="61">
        <f>IF(B44="","",IFERROR(VLOOKUP(B44,'ANÁLISE DE DADOS'!$A:$AM,3,0),""))</f>
        <v>0</v>
      </c>
      <c r="F44" s="61" t="str">
        <f>IF(B44="","",IFERROR(VLOOKUP(B44,'ANÁLISE DE DADOS'!$A:$AM,4,0),""))</f>
        <v>SoftLink</v>
      </c>
      <c r="G44" s="62">
        <f>IF(B44="","",IFERROR(VLOOKUP(B44,'ANÁLISE DE DADOS'!$A:$AM,5,0),""))</f>
        <v>45713</v>
      </c>
      <c r="H44" s="62" t="str">
        <f>IF(B44="","",IFERROR(VLOOKUP(B44,'ANÁLISE DE DADOS'!$A:$AM,6,0),""))</f>
        <v>fev-25</v>
      </c>
      <c r="I44" s="62" t="str">
        <f>IF(B44="","",IFERROR(VLOOKUP(B44,'ANÁLISE DE DADOS'!$A:$AM,7,0),""))</f>
        <v>2025</v>
      </c>
      <c r="J44" s="62">
        <f>IF(B44="","",IFERROR(VLOOKUP(B44,'ANÁLISE DE DADOS'!$A:$AM,8,0),""))</f>
        <v>45715</v>
      </c>
      <c r="K44" s="61" t="str">
        <f>IF(B44="","",IFERROR(VLOOKUP(B44,'ANÁLISE DE DADOS'!$A:$AM,9,0),""))</f>
        <v>fev-25</v>
      </c>
      <c r="L44" s="61" t="str">
        <f>IF(B44="","",IFERROR(VLOOKUP(B44,'ANÁLISE DE DADOS'!$A:$AM,10,0),""))</f>
        <v>2025</v>
      </c>
      <c r="M44" s="62">
        <f>IF(B44="","",IFERROR(VLOOKUP(B44,'ANÁLISE DE DADOS'!$A:$AM,11,0),""))</f>
        <v>45715</v>
      </c>
      <c r="N44" s="61" t="str">
        <f>IF(B44="","",IFERROR(VLOOKUP(B44,'ANÁLISE DE DADOS'!$A:$AM,12,0),""))</f>
        <v>fev-25</v>
      </c>
      <c r="O44" s="61" t="str">
        <f>IF(B44="","",IFERROR(VLOOKUP(B44,'ANÁLISE DE DADOS'!$A:$AM,13,0),""))</f>
        <v>2025</v>
      </c>
      <c r="P44" s="63">
        <f>IF(B44="","",IFERROR(VLOOKUP(B44,'ANÁLISE DE DADOS'!$A:$AM,14,0),""))</f>
        <v>2500</v>
      </c>
      <c r="Q44" s="61" t="str">
        <f>IF(B44="","",IFERROR(VLOOKUP(B44,'ANÁLISE DE DADOS'!$A:$AM,15,0),""))</f>
        <v>Marcos</v>
      </c>
      <c r="R44" s="61" t="str">
        <f>IF(B44="","",IFERROR(VLOOKUP(B44,'ANÁLISE DE DADOS'!$A:$AM,16,0),""))</f>
        <v>ANALISTA GUSTAVO</v>
      </c>
      <c r="S44" s="61" t="str">
        <f>IF(B44="","",IFERROR(VLOOKUP(B44,'ANÁLISE DE DADOS'!$A:$AM,17,0),""))</f>
        <v>NÃO</v>
      </c>
      <c r="T44" s="61" t="str">
        <f>IF(B44="","",IFERROR(VLOOKUP(B44,'ANÁLISE DE DADOS'!$A:$AM,18,0),""))</f>
        <v>Acordo de pagamento pendente</v>
      </c>
      <c r="U44" s="61" t="str">
        <f ca="1">IF(B44="","",IFERROR(VLOOKUP(B44,'ANÁLISE DE DADOS'!$A:$AM,19,0),""))</f>
        <v>Vencido</v>
      </c>
      <c r="V44" s="61">
        <f ca="1">IF(B44="","",IFERROR(VLOOKUP(B44,'ANÁLISE DE DADOS'!$A:$AM,20,0),""))</f>
        <v>80</v>
      </c>
      <c r="W44" s="61" t="str">
        <f ca="1">IF(B44="","",IFERROR(VLOOKUP(B44,'ANÁLISE DE DADOS'!$A:$AM,21,0),""))</f>
        <v>61+ dias</v>
      </c>
      <c r="X44" s="61" t="str">
        <f ca="1">IF(B44="","",IFERROR(VLOOKUP(B44,'ANÁLISE DE DADOS'!$A:$AM,22,0),""))</f>
        <v>Atraso Crítico</v>
      </c>
      <c r="Y44" s="61" t="str">
        <f>IF(B44="","",IFERROR(VLOOKUP(B44,'ANÁLISE DE DADOS'!$A:$AM,23,0),""))</f>
        <v>-</v>
      </c>
      <c r="Z44" s="61" t="str">
        <f>IF(B44="","",IFERROR(VLOOKUP(B44,'ANÁLISE DE DADOS'!$A:$AM,24,0),""))</f>
        <v>Sim</v>
      </c>
      <c r="AA44" s="61">
        <f>IF(B44="","",IFERROR(VLOOKUP(B44,'ANÁLISE DE DADOS'!$A:$AM,25,0),""))</f>
        <v>0</v>
      </c>
      <c r="AB44" s="61">
        <f>IF(B44="","",IFERROR(VLOOKUP(B44,'ANÁLISE DE DADOS'!$A:$AM,26,0),""))</f>
        <v>1</v>
      </c>
      <c r="AC44" s="61" t="str">
        <f>IF(B44="","",IFERROR(VLOOKUP(B44,'ANÁLISE DE DADOS'!$A:$AM,27,0),""))</f>
        <v>Sim</v>
      </c>
      <c r="AD44" s="62">
        <f>IF(B44="","",IFERROR(VLOOKUP(B44,'ANÁLISE DE DADOS'!$A:$AM,28,0),""))</f>
        <v>45740</v>
      </c>
      <c r="AE44" s="61" t="str">
        <f>IF(B44="","",IFERROR(VLOOKUP(B44,'ANÁLISE DE DADOS'!$A:$AM,29,0),""))</f>
        <v>mar-25</v>
      </c>
      <c r="AF44" s="61" t="str">
        <f>IF(B44="","",IFERROR(VLOOKUP(B44,'ANÁLISE DE DADOS'!$A:$AM,30,0),""))</f>
        <v>2025</v>
      </c>
      <c r="AG44" s="62">
        <f>IF(B44="","",IFERROR(VLOOKUP(B44,'ANÁLISE DE DADOS'!$A:$AM,31,0),""))</f>
        <v>45740</v>
      </c>
      <c r="AH44" s="61" t="str">
        <f>IF(B44="","",IFERROR(VLOOKUP(B44,'ANÁLISE DE DADOS'!$A:$AM,32,0),""))</f>
        <v>mar-25</v>
      </c>
      <c r="AI44" s="61" t="str">
        <f>IF(B44="","",IFERROR(VLOOKUP(B44,'ANÁLISE DE DADOS'!$A:$AM,33,0),""))</f>
        <v>2025</v>
      </c>
      <c r="AJ44" s="61" t="str">
        <f>IF(B44="","",IFERROR(VLOOKUP(B44,'ANÁLISE DE DADOS'!$A:$AM,34,0),""))</f>
        <v>Acompanhando</v>
      </c>
      <c r="AK44" s="63">
        <f ca="1">IF(B44="","",IFERROR(VLOOKUP(B44,'ANÁLISE DE DADOS'!$A:$AM,35,0),""))</f>
        <v>2500</v>
      </c>
      <c r="AL44" s="63" t="str">
        <f ca="1">IF(B44="","",IFERROR(VLOOKUP(B44,'ANÁLISE DE DADOS'!$A:$AM,36,0),""))</f>
        <v>0</v>
      </c>
    </row>
    <row r="45" spans="2:38" x14ac:dyDescent="0.3">
      <c r="B45" s="30">
        <v>41</v>
      </c>
      <c r="C45" s="61">
        <f>IF(B45="","",IFERROR(VLOOKUP(B45,'ANÁLISE DE DADOS'!$A:$AM,1,0),""))</f>
        <v>41</v>
      </c>
      <c r="D45" s="61" t="str">
        <f>IF(B45="","",IFERROR(VLOOKUP(B45,'ANÁLISE DE DADOS'!$A:$AM,2,0),""))</f>
        <v>Matriz</v>
      </c>
      <c r="E45" s="61">
        <f>IF(B45="","",IFERROR(VLOOKUP(B45,'ANÁLISE DE DADOS'!$A:$AM,3,0),""))</f>
        <v>0</v>
      </c>
      <c r="F45" s="61" t="str">
        <f>IF(B45="","",IFERROR(VLOOKUP(B45,'ANÁLISE DE DADOS'!$A:$AM,4,0),""))</f>
        <v>SoftLink</v>
      </c>
      <c r="G45" s="62">
        <f>IF(B45="","",IFERROR(VLOOKUP(B45,'ANÁLISE DE DADOS'!$A:$AM,5,0),""))</f>
        <v>45714</v>
      </c>
      <c r="H45" s="62" t="str">
        <f>IF(B45="","",IFERROR(VLOOKUP(B45,'ANÁLISE DE DADOS'!$A:$AM,6,0),""))</f>
        <v>fev-25</v>
      </c>
      <c r="I45" s="62" t="str">
        <f>IF(B45="","",IFERROR(VLOOKUP(B45,'ANÁLISE DE DADOS'!$A:$AM,7,0),""))</f>
        <v>2025</v>
      </c>
      <c r="J45" s="62">
        <f>IF(B45="","",IFERROR(VLOOKUP(B45,'ANÁLISE DE DADOS'!$A:$AM,8,0),""))</f>
        <v>45715</v>
      </c>
      <c r="K45" s="61" t="str">
        <f>IF(B45="","",IFERROR(VLOOKUP(B45,'ANÁLISE DE DADOS'!$A:$AM,9,0),""))</f>
        <v>fev-25</v>
      </c>
      <c r="L45" s="61" t="str">
        <f>IF(B45="","",IFERROR(VLOOKUP(B45,'ANÁLISE DE DADOS'!$A:$AM,10,0),""))</f>
        <v>2025</v>
      </c>
      <c r="M45" s="62">
        <f>IF(B45="","",IFERROR(VLOOKUP(B45,'ANÁLISE DE DADOS'!$A:$AM,11,0),""))</f>
        <v>45715</v>
      </c>
      <c r="N45" s="61" t="str">
        <f>IF(B45="","",IFERROR(VLOOKUP(B45,'ANÁLISE DE DADOS'!$A:$AM,12,0),""))</f>
        <v>fev-25</v>
      </c>
      <c r="O45" s="61" t="str">
        <f>IF(B45="","",IFERROR(VLOOKUP(B45,'ANÁLISE DE DADOS'!$A:$AM,13,0),""))</f>
        <v>2025</v>
      </c>
      <c r="P45" s="63">
        <f>IF(B45="","",IFERROR(VLOOKUP(B45,'ANÁLISE DE DADOS'!$A:$AM,14,0),""))</f>
        <v>1400</v>
      </c>
      <c r="Q45" s="61" t="str">
        <f>IF(B45="","",IFERROR(VLOOKUP(B45,'ANÁLISE DE DADOS'!$A:$AM,15,0),""))</f>
        <v>João</v>
      </c>
      <c r="R45" s="61" t="str">
        <f>IF(B45="","",IFERROR(VLOOKUP(B45,'ANÁLISE DE DADOS'!$A:$AM,16,0),""))</f>
        <v>ANALISTA GUSTAVO</v>
      </c>
      <c r="S45" s="61" t="str">
        <f>IF(B45="","",IFERROR(VLOOKUP(B45,'ANÁLISE DE DADOS'!$A:$AM,17,0),""))</f>
        <v>NÃO</v>
      </c>
      <c r="T45" s="61" t="str">
        <f>IF(B45="","",IFERROR(VLOOKUP(B45,'ANÁLISE DE DADOS'!$A:$AM,18,0),""))</f>
        <v>Situação com comercial (aguardando análise comercial)</v>
      </c>
      <c r="U45" s="61" t="str">
        <f ca="1">IF(B45="","",IFERROR(VLOOKUP(B45,'ANÁLISE DE DADOS'!$A:$AM,19,0),""))</f>
        <v>Vencido</v>
      </c>
      <c r="V45" s="61">
        <f ca="1">IF(B45="","",IFERROR(VLOOKUP(B45,'ANÁLISE DE DADOS'!$A:$AM,20,0),""))</f>
        <v>80</v>
      </c>
      <c r="W45" s="61" t="str">
        <f ca="1">IF(B45="","",IFERROR(VLOOKUP(B45,'ANÁLISE DE DADOS'!$A:$AM,21,0),""))</f>
        <v>61+ dias</v>
      </c>
      <c r="X45" s="61" t="str">
        <f ca="1">IF(B45="","",IFERROR(VLOOKUP(B45,'ANÁLISE DE DADOS'!$A:$AM,22,0),""))</f>
        <v>Atraso Crítico</v>
      </c>
      <c r="Y45" s="61" t="str">
        <f>IF(B45="","",IFERROR(VLOOKUP(B45,'ANÁLISE DE DADOS'!$A:$AM,23,0),""))</f>
        <v>-</v>
      </c>
      <c r="Z45" s="61" t="str">
        <f>IF(B45="","",IFERROR(VLOOKUP(B45,'ANÁLISE DE DADOS'!$A:$AM,24,0),""))</f>
        <v>Sim</v>
      </c>
      <c r="AA45" s="61">
        <f>IF(B45="","",IFERROR(VLOOKUP(B45,'ANÁLISE DE DADOS'!$A:$AM,25,0),""))</f>
        <v>0</v>
      </c>
      <c r="AB45" s="61">
        <f>IF(B45="","",IFERROR(VLOOKUP(B45,'ANÁLISE DE DADOS'!$A:$AM,26,0),""))</f>
        <v>1</v>
      </c>
      <c r="AC45" s="61" t="str">
        <f>IF(B45="","",IFERROR(VLOOKUP(B45,'ANÁLISE DE DADOS'!$A:$AM,27,0),""))</f>
        <v>Sim</v>
      </c>
      <c r="AD45" s="62">
        <f>IF(B45="","",IFERROR(VLOOKUP(B45,'ANÁLISE DE DADOS'!$A:$AM,28,0),""))</f>
        <v>45740</v>
      </c>
      <c r="AE45" s="61" t="str">
        <f>IF(B45="","",IFERROR(VLOOKUP(B45,'ANÁLISE DE DADOS'!$A:$AM,29,0),""))</f>
        <v>mar-25</v>
      </c>
      <c r="AF45" s="61" t="str">
        <f>IF(B45="","",IFERROR(VLOOKUP(B45,'ANÁLISE DE DADOS'!$A:$AM,30,0),""))</f>
        <v>2025</v>
      </c>
      <c r="AG45" s="62">
        <f>IF(B45="","",IFERROR(VLOOKUP(B45,'ANÁLISE DE DADOS'!$A:$AM,31,0),""))</f>
        <v>45740</v>
      </c>
      <c r="AH45" s="61" t="str">
        <f>IF(B45="","",IFERROR(VLOOKUP(B45,'ANÁLISE DE DADOS'!$A:$AM,32,0),""))</f>
        <v>mar-25</v>
      </c>
      <c r="AI45" s="61" t="str">
        <f>IF(B45="","",IFERROR(VLOOKUP(B45,'ANÁLISE DE DADOS'!$A:$AM,33,0),""))</f>
        <v>2025</v>
      </c>
      <c r="AJ45" s="61" t="str">
        <f>IF(B45="","",IFERROR(VLOOKUP(B45,'ANÁLISE DE DADOS'!$A:$AM,34,0),""))</f>
        <v>Acompanhando</v>
      </c>
      <c r="AK45" s="63">
        <f ca="1">IF(B45="","",IFERROR(VLOOKUP(B45,'ANÁLISE DE DADOS'!$A:$AM,35,0),""))</f>
        <v>1400</v>
      </c>
      <c r="AL45" s="63" t="str">
        <f ca="1">IF(B45="","",IFERROR(VLOOKUP(B45,'ANÁLISE DE DADOS'!$A:$AM,36,0),""))</f>
        <v>0</v>
      </c>
    </row>
    <row r="46" spans="2:38" x14ac:dyDescent="0.3">
      <c r="B46" s="30">
        <v>42</v>
      </c>
      <c r="C46" s="61">
        <f>IF(B46="","",IFERROR(VLOOKUP(B46,'ANÁLISE DE DADOS'!$A:$AM,1,0),""))</f>
        <v>42</v>
      </c>
      <c r="D46" s="61" t="str">
        <f>IF(B46="","",IFERROR(VLOOKUP(B46,'ANÁLISE DE DADOS'!$A:$AM,2,0),""))</f>
        <v>Filial</v>
      </c>
      <c r="E46" s="61">
        <f>IF(B46="","",IFERROR(VLOOKUP(B46,'ANÁLISE DE DADOS'!$A:$AM,3,0),""))</f>
        <v>0</v>
      </c>
      <c r="F46" s="61" t="str">
        <f>IF(B46="","",IFERROR(VLOOKUP(B46,'ANÁLISE DE DADOS'!$A:$AM,4,0),""))</f>
        <v>GlobalTech</v>
      </c>
      <c r="G46" s="62">
        <f>IF(B46="","",IFERROR(VLOOKUP(B46,'ANÁLISE DE DADOS'!$A:$AM,5,0),""))</f>
        <v>45716</v>
      </c>
      <c r="H46" s="62" t="str">
        <f>IF(B46="","",IFERROR(VLOOKUP(B46,'ANÁLISE DE DADOS'!$A:$AM,6,0),""))</f>
        <v>fev-25</v>
      </c>
      <c r="I46" s="62" t="str">
        <f>IF(B46="","",IFERROR(VLOOKUP(B46,'ANÁLISE DE DADOS'!$A:$AM,7,0),""))</f>
        <v>2025</v>
      </c>
      <c r="J46" s="62">
        <f>IF(B46="","",IFERROR(VLOOKUP(B46,'ANÁLISE DE DADOS'!$A:$AM,8,0),""))</f>
        <v>45744</v>
      </c>
      <c r="K46" s="61" t="str">
        <f>IF(B46="","",IFERROR(VLOOKUP(B46,'ANÁLISE DE DADOS'!$A:$AM,9,0),""))</f>
        <v>mar-25</v>
      </c>
      <c r="L46" s="61" t="str">
        <f>IF(B46="","",IFERROR(VLOOKUP(B46,'ANÁLISE DE DADOS'!$A:$AM,10,0),""))</f>
        <v>2025</v>
      </c>
      <c r="M46" s="62">
        <f>IF(B46="","",IFERROR(VLOOKUP(B46,'ANÁLISE DE DADOS'!$A:$AM,11,0),""))</f>
        <v>45744</v>
      </c>
      <c r="N46" s="61" t="str">
        <f>IF(B46="","",IFERROR(VLOOKUP(B46,'ANÁLISE DE DADOS'!$A:$AM,12,0),""))</f>
        <v>mar-25</v>
      </c>
      <c r="O46" s="61" t="str">
        <f>IF(B46="","",IFERROR(VLOOKUP(B46,'ANÁLISE DE DADOS'!$A:$AM,13,0),""))</f>
        <v>2025</v>
      </c>
      <c r="P46" s="63">
        <f>IF(B46="","",IFERROR(VLOOKUP(B46,'ANÁLISE DE DADOS'!$A:$AM,14,0),""))</f>
        <v>2300</v>
      </c>
      <c r="Q46" s="61" t="str">
        <f>IF(B46="","",IFERROR(VLOOKUP(B46,'ANÁLISE DE DADOS'!$A:$AM,15,0),""))</f>
        <v>Maria</v>
      </c>
      <c r="R46" s="61" t="str">
        <f>IF(B46="","",IFERROR(VLOOKUP(B46,'ANÁLISE DE DADOS'!$A:$AM,16,0),""))</f>
        <v>ANALISTA GUSTAVO</v>
      </c>
      <c r="S46" s="61" t="str">
        <f>IF(B46="","",IFERROR(VLOOKUP(B46,'ANÁLISE DE DADOS'!$A:$AM,17,0),""))</f>
        <v>NÃO</v>
      </c>
      <c r="T46" s="61" t="str">
        <f>IF(B46="","",IFERROR(VLOOKUP(B46,'ANÁLISE DE DADOS'!$A:$AM,18,0),""))</f>
        <v>Acordo em andamento (aguardando pagamento)</v>
      </c>
      <c r="U46" s="61" t="str">
        <f ca="1">IF(B46="","",IFERROR(VLOOKUP(B46,'ANÁLISE DE DADOS'!$A:$AM,19,0),""))</f>
        <v>Vencido</v>
      </c>
      <c r="V46" s="61">
        <f ca="1">IF(B46="","",IFERROR(VLOOKUP(B46,'ANÁLISE DE DADOS'!$A:$AM,20,0),""))</f>
        <v>51</v>
      </c>
      <c r="W46" s="61" t="str">
        <f ca="1">IF(B46="","",IFERROR(VLOOKUP(B46,'ANÁLISE DE DADOS'!$A:$AM,21,0),""))</f>
        <v>31-60 dias</v>
      </c>
      <c r="X46" s="61" t="str">
        <f ca="1">IF(B46="","",IFERROR(VLOOKUP(B46,'ANÁLISE DE DADOS'!$A:$AM,22,0),""))</f>
        <v>Atraso Médio</v>
      </c>
      <c r="Y46" s="61" t="str">
        <f>IF(B46="","",IFERROR(VLOOKUP(B46,'ANÁLISE DE DADOS'!$A:$AM,23,0),""))</f>
        <v>-</v>
      </c>
      <c r="Z46" s="61" t="str">
        <f>IF(B46="","",IFERROR(VLOOKUP(B46,'ANÁLISE DE DADOS'!$A:$AM,24,0),""))</f>
        <v>Não</v>
      </c>
      <c r="AA46" s="61">
        <f>IF(B46="","",IFERROR(VLOOKUP(B46,'ANÁLISE DE DADOS'!$A:$AM,25,0),""))</f>
        <v>0</v>
      </c>
      <c r="AB46" s="61">
        <f>IF(B46="","",IFERROR(VLOOKUP(B46,'ANÁLISE DE DADOS'!$A:$AM,26,0),""))</f>
        <v>0</v>
      </c>
      <c r="AC46" s="61" t="str">
        <f>IF(B46="","",IFERROR(VLOOKUP(B46,'ANÁLISE DE DADOS'!$A:$AM,27,0),""))</f>
        <v>Não</v>
      </c>
      <c r="AD46" s="62">
        <f>IF(B46="","",IFERROR(VLOOKUP(B46,'ANÁLISE DE DADOS'!$A:$AM,28,0),""))</f>
        <v>45745</v>
      </c>
      <c r="AE46" s="61" t="str">
        <f>IF(B46="","",IFERROR(VLOOKUP(B46,'ANÁLISE DE DADOS'!$A:$AM,29,0),""))</f>
        <v>mar-25</v>
      </c>
      <c r="AF46" s="61" t="str">
        <f>IF(B46="","",IFERROR(VLOOKUP(B46,'ANÁLISE DE DADOS'!$A:$AM,30,0),""))</f>
        <v>2025</v>
      </c>
      <c r="AG46" s="62">
        <f>IF(B46="","",IFERROR(VLOOKUP(B46,'ANÁLISE DE DADOS'!$A:$AM,31,0),""))</f>
        <v>45745</v>
      </c>
      <c r="AH46" s="61" t="str">
        <f>IF(B46="","",IFERROR(VLOOKUP(B46,'ANÁLISE DE DADOS'!$A:$AM,32,0),""))</f>
        <v>mar-25</v>
      </c>
      <c r="AI46" s="61" t="str">
        <f>IF(B46="","",IFERROR(VLOOKUP(B46,'ANÁLISE DE DADOS'!$A:$AM,33,0),""))</f>
        <v>2025</v>
      </c>
      <c r="AJ46" s="61" t="str">
        <f>IF(B46="","",IFERROR(VLOOKUP(B46,'ANÁLISE DE DADOS'!$A:$AM,34,0),""))</f>
        <v>Acompanhando</v>
      </c>
      <c r="AK46" s="63">
        <f ca="1">IF(B46="","",IFERROR(VLOOKUP(B46,'ANÁLISE DE DADOS'!$A:$AM,35,0),""))</f>
        <v>2300</v>
      </c>
      <c r="AL46" s="63" t="str">
        <f ca="1">IF(B46="","",IFERROR(VLOOKUP(B46,'ANÁLISE DE DADOS'!$A:$AM,36,0),""))</f>
        <v>0</v>
      </c>
    </row>
    <row r="47" spans="2:38" x14ac:dyDescent="0.3">
      <c r="B47" s="30">
        <v>43</v>
      </c>
      <c r="C47" s="61">
        <f>IF(B47="","",IFERROR(VLOOKUP(B47,'ANÁLISE DE DADOS'!$A:$AM,1,0),""))</f>
        <v>43</v>
      </c>
      <c r="D47" s="61" t="str">
        <f>IF(B47="","",IFERROR(VLOOKUP(B47,'ANÁLISE DE DADOS'!$A:$AM,2,0),""))</f>
        <v>Matriz</v>
      </c>
      <c r="E47" s="61">
        <f>IF(B47="","",IFERROR(VLOOKUP(B47,'ANÁLISE DE DADOS'!$A:$AM,3,0),""))</f>
        <v>0</v>
      </c>
      <c r="F47" s="61" t="str">
        <f>IF(B47="","",IFERROR(VLOOKUP(B47,'ANÁLISE DE DADOS'!$A:$AM,4,0),""))</f>
        <v>SoftLink</v>
      </c>
      <c r="G47" s="62">
        <f>IF(B47="","",IFERROR(VLOOKUP(B47,'ANÁLISE DE DADOS'!$A:$AM,5,0),""))</f>
        <v>45718</v>
      </c>
      <c r="H47" s="62" t="str">
        <f>IF(B47="","",IFERROR(VLOOKUP(B47,'ANÁLISE DE DADOS'!$A:$AM,6,0),""))</f>
        <v>mar-25</v>
      </c>
      <c r="I47" s="62" t="str">
        <f>IF(B47="","",IFERROR(VLOOKUP(B47,'ANÁLISE DE DADOS'!$A:$AM,7,0),""))</f>
        <v>2025</v>
      </c>
      <c r="J47" s="62">
        <f>IF(B47="","",IFERROR(VLOOKUP(B47,'ANÁLISE DE DADOS'!$A:$AM,8,0),""))</f>
        <v>45729</v>
      </c>
      <c r="K47" s="61" t="str">
        <f>IF(B47="","",IFERROR(VLOOKUP(B47,'ANÁLISE DE DADOS'!$A:$AM,9,0),""))</f>
        <v>mar-25</v>
      </c>
      <c r="L47" s="61" t="str">
        <f>IF(B47="","",IFERROR(VLOOKUP(B47,'ANÁLISE DE DADOS'!$A:$AM,10,0),""))</f>
        <v>2025</v>
      </c>
      <c r="M47" s="62">
        <f>IF(B47="","",IFERROR(VLOOKUP(B47,'ANÁLISE DE DADOS'!$A:$AM,11,0),""))</f>
        <v>45729</v>
      </c>
      <c r="N47" s="61" t="str">
        <f>IF(B47="","",IFERROR(VLOOKUP(B47,'ANÁLISE DE DADOS'!$A:$AM,12,0),""))</f>
        <v>mar-25</v>
      </c>
      <c r="O47" s="61" t="str">
        <f>IF(B47="","",IFERROR(VLOOKUP(B47,'ANÁLISE DE DADOS'!$A:$AM,13,0),""))</f>
        <v>2025</v>
      </c>
      <c r="P47" s="63">
        <f>IF(B47="","",IFERROR(VLOOKUP(B47,'ANÁLISE DE DADOS'!$A:$AM,14,0),""))</f>
        <v>3000</v>
      </c>
      <c r="Q47" s="61" t="str">
        <f>IF(B47="","",IFERROR(VLOOKUP(B47,'ANÁLISE DE DADOS'!$A:$AM,15,0),""))</f>
        <v>Carlos</v>
      </c>
      <c r="R47" s="61" t="str">
        <f>IF(B47="","",IFERROR(VLOOKUP(B47,'ANÁLISE DE DADOS'!$A:$AM,16,0),""))</f>
        <v>ANALISTA GUSTAVO</v>
      </c>
      <c r="S47" s="61" t="str">
        <f>IF(B47="","",IFERROR(VLOOKUP(B47,'ANÁLISE DE DADOS'!$A:$AM,17,0),""))</f>
        <v>NÃO</v>
      </c>
      <c r="T47" s="61" t="str">
        <f>IF(B47="","",IFERROR(VLOOKUP(B47,'ANÁLISE DE DADOS'!$A:$AM,18,0),""))</f>
        <v>Cliente não localizado</v>
      </c>
      <c r="U47" s="61" t="str">
        <f ca="1">IF(B47="","",IFERROR(VLOOKUP(B47,'ANÁLISE DE DADOS'!$A:$AM,19,0),""))</f>
        <v>Vencido</v>
      </c>
      <c r="V47" s="61">
        <f ca="1">IF(B47="","",IFERROR(VLOOKUP(B47,'ANÁLISE DE DADOS'!$A:$AM,20,0),""))</f>
        <v>66</v>
      </c>
      <c r="W47" s="61" t="str">
        <f ca="1">IF(B47="","",IFERROR(VLOOKUP(B47,'ANÁLISE DE DADOS'!$A:$AM,21,0),""))</f>
        <v>61+ dias</v>
      </c>
      <c r="X47" s="61" t="str">
        <f ca="1">IF(B47="","",IFERROR(VLOOKUP(B47,'ANÁLISE DE DADOS'!$A:$AM,22,0),""))</f>
        <v>Atraso Crítico</v>
      </c>
      <c r="Y47" s="61" t="str">
        <f>IF(B47="","",IFERROR(VLOOKUP(B47,'ANÁLISE DE DADOS'!$A:$AM,23,0),""))</f>
        <v>-</v>
      </c>
      <c r="Z47" s="61" t="str">
        <f>IF(B47="","",IFERROR(VLOOKUP(B47,'ANÁLISE DE DADOS'!$A:$AM,24,0),""))</f>
        <v>Sim</v>
      </c>
      <c r="AA47" s="61">
        <f>IF(B47="","",IFERROR(VLOOKUP(B47,'ANÁLISE DE DADOS'!$A:$AM,25,0),""))</f>
        <v>0</v>
      </c>
      <c r="AB47" s="61">
        <f>IF(B47="","",IFERROR(VLOOKUP(B47,'ANÁLISE DE DADOS'!$A:$AM,26,0),""))</f>
        <v>1</v>
      </c>
      <c r="AC47" s="61" t="str">
        <f>IF(B47="","",IFERROR(VLOOKUP(B47,'ANÁLISE DE DADOS'!$A:$AM,27,0),""))</f>
        <v>Sim</v>
      </c>
      <c r="AD47" s="62">
        <f>IF(B47="","",IFERROR(VLOOKUP(B47,'ANÁLISE DE DADOS'!$A:$AM,28,0),""))</f>
        <v>45740</v>
      </c>
      <c r="AE47" s="61" t="str">
        <f>IF(B47="","",IFERROR(VLOOKUP(B47,'ANÁLISE DE DADOS'!$A:$AM,29,0),""))</f>
        <v>mar-25</v>
      </c>
      <c r="AF47" s="61" t="str">
        <f>IF(B47="","",IFERROR(VLOOKUP(B47,'ANÁLISE DE DADOS'!$A:$AM,30,0),""))</f>
        <v>2025</v>
      </c>
      <c r="AG47" s="62">
        <f>IF(B47="","",IFERROR(VLOOKUP(B47,'ANÁLISE DE DADOS'!$A:$AM,31,0),""))</f>
        <v>45740</v>
      </c>
      <c r="AH47" s="61" t="str">
        <f>IF(B47="","",IFERROR(VLOOKUP(B47,'ANÁLISE DE DADOS'!$A:$AM,32,0),""))</f>
        <v>mar-25</v>
      </c>
      <c r="AI47" s="61" t="str">
        <f>IF(B47="","",IFERROR(VLOOKUP(B47,'ANÁLISE DE DADOS'!$A:$AM,33,0),""))</f>
        <v>2025</v>
      </c>
      <c r="AJ47" s="61" t="str">
        <f>IF(B47="","",IFERROR(VLOOKUP(B47,'ANÁLISE DE DADOS'!$A:$AM,34,0),""))</f>
        <v>Acompanhando</v>
      </c>
      <c r="AK47" s="63">
        <f ca="1">IF(B47="","",IFERROR(VLOOKUP(B47,'ANÁLISE DE DADOS'!$A:$AM,35,0),""))</f>
        <v>3000</v>
      </c>
      <c r="AL47" s="63" t="str">
        <f ca="1">IF(B47="","",IFERROR(VLOOKUP(B47,'ANÁLISE DE DADOS'!$A:$AM,36,0),""))</f>
        <v>0</v>
      </c>
    </row>
    <row r="48" spans="2:38" x14ac:dyDescent="0.3">
      <c r="B48" s="30">
        <v>44</v>
      </c>
      <c r="C48" s="61">
        <f>IF(B48="","",IFERROR(VLOOKUP(B48,'ANÁLISE DE DADOS'!$A:$AM,1,0),""))</f>
        <v>44</v>
      </c>
      <c r="D48" s="61" t="str">
        <f>IF(B48="","",IFERROR(VLOOKUP(B48,'ANÁLISE DE DADOS'!$A:$AM,2,0),""))</f>
        <v>Filial</v>
      </c>
      <c r="E48" s="61">
        <f>IF(B48="","",IFERROR(VLOOKUP(B48,'ANÁLISE DE DADOS'!$A:$AM,3,0),""))</f>
        <v>0</v>
      </c>
      <c r="F48" s="61" t="str">
        <f>IF(B48="","",IFERROR(VLOOKUP(B48,'ANÁLISE DE DADOS'!$A:$AM,4,0),""))</f>
        <v>SoftLink</v>
      </c>
      <c r="G48" s="62">
        <f>IF(B48="","",IFERROR(VLOOKUP(B48,'ANÁLISE DE DADOS'!$A:$AM,5,0),""))</f>
        <v>45721</v>
      </c>
      <c r="H48" s="62" t="str">
        <f>IF(B48="","",IFERROR(VLOOKUP(B48,'ANÁLISE DE DADOS'!$A:$AM,6,0),""))</f>
        <v>mar-25</v>
      </c>
      <c r="I48" s="62" t="str">
        <f>IF(B48="","",IFERROR(VLOOKUP(B48,'ANÁLISE DE DADOS'!$A:$AM,7,0),""))</f>
        <v>2025</v>
      </c>
      <c r="J48" s="62">
        <f>IF(B48="","",IFERROR(VLOOKUP(B48,'ANÁLISE DE DADOS'!$A:$AM,8,0),""))</f>
        <v>45736</v>
      </c>
      <c r="K48" s="61" t="str">
        <f>IF(B48="","",IFERROR(VLOOKUP(B48,'ANÁLISE DE DADOS'!$A:$AM,9,0),""))</f>
        <v>mar-25</v>
      </c>
      <c r="L48" s="61" t="str">
        <f>IF(B48="","",IFERROR(VLOOKUP(B48,'ANÁLISE DE DADOS'!$A:$AM,10,0),""))</f>
        <v>2025</v>
      </c>
      <c r="M48" s="62">
        <f>IF(B48="","",IFERROR(VLOOKUP(B48,'ANÁLISE DE DADOS'!$A:$AM,11,0),""))</f>
        <v>45736</v>
      </c>
      <c r="N48" s="61" t="str">
        <f>IF(B48="","",IFERROR(VLOOKUP(B48,'ANÁLISE DE DADOS'!$A:$AM,12,0),""))</f>
        <v>mar-25</v>
      </c>
      <c r="O48" s="61" t="str">
        <f>IF(B48="","",IFERROR(VLOOKUP(B48,'ANÁLISE DE DADOS'!$A:$AM,13,0),""))</f>
        <v>2025</v>
      </c>
      <c r="P48" s="63">
        <f>IF(B48="","",IFERROR(VLOOKUP(B48,'ANÁLISE DE DADOS'!$A:$AM,14,0),""))</f>
        <v>1700</v>
      </c>
      <c r="Q48" s="61" t="str">
        <f>IF(B48="","",IFERROR(VLOOKUP(B48,'ANÁLISE DE DADOS'!$A:$AM,15,0),""))</f>
        <v>Ana</v>
      </c>
      <c r="R48" s="61" t="str">
        <f>IF(B48="","",IFERROR(VLOOKUP(B48,'ANÁLISE DE DADOS'!$A:$AM,16,0),""))</f>
        <v>ANALISTA GUSTAVO</v>
      </c>
      <c r="S48" s="61" t="str">
        <f>IF(B48="","",IFERROR(VLOOKUP(B48,'ANÁLISE DE DADOS'!$A:$AM,17,0),""))</f>
        <v>NÃO</v>
      </c>
      <c r="T48" s="61" t="str">
        <f>IF(B48="","",IFERROR(VLOOKUP(B48,'ANÁLISE DE DADOS'!$A:$AM,18,0),""))</f>
        <v>Promessa de pagamento refeito</v>
      </c>
      <c r="U48" s="61" t="str">
        <f ca="1">IF(B48="","",IFERROR(VLOOKUP(B48,'ANÁLISE DE DADOS'!$A:$AM,19,0),""))</f>
        <v>Vencido</v>
      </c>
      <c r="V48" s="61">
        <f ca="1">IF(B48="","",IFERROR(VLOOKUP(B48,'ANÁLISE DE DADOS'!$A:$AM,20,0),""))</f>
        <v>59</v>
      </c>
      <c r="W48" s="61" t="str">
        <f ca="1">IF(B48="","",IFERROR(VLOOKUP(B48,'ANÁLISE DE DADOS'!$A:$AM,21,0),""))</f>
        <v>31-60 dias</v>
      </c>
      <c r="X48" s="61" t="str">
        <f ca="1">IF(B48="","",IFERROR(VLOOKUP(B48,'ANÁLISE DE DADOS'!$A:$AM,22,0),""))</f>
        <v>Atraso Médio</v>
      </c>
      <c r="Y48" s="61" t="str">
        <f>IF(B48="","",IFERROR(VLOOKUP(B48,'ANÁLISE DE DADOS'!$A:$AM,23,0),""))</f>
        <v>-</v>
      </c>
      <c r="Z48" s="61" t="str">
        <f>IF(B48="","",IFERROR(VLOOKUP(B48,'ANÁLISE DE DADOS'!$A:$AM,24,0),""))</f>
        <v>Sim</v>
      </c>
      <c r="AA48" s="61">
        <f>IF(B48="","",IFERROR(VLOOKUP(B48,'ANÁLISE DE DADOS'!$A:$AM,25,0),""))</f>
        <v>0</v>
      </c>
      <c r="AB48" s="61">
        <f>IF(B48="","",IFERROR(VLOOKUP(B48,'ANÁLISE DE DADOS'!$A:$AM,26,0),""))</f>
        <v>1</v>
      </c>
      <c r="AC48" s="61" t="str">
        <f>IF(B48="","",IFERROR(VLOOKUP(B48,'ANÁLISE DE DADOS'!$A:$AM,27,0),""))</f>
        <v>Sim</v>
      </c>
      <c r="AD48" s="62">
        <f>IF(B48="","",IFERROR(VLOOKUP(B48,'ANÁLISE DE DADOS'!$A:$AM,28,0),""))</f>
        <v>45740</v>
      </c>
      <c r="AE48" s="61" t="str">
        <f>IF(B48="","",IFERROR(VLOOKUP(B48,'ANÁLISE DE DADOS'!$A:$AM,29,0),""))</f>
        <v>mar-25</v>
      </c>
      <c r="AF48" s="61" t="str">
        <f>IF(B48="","",IFERROR(VLOOKUP(B48,'ANÁLISE DE DADOS'!$A:$AM,30,0),""))</f>
        <v>2025</v>
      </c>
      <c r="AG48" s="62">
        <f>IF(B48="","",IFERROR(VLOOKUP(B48,'ANÁLISE DE DADOS'!$A:$AM,31,0),""))</f>
        <v>45740</v>
      </c>
      <c r="AH48" s="61" t="str">
        <f>IF(B48="","",IFERROR(VLOOKUP(B48,'ANÁLISE DE DADOS'!$A:$AM,32,0),""))</f>
        <v>mar-25</v>
      </c>
      <c r="AI48" s="61" t="str">
        <f>IF(B48="","",IFERROR(VLOOKUP(B48,'ANÁLISE DE DADOS'!$A:$AM,33,0),""))</f>
        <v>2025</v>
      </c>
      <c r="AJ48" s="61" t="str">
        <f>IF(B48="","",IFERROR(VLOOKUP(B48,'ANÁLISE DE DADOS'!$A:$AM,34,0),""))</f>
        <v>Acompanhando</v>
      </c>
      <c r="AK48" s="63">
        <f ca="1">IF(B48="","",IFERROR(VLOOKUP(B48,'ANÁLISE DE DADOS'!$A:$AM,35,0),""))</f>
        <v>1700</v>
      </c>
      <c r="AL48" s="63" t="str">
        <f ca="1">IF(B48="","",IFERROR(VLOOKUP(B48,'ANÁLISE DE DADOS'!$A:$AM,36,0),""))</f>
        <v>0</v>
      </c>
    </row>
    <row r="49" spans="2:38" x14ac:dyDescent="0.3">
      <c r="B49" s="30">
        <v>45</v>
      </c>
      <c r="C49" s="61">
        <f>IF(B49="","",IFERROR(VLOOKUP(B49,'ANÁLISE DE DADOS'!$A:$AM,1,0),""))</f>
        <v>45</v>
      </c>
      <c r="D49" s="61" t="str">
        <f>IF(B49="","",IFERROR(VLOOKUP(B49,'ANÁLISE DE DADOS'!$A:$AM,2,0),""))</f>
        <v>Matriz</v>
      </c>
      <c r="E49" s="61">
        <f>IF(B49="","",IFERROR(VLOOKUP(B49,'ANÁLISE DE DADOS'!$A:$AM,3,0),""))</f>
        <v>0</v>
      </c>
      <c r="F49" s="61" t="str">
        <f>IF(B49="","",IFERROR(VLOOKUP(B49,'ANÁLISE DE DADOS'!$A:$AM,4,0),""))</f>
        <v>GlobalTech</v>
      </c>
      <c r="G49" s="62">
        <f>IF(B49="","",IFERROR(VLOOKUP(B49,'ANÁLISE DE DADOS'!$A:$AM,5,0),""))</f>
        <v>45724</v>
      </c>
      <c r="H49" s="62" t="str">
        <f>IF(B49="","",IFERROR(VLOOKUP(B49,'ANÁLISE DE DADOS'!$A:$AM,6,0),""))</f>
        <v>mar-25</v>
      </c>
      <c r="I49" s="62" t="str">
        <f>IF(B49="","",IFERROR(VLOOKUP(B49,'ANÁLISE DE DADOS'!$A:$AM,7,0),""))</f>
        <v>2025</v>
      </c>
      <c r="J49" s="62">
        <f>IF(B49="","",IFERROR(VLOOKUP(B49,'ANÁLISE DE DADOS'!$A:$AM,8,0),""))</f>
        <v>45737</v>
      </c>
      <c r="K49" s="61" t="str">
        <f>IF(B49="","",IFERROR(VLOOKUP(B49,'ANÁLISE DE DADOS'!$A:$AM,9,0),""))</f>
        <v>mar-25</v>
      </c>
      <c r="L49" s="61" t="str">
        <f>IF(B49="","",IFERROR(VLOOKUP(B49,'ANÁLISE DE DADOS'!$A:$AM,10,0),""))</f>
        <v>2025</v>
      </c>
      <c r="M49" s="62">
        <f>IF(B49="","",IFERROR(VLOOKUP(B49,'ANÁLISE DE DADOS'!$A:$AM,11,0),""))</f>
        <v>45737</v>
      </c>
      <c r="N49" s="61" t="str">
        <f>IF(B49="","",IFERROR(VLOOKUP(B49,'ANÁLISE DE DADOS'!$A:$AM,12,0),""))</f>
        <v>mar-25</v>
      </c>
      <c r="O49" s="61" t="str">
        <f>IF(B49="","",IFERROR(VLOOKUP(B49,'ANÁLISE DE DADOS'!$A:$AM,13,0),""))</f>
        <v>2025</v>
      </c>
      <c r="P49" s="63">
        <f>IF(B49="","",IFERROR(VLOOKUP(B49,'ANÁLISE DE DADOS'!$A:$AM,14,0),""))</f>
        <v>2100</v>
      </c>
      <c r="Q49" s="61" t="str">
        <f>IF(B49="","",IFERROR(VLOOKUP(B49,'ANÁLISE DE DADOS'!$A:$AM,15,0),""))</f>
        <v>Beatriz</v>
      </c>
      <c r="R49" s="61" t="str">
        <f>IF(B49="","",IFERROR(VLOOKUP(B49,'ANÁLISE DE DADOS'!$A:$AM,16,0),""))</f>
        <v>ANALISTA GUSTAVO</v>
      </c>
      <c r="S49" s="61" t="str">
        <f>IF(B49="","",IFERROR(VLOOKUP(B49,'ANÁLISE DE DADOS'!$A:$AM,17,0),""))</f>
        <v>NÃO</v>
      </c>
      <c r="T49" s="61" t="str">
        <f>IF(B49="","",IFERROR(VLOOKUP(B49,'ANÁLISE DE DADOS'!$A:$AM,18,0),""))</f>
        <v>Sem Retorno</v>
      </c>
      <c r="U49" s="61" t="str">
        <f ca="1">IF(B49="","",IFERROR(VLOOKUP(B49,'ANÁLISE DE DADOS'!$A:$AM,19,0),""))</f>
        <v>Vencido</v>
      </c>
      <c r="V49" s="61">
        <f ca="1">IF(B49="","",IFERROR(VLOOKUP(B49,'ANÁLISE DE DADOS'!$A:$AM,20,0),""))</f>
        <v>58</v>
      </c>
      <c r="W49" s="61" t="str">
        <f ca="1">IF(B49="","",IFERROR(VLOOKUP(B49,'ANÁLISE DE DADOS'!$A:$AM,21,0),""))</f>
        <v>31-60 dias</v>
      </c>
      <c r="X49" s="61" t="str">
        <f ca="1">IF(B49="","",IFERROR(VLOOKUP(B49,'ANÁLISE DE DADOS'!$A:$AM,22,0),""))</f>
        <v>Atraso Médio</v>
      </c>
      <c r="Y49" s="61" t="str">
        <f>IF(B49="","",IFERROR(VLOOKUP(B49,'ANÁLISE DE DADOS'!$A:$AM,23,0),""))</f>
        <v>-</v>
      </c>
      <c r="Z49" s="61" t="str">
        <f>IF(B49="","",IFERROR(VLOOKUP(B49,'ANÁLISE DE DADOS'!$A:$AM,24,0),""))</f>
        <v>Sim</v>
      </c>
      <c r="AA49" s="61">
        <f>IF(B49="","",IFERROR(VLOOKUP(B49,'ANÁLISE DE DADOS'!$A:$AM,25,0),""))</f>
        <v>0</v>
      </c>
      <c r="AB49" s="61">
        <f>IF(B49="","",IFERROR(VLOOKUP(B49,'ANÁLISE DE DADOS'!$A:$AM,26,0),""))</f>
        <v>1</v>
      </c>
      <c r="AC49" s="61" t="str">
        <f>IF(B49="","",IFERROR(VLOOKUP(B49,'ANÁLISE DE DADOS'!$A:$AM,27,0),""))</f>
        <v>Sim</v>
      </c>
      <c r="AD49" s="62">
        <f>IF(B49="","",IFERROR(VLOOKUP(B49,'ANÁLISE DE DADOS'!$A:$AM,28,0),""))</f>
        <v>45740</v>
      </c>
      <c r="AE49" s="61" t="str">
        <f>IF(B49="","",IFERROR(VLOOKUP(B49,'ANÁLISE DE DADOS'!$A:$AM,29,0),""))</f>
        <v>mar-25</v>
      </c>
      <c r="AF49" s="61" t="str">
        <f>IF(B49="","",IFERROR(VLOOKUP(B49,'ANÁLISE DE DADOS'!$A:$AM,30,0),""))</f>
        <v>2025</v>
      </c>
      <c r="AG49" s="62">
        <f>IF(B49="","",IFERROR(VLOOKUP(B49,'ANÁLISE DE DADOS'!$A:$AM,31,0),""))</f>
        <v>45740</v>
      </c>
      <c r="AH49" s="61" t="str">
        <f>IF(B49="","",IFERROR(VLOOKUP(B49,'ANÁLISE DE DADOS'!$A:$AM,32,0),""))</f>
        <v>mar-25</v>
      </c>
      <c r="AI49" s="61" t="str">
        <f>IF(B49="","",IFERROR(VLOOKUP(B49,'ANÁLISE DE DADOS'!$A:$AM,33,0),""))</f>
        <v>2025</v>
      </c>
      <c r="AJ49" s="61" t="str">
        <f>IF(B49="","",IFERROR(VLOOKUP(B49,'ANÁLISE DE DADOS'!$A:$AM,34,0),""))</f>
        <v>Acompanhando</v>
      </c>
      <c r="AK49" s="63">
        <f ca="1">IF(B49="","",IFERROR(VLOOKUP(B49,'ANÁLISE DE DADOS'!$A:$AM,35,0),""))</f>
        <v>2100</v>
      </c>
      <c r="AL49" s="63" t="str">
        <f ca="1">IF(B49="","",IFERROR(VLOOKUP(B49,'ANÁLISE DE DADOS'!$A:$AM,36,0),""))</f>
        <v>0</v>
      </c>
    </row>
    <row r="50" spans="2:38" x14ac:dyDescent="0.3">
      <c r="B50" s="30">
        <v>46</v>
      </c>
      <c r="C50" s="61">
        <f>IF(B50="","",IFERROR(VLOOKUP(B50,'ANÁLISE DE DADOS'!$A:$AM,1,0),""))</f>
        <v>46</v>
      </c>
      <c r="D50" s="61" t="str">
        <f>IF(B50="","",IFERROR(VLOOKUP(B50,'ANÁLISE DE DADOS'!$A:$AM,2,0),""))</f>
        <v>Filial</v>
      </c>
      <c r="E50" s="61">
        <f>IF(B50="","",IFERROR(VLOOKUP(B50,'ANÁLISE DE DADOS'!$A:$AM,3,0),""))</f>
        <v>0</v>
      </c>
      <c r="F50" s="61" t="str">
        <f>IF(B50="","",IFERROR(VLOOKUP(B50,'ANÁLISE DE DADOS'!$A:$AM,4,0),""))</f>
        <v>GlobalTech</v>
      </c>
      <c r="G50" s="62">
        <f>IF(B50="","",IFERROR(VLOOKUP(B50,'ANÁLISE DE DADOS'!$A:$AM,5,0),""))</f>
        <v>45726</v>
      </c>
      <c r="H50" s="62" t="str">
        <f>IF(B50="","",IFERROR(VLOOKUP(B50,'ANÁLISE DE DADOS'!$A:$AM,6,0),""))</f>
        <v>mar-25</v>
      </c>
      <c r="I50" s="62" t="str">
        <f>IF(B50="","",IFERROR(VLOOKUP(B50,'ANÁLISE DE DADOS'!$A:$AM,7,0),""))</f>
        <v>2025</v>
      </c>
      <c r="J50" s="62">
        <f>IF(B50="","",IFERROR(VLOOKUP(B50,'ANÁLISE DE DADOS'!$A:$AM,8,0),""))</f>
        <v>45738</v>
      </c>
      <c r="K50" s="61" t="str">
        <f>IF(B50="","",IFERROR(VLOOKUP(B50,'ANÁLISE DE DADOS'!$A:$AM,9,0),""))</f>
        <v>mar-25</v>
      </c>
      <c r="L50" s="61" t="str">
        <f>IF(B50="","",IFERROR(VLOOKUP(B50,'ANÁLISE DE DADOS'!$A:$AM,10,0),""))</f>
        <v>2025</v>
      </c>
      <c r="M50" s="62">
        <f>IF(B50="","",IFERROR(VLOOKUP(B50,'ANÁLISE DE DADOS'!$A:$AM,11,0),""))</f>
        <v>45738</v>
      </c>
      <c r="N50" s="61" t="str">
        <f>IF(B50="","",IFERROR(VLOOKUP(B50,'ANÁLISE DE DADOS'!$A:$AM,12,0),""))</f>
        <v>mar-25</v>
      </c>
      <c r="O50" s="61" t="str">
        <f>IF(B50="","",IFERROR(VLOOKUP(B50,'ANÁLISE DE DADOS'!$A:$AM,13,0),""))</f>
        <v>2025</v>
      </c>
      <c r="P50" s="63">
        <f>IF(B50="","",IFERROR(VLOOKUP(B50,'ANÁLISE DE DADOS'!$A:$AM,14,0),""))</f>
        <v>1900</v>
      </c>
      <c r="Q50" s="61" t="str">
        <f>IF(B50="","",IFERROR(VLOOKUP(B50,'ANÁLISE DE DADOS'!$A:$AM,15,0),""))</f>
        <v>Lucas</v>
      </c>
      <c r="R50" s="61" t="str">
        <f>IF(B50="","",IFERROR(VLOOKUP(B50,'ANÁLISE DE DADOS'!$A:$AM,16,0),""))</f>
        <v>ANALISTA GUSTAVO</v>
      </c>
      <c r="S50" s="61" t="str">
        <f>IF(B50="","",IFERROR(VLOOKUP(B50,'ANÁLISE DE DADOS'!$A:$AM,17,0),""))</f>
        <v>NÃO</v>
      </c>
      <c r="T50" s="61" t="str">
        <f>IF(B50="","",IFERROR(VLOOKUP(B50,'ANÁLISE DE DADOS'!$A:$AM,18,0),""))</f>
        <v>Bloqueio de sistema por inadimplência</v>
      </c>
      <c r="U50" s="61" t="str">
        <f ca="1">IF(B50="","",IFERROR(VLOOKUP(B50,'ANÁLISE DE DADOS'!$A:$AM,19,0),""))</f>
        <v>Vencido</v>
      </c>
      <c r="V50" s="61">
        <f ca="1">IF(B50="","",IFERROR(VLOOKUP(B50,'ANÁLISE DE DADOS'!$A:$AM,20,0),""))</f>
        <v>57</v>
      </c>
      <c r="W50" s="61" t="str">
        <f ca="1">IF(B50="","",IFERROR(VLOOKUP(B50,'ANÁLISE DE DADOS'!$A:$AM,21,0),""))</f>
        <v>31-60 dias</v>
      </c>
      <c r="X50" s="61" t="str">
        <f ca="1">IF(B50="","",IFERROR(VLOOKUP(B50,'ANÁLISE DE DADOS'!$A:$AM,22,0),""))</f>
        <v>Atraso Médio</v>
      </c>
      <c r="Y50" s="61" t="str">
        <f>IF(B50="","",IFERROR(VLOOKUP(B50,'ANÁLISE DE DADOS'!$A:$AM,23,0),""))</f>
        <v>-</v>
      </c>
      <c r="Z50" s="61" t="str">
        <f>IF(B50="","",IFERROR(VLOOKUP(B50,'ANÁLISE DE DADOS'!$A:$AM,24,0),""))</f>
        <v>Sim</v>
      </c>
      <c r="AA50" s="61">
        <f>IF(B50="","",IFERROR(VLOOKUP(B50,'ANÁLISE DE DADOS'!$A:$AM,25,0),""))</f>
        <v>0</v>
      </c>
      <c r="AB50" s="61">
        <f>IF(B50="","",IFERROR(VLOOKUP(B50,'ANÁLISE DE DADOS'!$A:$AM,26,0),""))</f>
        <v>1</v>
      </c>
      <c r="AC50" s="61" t="str">
        <f>IF(B50="","",IFERROR(VLOOKUP(B50,'ANÁLISE DE DADOS'!$A:$AM,27,0),""))</f>
        <v>Sim</v>
      </c>
      <c r="AD50" s="62">
        <f>IF(B50="","",IFERROR(VLOOKUP(B50,'ANÁLISE DE DADOS'!$A:$AM,28,0),""))</f>
        <v>45740</v>
      </c>
      <c r="AE50" s="61" t="str">
        <f>IF(B50="","",IFERROR(VLOOKUP(B50,'ANÁLISE DE DADOS'!$A:$AM,29,0),""))</f>
        <v>mar-25</v>
      </c>
      <c r="AF50" s="61" t="str">
        <f>IF(B50="","",IFERROR(VLOOKUP(B50,'ANÁLISE DE DADOS'!$A:$AM,30,0),""))</f>
        <v>2025</v>
      </c>
      <c r="AG50" s="62">
        <f>IF(B50="","",IFERROR(VLOOKUP(B50,'ANÁLISE DE DADOS'!$A:$AM,31,0),""))</f>
        <v>45740</v>
      </c>
      <c r="AH50" s="61" t="str">
        <f>IF(B50="","",IFERROR(VLOOKUP(B50,'ANÁLISE DE DADOS'!$A:$AM,32,0),""))</f>
        <v>mar-25</v>
      </c>
      <c r="AI50" s="61" t="str">
        <f>IF(B50="","",IFERROR(VLOOKUP(B50,'ANÁLISE DE DADOS'!$A:$AM,33,0),""))</f>
        <v>2025</v>
      </c>
      <c r="AJ50" s="61" t="str">
        <f>IF(B50="","",IFERROR(VLOOKUP(B50,'ANÁLISE DE DADOS'!$A:$AM,34,0),""))</f>
        <v>Acompanhando</v>
      </c>
      <c r="AK50" s="63">
        <f ca="1">IF(B50="","",IFERROR(VLOOKUP(B50,'ANÁLISE DE DADOS'!$A:$AM,35,0),""))</f>
        <v>1900</v>
      </c>
      <c r="AL50" s="63" t="str">
        <f ca="1">IF(B50="","",IFERROR(VLOOKUP(B50,'ANÁLISE DE DADOS'!$A:$AM,36,0),""))</f>
        <v>0</v>
      </c>
    </row>
    <row r="51" spans="2:38" x14ac:dyDescent="0.3">
      <c r="B51" s="30">
        <v>47</v>
      </c>
      <c r="C51" s="61">
        <f>IF(B51="","",IFERROR(VLOOKUP(B51,'ANÁLISE DE DADOS'!$A:$AM,1,0),""))</f>
        <v>47</v>
      </c>
      <c r="D51" s="61" t="str">
        <f>IF(B51="","",IFERROR(VLOOKUP(B51,'ANÁLISE DE DADOS'!$A:$AM,2,0),""))</f>
        <v>Matriz</v>
      </c>
      <c r="E51" s="61">
        <f>IF(B51="","",IFERROR(VLOOKUP(B51,'ANÁLISE DE DADOS'!$A:$AM,3,0),""))</f>
        <v>0</v>
      </c>
      <c r="F51" s="61" t="str">
        <f>IF(B51="","",IFERROR(VLOOKUP(B51,'ANÁLISE DE DADOS'!$A:$AM,4,0),""))</f>
        <v>GlobalTech</v>
      </c>
      <c r="G51" s="62">
        <f>IF(B51="","",IFERROR(VLOOKUP(B51,'ANÁLISE DE DADOS'!$A:$AM,5,0),""))</f>
        <v>45728</v>
      </c>
      <c r="H51" s="62" t="str">
        <f>IF(B51="","",IFERROR(VLOOKUP(B51,'ANÁLISE DE DADOS'!$A:$AM,6,0),""))</f>
        <v>mar-25</v>
      </c>
      <c r="I51" s="62" t="str">
        <f>IF(B51="","",IFERROR(VLOOKUP(B51,'ANÁLISE DE DADOS'!$A:$AM,7,0),""))</f>
        <v>2025</v>
      </c>
      <c r="J51" s="62">
        <f>IF(B51="","",IFERROR(VLOOKUP(B51,'ANÁLISE DE DADOS'!$A:$AM,8,0),""))</f>
        <v>45739</v>
      </c>
      <c r="K51" s="61" t="str">
        <f>IF(B51="","",IFERROR(VLOOKUP(B51,'ANÁLISE DE DADOS'!$A:$AM,9,0),""))</f>
        <v>mar-25</v>
      </c>
      <c r="L51" s="61" t="str">
        <f>IF(B51="","",IFERROR(VLOOKUP(B51,'ANÁLISE DE DADOS'!$A:$AM,10,0),""))</f>
        <v>2025</v>
      </c>
      <c r="M51" s="62">
        <f>IF(B51="","",IFERROR(VLOOKUP(B51,'ANÁLISE DE DADOS'!$A:$AM,11,0),""))</f>
        <v>45739</v>
      </c>
      <c r="N51" s="61" t="str">
        <f>IF(B51="","",IFERROR(VLOOKUP(B51,'ANÁLISE DE DADOS'!$A:$AM,12,0),""))</f>
        <v>mar-25</v>
      </c>
      <c r="O51" s="61" t="str">
        <f>IF(B51="","",IFERROR(VLOOKUP(B51,'ANÁLISE DE DADOS'!$A:$AM,13,0),""))</f>
        <v>2025</v>
      </c>
      <c r="P51" s="63">
        <f>IF(B51="","",IFERROR(VLOOKUP(B51,'ANÁLISE DE DADOS'!$A:$AM,14,0),""))</f>
        <v>2500</v>
      </c>
      <c r="Q51" s="61" t="str">
        <f>IF(B51="","",IFERROR(VLOOKUP(B51,'ANÁLISE DE DADOS'!$A:$AM,15,0),""))</f>
        <v>Carla</v>
      </c>
      <c r="R51" s="61" t="str">
        <f>IF(B51="","",IFERROR(VLOOKUP(B51,'ANÁLISE DE DADOS'!$A:$AM,16,0),""))</f>
        <v>ANALISTA GUSTAVO</v>
      </c>
      <c r="S51" s="61" t="str">
        <f>IF(B51="","",IFERROR(VLOOKUP(B51,'ANÁLISE DE DADOS'!$A:$AM,17,0),""))</f>
        <v>NÃO</v>
      </c>
      <c r="T51" s="61" t="str">
        <f>IF(B51="","",IFERROR(VLOOKUP(B51,'ANÁLISE DE DADOS'!$A:$AM,18,0),""))</f>
        <v>Acordo em andamento (aguardando pagamento)</v>
      </c>
      <c r="U51" s="61" t="str">
        <f ca="1">IF(B51="","",IFERROR(VLOOKUP(B51,'ANÁLISE DE DADOS'!$A:$AM,19,0),""))</f>
        <v>Vencido</v>
      </c>
      <c r="V51" s="61">
        <f ca="1">IF(B51="","",IFERROR(VLOOKUP(B51,'ANÁLISE DE DADOS'!$A:$AM,20,0),""))</f>
        <v>56</v>
      </c>
      <c r="W51" s="61" t="str">
        <f ca="1">IF(B51="","",IFERROR(VLOOKUP(B51,'ANÁLISE DE DADOS'!$A:$AM,21,0),""))</f>
        <v>31-60 dias</v>
      </c>
      <c r="X51" s="61" t="str">
        <f ca="1">IF(B51="","",IFERROR(VLOOKUP(B51,'ANÁLISE DE DADOS'!$A:$AM,22,0),""))</f>
        <v>Atraso Médio</v>
      </c>
      <c r="Y51" s="61" t="str">
        <f>IF(B51="","",IFERROR(VLOOKUP(B51,'ANÁLISE DE DADOS'!$A:$AM,23,0),""))</f>
        <v>-</v>
      </c>
      <c r="Z51" s="61" t="str">
        <f>IF(B51="","",IFERROR(VLOOKUP(B51,'ANÁLISE DE DADOS'!$A:$AM,24,0),""))</f>
        <v>Não</v>
      </c>
      <c r="AA51" s="61">
        <f>IF(B51="","",IFERROR(VLOOKUP(B51,'ANÁLISE DE DADOS'!$A:$AM,25,0),""))</f>
        <v>0</v>
      </c>
      <c r="AB51" s="61">
        <f>IF(B51="","",IFERROR(VLOOKUP(B51,'ANÁLISE DE DADOS'!$A:$AM,26,0),""))</f>
        <v>1</v>
      </c>
      <c r="AC51" s="61" t="str">
        <f>IF(B51="","",IFERROR(VLOOKUP(B51,'ANÁLISE DE DADOS'!$A:$AM,27,0),""))</f>
        <v>Sim</v>
      </c>
      <c r="AD51" s="62">
        <f>IF(B51="","",IFERROR(VLOOKUP(B51,'ANÁLISE DE DADOS'!$A:$AM,28,0),""))</f>
        <v>45740</v>
      </c>
      <c r="AE51" s="61" t="str">
        <f>IF(B51="","",IFERROR(VLOOKUP(B51,'ANÁLISE DE DADOS'!$A:$AM,29,0),""))</f>
        <v>mar-25</v>
      </c>
      <c r="AF51" s="61" t="str">
        <f>IF(B51="","",IFERROR(VLOOKUP(B51,'ANÁLISE DE DADOS'!$A:$AM,30,0),""))</f>
        <v>2025</v>
      </c>
      <c r="AG51" s="62">
        <f>IF(B51="","",IFERROR(VLOOKUP(B51,'ANÁLISE DE DADOS'!$A:$AM,31,0),""))</f>
        <v>45740</v>
      </c>
      <c r="AH51" s="61" t="str">
        <f>IF(B51="","",IFERROR(VLOOKUP(B51,'ANÁLISE DE DADOS'!$A:$AM,32,0),""))</f>
        <v>mar-25</v>
      </c>
      <c r="AI51" s="61" t="str">
        <f>IF(B51="","",IFERROR(VLOOKUP(B51,'ANÁLISE DE DADOS'!$A:$AM,33,0),""))</f>
        <v>2025</v>
      </c>
      <c r="AJ51" s="61" t="str">
        <f>IF(B51="","",IFERROR(VLOOKUP(B51,'ANÁLISE DE DADOS'!$A:$AM,34,0),""))</f>
        <v>Acompanhando</v>
      </c>
      <c r="AK51" s="63">
        <f ca="1">IF(B51="","",IFERROR(VLOOKUP(B51,'ANÁLISE DE DADOS'!$A:$AM,35,0),""))</f>
        <v>2500</v>
      </c>
      <c r="AL51" s="63" t="str">
        <f ca="1">IF(B51="","",IFERROR(VLOOKUP(B51,'ANÁLISE DE DADOS'!$A:$AM,36,0),""))</f>
        <v>0</v>
      </c>
    </row>
    <row r="52" spans="2:38" x14ac:dyDescent="0.3">
      <c r="B52" s="30">
        <v>48</v>
      </c>
      <c r="C52" s="61">
        <f>IF(B52="","",IFERROR(VLOOKUP(B52,'ANÁLISE DE DADOS'!$A:$AM,1,0),""))</f>
        <v>48</v>
      </c>
      <c r="D52" s="61" t="str">
        <f>IF(B52="","",IFERROR(VLOOKUP(B52,'ANÁLISE DE DADOS'!$A:$AM,2,0),""))</f>
        <v>Filial</v>
      </c>
      <c r="E52" s="61">
        <f>IF(B52="","",IFERROR(VLOOKUP(B52,'ANÁLISE DE DADOS'!$A:$AM,3,0),""))</f>
        <v>0</v>
      </c>
      <c r="F52" s="61" t="str">
        <f>IF(B52="","",IFERROR(VLOOKUP(B52,'ANÁLISE DE DADOS'!$A:$AM,4,0),""))</f>
        <v>GlobalTech</v>
      </c>
      <c r="G52" s="62">
        <f>IF(B52="","",IFERROR(VLOOKUP(B52,'ANÁLISE DE DADOS'!$A:$AM,5,0),""))</f>
        <v>45731</v>
      </c>
      <c r="H52" s="62" t="str">
        <f>IF(B52="","",IFERROR(VLOOKUP(B52,'ANÁLISE DE DADOS'!$A:$AM,6,0),""))</f>
        <v>mar-25</v>
      </c>
      <c r="I52" s="62" t="str">
        <f>IF(B52="","",IFERROR(VLOOKUP(B52,'ANÁLISE DE DADOS'!$A:$AM,7,0),""))</f>
        <v>2025</v>
      </c>
      <c r="J52" s="62">
        <f>IF(B52="","",IFERROR(VLOOKUP(B52,'ANÁLISE DE DADOS'!$A:$AM,8,0),""))</f>
        <v>45740</v>
      </c>
      <c r="K52" s="61" t="str">
        <f>IF(B52="","",IFERROR(VLOOKUP(B52,'ANÁLISE DE DADOS'!$A:$AM,9,0),""))</f>
        <v>mar-25</v>
      </c>
      <c r="L52" s="61" t="str">
        <f>IF(B52="","",IFERROR(VLOOKUP(B52,'ANÁLISE DE DADOS'!$A:$AM,10,0),""))</f>
        <v>2025</v>
      </c>
      <c r="M52" s="62">
        <f>IF(B52="","",IFERROR(VLOOKUP(B52,'ANÁLISE DE DADOS'!$A:$AM,11,0),""))</f>
        <v>45740</v>
      </c>
      <c r="N52" s="61" t="str">
        <f>IF(B52="","",IFERROR(VLOOKUP(B52,'ANÁLISE DE DADOS'!$A:$AM,12,0),""))</f>
        <v>mar-25</v>
      </c>
      <c r="O52" s="61" t="str">
        <f>IF(B52="","",IFERROR(VLOOKUP(B52,'ANÁLISE DE DADOS'!$A:$AM,13,0),""))</f>
        <v>2025</v>
      </c>
      <c r="P52" s="63">
        <f>IF(B52="","",IFERROR(VLOOKUP(B52,'ANÁLISE DE DADOS'!$A:$AM,14,0),""))</f>
        <v>2300</v>
      </c>
      <c r="Q52" s="61" t="str">
        <f>IF(B52="","",IFERROR(VLOOKUP(B52,'ANÁLISE DE DADOS'!$A:$AM,15,0),""))</f>
        <v>Roberto</v>
      </c>
      <c r="R52" s="61" t="str">
        <f>IF(B52="","",IFERROR(VLOOKUP(B52,'ANÁLISE DE DADOS'!$A:$AM,16,0),""))</f>
        <v>ANALISTA GUSTAVO</v>
      </c>
      <c r="S52" s="61" t="str">
        <f>IF(B52="","",IFERROR(VLOOKUP(B52,'ANÁLISE DE DADOS'!$A:$AM,17,0),""))</f>
        <v>NÃO</v>
      </c>
      <c r="T52" s="61" t="str">
        <f>IF(B52="","",IFERROR(VLOOKUP(B52,'ANÁLISE DE DADOS'!$A:$AM,18,0),""))</f>
        <v>Acordo em andamento (aguardando pagamento)</v>
      </c>
      <c r="U52" s="61" t="str">
        <f ca="1">IF(B52="","",IFERROR(VLOOKUP(B52,'ANÁLISE DE DADOS'!$A:$AM,19,0),""))</f>
        <v>Vencido</v>
      </c>
      <c r="V52" s="61">
        <f ca="1">IF(B52="","",IFERROR(VLOOKUP(B52,'ANÁLISE DE DADOS'!$A:$AM,20,0),""))</f>
        <v>55</v>
      </c>
      <c r="W52" s="61" t="str">
        <f ca="1">IF(B52="","",IFERROR(VLOOKUP(B52,'ANÁLISE DE DADOS'!$A:$AM,21,0),""))</f>
        <v>31-60 dias</v>
      </c>
      <c r="X52" s="61" t="str">
        <f ca="1">IF(B52="","",IFERROR(VLOOKUP(B52,'ANÁLISE DE DADOS'!$A:$AM,22,0),""))</f>
        <v>Atraso Médio</v>
      </c>
      <c r="Y52" s="61" t="str">
        <f>IF(B52="","",IFERROR(VLOOKUP(B52,'ANÁLISE DE DADOS'!$A:$AM,23,0),""))</f>
        <v>-</v>
      </c>
      <c r="Z52" s="61" t="str">
        <f>IF(B52="","",IFERROR(VLOOKUP(B52,'ANÁLISE DE DADOS'!$A:$AM,24,0),""))</f>
        <v>Não</v>
      </c>
      <c r="AA52" s="61">
        <f>IF(B52="","",IFERROR(VLOOKUP(B52,'ANÁLISE DE DADOS'!$A:$AM,25,0),""))</f>
        <v>0</v>
      </c>
      <c r="AB52" s="61">
        <f>IF(B52="","",IFERROR(VLOOKUP(B52,'ANÁLISE DE DADOS'!$A:$AM,26,0),""))</f>
        <v>0</v>
      </c>
      <c r="AC52" s="61" t="str">
        <f>IF(B52="","",IFERROR(VLOOKUP(B52,'ANÁLISE DE DADOS'!$A:$AM,27,0),""))</f>
        <v>Não</v>
      </c>
      <c r="AD52" s="62">
        <f>IF(B52="","",IFERROR(VLOOKUP(B52,'ANÁLISE DE DADOS'!$A:$AM,28,0),""))</f>
        <v>45741</v>
      </c>
      <c r="AE52" s="61" t="str">
        <f>IF(B52="","",IFERROR(VLOOKUP(B52,'ANÁLISE DE DADOS'!$A:$AM,29,0),""))</f>
        <v>mar-25</v>
      </c>
      <c r="AF52" s="61" t="str">
        <f>IF(B52="","",IFERROR(VLOOKUP(B52,'ANÁLISE DE DADOS'!$A:$AM,30,0),""))</f>
        <v>2025</v>
      </c>
      <c r="AG52" s="62">
        <f>IF(B52="","",IFERROR(VLOOKUP(B52,'ANÁLISE DE DADOS'!$A:$AM,31,0),""))</f>
        <v>45741</v>
      </c>
      <c r="AH52" s="61" t="str">
        <f>IF(B52="","",IFERROR(VLOOKUP(B52,'ANÁLISE DE DADOS'!$A:$AM,32,0),""))</f>
        <v>mar-25</v>
      </c>
      <c r="AI52" s="61" t="str">
        <f>IF(B52="","",IFERROR(VLOOKUP(B52,'ANÁLISE DE DADOS'!$A:$AM,33,0),""))</f>
        <v>2025</v>
      </c>
      <c r="AJ52" s="61" t="str">
        <f>IF(B52="","",IFERROR(VLOOKUP(B52,'ANÁLISE DE DADOS'!$A:$AM,34,0),""))</f>
        <v>Acompanhando</v>
      </c>
      <c r="AK52" s="63">
        <f ca="1">IF(B52="","",IFERROR(VLOOKUP(B52,'ANÁLISE DE DADOS'!$A:$AM,35,0),""))</f>
        <v>2300</v>
      </c>
      <c r="AL52" s="63" t="str">
        <f ca="1">IF(B52="","",IFERROR(VLOOKUP(B52,'ANÁLISE DE DADOS'!$A:$AM,36,0),""))</f>
        <v>0</v>
      </c>
    </row>
    <row r="53" spans="2:38" x14ac:dyDescent="0.3">
      <c r="B53" s="30">
        <v>49</v>
      </c>
      <c r="C53" s="61">
        <f>IF(B53="","",IFERROR(VLOOKUP(B53,'ANÁLISE DE DADOS'!$A:$AM,1,0),""))</f>
        <v>49</v>
      </c>
      <c r="D53" s="61" t="str">
        <f>IF(B53="","",IFERROR(VLOOKUP(B53,'ANÁLISE DE DADOS'!$A:$AM,2,0),""))</f>
        <v>Matriz</v>
      </c>
      <c r="E53" s="61">
        <f>IF(B53="","",IFERROR(VLOOKUP(B53,'ANÁLISE DE DADOS'!$A:$AM,3,0),""))</f>
        <v>0</v>
      </c>
      <c r="F53" s="61" t="str">
        <f>IF(B53="","",IFERROR(VLOOKUP(B53,'ANÁLISE DE DADOS'!$A:$AM,4,0),""))</f>
        <v>GlobalTech</v>
      </c>
      <c r="G53" s="62">
        <f>IF(B53="","",IFERROR(VLOOKUP(B53,'ANÁLISE DE DADOS'!$A:$AM,5,0),""))</f>
        <v>45734</v>
      </c>
      <c r="H53" s="62" t="str">
        <f>IF(B53="","",IFERROR(VLOOKUP(B53,'ANÁLISE DE DADOS'!$A:$AM,6,0),""))</f>
        <v>mar-25</v>
      </c>
      <c r="I53" s="62" t="str">
        <f>IF(B53="","",IFERROR(VLOOKUP(B53,'ANÁLISE DE DADOS'!$A:$AM,7,0),""))</f>
        <v>2025</v>
      </c>
      <c r="J53" s="62">
        <f>IF(B53="","",IFERROR(VLOOKUP(B53,'ANÁLISE DE DADOS'!$A:$AM,8,0),""))</f>
        <v>45741</v>
      </c>
      <c r="K53" s="61" t="str">
        <f>IF(B53="","",IFERROR(VLOOKUP(B53,'ANÁLISE DE DADOS'!$A:$AM,9,0),""))</f>
        <v>mar-25</v>
      </c>
      <c r="L53" s="61" t="str">
        <f>IF(B53="","",IFERROR(VLOOKUP(B53,'ANÁLISE DE DADOS'!$A:$AM,10,0),""))</f>
        <v>2025</v>
      </c>
      <c r="M53" s="62">
        <f>IF(B53="","",IFERROR(VLOOKUP(B53,'ANÁLISE DE DADOS'!$A:$AM,11,0),""))</f>
        <v>45741</v>
      </c>
      <c r="N53" s="61" t="str">
        <f>IF(B53="","",IFERROR(VLOOKUP(B53,'ANÁLISE DE DADOS'!$A:$AM,12,0),""))</f>
        <v>mar-25</v>
      </c>
      <c r="O53" s="61" t="str">
        <f>IF(B53="","",IFERROR(VLOOKUP(B53,'ANÁLISE DE DADOS'!$A:$AM,13,0),""))</f>
        <v>2025</v>
      </c>
      <c r="P53" s="63">
        <f>IF(B53="","",IFERROR(VLOOKUP(B53,'ANÁLISE DE DADOS'!$A:$AM,14,0),""))</f>
        <v>2200</v>
      </c>
      <c r="Q53" s="61" t="str">
        <f>IF(B53="","",IFERROR(VLOOKUP(B53,'ANÁLISE DE DADOS'!$A:$AM,15,0),""))</f>
        <v>Roberto</v>
      </c>
      <c r="R53" s="61" t="str">
        <f>IF(B53="","",IFERROR(VLOOKUP(B53,'ANÁLISE DE DADOS'!$A:$AM,16,0),""))</f>
        <v>ANALISTA GUSTAVO</v>
      </c>
      <c r="S53" s="61" t="str">
        <f>IF(B53="","",IFERROR(VLOOKUP(B53,'ANÁLISE DE DADOS'!$A:$AM,17,0),""))</f>
        <v>NÃO</v>
      </c>
      <c r="T53" s="61" t="str">
        <f>IF(B53="","",IFERROR(VLOOKUP(B53,'ANÁLISE DE DADOS'!$A:$AM,18,0),""))</f>
        <v>Acordo em andamento (aguardando pagamento)</v>
      </c>
      <c r="U53" s="61" t="str">
        <f ca="1">IF(B53="","",IFERROR(VLOOKUP(B53,'ANÁLISE DE DADOS'!$A:$AM,19,0),""))</f>
        <v>Vencido</v>
      </c>
      <c r="V53" s="61">
        <f ca="1">IF(B53="","",IFERROR(VLOOKUP(B53,'ANÁLISE DE DADOS'!$A:$AM,20,0),""))</f>
        <v>54</v>
      </c>
      <c r="W53" s="61" t="str">
        <f ca="1">IF(B53="","",IFERROR(VLOOKUP(B53,'ANÁLISE DE DADOS'!$A:$AM,21,0),""))</f>
        <v>31-60 dias</v>
      </c>
      <c r="X53" s="61" t="str">
        <f ca="1">IF(B53="","",IFERROR(VLOOKUP(B53,'ANÁLISE DE DADOS'!$A:$AM,22,0),""))</f>
        <v>Atraso Médio</v>
      </c>
      <c r="Y53" s="61" t="str">
        <f>IF(B53="","",IFERROR(VLOOKUP(B53,'ANÁLISE DE DADOS'!$A:$AM,23,0),""))</f>
        <v>-</v>
      </c>
      <c r="Z53" s="61" t="str">
        <f>IF(B53="","",IFERROR(VLOOKUP(B53,'ANÁLISE DE DADOS'!$A:$AM,24,0),""))</f>
        <v>Não</v>
      </c>
      <c r="AA53" s="61">
        <f>IF(B53="","",IFERROR(VLOOKUP(B53,'ANÁLISE DE DADOS'!$A:$AM,25,0),""))</f>
        <v>0</v>
      </c>
      <c r="AB53" s="61">
        <f>IF(B53="","",IFERROR(VLOOKUP(B53,'ANÁLISE DE DADOS'!$A:$AM,26,0),""))</f>
        <v>0</v>
      </c>
      <c r="AC53" s="61" t="str">
        <f>IF(B53="","",IFERROR(VLOOKUP(B53,'ANÁLISE DE DADOS'!$A:$AM,27,0),""))</f>
        <v>Não</v>
      </c>
      <c r="AD53" s="62">
        <f>IF(B53="","",IFERROR(VLOOKUP(B53,'ANÁLISE DE DADOS'!$A:$AM,28,0),""))</f>
        <v>45743</v>
      </c>
      <c r="AE53" s="61" t="str">
        <f>IF(B53="","",IFERROR(VLOOKUP(B53,'ANÁLISE DE DADOS'!$A:$AM,29,0),""))</f>
        <v>mar-25</v>
      </c>
      <c r="AF53" s="61" t="str">
        <f>IF(B53="","",IFERROR(VLOOKUP(B53,'ANÁLISE DE DADOS'!$A:$AM,30,0),""))</f>
        <v>2025</v>
      </c>
      <c r="AG53" s="62">
        <f>IF(B53="","",IFERROR(VLOOKUP(B53,'ANÁLISE DE DADOS'!$A:$AM,31,0),""))</f>
        <v>45743</v>
      </c>
      <c r="AH53" s="61" t="str">
        <f>IF(B53="","",IFERROR(VLOOKUP(B53,'ANÁLISE DE DADOS'!$A:$AM,32,0),""))</f>
        <v>mar-25</v>
      </c>
      <c r="AI53" s="61" t="str">
        <f>IF(B53="","",IFERROR(VLOOKUP(B53,'ANÁLISE DE DADOS'!$A:$AM,33,0),""))</f>
        <v>2025</v>
      </c>
      <c r="AJ53" s="61" t="str">
        <f>IF(B53="","",IFERROR(VLOOKUP(B53,'ANÁLISE DE DADOS'!$A:$AM,34,0),""))</f>
        <v>Acompanhando</v>
      </c>
      <c r="AK53" s="63">
        <f ca="1">IF(B53="","",IFERROR(VLOOKUP(B53,'ANÁLISE DE DADOS'!$A:$AM,35,0),""))</f>
        <v>2200</v>
      </c>
      <c r="AL53" s="63" t="str">
        <f ca="1">IF(B53="","",IFERROR(VLOOKUP(B53,'ANÁLISE DE DADOS'!$A:$AM,36,0),""))</f>
        <v>0</v>
      </c>
    </row>
    <row r="54" spans="2:38" x14ac:dyDescent="0.3">
      <c r="B54" s="30">
        <v>50</v>
      </c>
      <c r="C54" s="61">
        <f>IF(B54="","",IFERROR(VLOOKUP(B54,'ANÁLISE DE DADOS'!$A:$AM,1,0),""))</f>
        <v>50</v>
      </c>
      <c r="D54" s="61" t="str">
        <f>IF(B54="","",IFERROR(VLOOKUP(B54,'ANÁLISE DE DADOS'!$A:$AM,2,0),""))</f>
        <v>Filial</v>
      </c>
      <c r="E54" s="61">
        <f>IF(B54="","",IFERROR(VLOOKUP(B54,'ANÁLISE DE DADOS'!$A:$AM,3,0),""))</f>
        <v>0</v>
      </c>
      <c r="F54" s="61" t="str">
        <f>IF(B54="","",IFERROR(VLOOKUP(B54,'ANÁLISE DE DADOS'!$A:$AM,4,0),""))</f>
        <v>GlobalTech</v>
      </c>
      <c r="G54" s="62">
        <f>IF(B54="","",IFERROR(VLOOKUP(B54,'ANÁLISE DE DADOS'!$A:$AM,5,0),""))</f>
        <v>45738</v>
      </c>
      <c r="H54" s="62" t="str">
        <f>IF(B54="","",IFERROR(VLOOKUP(B54,'ANÁLISE DE DADOS'!$A:$AM,6,0),""))</f>
        <v>mar-25</v>
      </c>
      <c r="I54" s="62" t="str">
        <f>IF(B54="","",IFERROR(VLOOKUP(B54,'ANÁLISE DE DADOS'!$A:$AM,7,0),""))</f>
        <v>2025</v>
      </c>
      <c r="J54" s="62">
        <f>IF(B54="","",IFERROR(VLOOKUP(B54,'ANÁLISE DE DADOS'!$A:$AM,8,0),""))</f>
        <v>45742</v>
      </c>
      <c r="K54" s="61" t="str">
        <f>IF(B54="","",IFERROR(VLOOKUP(B54,'ANÁLISE DE DADOS'!$A:$AM,9,0),""))</f>
        <v>mar-25</v>
      </c>
      <c r="L54" s="61" t="str">
        <f>IF(B54="","",IFERROR(VLOOKUP(B54,'ANÁLISE DE DADOS'!$A:$AM,10,0),""))</f>
        <v>2025</v>
      </c>
      <c r="M54" s="62">
        <f>IF(B54="","",IFERROR(VLOOKUP(B54,'ANÁLISE DE DADOS'!$A:$AM,11,0),""))</f>
        <v>45742</v>
      </c>
      <c r="N54" s="61" t="str">
        <f>IF(B54="","",IFERROR(VLOOKUP(B54,'ANÁLISE DE DADOS'!$A:$AM,12,0),""))</f>
        <v>mar-25</v>
      </c>
      <c r="O54" s="61" t="str">
        <f>IF(B54="","",IFERROR(VLOOKUP(B54,'ANÁLISE DE DADOS'!$A:$AM,13,0),""))</f>
        <v>2025</v>
      </c>
      <c r="P54" s="63">
        <f>IF(B54="","",IFERROR(VLOOKUP(B54,'ANÁLISE DE DADOS'!$A:$AM,14,0),""))</f>
        <v>1800</v>
      </c>
      <c r="Q54" s="61" t="str">
        <f>IF(B54="","",IFERROR(VLOOKUP(B54,'ANÁLISE DE DADOS'!$A:$AM,15,0),""))</f>
        <v>Gustavo</v>
      </c>
      <c r="R54" s="61" t="str">
        <f>IF(B54="","",IFERROR(VLOOKUP(B54,'ANÁLISE DE DADOS'!$A:$AM,16,0),""))</f>
        <v>ANALISTA GUSTAVO</v>
      </c>
      <c r="S54" s="61" t="str">
        <f>IF(B54="","",IFERROR(VLOOKUP(B54,'ANÁLISE DE DADOS'!$A:$AM,17,0),""))</f>
        <v>NÃO</v>
      </c>
      <c r="T54" s="61" t="str">
        <f>IF(B54="","",IFERROR(VLOOKUP(B54,'ANÁLISE DE DADOS'!$A:$AM,18,0),""))</f>
        <v>Acordo em andamento (aguardando pagamento)</v>
      </c>
      <c r="U54" s="61" t="str">
        <f ca="1">IF(B54="","",IFERROR(VLOOKUP(B54,'ANÁLISE DE DADOS'!$A:$AM,19,0),""))</f>
        <v>Vencido</v>
      </c>
      <c r="V54" s="61">
        <f ca="1">IF(B54="","",IFERROR(VLOOKUP(B54,'ANÁLISE DE DADOS'!$A:$AM,20,0),""))</f>
        <v>53</v>
      </c>
      <c r="W54" s="61" t="str">
        <f ca="1">IF(B54="","",IFERROR(VLOOKUP(B54,'ANÁLISE DE DADOS'!$A:$AM,21,0),""))</f>
        <v>31-60 dias</v>
      </c>
      <c r="X54" s="61" t="str">
        <f ca="1">IF(B54="","",IFERROR(VLOOKUP(B54,'ANÁLISE DE DADOS'!$A:$AM,22,0),""))</f>
        <v>Atraso Médio</v>
      </c>
      <c r="Y54" s="61" t="str">
        <f>IF(B54="","",IFERROR(VLOOKUP(B54,'ANÁLISE DE DADOS'!$A:$AM,23,0),""))</f>
        <v>-</v>
      </c>
      <c r="Z54" s="61" t="str">
        <f>IF(B54="","",IFERROR(VLOOKUP(B54,'ANÁLISE DE DADOS'!$A:$AM,24,0),""))</f>
        <v>Não</v>
      </c>
      <c r="AA54" s="61">
        <f>IF(B54="","",IFERROR(VLOOKUP(B54,'ANÁLISE DE DADOS'!$A:$AM,25,0),""))</f>
        <v>0</v>
      </c>
      <c r="AB54" s="61">
        <f>IF(B54="","",IFERROR(VLOOKUP(B54,'ANÁLISE DE DADOS'!$A:$AM,26,0),""))</f>
        <v>0</v>
      </c>
      <c r="AC54" s="61" t="str">
        <f>IF(B54="","",IFERROR(VLOOKUP(B54,'ANÁLISE DE DADOS'!$A:$AM,27,0),""))</f>
        <v>Não</v>
      </c>
      <c r="AD54" s="62">
        <f>IF(B54="","",IFERROR(VLOOKUP(B54,'ANÁLISE DE DADOS'!$A:$AM,28,0),""))</f>
        <v>45744</v>
      </c>
      <c r="AE54" s="61" t="str">
        <f>IF(B54="","",IFERROR(VLOOKUP(B54,'ANÁLISE DE DADOS'!$A:$AM,29,0),""))</f>
        <v>mar-25</v>
      </c>
      <c r="AF54" s="61" t="str">
        <f>IF(B54="","",IFERROR(VLOOKUP(B54,'ANÁLISE DE DADOS'!$A:$AM,30,0),""))</f>
        <v>2025</v>
      </c>
      <c r="AG54" s="62">
        <f>IF(B54="","",IFERROR(VLOOKUP(B54,'ANÁLISE DE DADOS'!$A:$AM,31,0),""))</f>
        <v>45744</v>
      </c>
      <c r="AH54" s="61" t="str">
        <f>IF(B54="","",IFERROR(VLOOKUP(B54,'ANÁLISE DE DADOS'!$A:$AM,32,0),""))</f>
        <v>mar-25</v>
      </c>
      <c r="AI54" s="61" t="str">
        <f>IF(B54="","",IFERROR(VLOOKUP(B54,'ANÁLISE DE DADOS'!$A:$AM,33,0),""))</f>
        <v>2025</v>
      </c>
      <c r="AJ54" s="61" t="str">
        <f>IF(B54="","",IFERROR(VLOOKUP(B54,'ANÁLISE DE DADOS'!$A:$AM,34,0),""))</f>
        <v>Acompanhando</v>
      </c>
      <c r="AK54" s="63">
        <f ca="1">IF(B54="","",IFERROR(VLOOKUP(B54,'ANÁLISE DE DADOS'!$A:$AM,35,0),""))</f>
        <v>1800</v>
      </c>
      <c r="AL54" s="63" t="str">
        <f ca="1">IF(B54="","",IFERROR(VLOOKUP(B54,'ANÁLISE DE DADOS'!$A:$AM,36,0),""))</f>
        <v>0</v>
      </c>
    </row>
    <row r="55" spans="2:38" x14ac:dyDescent="0.3">
      <c r="B55" s="30">
        <v>51</v>
      </c>
      <c r="C55" s="61">
        <f>IF(B55="","",IFERROR(VLOOKUP(B55,'ANÁLISE DE DADOS'!$A:$AM,1,0),""))</f>
        <v>51</v>
      </c>
      <c r="D55" s="61" t="str">
        <f>IF(B55="","",IFERROR(VLOOKUP(B55,'ANÁLISE DE DADOS'!$A:$AM,2,0),""))</f>
        <v>Matriz</v>
      </c>
      <c r="E55" s="61">
        <f>IF(B55="","",IFERROR(VLOOKUP(B55,'ANÁLISE DE DADOS'!$A:$AM,3,0),""))</f>
        <v>0</v>
      </c>
      <c r="F55" s="61" t="str">
        <f>IF(B55="","",IFERROR(VLOOKUP(B55,'ANÁLISE DE DADOS'!$A:$AM,4,0),""))</f>
        <v>GlobalTech</v>
      </c>
      <c r="G55" s="62">
        <f>IF(B55="","",IFERROR(VLOOKUP(B55,'ANÁLISE DE DADOS'!$A:$AM,5,0),""))</f>
        <v>45709</v>
      </c>
      <c r="H55" s="62" t="str">
        <f>IF(B55="","",IFERROR(VLOOKUP(B55,'ANÁLISE DE DADOS'!$A:$AM,6,0),""))</f>
        <v>fev-25</v>
      </c>
      <c r="I55" s="62" t="str">
        <f>IF(B55="","",IFERROR(VLOOKUP(B55,'ANÁLISE DE DADOS'!$A:$AM,7,0),""))</f>
        <v>2025</v>
      </c>
      <c r="J55" s="62">
        <f>IF(B55="","",IFERROR(VLOOKUP(B55,'ANÁLISE DE DADOS'!$A:$AM,8,0),""))</f>
        <v>45737</v>
      </c>
      <c r="K55" s="61" t="str">
        <f>IF(B55="","",IFERROR(VLOOKUP(B55,'ANÁLISE DE DADOS'!$A:$AM,9,0),""))</f>
        <v>mar-25</v>
      </c>
      <c r="L55" s="61" t="str">
        <f>IF(B55="","",IFERROR(VLOOKUP(B55,'ANÁLISE DE DADOS'!$A:$AM,10,0),""))</f>
        <v>2025</v>
      </c>
      <c r="M55" s="62">
        <f>IF(B55="","",IFERROR(VLOOKUP(B55,'ANÁLISE DE DADOS'!$A:$AM,11,0),""))</f>
        <v>45737</v>
      </c>
      <c r="N55" s="61" t="str">
        <f>IF(B55="","",IFERROR(VLOOKUP(B55,'ANÁLISE DE DADOS'!$A:$AM,12,0),""))</f>
        <v>mar-25</v>
      </c>
      <c r="O55" s="61" t="str">
        <f>IF(B55="","",IFERROR(VLOOKUP(B55,'ANÁLISE DE DADOS'!$A:$AM,13,0),""))</f>
        <v>2025</v>
      </c>
      <c r="P55" s="63">
        <f>IF(B55="","",IFERROR(VLOOKUP(B55,'ANÁLISE DE DADOS'!$A:$AM,14,0),""))</f>
        <v>1500</v>
      </c>
      <c r="Q55" s="61" t="str">
        <f>IF(B55="","",IFERROR(VLOOKUP(B55,'ANÁLISE DE DADOS'!$A:$AM,15,0),""))</f>
        <v>Fernanda</v>
      </c>
      <c r="R55" s="61" t="str">
        <f>IF(B55="","",IFERROR(VLOOKUP(B55,'ANÁLISE DE DADOS'!$A:$AM,16,0),""))</f>
        <v>ANALISTA LUCAS</v>
      </c>
      <c r="S55" s="61" t="str">
        <f>IF(B55="","",IFERROR(VLOOKUP(B55,'ANÁLISE DE DADOS'!$A:$AM,17,0),""))</f>
        <v>NÃO</v>
      </c>
      <c r="T55" s="61" t="str">
        <f>IF(B55="","",IFERROR(VLOOKUP(B55,'ANÁLISE DE DADOS'!$A:$AM,18,0),""))</f>
        <v>Sem Retorno</v>
      </c>
      <c r="U55" s="61" t="str">
        <f ca="1">IF(B55="","",IFERROR(VLOOKUP(B55,'ANÁLISE DE DADOS'!$A:$AM,19,0),""))</f>
        <v>Vencido</v>
      </c>
      <c r="V55" s="61">
        <f ca="1">IF(B55="","",IFERROR(VLOOKUP(B55,'ANÁLISE DE DADOS'!$A:$AM,20,0),""))</f>
        <v>58</v>
      </c>
      <c r="W55" s="61" t="str">
        <f ca="1">IF(B55="","",IFERROR(VLOOKUP(B55,'ANÁLISE DE DADOS'!$A:$AM,21,0),""))</f>
        <v>31-60 dias</v>
      </c>
      <c r="X55" s="61" t="str">
        <f ca="1">IF(B55="","",IFERROR(VLOOKUP(B55,'ANÁLISE DE DADOS'!$A:$AM,22,0),""))</f>
        <v>Atraso Médio</v>
      </c>
      <c r="Y55" s="61" t="str">
        <f>IF(B55="","",IFERROR(VLOOKUP(B55,'ANÁLISE DE DADOS'!$A:$AM,23,0),""))</f>
        <v>-</v>
      </c>
      <c r="Z55" s="61" t="str">
        <f>IF(B55="","",IFERROR(VLOOKUP(B55,'ANÁLISE DE DADOS'!$A:$AM,24,0),""))</f>
        <v>Sim</v>
      </c>
      <c r="AA55" s="61">
        <f>IF(B55="","",IFERROR(VLOOKUP(B55,'ANÁLISE DE DADOS'!$A:$AM,25,0),""))</f>
        <v>0</v>
      </c>
      <c r="AB55" s="61">
        <f>IF(B55="","",IFERROR(VLOOKUP(B55,'ANÁLISE DE DADOS'!$A:$AM,26,0),""))</f>
        <v>1</v>
      </c>
      <c r="AC55" s="61" t="str">
        <f>IF(B55="","",IFERROR(VLOOKUP(B55,'ANÁLISE DE DADOS'!$A:$AM,27,0),""))</f>
        <v>Sim</v>
      </c>
      <c r="AD55" s="62">
        <f>IF(B55="","",IFERROR(VLOOKUP(B55,'ANÁLISE DE DADOS'!$A:$AM,28,0),""))</f>
        <v>45740</v>
      </c>
      <c r="AE55" s="61" t="str">
        <f>IF(B55="","",IFERROR(VLOOKUP(B55,'ANÁLISE DE DADOS'!$A:$AM,29,0),""))</f>
        <v>mar-25</v>
      </c>
      <c r="AF55" s="61" t="str">
        <f>IF(B55="","",IFERROR(VLOOKUP(B55,'ANÁLISE DE DADOS'!$A:$AM,30,0),""))</f>
        <v>2025</v>
      </c>
      <c r="AG55" s="62">
        <f>IF(B55="","",IFERROR(VLOOKUP(B55,'ANÁLISE DE DADOS'!$A:$AM,31,0),""))</f>
        <v>45772</v>
      </c>
      <c r="AH55" s="61" t="str">
        <f>IF(B55="","",IFERROR(VLOOKUP(B55,'ANÁLISE DE DADOS'!$A:$AM,32,0),""))</f>
        <v>abr-25</v>
      </c>
      <c r="AI55" s="61" t="str">
        <f>IF(B55="","",IFERROR(VLOOKUP(B55,'ANÁLISE DE DADOS'!$A:$AM,33,0),""))</f>
        <v>2025</v>
      </c>
      <c r="AJ55" s="61" t="str">
        <f>IF(B55="","",IFERROR(VLOOKUP(B55,'ANÁLISE DE DADOS'!$A:$AM,34,0),""))</f>
        <v>Acompanhando</v>
      </c>
      <c r="AK55" s="63">
        <f ca="1">IF(B55="","",IFERROR(VLOOKUP(B55,'ANÁLISE DE DADOS'!$A:$AM,35,0),""))</f>
        <v>1500</v>
      </c>
      <c r="AL55" s="63" t="str">
        <f ca="1">IF(B55="","",IFERROR(VLOOKUP(B55,'ANÁLISE DE DADOS'!$A:$AM,36,0),""))</f>
        <v>0</v>
      </c>
    </row>
    <row r="56" spans="2:38" x14ac:dyDescent="0.3">
      <c r="B56" s="30">
        <v>52</v>
      </c>
      <c r="C56" s="61">
        <f>IF(B56="","",IFERROR(VLOOKUP(B56,'ANÁLISE DE DADOS'!$A:$AM,1,0),""))</f>
        <v>52</v>
      </c>
      <c r="D56" s="61" t="str">
        <f>IF(B56="","",IFERROR(VLOOKUP(B56,'ANÁLISE DE DADOS'!$A:$AM,2,0),""))</f>
        <v>Filial</v>
      </c>
      <c r="E56" s="61">
        <f>IF(B56="","",IFERROR(VLOOKUP(B56,'ANÁLISE DE DADOS'!$A:$AM,3,0),""))</f>
        <v>0</v>
      </c>
      <c r="F56" s="61" t="str">
        <f>IF(B56="","",IFERROR(VLOOKUP(B56,'ANÁLISE DE DADOS'!$A:$AM,4,0),""))</f>
        <v>BemEstar</v>
      </c>
      <c r="G56" s="62">
        <f>IF(B56="","",IFERROR(VLOOKUP(B56,'ANÁLISE DE DADOS'!$A:$AM,5,0),""))</f>
        <v>45311</v>
      </c>
      <c r="H56" s="62" t="str">
        <f>IF(B56="","",IFERROR(VLOOKUP(B56,'ANÁLISE DE DADOS'!$A:$AM,6,0),""))</f>
        <v>jan-24</v>
      </c>
      <c r="I56" s="62" t="str">
        <f>IF(B56="","",IFERROR(VLOOKUP(B56,'ANÁLISE DE DADOS'!$A:$AM,7,0),""))</f>
        <v>2024</v>
      </c>
      <c r="J56" s="62">
        <f>IF(B56="","",IFERROR(VLOOKUP(B56,'ANÁLISE DE DADOS'!$A:$AM,8,0),""))</f>
        <v>45313</v>
      </c>
      <c r="K56" s="61" t="str">
        <f>IF(B56="","",IFERROR(VLOOKUP(B56,'ANÁLISE DE DADOS'!$A:$AM,9,0),""))</f>
        <v>jan-24</v>
      </c>
      <c r="L56" s="61" t="str">
        <f>IF(B56="","",IFERROR(VLOOKUP(B56,'ANÁLISE DE DADOS'!$A:$AM,10,0),""))</f>
        <v>2024</v>
      </c>
      <c r="M56" s="62">
        <f>IF(B56="","",IFERROR(VLOOKUP(B56,'ANÁLISE DE DADOS'!$A:$AM,11,0),""))</f>
        <v>45314</v>
      </c>
      <c r="N56" s="61" t="str">
        <f>IF(B56="","",IFERROR(VLOOKUP(B56,'ANÁLISE DE DADOS'!$A:$AM,12,0),""))</f>
        <v>jan-24</v>
      </c>
      <c r="O56" s="61" t="str">
        <f>IF(B56="","",IFERROR(VLOOKUP(B56,'ANÁLISE DE DADOS'!$A:$AM,13,0),""))</f>
        <v>2024</v>
      </c>
      <c r="P56" s="63">
        <f>IF(B56="","",IFERROR(VLOOKUP(B56,'ANÁLISE DE DADOS'!$A:$AM,14,0),""))</f>
        <v>1400</v>
      </c>
      <c r="Q56" s="61" t="str">
        <f>IF(B56="","",IFERROR(VLOOKUP(B56,'ANÁLISE DE DADOS'!$A:$AM,15,0),""))</f>
        <v>Felipe</v>
      </c>
      <c r="R56" s="61" t="str">
        <f>IF(B56="","",IFERROR(VLOOKUP(B56,'ANÁLISE DE DADOS'!$A:$AM,16,0),""))</f>
        <v>ANALISTA LUCAS</v>
      </c>
      <c r="S56" s="61" t="str">
        <f>IF(B56="","",IFERROR(VLOOKUP(B56,'ANÁLISE DE DADOS'!$A:$AM,17,0),""))</f>
        <v>NÃO</v>
      </c>
      <c r="T56" s="61" t="str">
        <f>IF(B56="","",IFERROR(VLOOKUP(B56,'ANÁLISE DE DADOS'!$A:$AM,18,0),""))</f>
        <v>Promessa de pagamento não cumprida</v>
      </c>
      <c r="U56" s="61" t="str">
        <f ca="1">IF(B56="","",IFERROR(VLOOKUP(B56,'ANÁLISE DE DADOS'!$A:$AM,19,0),""))</f>
        <v>Vencido</v>
      </c>
      <c r="V56" s="61">
        <f ca="1">IF(B56="","",IFERROR(VLOOKUP(B56,'ANÁLISE DE DADOS'!$A:$AM,20,0),""))</f>
        <v>482</v>
      </c>
      <c r="W56" s="61" t="str">
        <f ca="1">IF(B56="","",IFERROR(VLOOKUP(B56,'ANÁLISE DE DADOS'!$A:$AM,21,0),""))</f>
        <v>61+ dias</v>
      </c>
      <c r="X56" s="61" t="str">
        <f ca="1">IF(B56="","",IFERROR(VLOOKUP(B56,'ANÁLISE DE DADOS'!$A:$AM,22,0),""))</f>
        <v>Atraso Crítico</v>
      </c>
      <c r="Y56" s="61" t="str">
        <f>IF(B56="","",IFERROR(VLOOKUP(B56,'ANÁLISE DE DADOS'!$A:$AM,23,0),""))</f>
        <v>-</v>
      </c>
      <c r="Z56" s="61" t="str">
        <f>IF(B56="","",IFERROR(VLOOKUP(B56,'ANÁLISE DE DADOS'!$A:$AM,24,0),""))</f>
        <v>Sim</v>
      </c>
      <c r="AA56" s="61">
        <f>IF(B56="","",IFERROR(VLOOKUP(B56,'ANÁLISE DE DADOS'!$A:$AM,25,0),""))</f>
        <v>0</v>
      </c>
      <c r="AB56" s="61">
        <f>IF(B56="","",IFERROR(VLOOKUP(B56,'ANÁLISE DE DADOS'!$A:$AM,26,0),""))</f>
        <v>1</v>
      </c>
      <c r="AC56" s="61" t="str">
        <f>IF(B56="","",IFERROR(VLOOKUP(B56,'ANÁLISE DE DADOS'!$A:$AM,27,0),""))</f>
        <v>Sim</v>
      </c>
      <c r="AD56" s="62">
        <f>IF(B56="","",IFERROR(VLOOKUP(B56,'ANÁLISE DE DADOS'!$A:$AM,28,0),""))</f>
        <v>45740</v>
      </c>
      <c r="AE56" s="61" t="str">
        <f>IF(B56="","",IFERROR(VLOOKUP(B56,'ANÁLISE DE DADOS'!$A:$AM,29,0),""))</f>
        <v>mar-25</v>
      </c>
      <c r="AF56" s="61" t="str">
        <f>IF(B56="","",IFERROR(VLOOKUP(B56,'ANÁLISE DE DADOS'!$A:$AM,30,0),""))</f>
        <v>2025</v>
      </c>
      <c r="AG56" s="62">
        <f>IF(B56="","",IFERROR(VLOOKUP(B56,'ANÁLISE DE DADOS'!$A:$AM,31,0),""))</f>
        <v>45772</v>
      </c>
      <c r="AH56" s="61" t="str">
        <f>IF(B56="","",IFERROR(VLOOKUP(B56,'ANÁLISE DE DADOS'!$A:$AM,32,0),""))</f>
        <v>abr-25</v>
      </c>
      <c r="AI56" s="61" t="str">
        <f>IF(B56="","",IFERROR(VLOOKUP(B56,'ANÁLISE DE DADOS'!$A:$AM,33,0),""))</f>
        <v>2025</v>
      </c>
      <c r="AJ56" s="61" t="str">
        <f>IF(B56="","",IFERROR(VLOOKUP(B56,'ANÁLISE DE DADOS'!$A:$AM,34,0),""))</f>
        <v>Acompanhando</v>
      </c>
      <c r="AK56" s="63">
        <f ca="1">IF(B56="","",IFERROR(VLOOKUP(B56,'ANÁLISE DE DADOS'!$A:$AM,35,0),""))</f>
        <v>1400</v>
      </c>
      <c r="AL56" s="63" t="str">
        <f ca="1">IF(B56="","",IFERROR(VLOOKUP(B56,'ANÁLISE DE DADOS'!$A:$AM,36,0),""))</f>
        <v>0</v>
      </c>
    </row>
    <row r="57" spans="2:38" x14ac:dyDescent="0.3">
      <c r="B57" s="30">
        <v>53</v>
      </c>
      <c r="C57" s="61">
        <f>IF(B57="","",IFERROR(VLOOKUP(B57,'ANÁLISE DE DADOS'!$A:$AM,1,0),""))</f>
        <v>53</v>
      </c>
      <c r="D57" s="61" t="str">
        <f>IF(B57="","",IFERROR(VLOOKUP(B57,'ANÁLISE DE DADOS'!$A:$AM,2,0),""))</f>
        <v>Matriz</v>
      </c>
      <c r="E57" s="61">
        <f>IF(B57="","",IFERROR(VLOOKUP(B57,'ANÁLISE DE DADOS'!$A:$AM,3,0),""))</f>
        <v>0</v>
      </c>
      <c r="F57" s="61" t="str">
        <f>IF(B57="","",IFERROR(VLOOKUP(B57,'ANÁLISE DE DADOS'!$A:$AM,4,0),""))</f>
        <v>InvestPro</v>
      </c>
      <c r="G57" s="62">
        <f>IF(B57="","",IFERROR(VLOOKUP(B57,'ANÁLISE DE DADOS'!$A:$AM,5,0),""))</f>
        <v>45709</v>
      </c>
      <c r="H57" s="62" t="str">
        <f>IF(B57="","",IFERROR(VLOOKUP(B57,'ANÁLISE DE DADOS'!$A:$AM,6,0),""))</f>
        <v>fev-25</v>
      </c>
      <c r="I57" s="62" t="str">
        <f>IF(B57="","",IFERROR(VLOOKUP(B57,'ANÁLISE DE DADOS'!$A:$AM,7,0),""))</f>
        <v>2025</v>
      </c>
      <c r="J57" s="62">
        <f>IF(B57="","",IFERROR(VLOOKUP(B57,'ANÁLISE DE DADOS'!$A:$AM,8,0),""))</f>
        <v>45737</v>
      </c>
      <c r="K57" s="61" t="str">
        <f>IF(B57="","",IFERROR(VLOOKUP(B57,'ANÁLISE DE DADOS'!$A:$AM,9,0),""))</f>
        <v>mar-25</v>
      </c>
      <c r="L57" s="61" t="str">
        <f>IF(B57="","",IFERROR(VLOOKUP(B57,'ANÁLISE DE DADOS'!$A:$AM,10,0),""))</f>
        <v>2025</v>
      </c>
      <c r="M57" s="62">
        <f>IF(B57="","",IFERROR(VLOOKUP(B57,'ANÁLISE DE DADOS'!$A:$AM,11,0),""))</f>
        <v>45737</v>
      </c>
      <c r="N57" s="61" t="str">
        <f>IF(B57="","",IFERROR(VLOOKUP(B57,'ANÁLISE DE DADOS'!$A:$AM,12,0),""))</f>
        <v>mar-25</v>
      </c>
      <c r="O57" s="61" t="str">
        <f>IF(B57="","",IFERROR(VLOOKUP(B57,'ANÁLISE DE DADOS'!$A:$AM,13,0),""))</f>
        <v>2025</v>
      </c>
      <c r="P57" s="63">
        <f>IF(B57="","",IFERROR(VLOOKUP(B57,'ANÁLISE DE DADOS'!$A:$AM,14,0),""))</f>
        <v>2700</v>
      </c>
      <c r="Q57" s="61" t="str">
        <f>IF(B57="","",IFERROR(VLOOKUP(B57,'ANÁLISE DE DADOS'!$A:$AM,15,0),""))</f>
        <v>Camila</v>
      </c>
      <c r="R57" s="61" t="str">
        <f>IF(B57="","",IFERROR(VLOOKUP(B57,'ANÁLISE DE DADOS'!$A:$AM,16,0),""))</f>
        <v>ANALISTA LUCAS</v>
      </c>
      <c r="S57" s="61" t="str">
        <f>IF(B57="","",IFERROR(VLOOKUP(B57,'ANÁLISE DE DADOS'!$A:$AM,17,0),""))</f>
        <v>SIM</v>
      </c>
      <c r="T57" s="61" t="str">
        <f>IF(B57="","",IFERROR(VLOOKUP(B57,'ANÁLISE DE DADOS'!$A:$AM,18,0),""))</f>
        <v>Sem Retorno</v>
      </c>
      <c r="U57" s="61" t="str">
        <f>IF(B57="","",IFERROR(VLOOKUP(B57,'ANÁLISE DE DADOS'!$A:$AM,19,0),""))</f>
        <v>Quitado</v>
      </c>
      <c r="V57" s="61">
        <f>IF(B57="","",IFERROR(VLOOKUP(B57,'ANÁLISE DE DADOS'!$A:$AM,20,0),""))</f>
        <v>0</v>
      </c>
      <c r="W57" s="61" t="str">
        <f>IF(B57="","",IFERROR(VLOOKUP(B57,'ANÁLISE DE DADOS'!$A:$AM,21,0),""))</f>
        <v/>
      </c>
      <c r="X57" s="61" t="str">
        <f>IF(B57="","",IFERROR(VLOOKUP(B57,'ANÁLISE DE DADOS'!$A:$AM,22,0),""))</f>
        <v/>
      </c>
      <c r="Y57" s="61" t="str">
        <f>IF(B57="","",IFERROR(VLOOKUP(B57,'ANÁLISE DE DADOS'!$A:$AM,23,0),""))</f>
        <v>-</v>
      </c>
      <c r="Z57" s="61" t="str">
        <f>IF(B57="","",IFERROR(VLOOKUP(B57,'ANÁLISE DE DADOS'!$A:$AM,24,0),""))</f>
        <v>Sim</v>
      </c>
      <c r="AA57" s="61">
        <f>IF(B57="","",IFERROR(VLOOKUP(B57,'ANÁLISE DE DADOS'!$A:$AM,25,0),""))</f>
        <v>0</v>
      </c>
      <c r="AB57" s="61">
        <f>IF(B57="","",IFERROR(VLOOKUP(B57,'ANÁLISE DE DADOS'!$A:$AM,26,0),""))</f>
        <v>1</v>
      </c>
      <c r="AC57" s="61" t="str">
        <f>IF(B57="","",IFERROR(VLOOKUP(B57,'ANÁLISE DE DADOS'!$A:$AM,27,0),""))</f>
        <v>Sim</v>
      </c>
      <c r="AD57" s="62">
        <f>IF(B57="","",IFERROR(VLOOKUP(B57,'ANÁLISE DE DADOS'!$A:$AM,28,0),""))</f>
        <v>45740</v>
      </c>
      <c r="AE57" s="61" t="str">
        <f>IF(B57="","",IFERROR(VLOOKUP(B57,'ANÁLISE DE DADOS'!$A:$AM,29,0),""))</f>
        <v>mar-25</v>
      </c>
      <c r="AF57" s="61" t="str">
        <f>IF(B57="","",IFERROR(VLOOKUP(B57,'ANÁLISE DE DADOS'!$A:$AM,30,0),""))</f>
        <v>2025</v>
      </c>
      <c r="AG57" s="62">
        <f>IF(B57="","",IFERROR(VLOOKUP(B57,'ANÁLISE DE DADOS'!$A:$AM,31,0),""))</f>
        <v>45772</v>
      </c>
      <c r="AH57" s="61" t="str">
        <f>IF(B57="","",IFERROR(VLOOKUP(B57,'ANÁLISE DE DADOS'!$A:$AM,32,0),""))</f>
        <v>abr-25</v>
      </c>
      <c r="AI57" s="61" t="str">
        <f>IF(B57="","",IFERROR(VLOOKUP(B57,'ANÁLISE DE DADOS'!$A:$AM,33,0),""))</f>
        <v>2025</v>
      </c>
      <c r="AJ57" s="61" t="str">
        <f>IF(B57="","",IFERROR(VLOOKUP(B57,'ANÁLISE DE DADOS'!$A:$AM,34,0),""))</f>
        <v>Acompanhando</v>
      </c>
      <c r="AK57" s="63" t="str">
        <f>IF(B57="","",IFERROR(VLOOKUP(B57,'ANÁLISE DE DADOS'!$A:$AM,35,0),""))</f>
        <v>0</v>
      </c>
      <c r="AL57" s="63" t="str">
        <f>IF(B57="","",IFERROR(VLOOKUP(B57,'ANÁLISE DE DADOS'!$A:$AM,36,0),""))</f>
        <v>0</v>
      </c>
    </row>
    <row r="58" spans="2:38" x14ac:dyDescent="0.3">
      <c r="B58" s="30">
        <v>54</v>
      </c>
      <c r="C58" s="61">
        <f>IF(B58="","",IFERROR(VLOOKUP(B58,'ANÁLISE DE DADOS'!$A:$AM,1,0),""))</f>
        <v>54</v>
      </c>
      <c r="D58" s="61" t="str">
        <f>IF(B58="","",IFERROR(VLOOKUP(B58,'ANÁLISE DE DADOS'!$A:$AM,2,0),""))</f>
        <v>Filial</v>
      </c>
      <c r="E58" s="61">
        <f>IF(B58="","",IFERROR(VLOOKUP(B58,'ANÁLISE DE DADOS'!$A:$AM,3,0),""))</f>
        <v>0</v>
      </c>
      <c r="F58" s="61" t="str">
        <f>IF(B58="","",IFERROR(VLOOKUP(B58,'ANÁLISE DE DADOS'!$A:$AM,4,0),""))</f>
        <v>InvestPro</v>
      </c>
      <c r="G58" s="62">
        <f>IF(B58="","",IFERROR(VLOOKUP(B58,'ANÁLISE DE DADOS'!$A:$AM,5,0),""))</f>
        <v>45709</v>
      </c>
      <c r="H58" s="62" t="str">
        <f>IF(B58="","",IFERROR(VLOOKUP(B58,'ANÁLISE DE DADOS'!$A:$AM,6,0),""))</f>
        <v>fev-25</v>
      </c>
      <c r="I58" s="62" t="str">
        <f>IF(B58="","",IFERROR(VLOOKUP(B58,'ANÁLISE DE DADOS'!$A:$AM,7,0),""))</f>
        <v>2025</v>
      </c>
      <c r="J58" s="62">
        <f>IF(B58="","",IFERROR(VLOOKUP(B58,'ANÁLISE DE DADOS'!$A:$AM,8,0),""))</f>
        <v>45737</v>
      </c>
      <c r="K58" s="61" t="str">
        <f>IF(B58="","",IFERROR(VLOOKUP(B58,'ANÁLISE DE DADOS'!$A:$AM,9,0),""))</f>
        <v>mar-25</v>
      </c>
      <c r="L58" s="61" t="str">
        <f>IF(B58="","",IFERROR(VLOOKUP(B58,'ANÁLISE DE DADOS'!$A:$AM,10,0),""))</f>
        <v>2025</v>
      </c>
      <c r="M58" s="62">
        <f>IF(B58="","",IFERROR(VLOOKUP(B58,'ANÁLISE DE DADOS'!$A:$AM,11,0),""))</f>
        <v>45737</v>
      </c>
      <c r="N58" s="61" t="str">
        <f>IF(B58="","",IFERROR(VLOOKUP(B58,'ANÁLISE DE DADOS'!$A:$AM,12,0),""))</f>
        <v>mar-25</v>
      </c>
      <c r="O58" s="61" t="str">
        <f>IF(B58="","",IFERROR(VLOOKUP(B58,'ANÁLISE DE DADOS'!$A:$AM,13,0),""))</f>
        <v>2025</v>
      </c>
      <c r="P58" s="63">
        <f>IF(B58="","",IFERROR(VLOOKUP(B58,'ANÁLISE DE DADOS'!$A:$AM,14,0),""))</f>
        <v>1600</v>
      </c>
      <c r="Q58" s="61" t="str">
        <f>IF(B58="","",IFERROR(VLOOKUP(B58,'ANÁLISE DE DADOS'!$A:$AM,15,0),""))</f>
        <v>Patrícia</v>
      </c>
      <c r="R58" s="61" t="str">
        <f>IF(B58="","",IFERROR(VLOOKUP(B58,'ANÁLISE DE DADOS'!$A:$AM,16,0),""))</f>
        <v>ANALISTA LUCAS</v>
      </c>
      <c r="S58" s="61" t="str">
        <f>IF(B58="","",IFERROR(VLOOKUP(B58,'ANÁLISE DE DADOS'!$A:$AM,17,0),""))</f>
        <v>NÃO</v>
      </c>
      <c r="T58" s="61" t="str">
        <f>IF(B58="","",IFERROR(VLOOKUP(B58,'ANÁLISE DE DADOS'!$A:$AM,18,0),""))</f>
        <v>Sem Retorno</v>
      </c>
      <c r="U58" s="61" t="str">
        <f ca="1">IF(B58="","",IFERROR(VLOOKUP(B58,'ANÁLISE DE DADOS'!$A:$AM,19,0),""))</f>
        <v>Vencido</v>
      </c>
      <c r="V58" s="61">
        <f ca="1">IF(B58="","",IFERROR(VLOOKUP(B58,'ANÁLISE DE DADOS'!$A:$AM,20,0),""))</f>
        <v>58</v>
      </c>
      <c r="W58" s="61" t="str">
        <f ca="1">IF(B58="","",IFERROR(VLOOKUP(B58,'ANÁLISE DE DADOS'!$A:$AM,21,0),""))</f>
        <v>31-60 dias</v>
      </c>
      <c r="X58" s="61" t="str">
        <f ca="1">IF(B58="","",IFERROR(VLOOKUP(B58,'ANÁLISE DE DADOS'!$A:$AM,22,0),""))</f>
        <v>Atraso Médio</v>
      </c>
      <c r="Y58" s="61" t="str">
        <f>IF(B58="","",IFERROR(VLOOKUP(B58,'ANÁLISE DE DADOS'!$A:$AM,23,0),""))</f>
        <v>-</v>
      </c>
      <c r="Z58" s="61" t="str">
        <f>IF(B58="","",IFERROR(VLOOKUP(B58,'ANÁLISE DE DADOS'!$A:$AM,24,0),""))</f>
        <v>Sim</v>
      </c>
      <c r="AA58" s="61">
        <f>IF(B58="","",IFERROR(VLOOKUP(B58,'ANÁLISE DE DADOS'!$A:$AM,25,0),""))</f>
        <v>0</v>
      </c>
      <c r="AB58" s="61">
        <f>IF(B58="","",IFERROR(VLOOKUP(B58,'ANÁLISE DE DADOS'!$A:$AM,26,0),""))</f>
        <v>1</v>
      </c>
      <c r="AC58" s="61" t="str">
        <f>IF(B58="","",IFERROR(VLOOKUP(B58,'ANÁLISE DE DADOS'!$A:$AM,27,0),""))</f>
        <v>Sim</v>
      </c>
      <c r="AD58" s="62">
        <f>IF(B58="","",IFERROR(VLOOKUP(B58,'ANÁLISE DE DADOS'!$A:$AM,28,0),""))</f>
        <v>45740</v>
      </c>
      <c r="AE58" s="61" t="str">
        <f>IF(B58="","",IFERROR(VLOOKUP(B58,'ANÁLISE DE DADOS'!$A:$AM,29,0),""))</f>
        <v>mar-25</v>
      </c>
      <c r="AF58" s="61" t="str">
        <f>IF(B58="","",IFERROR(VLOOKUP(B58,'ANÁLISE DE DADOS'!$A:$AM,30,0),""))</f>
        <v>2025</v>
      </c>
      <c r="AG58" s="62">
        <f>IF(B58="","",IFERROR(VLOOKUP(B58,'ANÁLISE DE DADOS'!$A:$AM,31,0),""))</f>
        <v>45772</v>
      </c>
      <c r="AH58" s="61" t="str">
        <f>IF(B58="","",IFERROR(VLOOKUP(B58,'ANÁLISE DE DADOS'!$A:$AM,32,0),""))</f>
        <v>abr-25</v>
      </c>
      <c r="AI58" s="61" t="str">
        <f>IF(B58="","",IFERROR(VLOOKUP(B58,'ANÁLISE DE DADOS'!$A:$AM,33,0),""))</f>
        <v>2025</v>
      </c>
      <c r="AJ58" s="61" t="str">
        <f>IF(B58="","",IFERROR(VLOOKUP(B58,'ANÁLISE DE DADOS'!$A:$AM,34,0),""))</f>
        <v>Acompanhando</v>
      </c>
      <c r="AK58" s="63">
        <f ca="1">IF(B58="","",IFERROR(VLOOKUP(B58,'ANÁLISE DE DADOS'!$A:$AM,35,0),""))</f>
        <v>1600</v>
      </c>
      <c r="AL58" s="63" t="str">
        <f ca="1">IF(B58="","",IFERROR(VLOOKUP(B58,'ANÁLISE DE DADOS'!$A:$AM,36,0),""))</f>
        <v>0</v>
      </c>
    </row>
    <row r="59" spans="2:38" x14ac:dyDescent="0.3">
      <c r="B59" s="30">
        <v>55</v>
      </c>
      <c r="C59" s="61">
        <f>IF(B59="","",IFERROR(VLOOKUP(B59,'ANÁLISE DE DADOS'!$A:$AM,1,0),""))</f>
        <v>55</v>
      </c>
      <c r="D59" s="61" t="str">
        <f>IF(B59="","",IFERROR(VLOOKUP(B59,'ANÁLISE DE DADOS'!$A:$AM,2,0),""))</f>
        <v>Matriz</v>
      </c>
      <c r="E59" s="61">
        <f>IF(B59="","",IFERROR(VLOOKUP(B59,'ANÁLISE DE DADOS'!$A:$AM,3,0),""))</f>
        <v>0</v>
      </c>
      <c r="F59" s="61" t="str">
        <f>IF(B59="","",IFERROR(VLOOKUP(B59,'ANÁLISE DE DADOS'!$A:$AM,4,0),""))</f>
        <v>InvestPro</v>
      </c>
      <c r="G59" s="62">
        <f>IF(B59="","",IFERROR(VLOOKUP(B59,'ANÁLISE DE DADOS'!$A:$AM,5,0),""))</f>
        <v>45709</v>
      </c>
      <c r="H59" s="62" t="str">
        <f>IF(B59="","",IFERROR(VLOOKUP(B59,'ANÁLISE DE DADOS'!$A:$AM,6,0),""))</f>
        <v>fev-25</v>
      </c>
      <c r="I59" s="62" t="str">
        <f>IF(B59="","",IFERROR(VLOOKUP(B59,'ANÁLISE DE DADOS'!$A:$AM,7,0),""))</f>
        <v>2025</v>
      </c>
      <c r="J59" s="62">
        <f>IF(B59="","",IFERROR(VLOOKUP(B59,'ANÁLISE DE DADOS'!$A:$AM,8,0),""))</f>
        <v>45737</v>
      </c>
      <c r="K59" s="61" t="str">
        <f>IF(B59="","",IFERROR(VLOOKUP(B59,'ANÁLISE DE DADOS'!$A:$AM,9,0),""))</f>
        <v>mar-25</v>
      </c>
      <c r="L59" s="61" t="str">
        <f>IF(B59="","",IFERROR(VLOOKUP(B59,'ANÁLISE DE DADOS'!$A:$AM,10,0),""))</f>
        <v>2025</v>
      </c>
      <c r="M59" s="62">
        <f>IF(B59="","",IFERROR(VLOOKUP(B59,'ANÁLISE DE DADOS'!$A:$AM,11,0),""))</f>
        <v>45737</v>
      </c>
      <c r="N59" s="61" t="str">
        <f>IF(B59="","",IFERROR(VLOOKUP(B59,'ANÁLISE DE DADOS'!$A:$AM,12,0),""))</f>
        <v>mar-25</v>
      </c>
      <c r="O59" s="61" t="str">
        <f>IF(B59="","",IFERROR(VLOOKUP(B59,'ANÁLISE DE DADOS'!$A:$AM,13,0),""))</f>
        <v>2025</v>
      </c>
      <c r="P59" s="63">
        <f>IF(B59="","",IFERROR(VLOOKUP(B59,'ANÁLISE DE DADOS'!$A:$AM,14,0),""))</f>
        <v>3000</v>
      </c>
      <c r="Q59" s="61" t="str">
        <f>IF(B59="","",IFERROR(VLOOKUP(B59,'ANÁLISE DE DADOS'!$A:$AM,15,0),""))</f>
        <v>Tiago</v>
      </c>
      <c r="R59" s="61" t="str">
        <f>IF(B59="","",IFERROR(VLOOKUP(B59,'ANÁLISE DE DADOS'!$A:$AM,16,0),""))</f>
        <v>ANALISTA LUCAS</v>
      </c>
      <c r="S59" s="61" t="str">
        <f>IF(B59="","",IFERROR(VLOOKUP(B59,'ANÁLISE DE DADOS'!$A:$AM,17,0),""))</f>
        <v>NÃO</v>
      </c>
      <c r="T59" s="61" t="str">
        <f>IF(B59="","",IFERROR(VLOOKUP(B59,'ANÁLISE DE DADOS'!$A:$AM,18,0),""))</f>
        <v>Sem Retorno</v>
      </c>
      <c r="U59" s="61" t="str">
        <f ca="1">IF(B59="","",IFERROR(VLOOKUP(B59,'ANÁLISE DE DADOS'!$A:$AM,19,0),""))</f>
        <v>Vencido</v>
      </c>
      <c r="V59" s="61">
        <f ca="1">IF(B59="","",IFERROR(VLOOKUP(B59,'ANÁLISE DE DADOS'!$A:$AM,20,0),""))</f>
        <v>58</v>
      </c>
      <c r="W59" s="61" t="str">
        <f ca="1">IF(B59="","",IFERROR(VLOOKUP(B59,'ANÁLISE DE DADOS'!$A:$AM,21,0),""))</f>
        <v>31-60 dias</v>
      </c>
      <c r="X59" s="61" t="str">
        <f ca="1">IF(B59="","",IFERROR(VLOOKUP(B59,'ANÁLISE DE DADOS'!$A:$AM,22,0),""))</f>
        <v>Atraso Médio</v>
      </c>
      <c r="Y59" s="61" t="str">
        <f>IF(B59="","",IFERROR(VLOOKUP(B59,'ANÁLISE DE DADOS'!$A:$AM,23,0),""))</f>
        <v>-</v>
      </c>
      <c r="Z59" s="61" t="str">
        <f>IF(B59="","",IFERROR(VLOOKUP(B59,'ANÁLISE DE DADOS'!$A:$AM,24,0),""))</f>
        <v>Sim</v>
      </c>
      <c r="AA59" s="61">
        <f>IF(B59="","",IFERROR(VLOOKUP(B59,'ANÁLISE DE DADOS'!$A:$AM,25,0),""))</f>
        <v>0</v>
      </c>
      <c r="AB59" s="61">
        <f>IF(B59="","",IFERROR(VLOOKUP(B59,'ANÁLISE DE DADOS'!$A:$AM,26,0),""))</f>
        <v>1</v>
      </c>
      <c r="AC59" s="61" t="str">
        <f>IF(B59="","",IFERROR(VLOOKUP(B59,'ANÁLISE DE DADOS'!$A:$AM,27,0),""))</f>
        <v>Sim</v>
      </c>
      <c r="AD59" s="62">
        <f>IF(B59="","",IFERROR(VLOOKUP(B59,'ANÁLISE DE DADOS'!$A:$AM,28,0),""))</f>
        <v>45740</v>
      </c>
      <c r="AE59" s="61" t="str">
        <f>IF(B59="","",IFERROR(VLOOKUP(B59,'ANÁLISE DE DADOS'!$A:$AM,29,0),""))</f>
        <v>mar-25</v>
      </c>
      <c r="AF59" s="61" t="str">
        <f>IF(B59="","",IFERROR(VLOOKUP(B59,'ANÁLISE DE DADOS'!$A:$AM,30,0),""))</f>
        <v>2025</v>
      </c>
      <c r="AG59" s="62">
        <f>IF(B59="","",IFERROR(VLOOKUP(B59,'ANÁLISE DE DADOS'!$A:$AM,31,0),""))</f>
        <v>45772</v>
      </c>
      <c r="AH59" s="61" t="str">
        <f>IF(B59="","",IFERROR(VLOOKUP(B59,'ANÁLISE DE DADOS'!$A:$AM,32,0),""))</f>
        <v>abr-25</v>
      </c>
      <c r="AI59" s="61" t="str">
        <f>IF(B59="","",IFERROR(VLOOKUP(B59,'ANÁLISE DE DADOS'!$A:$AM,33,0),""))</f>
        <v>2025</v>
      </c>
      <c r="AJ59" s="61" t="str">
        <f>IF(B59="","",IFERROR(VLOOKUP(B59,'ANÁLISE DE DADOS'!$A:$AM,34,0),""))</f>
        <v>Acompanhando</v>
      </c>
      <c r="AK59" s="63">
        <f ca="1">IF(B59="","",IFERROR(VLOOKUP(B59,'ANÁLISE DE DADOS'!$A:$AM,35,0),""))</f>
        <v>3000</v>
      </c>
      <c r="AL59" s="63" t="str">
        <f ca="1">IF(B59="","",IFERROR(VLOOKUP(B59,'ANÁLISE DE DADOS'!$A:$AM,36,0),""))</f>
        <v>0</v>
      </c>
    </row>
    <row r="60" spans="2:38" x14ac:dyDescent="0.3">
      <c r="B60" s="30">
        <v>56</v>
      </c>
      <c r="C60" s="61">
        <f>IF(B60="","",IFERROR(VLOOKUP(B60,'ANÁLISE DE DADOS'!$A:$AM,1,0),""))</f>
        <v>56</v>
      </c>
      <c r="D60" s="61" t="str">
        <f>IF(B60="","",IFERROR(VLOOKUP(B60,'ANÁLISE DE DADOS'!$A:$AM,2,0),""))</f>
        <v>Filial</v>
      </c>
      <c r="E60" s="61">
        <f>IF(B60="","",IFERROR(VLOOKUP(B60,'ANÁLISE DE DADOS'!$A:$AM,3,0),""))</f>
        <v>0</v>
      </c>
      <c r="F60" s="61" t="str">
        <f>IF(B60="","",IFERROR(VLOOKUP(B60,'ANÁLISE DE DADOS'!$A:$AM,4,0),""))</f>
        <v>InvestPro</v>
      </c>
      <c r="G60" s="62">
        <f>IF(B60="","",IFERROR(VLOOKUP(B60,'ANÁLISE DE DADOS'!$A:$AM,5,0),""))</f>
        <v>45709</v>
      </c>
      <c r="H60" s="62" t="str">
        <f>IF(B60="","",IFERROR(VLOOKUP(B60,'ANÁLISE DE DADOS'!$A:$AM,6,0),""))</f>
        <v>fev-25</v>
      </c>
      <c r="I60" s="62" t="str">
        <f>IF(B60="","",IFERROR(VLOOKUP(B60,'ANÁLISE DE DADOS'!$A:$AM,7,0),""))</f>
        <v>2025</v>
      </c>
      <c r="J60" s="62">
        <f>IF(B60="","",IFERROR(VLOOKUP(B60,'ANÁLISE DE DADOS'!$A:$AM,8,0),""))</f>
        <v>45737</v>
      </c>
      <c r="K60" s="61" t="str">
        <f>IF(B60="","",IFERROR(VLOOKUP(B60,'ANÁLISE DE DADOS'!$A:$AM,9,0),""))</f>
        <v>mar-25</v>
      </c>
      <c r="L60" s="61" t="str">
        <f>IF(B60="","",IFERROR(VLOOKUP(B60,'ANÁLISE DE DADOS'!$A:$AM,10,0),""))</f>
        <v>2025</v>
      </c>
      <c r="M60" s="62">
        <f>IF(B60="","",IFERROR(VLOOKUP(B60,'ANÁLISE DE DADOS'!$A:$AM,11,0),""))</f>
        <v>45737</v>
      </c>
      <c r="N60" s="61" t="str">
        <f>IF(B60="","",IFERROR(VLOOKUP(B60,'ANÁLISE DE DADOS'!$A:$AM,12,0),""))</f>
        <v>mar-25</v>
      </c>
      <c r="O60" s="61" t="str">
        <f>IF(B60="","",IFERROR(VLOOKUP(B60,'ANÁLISE DE DADOS'!$A:$AM,13,0),""))</f>
        <v>2025</v>
      </c>
      <c r="P60" s="63">
        <f>IF(B60="","",IFERROR(VLOOKUP(B60,'ANÁLISE DE DADOS'!$A:$AM,14,0),""))</f>
        <v>1800</v>
      </c>
      <c r="Q60" s="61" t="str">
        <f>IF(B60="","",IFERROR(VLOOKUP(B60,'ANÁLISE DE DADOS'!$A:$AM,15,0),""))</f>
        <v>André</v>
      </c>
      <c r="R60" s="61" t="str">
        <f>IF(B60="","",IFERROR(VLOOKUP(B60,'ANÁLISE DE DADOS'!$A:$AM,16,0),""))</f>
        <v>ANALISTA LUCAS</v>
      </c>
      <c r="S60" s="61" t="str">
        <f>IF(B60="","",IFERROR(VLOOKUP(B60,'ANÁLISE DE DADOS'!$A:$AM,17,0),""))</f>
        <v>NÃO</v>
      </c>
      <c r="T60" s="61" t="str">
        <f>IF(B60="","",IFERROR(VLOOKUP(B60,'ANÁLISE DE DADOS'!$A:$AM,18,0),""))</f>
        <v>Sem Retorno</v>
      </c>
      <c r="U60" s="61" t="str">
        <f ca="1">IF(B60="","",IFERROR(VLOOKUP(B60,'ANÁLISE DE DADOS'!$A:$AM,19,0),""))</f>
        <v>Vencido</v>
      </c>
      <c r="V60" s="61">
        <f ca="1">IF(B60="","",IFERROR(VLOOKUP(B60,'ANÁLISE DE DADOS'!$A:$AM,20,0),""))</f>
        <v>58</v>
      </c>
      <c r="W60" s="61" t="str">
        <f ca="1">IF(B60="","",IFERROR(VLOOKUP(B60,'ANÁLISE DE DADOS'!$A:$AM,21,0),""))</f>
        <v>31-60 dias</v>
      </c>
      <c r="X60" s="61" t="str">
        <f ca="1">IF(B60="","",IFERROR(VLOOKUP(B60,'ANÁLISE DE DADOS'!$A:$AM,22,0),""))</f>
        <v>Atraso Médio</v>
      </c>
      <c r="Y60" s="61" t="str">
        <f>IF(B60="","",IFERROR(VLOOKUP(B60,'ANÁLISE DE DADOS'!$A:$AM,23,0),""))</f>
        <v>-</v>
      </c>
      <c r="Z60" s="61" t="str">
        <f>IF(B60="","",IFERROR(VLOOKUP(B60,'ANÁLISE DE DADOS'!$A:$AM,24,0),""))</f>
        <v>Sim</v>
      </c>
      <c r="AA60" s="61">
        <f>IF(B60="","",IFERROR(VLOOKUP(B60,'ANÁLISE DE DADOS'!$A:$AM,25,0),""))</f>
        <v>0</v>
      </c>
      <c r="AB60" s="61">
        <f>IF(B60="","",IFERROR(VLOOKUP(B60,'ANÁLISE DE DADOS'!$A:$AM,26,0),""))</f>
        <v>1</v>
      </c>
      <c r="AC60" s="61" t="str">
        <f>IF(B60="","",IFERROR(VLOOKUP(B60,'ANÁLISE DE DADOS'!$A:$AM,27,0),""))</f>
        <v>Sim</v>
      </c>
      <c r="AD60" s="62">
        <f>IF(B60="","",IFERROR(VLOOKUP(B60,'ANÁLISE DE DADOS'!$A:$AM,28,0),""))</f>
        <v>45740</v>
      </c>
      <c r="AE60" s="61" t="str">
        <f>IF(B60="","",IFERROR(VLOOKUP(B60,'ANÁLISE DE DADOS'!$A:$AM,29,0),""))</f>
        <v>mar-25</v>
      </c>
      <c r="AF60" s="61" t="str">
        <f>IF(B60="","",IFERROR(VLOOKUP(B60,'ANÁLISE DE DADOS'!$A:$AM,30,0),""))</f>
        <v>2025</v>
      </c>
      <c r="AG60" s="62">
        <f>IF(B60="","",IFERROR(VLOOKUP(B60,'ANÁLISE DE DADOS'!$A:$AM,31,0),""))</f>
        <v>45772</v>
      </c>
      <c r="AH60" s="61" t="str">
        <f>IF(B60="","",IFERROR(VLOOKUP(B60,'ANÁLISE DE DADOS'!$A:$AM,32,0),""))</f>
        <v>abr-25</v>
      </c>
      <c r="AI60" s="61" t="str">
        <f>IF(B60="","",IFERROR(VLOOKUP(B60,'ANÁLISE DE DADOS'!$A:$AM,33,0),""))</f>
        <v>2025</v>
      </c>
      <c r="AJ60" s="61" t="str">
        <f>IF(B60="","",IFERROR(VLOOKUP(B60,'ANÁLISE DE DADOS'!$A:$AM,34,0),""))</f>
        <v>Acompanhando</v>
      </c>
      <c r="AK60" s="63">
        <f ca="1">IF(B60="","",IFERROR(VLOOKUP(B60,'ANÁLISE DE DADOS'!$A:$AM,35,0),""))</f>
        <v>1800</v>
      </c>
      <c r="AL60" s="63" t="str">
        <f ca="1">IF(B60="","",IFERROR(VLOOKUP(B60,'ANÁLISE DE DADOS'!$A:$AM,36,0),""))</f>
        <v>0</v>
      </c>
    </row>
    <row r="61" spans="2:38" x14ac:dyDescent="0.3">
      <c r="B61" s="30">
        <v>57</v>
      </c>
      <c r="C61" s="61">
        <f>IF(B61="","",IFERROR(VLOOKUP(B61,'ANÁLISE DE DADOS'!$A:$AM,1,0),""))</f>
        <v>57</v>
      </c>
      <c r="D61" s="61" t="str">
        <f>IF(B61="","",IFERROR(VLOOKUP(B61,'ANÁLISE DE DADOS'!$A:$AM,2,0),""))</f>
        <v>Matriz</v>
      </c>
      <c r="E61" s="61">
        <f>IF(B61="","",IFERROR(VLOOKUP(B61,'ANÁLISE DE DADOS'!$A:$AM,3,0),""))</f>
        <v>0</v>
      </c>
      <c r="F61" s="61" t="str">
        <f>IF(B61="","",IFERROR(VLOOKUP(B61,'ANÁLISE DE DADOS'!$A:$AM,4,0),""))</f>
        <v>InvestPro</v>
      </c>
      <c r="G61" s="62">
        <f>IF(B61="","",IFERROR(VLOOKUP(B61,'ANÁLISE DE DADOS'!$A:$AM,5,0),""))</f>
        <v>45709</v>
      </c>
      <c r="H61" s="62" t="str">
        <f>IF(B61="","",IFERROR(VLOOKUP(B61,'ANÁLISE DE DADOS'!$A:$AM,6,0),""))</f>
        <v>fev-25</v>
      </c>
      <c r="I61" s="62" t="str">
        <f>IF(B61="","",IFERROR(VLOOKUP(B61,'ANÁLISE DE DADOS'!$A:$AM,7,0),""))</f>
        <v>2025</v>
      </c>
      <c r="J61" s="62">
        <f>IF(B61="","",IFERROR(VLOOKUP(B61,'ANÁLISE DE DADOS'!$A:$AM,8,0),""))</f>
        <v>45737</v>
      </c>
      <c r="K61" s="61" t="str">
        <f>IF(B61="","",IFERROR(VLOOKUP(B61,'ANÁLISE DE DADOS'!$A:$AM,9,0),""))</f>
        <v>mar-25</v>
      </c>
      <c r="L61" s="61" t="str">
        <f>IF(B61="","",IFERROR(VLOOKUP(B61,'ANÁLISE DE DADOS'!$A:$AM,10,0),""))</f>
        <v>2025</v>
      </c>
      <c r="M61" s="62">
        <f>IF(B61="","",IFERROR(VLOOKUP(B61,'ANÁLISE DE DADOS'!$A:$AM,11,0),""))</f>
        <v>45737</v>
      </c>
      <c r="N61" s="61" t="str">
        <f>IF(B61="","",IFERROR(VLOOKUP(B61,'ANÁLISE DE DADOS'!$A:$AM,12,0),""))</f>
        <v>mar-25</v>
      </c>
      <c r="O61" s="61" t="str">
        <f>IF(B61="","",IFERROR(VLOOKUP(B61,'ANÁLISE DE DADOS'!$A:$AM,13,0),""))</f>
        <v>2025</v>
      </c>
      <c r="P61" s="63">
        <f>IF(B61="","",IFERROR(VLOOKUP(B61,'ANÁLISE DE DADOS'!$A:$AM,14,0),""))</f>
        <v>2200</v>
      </c>
      <c r="Q61" s="61" t="str">
        <f>IF(B61="","",IFERROR(VLOOKUP(B61,'ANÁLISE DE DADOS'!$A:$AM,15,0),""))</f>
        <v>Luana</v>
      </c>
      <c r="R61" s="61" t="str">
        <f>IF(B61="","",IFERROR(VLOOKUP(B61,'ANÁLISE DE DADOS'!$A:$AM,16,0),""))</f>
        <v>ANALISTA LUCAS</v>
      </c>
      <c r="S61" s="61" t="str">
        <f>IF(B61="","",IFERROR(VLOOKUP(B61,'ANÁLISE DE DADOS'!$A:$AM,17,0),""))</f>
        <v>NÃO</v>
      </c>
      <c r="T61" s="61" t="str">
        <f>IF(B61="","",IFERROR(VLOOKUP(B61,'ANÁLISE DE DADOS'!$A:$AM,18,0),""))</f>
        <v>Sem Retorno</v>
      </c>
      <c r="U61" s="61" t="str">
        <f ca="1">IF(B61="","",IFERROR(VLOOKUP(B61,'ANÁLISE DE DADOS'!$A:$AM,19,0),""))</f>
        <v>Vencido</v>
      </c>
      <c r="V61" s="61">
        <f ca="1">IF(B61="","",IFERROR(VLOOKUP(B61,'ANÁLISE DE DADOS'!$A:$AM,20,0),""))</f>
        <v>58</v>
      </c>
      <c r="W61" s="61" t="str">
        <f ca="1">IF(B61="","",IFERROR(VLOOKUP(B61,'ANÁLISE DE DADOS'!$A:$AM,21,0),""))</f>
        <v>31-60 dias</v>
      </c>
      <c r="X61" s="61" t="str">
        <f ca="1">IF(B61="","",IFERROR(VLOOKUP(B61,'ANÁLISE DE DADOS'!$A:$AM,22,0),""))</f>
        <v>Atraso Médio</v>
      </c>
      <c r="Y61" s="61" t="str">
        <f>IF(B61="","",IFERROR(VLOOKUP(B61,'ANÁLISE DE DADOS'!$A:$AM,23,0),""))</f>
        <v>-</v>
      </c>
      <c r="Z61" s="61" t="str">
        <f>IF(B61="","",IFERROR(VLOOKUP(B61,'ANÁLISE DE DADOS'!$A:$AM,24,0),""))</f>
        <v>Sim</v>
      </c>
      <c r="AA61" s="61">
        <f>IF(B61="","",IFERROR(VLOOKUP(B61,'ANÁLISE DE DADOS'!$A:$AM,25,0),""))</f>
        <v>0</v>
      </c>
      <c r="AB61" s="61">
        <f>IF(B61="","",IFERROR(VLOOKUP(B61,'ANÁLISE DE DADOS'!$A:$AM,26,0),""))</f>
        <v>1</v>
      </c>
      <c r="AC61" s="61" t="str">
        <f>IF(B61="","",IFERROR(VLOOKUP(B61,'ANÁLISE DE DADOS'!$A:$AM,27,0),""))</f>
        <v>Sim</v>
      </c>
      <c r="AD61" s="62">
        <f>IF(B61="","",IFERROR(VLOOKUP(B61,'ANÁLISE DE DADOS'!$A:$AM,28,0),""))</f>
        <v>45740</v>
      </c>
      <c r="AE61" s="61" t="str">
        <f>IF(B61="","",IFERROR(VLOOKUP(B61,'ANÁLISE DE DADOS'!$A:$AM,29,0),""))</f>
        <v>mar-25</v>
      </c>
      <c r="AF61" s="61" t="str">
        <f>IF(B61="","",IFERROR(VLOOKUP(B61,'ANÁLISE DE DADOS'!$A:$AM,30,0),""))</f>
        <v>2025</v>
      </c>
      <c r="AG61" s="62">
        <f>IF(B61="","",IFERROR(VLOOKUP(B61,'ANÁLISE DE DADOS'!$A:$AM,31,0),""))</f>
        <v>45772</v>
      </c>
      <c r="AH61" s="61" t="str">
        <f>IF(B61="","",IFERROR(VLOOKUP(B61,'ANÁLISE DE DADOS'!$A:$AM,32,0),""))</f>
        <v>abr-25</v>
      </c>
      <c r="AI61" s="61" t="str">
        <f>IF(B61="","",IFERROR(VLOOKUP(B61,'ANÁLISE DE DADOS'!$A:$AM,33,0),""))</f>
        <v>2025</v>
      </c>
      <c r="AJ61" s="61" t="str">
        <f>IF(B61="","",IFERROR(VLOOKUP(B61,'ANÁLISE DE DADOS'!$A:$AM,34,0),""))</f>
        <v>Acompanhando</v>
      </c>
      <c r="AK61" s="63">
        <f ca="1">IF(B61="","",IFERROR(VLOOKUP(B61,'ANÁLISE DE DADOS'!$A:$AM,35,0),""))</f>
        <v>2200</v>
      </c>
      <c r="AL61" s="63" t="str">
        <f ca="1">IF(B61="","",IFERROR(VLOOKUP(B61,'ANÁLISE DE DADOS'!$A:$AM,36,0),""))</f>
        <v>0</v>
      </c>
    </row>
    <row r="62" spans="2:38" x14ac:dyDescent="0.3">
      <c r="B62" s="30">
        <v>58</v>
      </c>
      <c r="C62" s="61">
        <f>IF(B62="","",IFERROR(VLOOKUP(B62,'ANÁLISE DE DADOS'!$A:$AM,1,0),""))</f>
        <v>58</v>
      </c>
      <c r="D62" s="61" t="str">
        <f>IF(B62="","",IFERROR(VLOOKUP(B62,'ANÁLISE DE DADOS'!$A:$AM,2,0),""))</f>
        <v>Filial</v>
      </c>
      <c r="E62" s="61">
        <f>IF(B62="","",IFERROR(VLOOKUP(B62,'ANÁLISE DE DADOS'!$A:$AM,3,0),""))</f>
        <v>0</v>
      </c>
      <c r="F62" s="61" t="str">
        <f>IF(B62="","",IFERROR(VLOOKUP(B62,'ANÁLISE DE DADOS'!$A:$AM,4,0),""))</f>
        <v>InvestPro</v>
      </c>
      <c r="G62" s="62">
        <f>IF(B62="","",IFERROR(VLOOKUP(B62,'ANÁLISE DE DADOS'!$A:$AM,5,0),""))</f>
        <v>45709</v>
      </c>
      <c r="H62" s="62" t="str">
        <f>IF(B62="","",IFERROR(VLOOKUP(B62,'ANÁLISE DE DADOS'!$A:$AM,6,0),""))</f>
        <v>fev-25</v>
      </c>
      <c r="I62" s="62" t="str">
        <f>IF(B62="","",IFERROR(VLOOKUP(B62,'ANÁLISE DE DADOS'!$A:$AM,7,0),""))</f>
        <v>2025</v>
      </c>
      <c r="J62" s="62">
        <f>IF(B62="","",IFERROR(VLOOKUP(B62,'ANÁLISE DE DADOS'!$A:$AM,8,0),""))</f>
        <v>45737</v>
      </c>
      <c r="K62" s="61" t="str">
        <f>IF(B62="","",IFERROR(VLOOKUP(B62,'ANÁLISE DE DADOS'!$A:$AM,9,0),""))</f>
        <v>mar-25</v>
      </c>
      <c r="L62" s="61" t="str">
        <f>IF(B62="","",IFERROR(VLOOKUP(B62,'ANÁLISE DE DADOS'!$A:$AM,10,0),""))</f>
        <v>2025</v>
      </c>
      <c r="M62" s="62">
        <f>IF(B62="","",IFERROR(VLOOKUP(B62,'ANÁLISE DE DADOS'!$A:$AM,11,0),""))</f>
        <v>45737</v>
      </c>
      <c r="N62" s="61" t="str">
        <f>IF(B62="","",IFERROR(VLOOKUP(B62,'ANÁLISE DE DADOS'!$A:$AM,12,0),""))</f>
        <v>mar-25</v>
      </c>
      <c r="O62" s="61" t="str">
        <f>IF(B62="","",IFERROR(VLOOKUP(B62,'ANÁLISE DE DADOS'!$A:$AM,13,0),""))</f>
        <v>2025</v>
      </c>
      <c r="P62" s="63">
        <f>IF(B62="","",IFERROR(VLOOKUP(B62,'ANÁLISE DE DADOS'!$A:$AM,14,0),""))</f>
        <v>1500</v>
      </c>
      <c r="Q62" s="61" t="str">
        <f>IF(B62="","",IFERROR(VLOOKUP(B62,'ANÁLISE DE DADOS'!$A:$AM,15,0),""))</f>
        <v>Pedro</v>
      </c>
      <c r="R62" s="61" t="str">
        <f>IF(B62="","",IFERROR(VLOOKUP(B62,'ANÁLISE DE DADOS'!$A:$AM,16,0),""))</f>
        <v>ANALISTA LUCAS</v>
      </c>
      <c r="S62" s="61" t="str">
        <f>IF(B62="","",IFERROR(VLOOKUP(B62,'ANÁLISE DE DADOS'!$A:$AM,17,0),""))</f>
        <v>NÃO</v>
      </c>
      <c r="T62" s="61" t="str">
        <f>IF(B62="","",IFERROR(VLOOKUP(B62,'ANÁLISE DE DADOS'!$A:$AM,18,0),""))</f>
        <v>Sem Retorno</v>
      </c>
      <c r="U62" s="61" t="str">
        <f ca="1">IF(B62="","",IFERROR(VLOOKUP(B62,'ANÁLISE DE DADOS'!$A:$AM,19,0),""))</f>
        <v>Vencido</v>
      </c>
      <c r="V62" s="61">
        <f ca="1">IF(B62="","",IFERROR(VLOOKUP(B62,'ANÁLISE DE DADOS'!$A:$AM,20,0),""))</f>
        <v>58</v>
      </c>
      <c r="W62" s="61" t="str">
        <f ca="1">IF(B62="","",IFERROR(VLOOKUP(B62,'ANÁLISE DE DADOS'!$A:$AM,21,0),""))</f>
        <v>31-60 dias</v>
      </c>
      <c r="X62" s="61" t="str">
        <f ca="1">IF(B62="","",IFERROR(VLOOKUP(B62,'ANÁLISE DE DADOS'!$A:$AM,22,0),""))</f>
        <v>Atraso Médio</v>
      </c>
      <c r="Y62" s="61" t="str">
        <f>IF(B62="","",IFERROR(VLOOKUP(B62,'ANÁLISE DE DADOS'!$A:$AM,23,0),""))</f>
        <v>-</v>
      </c>
      <c r="Z62" s="61" t="str">
        <f>IF(B62="","",IFERROR(VLOOKUP(B62,'ANÁLISE DE DADOS'!$A:$AM,24,0),""))</f>
        <v>Sim</v>
      </c>
      <c r="AA62" s="61">
        <f>IF(B62="","",IFERROR(VLOOKUP(B62,'ANÁLISE DE DADOS'!$A:$AM,25,0),""))</f>
        <v>0</v>
      </c>
      <c r="AB62" s="61">
        <f>IF(B62="","",IFERROR(VLOOKUP(B62,'ANÁLISE DE DADOS'!$A:$AM,26,0),""))</f>
        <v>1</v>
      </c>
      <c r="AC62" s="61" t="str">
        <f>IF(B62="","",IFERROR(VLOOKUP(B62,'ANÁLISE DE DADOS'!$A:$AM,27,0),""))</f>
        <v>Sim</v>
      </c>
      <c r="AD62" s="62">
        <f>IF(B62="","",IFERROR(VLOOKUP(B62,'ANÁLISE DE DADOS'!$A:$AM,28,0),""))</f>
        <v>45740</v>
      </c>
      <c r="AE62" s="61" t="str">
        <f>IF(B62="","",IFERROR(VLOOKUP(B62,'ANÁLISE DE DADOS'!$A:$AM,29,0),""))</f>
        <v>mar-25</v>
      </c>
      <c r="AF62" s="61" t="str">
        <f>IF(B62="","",IFERROR(VLOOKUP(B62,'ANÁLISE DE DADOS'!$A:$AM,30,0),""))</f>
        <v>2025</v>
      </c>
      <c r="AG62" s="62">
        <f>IF(B62="","",IFERROR(VLOOKUP(B62,'ANÁLISE DE DADOS'!$A:$AM,31,0),""))</f>
        <v>45772</v>
      </c>
      <c r="AH62" s="61" t="str">
        <f>IF(B62="","",IFERROR(VLOOKUP(B62,'ANÁLISE DE DADOS'!$A:$AM,32,0),""))</f>
        <v>abr-25</v>
      </c>
      <c r="AI62" s="61" t="str">
        <f>IF(B62="","",IFERROR(VLOOKUP(B62,'ANÁLISE DE DADOS'!$A:$AM,33,0),""))</f>
        <v>2025</v>
      </c>
      <c r="AJ62" s="61" t="str">
        <f>IF(B62="","",IFERROR(VLOOKUP(B62,'ANÁLISE DE DADOS'!$A:$AM,34,0),""))</f>
        <v>Acompanhando</v>
      </c>
      <c r="AK62" s="63">
        <f ca="1">IF(B62="","",IFERROR(VLOOKUP(B62,'ANÁLISE DE DADOS'!$A:$AM,35,0),""))</f>
        <v>1500</v>
      </c>
      <c r="AL62" s="63" t="str">
        <f ca="1">IF(B62="","",IFERROR(VLOOKUP(B62,'ANÁLISE DE DADOS'!$A:$AM,36,0),""))</f>
        <v>0</v>
      </c>
    </row>
    <row r="63" spans="2:38" x14ac:dyDescent="0.3">
      <c r="B63" s="30">
        <v>59</v>
      </c>
      <c r="C63" s="61">
        <f>IF(B63="","",IFERROR(VLOOKUP(B63,'ANÁLISE DE DADOS'!$A:$AM,1,0),""))</f>
        <v>59</v>
      </c>
      <c r="D63" s="61" t="str">
        <f>IF(B63="","",IFERROR(VLOOKUP(B63,'ANÁLISE DE DADOS'!$A:$AM,2,0),""))</f>
        <v>Matriz</v>
      </c>
      <c r="E63" s="61" t="str">
        <f>IF(B63="","",IFERROR(VLOOKUP(B63,'ANÁLISE DE DADOS'!$A:$AM,3,0),""))</f>
        <v>Alpha &amp; CIA</v>
      </c>
      <c r="F63" s="61" t="str">
        <f>IF(B63="","",IFERROR(VLOOKUP(B63,'ANÁLISE DE DADOS'!$A:$AM,4,0),""))</f>
        <v>Alpha &amp; CIA</v>
      </c>
      <c r="G63" s="62">
        <f>IF(B63="","",IFERROR(VLOOKUP(B63,'ANÁLISE DE DADOS'!$A:$AM,5,0),""))</f>
        <v>45709</v>
      </c>
      <c r="H63" s="62" t="str">
        <f>IF(B63="","",IFERROR(VLOOKUP(B63,'ANÁLISE DE DADOS'!$A:$AM,6,0),""))</f>
        <v>fev-25</v>
      </c>
      <c r="I63" s="62" t="str">
        <f>IF(B63="","",IFERROR(VLOOKUP(B63,'ANÁLISE DE DADOS'!$A:$AM,7,0),""))</f>
        <v>2025</v>
      </c>
      <c r="J63" s="62">
        <f>IF(B63="","",IFERROR(VLOOKUP(B63,'ANÁLISE DE DADOS'!$A:$AM,8,0),""))</f>
        <v>45737</v>
      </c>
      <c r="K63" s="61" t="str">
        <f>IF(B63="","",IFERROR(VLOOKUP(B63,'ANÁLISE DE DADOS'!$A:$AM,9,0),""))</f>
        <v>mar-25</v>
      </c>
      <c r="L63" s="61" t="str">
        <f>IF(B63="","",IFERROR(VLOOKUP(B63,'ANÁLISE DE DADOS'!$A:$AM,10,0),""))</f>
        <v>2025</v>
      </c>
      <c r="M63" s="62">
        <f>IF(B63="","",IFERROR(VLOOKUP(B63,'ANÁLISE DE DADOS'!$A:$AM,11,0),""))</f>
        <v>45737</v>
      </c>
      <c r="N63" s="61" t="str">
        <f>IF(B63="","",IFERROR(VLOOKUP(B63,'ANÁLISE DE DADOS'!$A:$AM,12,0),""))</f>
        <v>mar-25</v>
      </c>
      <c r="O63" s="61" t="str">
        <f>IF(B63="","",IFERROR(VLOOKUP(B63,'ANÁLISE DE DADOS'!$A:$AM,13,0),""))</f>
        <v>2025</v>
      </c>
      <c r="P63" s="63">
        <f>IF(B63="","",IFERROR(VLOOKUP(B63,'ANÁLISE DE DADOS'!$A:$AM,14,0),""))</f>
        <v>2800</v>
      </c>
      <c r="Q63" s="61" t="str">
        <f>IF(B63="","",IFERROR(VLOOKUP(B63,'ANÁLISE DE DADOS'!$A:$AM,15,0),""))</f>
        <v>Sabrina</v>
      </c>
      <c r="R63" s="61" t="str">
        <f>IF(B63="","",IFERROR(VLOOKUP(B63,'ANÁLISE DE DADOS'!$A:$AM,16,0),""))</f>
        <v>ANALISTA LUCAS</v>
      </c>
      <c r="S63" s="61" t="str">
        <f>IF(B63="","",IFERROR(VLOOKUP(B63,'ANÁLISE DE DADOS'!$A:$AM,17,0),""))</f>
        <v>NÃO</v>
      </c>
      <c r="T63" s="61" t="str">
        <f>IF(B63="","",IFERROR(VLOOKUP(B63,'ANÁLISE DE DADOS'!$A:$AM,18,0),""))</f>
        <v>Sem Retorno</v>
      </c>
      <c r="U63" s="61" t="str">
        <f ca="1">IF(B63="","",IFERROR(VLOOKUP(B63,'ANÁLISE DE DADOS'!$A:$AM,19,0),""))</f>
        <v>Vencido</v>
      </c>
      <c r="V63" s="61">
        <f ca="1">IF(B63="","",IFERROR(VLOOKUP(B63,'ANÁLISE DE DADOS'!$A:$AM,20,0),""))</f>
        <v>58</v>
      </c>
      <c r="W63" s="61" t="str">
        <f ca="1">IF(B63="","",IFERROR(VLOOKUP(B63,'ANÁLISE DE DADOS'!$A:$AM,21,0),""))</f>
        <v>31-60 dias</v>
      </c>
      <c r="X63" s="61" t="str">
        <f ca="1">IF(B63="","",IFERROR(VLOOKUP(B63,'ANÁLISE DE DADOS'!$A:$AM,22,0),""))</f>
        <v>Atraso Médio</v>
      </c>
      <c r="Y63" s="61" t="str">
        <f>IF(B63="","",IFERROR(VLOOKUP(B63,'ANÁLISE DE DADOS'!$A:$AM,23,0),""))</f>
        <v>-</v>
      </c>
      <c r="Z63" s="61" t="str">
        <f>IF(B63="","",IFERROR(VLOOKUP(B63,'ANÁLISE DE DADOS'!$A:$AM,24,0),""))</f>
        <v>Sim</v>
      </c>
      <c r="AA63" s="61">
        <f>IF(B63="","",IFERROR(VLOOKUP(B63,'ANÁLISE DE DADOS'!$A:$AM,25,0),""))</f>
        <v>0</v>
      </c>
      <c r="AB63" s="61">
        <f>IF(B63="","",IFERROR(VLOOKUP(B63,'ANÁLISE DE DADOS'!$A:$AM,26,0),""))</f>
        <v>1</v>
      </c>
      <c r="AC63" s="61" t="str">
        <f>IF(B63="","",IFERROR(VLOOKUP(B63,'ANÁLISE DE DADOS'!$A:$AM,27,0),""))</f>
        <v>Sim</v>
      </c>
      <c r="AD63" s="62">
        <f>IF(B63="","",IFERROR(VLOOKUP(B63,'ANÁLISE DE DADOS'!$A:$AM,28,0),""))</f>
        <v>45740</v>
      </c>
      <c r="AE63" s="61" t="str">
        <f>IF(B63="","",IFERROR(VLOOKUP(B63,'ANÁLISE DE DADOS'!$A:$AM,29,0),""))</f>
        <v>mar-25</v>
      </c>
      <c r="AF63" s="61" t="str">
        <f>IF(B63="","",IFERROR(VLOOKUP(B63,'ANÁLISE DE DADOS'!$A:$AM,30,0),""))</f>
        <v>2025</v>
      </c>
      <c r="AG63" s="62">
        <f>IF(B63="","",IFERROR(VLOOKUP(B63,'ANÁLISE DE DADOS'!$A:$AM,31,0),""))</f>
        <v>45772</v>
      </c>
      <c r="AH63" s="61" t="str">
        <f>IF(B63="","",IFERROR(VLOOKUP(B63,'ANÁLISE DE DADOS'!$A:$AM,32,0),""))</f>
        <v>abr-25</v>
      </c>
      <c r="AI63" s="61" t="str">
        <f>IF(B63="","",IFERROR(VLOOKUP(B63,'ANÁLISE DE DADOS'!$A:$AM,33,0),""))</f>
        <v>2025</v>
      </c>
      <c r="AJ63" s="61" t="str">
        <f>IF(B63="","",IFERROR(VLOOKUP(B63,'ANÁLISE DE DADOS'!$A:$AM,34,0),""))</f>
        <v>Acompanhando</v>
      </c>
      <c r="AK63" s="63">
        <f ca="1">IF(B63="","",IFERROR(VLOOKUP(B63,'ANÁLISE DE DADOS'!$A:$AM,35,0),""))</f>
        <v>2800</v>
      </c>
      <c r="AL63" s="63" t="str">
        <f ca="1">IF(B63="","",IFERROR(VLOOKUP(B63,'ANÁLISE DE DADOS'!$A:$AM,36,0),""))</f>
        <v>0</v>
      </c>
    </row>
    <row r="64" spans="2:38" x14ac:dyDescent="0.3">
      <c r="B64" s="30">
        <v>60</v>
      </c>
      <c r="C64" s="61">
        <f>IF(B64="","",IFERROR(VLOOKUP(B64,'ANÁLISE DE DADOS'!$A:$AM,1,0),""))</f>
        <v>60</v>
      </c>
      <c r="D64" s="61" t="str">
        <f>IF(B64="","",IFERROR(VLOOKUP(B64,'ANÁLISE DE DADOS'!$A:$AM,2,0),""))</f>
        <v>Filial</v>
      </c>
      <c r="E64" s="61">
        <f>IF(B64="","",IFERROR(VLOOKUP(B64,'ANÁLISE DE DADOS'!$A:$AM,3,0),""))</f>
        <v>0</v>
      </c>
      <c r="F64" s="61" t="str">
        <f>IF(B64="","",IFERROR(VLOOKUP(B64,'ANÁLISE DE DADOS'!$A:$AM,4,0),""))</f>
        <v>InvestPro</v>
      </c>
      <c r="G64" s="62">
        <f>IF(B64="","",IFERROR(VLOOKUP(B64,'ANÁLISE DE DADOS'!$A:$AM,5,0),""))</f>
        <v>45709</v>
      </c>
      <c r="H64" s="62" t="str">
        <f>IF(B64="","",IFERROR(VLOOKUP(B64,'ANÁLISE DE DADOS'!$A:$AM,6,0),""))</f>
        <v>fev-25</v>
      </c>
      <c r="I64" s="62" t="str">
        <f>IF(B64="","",IFERROR(VLOOKUP(B64,'ANÁLISE DE DADOS'!$A:$AM,7,0),""))</f>
        <v>2025</v>
      </c>
      <c r="J64" s="62">
        <f>IF(B64="","",IFERROR(VLOOKUP(B64,'ANÁLISE DE DADOS'!$A:$AM,8,0),""))</f>
        <v>45737</v>
      </c>
      <c r="K64" s="61" t="str">
        <f>IF(B64="","",IFERROR(VLOOKUP(B64,'ANÁLISE DE DADOS'!$A:$AM,9,0),""))</f>
        <v>mar-25</v>
      </c>
      <c r="L64" s="61" t="str">
        <f>IF(B64="","",IFERROR(VLOOKUP(B64,'ANÁLISE DE DADOS'!$A:$AM,10,0),""))</f>
        <v>2025</v>
      </c>
      <c r="M64" s="62">
        <f>IF(B64="","",IFERROR(VLOOKUP(B64,'ANÁLISE DE DADOS'!$A:$AM,11,0),""))</f>
        <v>45737</v>
      </c>
      <c r="N64" s="61" t="str">
        <f>IF(B64="","",IFERROR(VLOOKUP(B64,'ANÁLISE DE DADOS'!$A:$AM,12,0),""))</f>
        <v>mar-25</v>
      </c>
      <c r="O64" s="61" t="str">
        <f>IF(B64="","",IFERROR(VLOOKUP(B64,'ANÁLISE DE DADOS'!$A:$AM,13,0),""))</f>
        <v>2025</v>
      </c>
      <c r="P64" s="63">
        <f>IF(B64="","",IFERROR(VLOOKUP(B64,'ANÁLISE DE DADOS'!$A:$AM,14,0),""))</f>
        <v>3100</v>
      </c>
      <c r="Q64" s="61" t="str">
        <f>IF(B64="","",IFERROR(VLOOKUP(B64,'ANÁLISE DE DADOS'!$A:$AM,15,0),""))</f>
        <v>Marcos</v>
      </c>
      <c r="R64" s="61" t="str">
        <f>IF(B64="","",IFERROR(VLOOKUP(B64,'ANÁLISE DE DADOS'!$A:$AM,16,0),""))</f>
        <v>ANALISTA LUCAS</v>
      </c>
      <c r="S64" s="61" t="str">
        <f>IF(B64="","",IFERROR(VLOOKUP(B64,'ANÁLISE DE DADOS'!$A:$AM,17,0),""))</f>
        <v>NÃO</v>
      </c>
      <c r="T64" s="61" t="str">
        <f>IF(B64="","",IFERROR(VLOOKUP(B64,'ANÁLISE DE DADOS'!$A:$AM,18,0),""))</f>
        <v>Sem Retorno</v>
      </c>
      <c r="U64" s="61" t="str">
        <f ca="1">IF(B64="","",IFERROR(VLOOKUP(B64,'ANÁLISE DE DADOS'!$A:$AM,19,0),""))</f>
        <v>Vencido</v>
      </c>
      <c r="V64" s="61">
        <f ca="1">IF(B64="","",IFERROR(VLOOKUP(B64,'ANÁLISE DE DADOS'!$A:$AM,20,0),""))</f>
        <v>58</v>
      </c>
      <c r="W64" s="61" t="str">
        <f ca="1">IF(B64="","",IFERROR(VLOOKUP(B64,'ANÁLISE DE DADOS'!$A:$AM,21,0),""))</f>
        <v>31-60 dias</v>
      </c>
      <c r="X64" s="61" t="str">
        <f ca="1">IF(B64="","",IFERROR(VLOOKUP(B64,'ANÁLISE DE DADOS'!$A:$AM,22,0),""))</f>
        <v>Atraso Médio</v>
      </c>
      <c r="Y64" s="61" t="str">
        <f>IF(B64="","",IFERROR(VLOOKUP(B64,'ANÁLISE DE DADOS'!$A:$AM,23,0),""))</f>
        <v>-</v>
      </c>
      <c r="Z64" s="61" t="str">
        <f>IF(B64="","",IFERROR(VLOOKUP(B64,'ANÁLISE DE DADOS'!$A:$AM,24,0),""))</f>
        <v>Sim</v>
      </c>
      <c r="AA64" s="61">
        <f>IF(B64="","",IFERROR(VLOOKUP(B64,'ANÁLISE DE DADOS'!$A:$AM,25,0),""))</f>
        <v>0</v>
      </c>
      <c r="AB64" s="61">
        <f>IF(B64="","",IFERROR(VLOOKUP(B64,'ANÁLISE DE DADOS'!$A:$AM,26,0),""))</f>
        <v>1</v>
      </c>
      <c r="AC64" s="61" t="str">
        <f>IF(B64="","",IFERROR(VLOOKUP(B64,'ANÁLISE DE DADOS'!$A:$AM,27,0),""))</f>
        <v>Sim</v>
      </c>
      <c r="AD64" s="62">
        <f>IF(B64="","",IFERROR(VLOOKUP(B64,'ANÁLISE DE DADOS'!$A:$AM,28,0),""))</f>
        <v>45740</v>
      </c>
      <c r="AE64" s="61" t="str">
        <f>IF(B64="","",IFERROR(VLOOKUP(B64,'ANÁLISE DE DADOS'!$A:$AM,29,0),""))</f>
        <v>mar-25</v>
      </c>
      <c r="AF64" s="61" t="str">
        <f>IF(B64="","",IFERROR(VLOOKUP(B64,'ANÁLISE DE DADOS'!$A:$AM,30,0),""))</f>
        <v>2025</v>
      </c>
      <c r="AG64" s="62">
        <f>IF(B64="","",IFERROR(VLOOKUP(B64,'ANÁLISE DE DADOS'!$A:$AM,31,0),""))</f>
        <v>45772</v>
      </c>
      <c r="AH64" s="61" t="str">
        <f>IF(B64="","",IFERROR(VLOOKUP(B64,'ANÁLISE DE DADOS'!$A:$AM,32,0),""))</f>
        <v>abr-25</v>
      </c>
      <c r="AI64" s="61" t="str">
        <f>IF(B64="","",IFERROR(VLOOKUP(B64,'ANÁLISE DE DADOS'!$A:$AM,33,0),""))</f>
        <v>2025</v>
      </c>
      <c r="AJ64" s="61" t="str">
        <f>IF(B64="","",IFERROR(VLOOKUP(B64,'ANÁLISE DE DADOS'!$A:$AM,34,0),""))</f>
        <v>Acompanhando</v>
      </c>
      <c r="AK64" s="63">
        <f ca="1">IF(B64="","",IFERROR(VLOOKUP(B64,'ANÁLISE DE DADOS'!$A:$AM,35,0),""))</f>
        <v>3100</v>
      </c>
      <c r="AL64" s="63" t="str">
        <f ca="1">IF(B64="","",IFERROR(VLOOKUP(B64,'ANÁLISE DE DADOS'!$A:$AM,36,0),""))</f>
        <v>0</v>
      </c>
    </row>
    <row r="65" spans="2:38" x14ac:dyDescent="0.3">
      <c r="B65" s="30">
        <v>61</v>
      </c>
      <c r="C65" s="61">
        <f>IF(B65="","",IFERROR(VLOOKUP(B65,'ANÁLISE DE DADOS'!$A:$AM,1,0),""))</f>
        <v>61</v>
      </c>
      <c r="D65" s="61" t="str">
        <f>IF(B65="","",IFERROR(VLOOKUP(B65,'ANÁLISE DE DADOS'!$A:$AM,2,0),""))</f>
        <v>Matriz</v>
      </c>
      <c r="E65" s="61">
        <f>IF(B65="","",IFERROR(VLOOKUP(B65,'ANÁLISE DE DADOS'!$A:$AM,3,0),""))</f>
        <v>0</v>
      </c>
      <c r="F65" s="61" t="str">
        <f>IF(B65="","",IFERROR(VLOOKUP(B65,'ANÁLISE DE DADOS'!$A:$AM,4,0),""))</f>
        <v>InvestPro</v>
      </c>
      <c r="G65" s="62">
        <f>IF(B65="","",IFERROR(VLOOKUP(B65,'ANÁLISE DE DADOS'!$A:$AM,5,0),""))</f>
        <v>45709</v>
      </c>
      <c r="H65" s="62" t="str">
        <f>IF(B65="","",IFERROR(VLOOKUP(B65,'ANÁLISE DE DADOS'!$A:$AM,6,0),""))</f>
        <v>fev-25</v>
      </c>
      <c r="I65" s="62" t="str">
        <f>IF(B65="","",IFERROR(VLOOKUP(B65,'ANÁLISE DE DADOS'!$A:$AM,7,0),""))</f>
        <v>2025</v>
      </c>
      <c r="J65" s="62">
        <f>IF(B65="","",IFERROR(VLOOKUP(B65,'ANÁLISE DE DADOS'!$A:$AM,8,0),""))</f>
        <v>45737</v>
      </c>
      <c r="K65" s="61" t="str">
        <f>IF(B65="","",IFERROR(VLOOKUP(B65,'ANÁLISE DE DADOS'!$A:$AM,9,0),""))</f>
        <v>mar-25</v>
      </c>
      <c r="L65" s="61" t="str">
        <f>IF(B65="","",IFERROR(VLOOKUP(B65,'ANÁLISE DE DADOS'!$A:$AM,10,0),""))</f>
        <v>2025</v>
      </c>
      <c r="M65" s="62">
        <f>IF(B65="","",IFERROR(VLOOKUP(B65,'ANÁLISE DE DADOS'!$A:$AM,11,0),""))</f>
        <v>45737</v>
      </c>
      <c r="N65" s="61" t="str">
        <f>IF(B65="","",IFERROR(VLOOKUP(B65,'ANÁLISE DE DADOS'!$A:$AM,12,0),""))</f>
        <v>mar-25</v>
      </c>
      <c r="O65" s="61" t="str">
        <f>IF(B65="","",IFERROR(VLOOKUP(B65,'ANÁLISE DE DADOS'!$A:$AM,13,0),""))</f>
        <v>2025</v>
      </c>
      <c r="P65" s="63">
        <f>IF(B65="","",IFERROR(VLOOKUP(B65,'ANÁLISE DE DADOS'!$A:$AM,14,0),""))</f>
        <v>1900</v>
      </c>
      <c r="Q65" s="61" t="str">
        <f>IF(B65="","",IFERROR(VLOOKUP(B65,'ANÁLISE DE DADOS'!$A:$AM,15,0),""))</f>
        <v>João</v>
      </c>
      <c r="R65" s="61" t="str">
        <f>IF(B65="","",IFERROR(VLOOKUP(B65,'ANÁLISE DE DADOS'!$A:$AM,16,0),""))</f>
        <v>ANALISTA LUCAS</v>
      </c>
      <c r="S65" s="61" t="str">
        <f>IF(B65="","",IFERROR(VLOOKUP(B65,'ANÁLISE DE DADOS'!$A:$AM,17,0),""))</f>
        <v>NÃO</v>
      </c>
      <c r="T65" s="61" t="str">
        <f>IF(B65="","",IFERROR(VLOOKUP(B65,'ANÁLISE DE DADOS'!$A:$AM,18,0),""))</f>
        <v>Sem Retorno</v>
      </c>
      <c r="U65" s="61" t="str">
        <f ca="1">IF(B65="","",IFERROR(VLOOKUP(B65,'ANÁLISE DE DADOS'!$A:$AM,19,0),""))</f>
        <v>Vencido</v>
      </c>
      <c r="V65" s="61">
        <f ca="1">IF(B65="","",IFERROR(VLOOKUP(B65,'ANÁLISE DE DADOS'!$A:$AM,20,0),""))</f>
        <v>58</v>
      </c>
      <c r="W65" s="61" t="str">
        <f ca="1">IF(B65="","",IFERROR(VLOOKUP(B65,'ANÁLISE DE DADOS'!$A:$AM,21,0),""))</f>
        <v>31-60 dias</v>
      </c>
      <c r="X65" s="61" t="str">
        <f ca="1">IF(B65="","",IFERROR(VLOOKUP(B65,'ANÁLISE DE DADOS'!$A:$AM,22,0),""))</f>
        <v>Atraso Médio</v>
      </c>
      <c r="Y65" s="61" t="str">
        <f>IF(B65="","",IFERROR(VLOOKUP(B65,'ANÁLISE DE DADOS'!$A:$AM,23,0),""))</f>
        <v>-</v>
      </c>
      <c r="Z65" s="61" t="str">
        <f>IF(B65="","",IFERROR(VLOOKUP(B65,'ANÁLISE DE DADOS'!$A:$AM,24,0),""))</f>
        <v>Sim</v>
      </c>
      <c r="AA65" s="61">
        <f>IF(B65="","",IFERROR(VLOOKUP(B65,'ANÁLISE DE DADOS'!$A:$AM,25,0),""))</f>
        <v>0</v>
      </c>
      <c r="AB65" s="61">
        <f>IF(B65="","",IFERROR(VLOOKUP(B65,'ANÁLISE DE DADOS'!$A:$AM,26,0),""))</f>
        <v>1</v>
      </c>
      <c r="AC65" s="61" t="str">
        <f>IF(B65="","",IFERROR(VLOOKUP(B65,'ANÁLISE DE DADOS'!$A:$AM,27,0),""))</f>
        <v>Sim</v>
      </c>
      <c r="AD65" s="62">
        <f>IF(B65="","",IFERROR(VLOOKUP(B65,'ANÁLISE DE DADOS'!$A:$AM,28,0),""))</f>
        <v>45740</v>
      </c>
      <c r="AE65" s="61" t="str">
        <f>IF(B65="","",IFERROR(VLOOKUP(B65,'ANÁLISE DE DADOS'!$A:$AM,29,0),""))</f>
        <v>mar-25</v>
      </c>
      <c r="AF65" s="61" t="str">
        <f>IF(B65="","",IFERROR(VLOOKUP(B65,'ANÁLISE DE DADOS'!$A:$AM,30,0),""))</f>
        <v>2025</v>
      </c>
      <c r="AG65" s="62">
        <f>IF(B65="","",IFERROR(VLOOKUP(B65,'ANÁLISE DE DADOS'!$A:$AM,31,0),""))</f>
        <v>45772</v>
      </c>
      <c r="AH65" s="61" t="str">
        <f>IF(B65="","",IFERROR(VLOOKUP(B65,'ANÁLISE DE DADOS'!$A:$AM,32,0),""))</f>
        <v>abr-25</v>
      </c>
      <c r="AI65" s="61" t="str">
        <f>IF(B65="","",IFERROR(VLOOKUP(B65,'ANÁLISE DE DADOS'!$A:$AM,33,0),""))</f>
        <v>2025</v>
      </c>
      <c r="AJ65" s="61" t="str">
        <f>IF(B65="","",IFERROR(VLOOKUP(B65,'ANÁLISE DE DADOS'!$A:$AM,34,0),""))</f>
        <v>Acompanhando</v>
      </c>
      <c r="AK65" s="63">
        <f ca="1">IF(B65="","",IFERROR(VLOOKUP(B65,'ANÁLISE DE DADOS'!$A:$AM,35,0),""))</f>
        <v>1900</v>
      </c>
      <c r="AL65" s="63" t="str">
        <f ca="1">IF(B65="","",IFERROR(VLOOKUP(B65,'ANÁLISE DE DADOS'!$A:$AM,36,0),""))</f>
        <v>0</v>
      </c>
    </row>
    <row r="66" spans="2:38" x14ac:dyDescent="0.3">
      <c r="B66" s="30">
        <v>62</v>
      </c>
      <c r="C66" s="61">
        <f>IF(B66="","",IFERROR(VLOOKUP(B66,'ANÁLISE DE DADOS'!$A:$AM,1,0),""))</f>
        <v>62</v>
      </c>
      <c r="D66" s="61" t="str">
        <f>IF(B66="","",IFERROR(VLOOKUP(B66,'ANÁLISE DE DADOS'!$A:$AM,2,0),""))</f>
        <v>Filial</v>
      </c>
      <c r="E66" s="61">
        <f>IF(B66="","",IFERROR(VLOOKUP(B66,'ANÁLISE DE DADOS'!$A:$AM,3,0),""))</f>
        <v>0</v>
      </c>
      <c r="F66" s="61" t="str">
        <f>IF(B66="","",IFERROR(VLOOKUP(B66,'ANÁLISE DE DADOS'!$A:$AM,4,0),""))</f>
        <v>NovaHorizonte</v>
      </c>
      <c r="G66" s="62">
        <f>IF(B66="","",IFERROR(VLOOKUP(B66,'ANÁLISE DE DADOS'!$A:$AM,5,0),""))</f>
        <v>45709</v>
      </c>
      <c r="H66" s="62" t="str">
        <f>IF(B66="","",IFERROR(VLOOKUP(B66,'ANÁLISE DE DADOS'!$A:$AM,6,0),""))</f>
        <v>fev-25</v>
      </c>
      <c r="I66" s="62" t="str">
        <f>IF(B66="","",IFERROR(VLOOKUP(B66,'ANÁLISE DE DADOS'!$A:$AM,7,0),""))</f>
        <v>2025</v>
      </c>
      <c r="J66" s="62">
        <f>IF(B66="","",IFERROR(VLOOKUP(B66,'ANÁLISE DE DADOS'!$A:$AM,8,0),""))</f>
        <v>45737</v>
      </c>
      <c r="K66" s="61" t="str">
        <f>IF(B66="","",IFERROR(VLOOKUP(B66,'ANÁLISE DE DADOS'!$A:$AM,9,0),""))</f>
        <v>mar-25</v>
      </c>
      <c r="L66" s="61" t="str">
        <f>IF(B66="","",IFERROR(VLOOKUP(B66,'ANÁLISE DE DADOS'!$A:$AM,10,0),""))</f>
        <v>2025</v>
      </c>
      <c r="M66" s="62">
        <f>IF(B66="","",IFERROR(VLOOKUP(B66,'ANÁLISE DE DADOS'!$A:$AM,11,0),""))</f>
        <v>45737</v>
      </c>
      <c r="N66" s="61" t="str">
        <f>IF(B66="","",IFERROR(VLOOKUP(B66,'ANÁLISE DE DADOS'!$A:$AM,12,0),""))</f>
        <v>mar-25</v>
      </c>
      <c r="O66" s="61" t="str">
        <f>IF(B66="","",IFERROR(VLOOKUP(B66,'ANÁLISE DE DADOS'!$A:$AM,13,0),""))</f>
        <v>2025</v>
      </c>
      <c r="P66" s="63">
        <f>IF(B66="","",IFERROR(VLOOKUP(B66,'ANÁLISE DE DADOS'!$A:$AM,14,0),""))</f>
        <v>2300</v>
      </c>
      <c r="Q66" s="61" t="str">
        <f>IF(B66="","",IFERROR(VLOOKUP(B66,'ANÁLISE DE DADOS'!$A:$AM,15,0),""))</f>
        <v>Maria</v>
      </c>
      <c r="R66" s="61" t="str">
        <f>IF(B66="","",IFERROR(VLOOKUP(B66,'ANÁLISE DE DADOS'!$A:$AM,16,0),""))</f>
        <v>ANALISTA LUCAS</v>
      </c>
      <c r="S66" s="61" t="str">
        <f>IF(B66="","",IFERROR(VLOOKUP(B66,'ANÁLISE DE DADOS'!$A:$AM,17,0),""))</f>
        <v>NÃO</v>
      </c>
      <c r="T66" s="61" t="str">
        <f>IF(B66="","",IFERROR(VLOOKUP(B66,'ANÁLISE DE DADOS'!$A:$AM,18,0),""))</f>
        <v>Sem Retorno</v>
      </c>
      <c r="U66" s="61" t="str">
        <f ca="1">IF(B66="","",IFERROR(VLOOKUP(B66,'ANÁLISE DE DADOS'!$A:$AM,19,0),""))</f>
        <v>Vencido</v>
      </c>
      <c r="V66" s="61">
        <f ca="1">IF(B66="","",IFERROR(VLOOKUP(B66,'ANÁLISE DE DADOS'!$A:$AM,20,0),""))</f>
        <v>58</v>
      </c>
      <c r="W66" s="61" t="str">
        <f ca="1">IF(B66="","",IFERROR(VLOOKUP(B66,'ANÁLISE DE DADOS'!$A:$AM,21,0),""))</f>
        <v>31-60 dias</v>
      </c>
      <c r="X66" s="61" t="str">
        <f ca="1">IF(B66="","",IFERROR(VLOOKUP(B66,'ANÁLISE DE DADOS'!$A:$AM,22,0),""))</f>
        <v>Atraso Médio</v>
      </c>
      <c r="Y66" s="61" t="str">
        <f>IF(B66="","",IFERROR(VLOOKUP(B66,'ANÁLISE DE DADOS'!$A:$AM,23,0),""))</f>
        <v>-</v>
      </c>
      <c r="Z66" s="61" t="str">
        <f>IF(B66="","",IFERROR(VLOOKUP(B66,'ANÁLISE DE DADOS'!$A:$AM,24,0),""))</f>
        <v>Sim</v>
      </c>
      <c r="AA66" s="61">
        <f>IF(B66="","",IFERROR(VLOOKUP(B66,'ANÁLISE DE DADOS'!$A:$AM,25,0),""))</f>
        <v>0</v>
      </c>
      <c r="AB66" s="61">
        <f>IF(B66="","",IFERROR(VLOOKUP(B66,'ANÁLISE DE DADOS'!$A:$AM,26,0),""))</f>
        <v>1</v>
      </c>
      <c r="AC66" s="61" t="str">
        <f>IF(B66="","",IFERROR(VLOOKUP(B66,'ANÁLISE DE DADOS'!$A:$AM,27,0),""))</f>
        <v>Sim</v>
      </c>
      <c r="AD66" s="62">
        <f>IF(B66="","",IFERROR(VLOOKUP(B66,'ANÁLISE DE DADOS'!$A:$AM,28,0),""))</f>
        <v>45740</v>
      </c>
      <c r="AE66" s="61" t="str">
        <f>IF(B66="","",IFERROR(VLOOKUP(B66,'ANÁLISE DE DADOS'!$A:$AM,29,0),""))</f>
        <v>mar-25</v>
      </c>
      <c r="AF66" s="61" t="str">
        <f>IF(B66="","",IFERROR(VLOOKUP(B66,'ANÁLISE DE DADOS'!$A:$AM,30,0),""))</f>
        <v>2025</v>
      </c>
      <c r="AG66" s="62">
        <f>IF(B66="","",IFERROR(VLOOKUP(B66,'ANÁLISE DE DADOS'!$A:$AM,31,0),""))</f>
        <v>45772</v>
      </c>
      <c r="AH66" s="61" t="str">
        <f>IF(B66="","",IFERROR(VLOOKUP(B66,'ANÁLISE DE DADOS'!$A:$AM,32,0),""))</f>
        <v>abr-25</v>
      </c>
      <c r="AI66" s="61" t="str">
        <f>IF(B66="","",IFERROR(VLOOKUP(B66,'ANÁLISE DE DADOS'!$A:$AM,33,0),""))</f>
        <v>2025</v>
      </c>
      <c r="AJ66" s="61" t="str">
        <f>IF(B66="","",IFERROR(VLOOKUP(B66,'ANÁLISE DE DADOS'!$A:$AM,34,0),""))</f>
        <v>Acompanhando</v>
      </c>
      <c r="AK66" s="63">
        <f ca="1">IF(B66="","",IFERROR(VLOOKUP(B66,'ANÁLISE DE DADOS'!$A:$AM,35,0),""))</f>
        <v>2300</v>
      </c>
      <c r="AL66" s="63" t="str">
        <f ca="1">IF(B66="","",IFERROR(VLOOKUP(B66,'ANÁLISE DE DADOS'!$A:$AM,36,0),""))</f>
        <v>0</v>
      </c>
    </row>
    <row r="67" spans="2:38" x14ac:dyDescent="0.3">
      <c r="B67" s="30">
        <v>63</v>
      </c>
      <c r="C67" s="61">
        <f>IF(B67="","",IFERROR(VLOOKUP(B67,'ANÁLISE DE DADOS'!$A:$AM,1,0),""))</f>
        <v>63</v>
      </c>
      <c r="D67" s="61" t="str">
        <f>IF(B67="","",IFERROR(VLOOKUP(B67,'ANÁLISE DE DADOS'!$A:$AM,2,0),""))</f>
        <v>Matriz</v>
      </c>
      <c r="E67" s="61">
        <f>IF(B67="","",IFERROR(VLOOKUP(B67,'ANÁLISE DE DADOS'!$A:$AM,3,0),""))</f>
        <v>0</v>
      </c>
      <c r="F67" s="61" t="str">
        <f>IF(B67="","",IFERROR(VLOOKUP(B67,'ANÁLISE DE DADOS'!$A:$AM,4,0),""))</f>
        <v>NovaHorizonte</v>
      </c>
      <c r="G67" s="62">
        <f>IF(B67="","",IFERROR(VLOOKUP(B67,'ANÁLISE DE DADOS'!$A:$AM,5,0),""))</f>
        <v>45709</v>
      </c>
      <c r="H67" s="62" t="str">
        <f>IF(B67="","",IFERROR(VLOOKUP(B67,'ANÁLISE DE DADOS'!$A:$AM,6,0),""))</f>
        <v>fev-25</v>
      </c>
      <c r="I67" s="62" t="str">
        <f>IF(B67="","",IFERROR(VLOOKUP(B67,'ANÁLISE DE DADOS'!$A:$AM,7,0),""))</f>
        <v>2025</v>
      </c>
      <c r="J67" s="62">
        <f>IF(B67="","",IFERROR(VLOOKUP(B67,'ANÁLISE DE DADOS'!$A:$AM,8,0),""))</f>
        <v>45737</v>
      </c>
      <c r="K67" s="61" t="str">
        <f>IF(B67="","",IFERROR(VLOOKUP(B67,'ANÁLISE DE DADOS'!$A:$AM,9,0),""))</f>
        <v>mar-25</v>
      </c>
      <c r="L67" s="61" t="str">
        <f>IF(B67="","",IFERROR(VLOOKUP(B67,'ANÁLISE DE DADOS'!$A:$AM,10,0),""))</f>
        <v>2025</v>
      </c>
      <c r="M67" s="62">
        <f>IF(B67="","",IFERROR(VLOOKUP(B67,'ANÁLISE DE DADOS'!$A:$AM,11,0),""))</f>
        <v>45737</v>
      </c>
      <c r="N67" s="61" t="str">
        <f>IF(B67="","",IFERROR(VLOOKUP(B67,'ANÁLISE DE DADOS'!$A:$AM,12,0),""))</f>
        <v>mar-25</v>
      </c>
      <c r="O67" s="61" t="str">
        <f>IF(B67="","",IFERROR(VLOOKUP(B67,'ANÁLISE DE DADOS'!$A:$AM,13,0),""))</f>
        <v>2025</v>
      </c>
      <c r="P67" s="63">
        <f>IF(B67="","",IFERROR(VLOOKUP(B67,'ANÁLISE DE DADOS'!$A:$AM,14,0),""))</f>
        <v>1700</v>
      </c>
      <c r="Q67" s="61" t="str">
        <f>IF(B67="","",IFERROR(VLOOKUP(B67,'ANÁLISE DE DADOS'!$A:$AM,15,0),""))</f>
        <v>Carlos</v>
      </c>
      <c r="R67" s="61" t="str">
        <f>IF(B67="","",IFERROR(VLOOKUP(B67,'ANÁLISE DE DADOS'!$A:$AM,16,0),""))</f>
        <v>ANALISTA LUCAS</v>
      </c>
      <c r="S67" s="61" t="str">
        <f>IF(B67="","",IFERROR(VLOOKUP(B67,'ANÁLISE DE DADOS'!$A:$AM,17,0),""))</f>
        <v>NÃO</v>
      </c>
      <c r="T67" s="61" t="str">
        <f>IF(B67="","",IFERROR(VLOOKUP(B67,'ANÁLISE DE DADOS'!$A:$AM,18,0),""))</f>
        <v>Sem Retorno</v>
      </c>
      <c r="U67" s="61" t="str">
        <f ca="1">IF(B67="","",IFERROR(VLOOKUP(B67,'ANÁLISE DE DADOS'!$A:$AM,19,0),""))</f>
        <v>Vencido</v>
      </c>
      <c r="V67" s="61">
        <f ca="1">IF(B67="","",IFERROR(VLOOKUP(B67,'ANÁLISE DE DADOS'!$A:$AM,20,0),""))</f>
        <v>58</v>
      </c>
      <c r="W67" s="61" t="str">
        <f ca="1">IF(B67="","",IFERROR(VLOOKUP(B67,'ANÁLISE DE DADOS'!$A:$AM,21,0),""))</f>
        <v>31-60 dias</v>
      </c>
      <c r="X67" s="61" t="str">
        <f ca="1">IF(B67="","",IFERROR(VLOOKUP(B67,'ANÁLISE DE DADOS'!$A:$AM,22,0),""))</f>
        <v>Atraso Médio</v>
      </c>
      <c r="Y67" s="61" t="str">
        <f>IF(B67="","",IFERROR(VLOOKUP(B67,'ANÁLISE DE DADOS'!$A:$AM,23,0),""))</f>
        <v>-</v>
      </c>
      <c r="Z67" s="61" t="str">
        <f>IF(B67="","",IFERROR(VLOOKUP(B67,'ANÁLISE DE DADOS'!$A:$AM,24,0),""))</f>
        <v>Sim</v>
      </c>
      <c r="AA67" s="61">
        <f>IF(B67="","",IFERROR(VLOOKUP(B67,'ANÁLISE DE DADOS'!$A:$AM,25,0),""))</f>
        <v>0</v>
      </c>
      <c r="AB67" s="61">
        <f>IF(B67="","",IFERROR(VLOOKUP(B67,'ANÁLISE DE DADOS'!$A:$AM,26,0),""))</f>
        <v>1</v>
      </c>
      <c r="AC67" s="61" t="str">
        <f>IF(B67="","",IFERROR(VLOOKUP(B67,'ANÁLISE DE DADOS'!$A:$AM,27,0),""))</f>
        <v>Sim</v>
      </c>
      <c r="AD67" s="62">
        <f>IF(B67="","",IFERROR(VLOOKUP(B67,'ANÁLISE DE DADOS'!$A:$AM,28,0),""))</f>
        <v>45740</v>
      </c>
      <c r="AE67" s="61" t="str">
        <f>IF(B67="","",IFERROR(VLOOKUP(B67,'ANÁLISE DE DADOS'!$A:$AM,29,0),""))</f>
        <v>mar-25</v>
      </c>
      <c r="AF67" s="61" t="str">
        <f>IF(B67="","",IFERROR(VLOOKUP(B67,'ANÁLISE DE DADOS'!$A:$AM,30,0),""))</f>
        <v>2025</v>
      </c>
      <c r="AG67" s="62">
        <f>IF(B67="","",IFERROR(VLOOKUP(B67,'ANÁLISE DE DADOS'!$A:$AM,31,0),""))</f>
        <v>45772</v>
      </c>
      <c r="AH67" s="61" t="str">
        <f>IF(B67="","",IFERROR(VLOOKUP(B67,'ANÁLISE DE DADOS'!$A:$AM,32,0),""))</f>
        <v>abr-25</v>
      </c>
      <c r="AI67" s="61" t="str">
        <f>IF(B67="","",IFERROR(VLOOKUP(B67,'ANÁLISE DE DADOS'!$A:$AM,33,0),""))</f>
        <v>2025</v>
      </c>
      <c r="AJ67" s="61" t="str">
        <f>IF(B67="","",IFERROR(VLOOKUP(B67,'ANÁLISE DE DADOS'!$A:$AM,34,0),""))</f>
        <v>Acompanhando</v>
      </c>
      <c r="AK67" s="63">
        <f ca="1">IF(B67="","",IFERROR(VLOOKUP(B67,'ANÁLISE DE DADOS'!$A:$AM,35,0),""))</f>
        <v>1700</v>
      </c>
      <c r="AL67" s="63" t="str">
        <f ca="1">IF(B67="","",IFERROR(VLOOKUP(B67,'ANÁLISE DE DADOS'!$A:$AM,36,0),""))</f>
        <v>0</v>
      </c>
    </row>
    <row r="68" spans="2:38" x14ac:dyDescent="0.3">
      <c r="B68" s="30">
        <v>64</v>
      </c>
      <c r="C68" s="61">
        <f>IF(B68="","",IFERROR(VLOOKUP(B68,'ANÁLISE DE DADOS'!$A:$AM,1,0),""))</f>
        <v>64</v>
      </c>
      <c r="D68" s="61" t="str">
        <f>IF(B68="","",IFERROR(VLOOKUP(B68,'ANÁLISE DE DADOS'!$A:$AM,2,0),""))</f>
        <v>Filial</v>
      </c>
      <c r="E68" s="61">
        <f>IF(B68="","",IFERROR(VLOOKUP(B68,'ANÁLISE DE DADOS'!$A:$AM,3,0),""))</f>
        <v>0</v>
      </c>
      <c r="F68" s="61" t="str">
        <f>IF(B68="","",IFERROR(VLOOKUP(B68,'ANÁLISE DE DADOS'!$A:$AM,4,0),""))</f>
        <v>NovaHorizonte</v>
      </c>
      <c r="G68" s="62">
        <f>IF(B68="","",IFERROR(VLOOKUP(B68,'ANÁLISE DE DADOS'!$A:$AM,5,0),""))</f>
        <v>45709</v>
      </c>
      <c r="H68" s="62" t="str">
        <f>IF(B68="","",IFERROR(VLOOKUP(B68,'ANÁLISE DE DADOS'!$A:$AM,6,0),""))</f>
        <v>fev-25</v>
      </c>
      <c r="I68" s="62" t="str">
        <f>IF(B68="","",IFERROR(VLOOKUP(B68,'ANÁLISE DE DADOS'!$A:$AM,7,0),""))</f>
        <v>2025</v>
      </c>
      <c r="J68" s="62">
        <f>IF(B68="","",IFERROR(VLOOKUP(B68,'ANÁLISE DE DADOS'!$A:$AM,8,0),""))</f>
        <v>45737</v>
      </c>
      <c r="K68" s="61" t="str">
        <f>IF(B68="","",IFERROR(VLOOKUP(B68,'ANÁLISE DE DADOS'!$A:$AM,9,0),""))</f>
        <v>mar-25</v>
      </c>
      <c r="L68" s="61" t="str">
        <f>IF(B68="","",IFERROR(VLOOKUP(B68,'ANÁLISE DE DADOS'!$A:$AM,10,0),""))</f>
        <v>2025</v>
      </c>
      <c r="M68" s="62">
        <f>IF(B68="","",IFERROR(VLOOKUP(B68,'ANÁLISE DE DADOS'!$A:$AM,11,0),""))</f>
        <v>45737</v>
      </c>
      <c r="N68" s="61" t="str">
        <f>IF(B68="","",IFERROR(VLOOKUP(B68,'ANÁLISE DE DADOS'!$A:$AM,12,0),""))</f>
        <v>mar-25</v>
      </c>
      <c r="O68" s="61" t="str">
        <f>IF(B68="","",IFERROR(VLOOKUP(B68,'ANÁLISE DE DADOS'!$A:$AM,13,0),""))</f>
        <v>2025</v>
      </c>
      <c r="P68" s="63">
        <f>IF(B68="","",IFERROR(VLOOKUP(B68,'ANÁLISE DE DADOS'!$A:$AM,14,0),""))</f>
        <v>2200</v>
      </c>
      <c r="Q68" s="61" t="str">
        <f>IF(B68="","",IFERROR(VLOOKUP(B68,'ANÁLISE DE DADOS'!$A:$AM,15,0),""))</f>
        <v>Ana</v>
      </c>
      <c r="R68" s="61" t="str">
        <f>IF(B68="","",IFERROR(VLOOKUP(B68,'ANÁLISE DE DADOS'!$A:$AM,16,0),""))</f>
        <v>ANALISTA LUCAS</v>
      </c>
      <c r="S68" s="61" t="str">
        <f>IF(B68="","",IFERROR(VLOOKUP(B68,'ANÁLISE DE DADOS'!$A:$AM,17,0),""))</f>
        <v>NÃO</v>
      </c>
      <c r="T68" s="61" t="str">
        <f>IF(B68="","",IFERROR(VLOOKUP(B68,'ANÁLISE DE DADOS'!$A:$AM,18,0),""))</f>
        <v>Sem Retorno</v>
      </c>
      <c r="U68" s="61" t="str">
        <f ca="1">IF(B68="","",IFERROR(VLOOKUP(B68,'ANÁLISE DE DADOS'!$A:$AM,19,0),""))</f>
        <v>Vencido</v>
      </c>
      <c r="V68" s="61">
        <f ca="1">IF(B68="","",IFERROR(VLOOKUP(B68,'ANÁLISE DE DADOS'!$A:$AM,20,0),""))</f>
        <v>58</v>
      </c>
      <c r="W68" s="61" t="str">
        <f ca="1">IF(B68="","",IFERROR(VLOOKUP(B68,'ANÁLISE DE DADOS'!$A:$AM,21,0),""))</f>
        <v>31-60 dias</v>
      </c>
      <c r="X68" s="61" t="str">
        <f ca="1">IF(B68="","",IFERROR(VLOOKUP(B68,'ANÁLISE DE DADOS'!$A:$AM,22,0),""))</f>
        <v>Atraso Médio</v>
      </c>
      <c r="Y68" s="61" t="str">
        <f>IF(B68="","",IFERROR(VLOOKUP(B68,'ANÁLISE DE DADOS'!$A:$AM,23,0),""))</f>
        <v>-</v>
      </c>
      <c r="Z68" s="61" t="str">
        <f>IF(B68="","",IFERROR(VLOOKUP(B68,'ANÁLISE DE DADOS'!$A:$AM,24,0),""))</f>
        <v>Sim</v>
      </c>
      <c r="AA68" s="61">
        <f>IF(B68="","",IFERROR(VLOOKUP(B68,'ANÁLISE DE DADOS'!$A:$AM,25,0),""))</f>
        <v>0</v>
      </c>
      <c r="AB68" s="61">
        <f>IF(B68="","",IFERROR(VLOOKUP(B68,'ANÁLISE DE DADOS'!$A:$AM,26,0),""))</f>
        <v>1</v>
      </c>
      <c r="AC68" s="61" t="str">
        <f>IF(B68="","",IFERROR(VLOOKUP(B68,'ANÁLISE DE DADOS'!$A:$AM,27,0),""))</f>
        <v>Sim</v>
      </c>
      <c r="AD68" s="62">
        <f>IF(B68="","",IFERROR(VLOOKUP(B68,'ANÁLISE DE DADOS'!$A:$AM,28,0),""))</f>
        <v>45740</v>
      </c>
      <c r="AE68" s="61" t="str">
        <f>IF(B68="","",IFERROR(VLOOKUP(B68,'ANÁLISE DE DADOS'!$A:$AM,29,0),""))</f>
        <v>mar-25</v>
      </c>
      <c r="AF68" s="61" t="str">
        <f>IF(B68="","",IFERROR(VLOOKUP(B68,'ANÁLISE DE DADOS'!$A:$AM,30,0),""))</f>
        <v>2025</v>
      </c>
      <c r="AG68" s="62">
        <f>IF(B68="","",IFERROR(VLOOKUP(B68,'ANÁLISE DE DADOS'!$A:$AM,31,0),""))</f>
        <v>45772</v>
      </c>
      <c r="AH68" s="61" t="str">
        <f>IF(B68="","",IFERROR(VLOOKUP(B68,'ANÁLISE DE DADOS'!$A:$AM,32,0),""))</f>
        <v>abr-25</v>
      </c>
      <c r="AI68" s="61" t="str">
        <f>IF(B68="","",IFERROR(VLOOKUP(B68,'ANÁLISE DE DADOS'!$A:$AM,33,0),""))</f>
        <v>2025</v>
      </c>
      <c r="AJ68" s="61" t="str">
        <f>IF(B68="","",IFERROR(VLOOKUP(B68,'ANÁLISE DE DADOS'!$A:$AM,34,0),""))</f>
        <v>Acompanhando</v>
      </c>
      <c r="AK68" s="63">
        <f ca="1">IF(B68="","",IFERROR(VLOOKUP(B68,'ANÁLISE DE DADOS'!$A:$AM,35,0),""))</f>
        <v>2200</v>
      </c>
      <c r="AL68" s="63" t="str">
        <f ca="1">IF(B68="","",IFERROR(VLOOKUP(B68,'ANÁLISE DE DADOS'!$A:$AM,36,0),""))</f>
        <v>0</v>
      </c>
    </row>
    <row r="69" spans="2:38" x14ac:dyDescent="0.3">
      <c r="B69" s="30">
        <v>65</v>
      </c>
      <c r="C69" s="61">
        <f>IF(B69="","",IFERROR(VLOOKUP(B69,'ANÁLISE DE DADOS'!$A:$AM,1,0),""))</f>
        <v>65</v>
      </c>
      <c r="D69" s="61" t="str">
        <f>IF(B69="","",IFERROR(VLOOKUP(B69,'ANÁLISE DE DADOS'!$A:$AM,2,0),""))</f>
        <v>Matriz</v>
      </c>
      <c r="E69" s="61">
        <f>IF(B69="","",IFERROR(VLOOKUP(B69,'ANÁLISE DE DADOS'!$A:$AM,3,0),""))</f>
        <v>0</v>
      </c>
      <c r="F69" s="61" t="str">
        <f>IF(B69="","",IFERROR(VLOOKUP(B69,'ANÁLISE DE DADOS'!$A:$AM,4,0),""))</f>
        <v>NovaHorizonte</v>
      </c>
      <c r="G69" s="62">
        <f>IF(B69="","",IFERROR(VLOOKUP(B69,'ANÁLISE DE DADOS'!$A:$AM,5,0),""))</f>
        <v>45709</v>
      </c>
      <c r="H69" s="62" t="str">
        <f>IF(B69="","",IFERROR(VLOOKUP(B69,'ANÁLISE DE DADOS'!$A:$AM,6,0),""))</f>
        <v>fev-25</v>
      </c>
      <c r="I69" s="62" t="str">
        <f>IF(B69="","",IFERROR(VLOOKUP(B69,'ANÁLISE DE DADOS'!$A:$AM,7,0),""))</f>
        <v>2025</v>
      </c>
      <c r="J69" s="62">
        <f>IF(B69="","",IFERROR(VLOOKUP(B69,'ANÁLISE DE DADOS'!$A:$AM,8,0),""))</f>
        <v>45737</v>
      </c>
      <c r="K69" s="61" t="str">
        <f>IF(B69="","",IFERROR(VLOOKUP(B69,'ANÁLISE DE DADOS'!$A:$AM,9,0),""))</f>
        <v>mar-25</v>
      </c>
      <c r="L69" s="61" t="str">
        <f>IF(B69="","",IFERROR(VLOOKUP(B69,'ANÁLISE DE DADOS'!$A:$AM,10,0),""))</f>
        <v>2025</v>
      </c>
      <c r="M69" s="62">
        <f>IF(B69="","",IFERROR(VLOOKUP(B69,'ANÁLISE DE DADOS'!$A:$AM,11,0),""))</f>
        <v>45737</v>
      </c>
      <c r="N69" s="61" t="str">
        <f>IF(B69="","",IFERROR(VLOOKUP(B69,'ANÁLISE DE DADOS'!$A:$AM,12,0),""))</f>
        <v>mar-25</v>
      </c>
      <c r="O69" s="61" t="str">
        <f>IF(B69="","",IFERROR(VLOOKUP(B69,'ANÁLISE DE DADOS'!$A:$AM,13,0),""))</f>
        <v>2025</v>
      </c>
      <c r="P69" s="63">
        <f>IF(B69="","",IFERROR(VLOOKUP(B69,'ANÁLISE DE DADOS'!$A:$AM,14,0),""))</f>
        <v>2500</v>
      </c>
      <c r="Q69" s="61" t="str">
        <f>IF(B69="","",IFERROR(VLOOKUP(B69,'ANÁLISE DE DADOS'!$A:$AM,15,0),""))</f>
        <v>Beatriz</v>
      </c>
      <c r="R69" s="61" t="str">
        <f>IF(B69="","",IFERROR(VLOOKUP(B69,'ANÁLISE DE DADOS'!$A:$AM,16,0),""))</f>
        <v>ANALISTA LUCAS</v>
      </c>
      <c r="S69" s="61" t="str">
        <f>IF(B69="","",IFERROR(VLOOKUP(B69,'ANÁLISE DE DADOS'!$A:$AM,17,0),""))</f>
        <v>NÃO</v>
      </c>
      <c r="T69" s="61" t="str">
        <f>IF(B69="","",IFERROR(VLOOKUP(B69,'ANÁLISE DE DADOS'!$A:$AM,18,0),""))</f>
        <v>Sem Retorno</v>
      </c>
      <c r="U69" s="61" t="str">
        <f ca="1">IF(B69="","",IFERROR(VLOOKUP(B69,'ANÁLISE DE DADOS'!$A:$AM,19,0),""))</f>
        <v>Vencido</v>
      </c>
      <c r="V69" s="61">
        <f ca="1">IF(B69="","",IFERROR(VLOOKUP(B69,'ANÁLISE DE DADOS'!$A:$AM,20,0),""))</f>
        <v>58</v>
      </c>
      <c r="W69" s="61" t="str">
        <f ca="1">IF(B69="","",IFERROR(VLOOKUP(B69,'ANÁLISE DE DADOS'!$A:$AM,21,0),""))</f>
        <v>31-60 dias</v>
      </c>
      <c r="X69" s="61" t="str">
        <f ca="1">IF(B69="","",IFERROR(VLOOKUP(B69,'ANÁLISE DE DADOS'!$A:$AM,22,0),""))</f>
        <v>Atraso Médio</v>
      </c>
      <c r="Y69" s="61" t="str">
        <f>IF(B69="","",IFERROR(VLOOKUP(B69,'ANÁLISE DE DADOS'!$A:$AM,23,0),""))</f>
        <v>-</v>
      </c>
      <c r="Z69" s="61" t="str">
        <f>IF(B69="","",IFERROR(VLOOKUP(B69,'ANÁLISE DE DADOS'!$A:$AM,24,0),""))</f>
        <v>Sim</v>
      </c>
      <c r="AA69" s="61">
        <f>IF(B69="","",IFERROR(VLOOKUP(B69,'ANÁLISE DE DADOS'!$A:$AM,25,0),""))</f>
        <v>0</v>
      </c>
      <c r="AB69" s="61">
        <f>IF(B69="","",IFERROR(VLOOKUP(B69,'ANÁLISE DE DADOS'!$A:$AM,26,0),""))</f>
        <v>1</v>
      </c>
      <c r="AC69" s="61" t="str">
        <f>IF(B69="","",IFERROR(VLOOKUP(B69,'ANÁLISE DE DADOS'!$A:$AM,27,0),""))</f>
        <v>Sim</v>
      </c>
      <c r="AD69" s="62">
        <f>IF(B69="","",IFERROR(VLOOKUP(B69,'ANÁLISE DE DADOS'!$A:$AM,28,0),""))</f>
        <v>45740</v>
      </c>
      <c r="AE69" s="61" t="str">
        <f>IF(B69="","",IFERROR(VLOOKUP(B69,'ANÁLISE DE DADOS'!$A:$AM,29,0),""))</f>
        <v>mar-25</v>
      </c>
      <c r="AF69" s="61" t="str">
        <f>IF(B69="","",IFERROR(VLOOKUP(B69,'ANÁLISE DE DADOS'!$A:$AM,30,0),""))</f>
        <v>2025</v>
      </c>
      <c r="AG69" s="62">
        <f>IF(B69="","",IFERROR(VLOOKUP(B69,'ANÁLISE DE DADOS'!$A:$AM,31,0),""))</f>
        <v>45772</v>
      </c>
      <c r="AH69" s="61" t="str">
        <f>IF(B69="","",IFERROR(VLOOKUP(B69,'ANÁLISE DE DADOS'!$A:$AM,32,0),""))</f>
        <v>abr-25</v>
      </c>
      <c r="AI69" s="61" t="str">
        <f>IF(B69="","",IFERROR(VLOOKUP(B69,'ANÁLISE DE DADOS'!$A:$AM,33,0),""))</f>
        <v>2025</v>
      </c>
      <c r="AJ69" s="61" t="str">
        <f>IF(B69="","",IFERROR(VLOOKUP(B69,'ANÁLISE DE DADOS'!$A:$AM,34,0),""))</f>
        <v>Acompanhando</v>
      </c>
      <c r="AK69" s="63">
        <f ca="1">IF(B69="","",IFERROR(VLOOKUP(B69,'ANÁLISE DE DADOS'!$A:$AM,35,0),""))</f>
        <v>2500</v>
      </c>
      <c r="AL69" s="63" t="str">
        <f ca="1">IF(B69="","",IFERROR(VLOOKUP(B69,'ANÁLISE DE DADOS'!$A:$AM,36,0),""))</f>
        <v>0</v>
      </c>
    </row>
    <row r="70" spans="2:38" x14ac:dyDescent="0.3">
      <c r="B70" s="30">
        <v>66</v>
      </c>
      <c r="C70" s="61">
        <f>IF(B70="","",IFERROR(VLOOKUP(B70,'ANÁLISE DE DADOS'!$A:$AM,1,0),""))</f>
        <v>66</v>
      </c>
      <c r="D70" s="61" t="str">
        <f>IF(B70="","",IFERROR(VLOOKUP(B70,'ANÁLISE DE DADOS'!$A:$AM,2,0),""))</f>
        <v>Filial</v>
      </c>
      <c r="E70" s="61">
        <f>IF(B70="","",IFERROR(VLOOKUP(B70,'ANÁLISE DE DADOS'!$A:$AM,3,0),""))</f>
        <v>0</v>
      </c>
      <c r="F70" s="61" t="str">
        <f>IF(B70="","",IFERROR(VLOOKUP(B70,'ANÁLISE DE DADOS'!$A:$AM,4,0),""))</f>
        <v>NovaHorizonte</v>
      </c>
      <c r="G70" s="62">
        <f>IF(B70="","",IFERROR(VLOOKUP(B70,'ANÁLISE DE DADOS'!$A:$AM,5,0),""))</f>
        <v>45678</v>
      </c>
      <c r="H70" s="62" t="str">
        <f>IF(B70="","",IFERROR(VLOOKUP(B70,'ANÁLISE DE DADOS'!$A:$AM,6,0),""))</f>
        <v>jan-25</v>
      </c>
      <c r="I70" s="62" t="str">
        <f>IF(B70="","",IFERROR(VLOOKUP(B70,'ANÁLISE DE DADOS'!$A:$AM,7,0),""))</f>
        <v>2025</v>
      </c>
      <c r="J70" s="62">
        <f>IF(B70="","",IFERROR(VLOOKUP(B70,'ANÁLISE DE DADOS'!$A:$AM,8,0),""))</f>
        <v>45678</v>
      </c>
      <c r="K70" s="61" t="str">
        <f>IF(B70="","",IFERROR(VLOOKUP(B70,'ANÁLISE DE DADOS'!$A:$AM,9,0),""))</f>
        <v>jan-25</v>
      </c>
      <c r="L70" s="61" t="str">
        <f>IF(B70="","",IFERROR(VLOOKUP(B70,'ANÁLISE DE DADOS'!$A:$AM,10,0),""))</f>
        <v>2025</v>
      </c>
      <c r="M70" s="62">
        <f>IF(B70="","",IFERROR(VLOOKUP(B70,'ANÁLISE DE DADOS'!$A:$AM,11,0),""))</f>
        <v>45678</v>
      </c>
      <c r="N70" s="61" t="str">
        <f>IF(B70="","",IFERROR(VLOOKUP(B70,'ANÁLISE DE DADOS'!$A:$AM,12,0),""))</f>
        <v>jan-25</v>
      </c>
      <c r="O70" s="61" t="str">
        <f>IF(B70="","",IFERROR(VLOOKUP(B70,'ANÁLISE DE DADOS'!$A:$AM,13,0),""))</f>
        <v>2025</v>
      </c>
      <c r="P70" s="63">
        <f>IF(B70="","",IFERROR(VLOOKUP(B70,'ANÁLISE DE DADOS'!$A:$AM,14,0),""))</f>
        <v>2000</v>
      </c>
      <c r="Q70" s="61" t="str">
        <f>IF(B70="","",IFERROR(VLOOKUP(B70,'ANÁLISE DE DADOS'!$A:$AM,15,0),""))</f>
        <v>Lucas</v>
      </c>
      <c r="R70" s="61" t="str">
        <f>IF(B70="","",IFERROR(VLOOKUP(B70,'ANÁLISE DE DADOS'!$A:$AM,16,0),""))</f>
        <v>ANALISTA LUCAS</v>
      </c>
      <c r="S70" s="61" t="str">
        <f>IF(B70="","",IFERROR(VLOOKUP(B70,'ANÁLISE DE DADOS'!$A:$AM,17,0),""))</f>
        <v>NÃO</v>
      </c>
      <c r="T70" s="61" t="str">
        <f>IF(B70="","",IFERROR(VLOOKUP(B70,'ANÁLISE DE DADOS'!$A:$AM,18,0),""))</f>
        <v>Sem Retorno</v>
      </c>
      <c r="U70" s="61" t="str">
        <f ca="1">IF(B70="","",IFERROR(VLOOKUP(B70,'ANÁLISE DE DADOS'!$A:$AM,19,0),""))</f>
        <v>Vencido</v>
      </c>
      <c r="V70" s="61">
        <f ca="1">IF(B70="","",IFERROR(VLOOKUP(B70,'ANÁLISE DE DADOS'!$A:$AM,20,0),""))</f>
        <v>117</v>
      </c>
      <c r="W70" s="61" t="str">
        <f ca="1">IF(B70="","",IFERROR(VLOOKUP(B70,'ANÁLISE DE DADOS'!$A:$AM,21,0),""))</f>
        <v>61+ dias</v>
      </c>
      <c r="X70" s="61" t="str">
        <f ca="1">IF(B70="","",IFERROR(VLOOKUP(B70,'ANÁLISE DE DADOS'!$A:$AM,22,0),""))</f>
        <v>Atraso Crítico</v>
      </c>
      <c r="Y70" s="61" t="str">
        <f>IF(B70="","",IFERROR(VLOOKUP(B70,'ANÁLISE DE DADOS'!$A:$AM,23,0),""))</f>
        <v>-</v>
      </c>
      <c r="Z70" s="61" t="str">
        <f>IF(B70="","",IFERROR(VLOOKUP(B70,'ANÁLISE DE DADOS'!$A:$AM,24,0),""))</f>
        <v>Sim</v>
      </c>
      <c r="AA70" s="61">
        <f>IF(B70="","",IFERROR(VLOOKUP(B70,'ANÁLISE DE DADOS'!$A:$AM,25,0),""))</f>
        <v>0</v>
      </c>
      <c r="AB70" s="61">
        <f>IF(B70="","",IFERROR(VLOOKUP(B70,'ANÁLISE DE DADOS'!$A:$AM,26,0),""))</f>
        <v>1</v>
      </c>
      <c r="AC70" s="61" t="str">
        <f>IF(B70="","",IFERROR(VLOOKUP(B70,'ANÁLISE DE DADOS'!$A:$AM,27,0),""))</f>
        <v>Sim</v>
      </c>
      <c r="AD70" s="62">
        <f>IF(B70="","",IFERROR(VLOOKUP(B70,'ANÁLISE DE DADOS'!$A:$AM,28,0),""))</f>
        <v>45740</v>
      </c>
      <c r="AE70" s="61" t="str">
        <f>IF(B70="","",IFERROR(VLOOKUP(B70,'ANÁLISE DE DADOS'!$A:$AM,29,0),""))</f>
        <v>mar-25</v>
      </c>
      <c r="AF70" s="61" t="str">
        <f>IF(B70="","",IFERROR(VLOOKUP(B70,'ANÁLISE DE DADOS'!$A:$AM,30,0),""))</f>
        <v>2025</v>
      </c>
      <c r="AG70" s="62">
        <f>IF(B70="","",IFERROR(VLOOKUP(B70,'ANÁLISE DE DADOS'!$A:$AM,31,0),""))</f>
        <v>45772</v>
      </c>
      <c r="AH70" s="61" t="str">
        <f>IF(B70="","",IFERROR(VLOOKUP(B70,'ANÁLISE DE DADOS'!$A:$AM,32,0),""))</f>
        <v>abr-25</v>
      </c>
      <c r="AI70" s="61" t="str">
        <f>IF(B70="","",IFERROR(VLOOKUP(B70,'ANÁLISE DE DADOS'!$A:$AM,33,0),""))</f>
        <v>2025</v>
      </c>
      <c r="AJ70" s="61" t="str">
        <f>IF(B70="","",IFERROR(VLOOKUP(B70,'ANÁLISE DE DADOS'!$A:$AM,34,0),""))</f>
        <v>Acompanhando</v>
      </c>
      <c r="AK70" s="63">
        <f ca="1">IF(B70="","",IFERROR(VLOOKUP(B70,'ANÁLISE DE DADOS'!$A:$AM,35,0),""))</f>
        <v>2000</v>
      </c>
      <c r="AL70" s="63" t="str">
        <f ca="1">IF(B70="","",IFERROR(VLOOKUP(B70,'ANÁLISE DE DADOS'!$A:$AM,36,0),""))</f>
        <v>0</v>
      </c>
    </row>
    <row r="71" spans="2:38" x14ac:dyDescent="0.3">
      <c r="B71" s="30">
        <v>67</v>
      </c>
      <c r="C71" s="61">
        <f>IF(B71="","",IFERROR(VLOOKUP(B71,'ANÁLISE DE DADOS'!$A:$AM,1,0),""))</f>
        <v>67</v>
      </c>
      <c r="D71" s="61" t="str">
        <f>IF(B71="","",IFERROR(VLOOKUP(B71,'ANÁLISE DE DADOS'!$A:$AM,2,0),""))</f>
        <v>Matriz</v>
      </c>
      <c r="E71" s="61">
        <f>IF(B71="","",IFERROR(VLOOKUP(B71,'ANÁLISE DE DADOS'!$A:$AM,3,0),""))</f>
        <v>0</v>
      </c>
      <c r="F71" s="61" t="str">
        <f>IF(B71="","",IFERROR(VLOOKUP(B71,'ANÁLISE DE DADOS'!$A:$AM,4,0),""))</f>
        <v>NovaHorizonte</v>
      </c>
      <c r="G71" s="62">
        <f>IF(B71="","",IFERROR(VLOOKUP(B71,'ANÁLISE DE DADOS'!$A:$AM,5,0),""))</f>
        <v>45709</v>
      </c>
      <c r="H71" s="62" t="str">
        <f>IF(B71="","",IFERROR(VLOOKUP(B71,'ANÁLISE DE DADOS'!$A:$AM,6,0),""))</f>
        <v>fev-25</v>
      </c>
      <c r="I71" s="62" t="str">
        <f>IF(B71="","",IFERROR(VLOOKUP(B71,'ANÁLISE DE DADOS'!$A:$AM,7,0),""))</f>
        <v>2025</v>
      </c>
      <c r="J71" s="62">
        <f>IF(B71="","",IFERROR(VLOOKUP(B71,'ANÁLISE DE DADOS'!$A:$AM,8,0),""))</f>
        <v>45737</v>
      </c>
      <c r="K71" s="61" t="str">
        <f>IF(B71="","",IFERROR(VLOOKUP(B71,'ANÁLISE DE DADOS'!$A:$AM,9,0),""))</f>
        <v>mar-25</v>
      </c>
      <c r="L71" s="61" t="str">
        <f>IF(B71="","",IFERROR(VLOOKUP(B71,'ANÁLISE DE DADOS'!$A:$AM,10,0),""))</f>
        <v>2025</v>
      </c>
      <c r="M71" s="62">
        <f>IF(B71="","",IFERROR(VLOOKUP(B71,'ANÁLISE DE DADOS'!$A:$AM,11,0),""))</f>
        <v>45737</v>
      </c>
      <c r="N71" s="61" t="str">
        <f>IF(B71="","",IFERROR(VLOOKUP(B71,'ANÁLISE DE DADOS'!$A:$AM,12,0),""))</f>
        <v>mar-25</v>
      </c>
      <c r="O71" s="61" t="str">
        <f>IF(B71="","",IFERROR(VLOOKUP(B71,'ANÁLISE DE DADOS'!$A:$AM,13,0),""))</f>
        <v>2025</v>
      </c>
      <c r="P71" s="63">
        <f>IF(B71="","",IFERROR(VLOOKUP(B71,'ANÁLISE DE DADOS'!$A:$AM,14,0),""))</f>
        <v>3200</v>
      </c>
      <c r="Q71" s="61" t="str">
        <f>IF(B71="","",IFERROR(VLOOKUP(B71,'ANÁLISE DE DADOS'!$A:$AM,15,0),""))</f>
        <v>Carla</v>
      </c>
      <c r="R71" s="61" t="str">
        <f>IF(B71="","",IFERROR(VLOOKUP(B71,'ANÁLISE DE DADOS'!$A:$AM,16,0),""))</f>
        <v>ANALISTA LUCAS</v>
      </c>
      <c r="S71" s="61" t="str">
        <f>IF(B71="","",IFERROR(VLOOKUP(B71,'ANÁLISE DE DADOS'!$A:$AM,17,0),""))</f>
        <v>NÃO</v>
      </c>
      <c r="T71" s="61" t="str">
        <f>IF(B71="","",IFERROR(VLOOKUP(B71,'ANÁLISE DE DADOS'!$A:$AM,18,0),""))</f>
        <v>Sem Retorno</v>
      </c>
      <c r="U71" s="61" t="str">
        <f ca="1">IF(B71="","",IFERROR(VLOOKUP(B71,'ANÁLISE DE DADOS'!$A:$AM,19,0),""))</f>
        <v>Vencido</v>
      </c>
      <c r="V71" s="61">
        <f ca="1">IF(B71="","",IFERROR(VLOOKUP(B71,'ANÁLISE DE DADOS'!$A:$AM,20,0),""))</f>
        <v>58</v>
      </c>
      <c r="W71" s="61" t="str">
        <f ca="1">IF(B71="","",IFERROR(VLOOKUP(B71,'ANÁLISE DE DADOS'!$A:$AM,21,0),""))</f>
        <v>31-60 dias</v>
      </c>
      <c r="X71" s="61" t="str">
        <f ca="1">IF(B71="","",IFERROR(VLOOKUP(B71,'ANÁLISE DE DADOS'!$A:$AM,22,0),""))</f>
        <v>Atraso Médio</v>
      </c>
      <c r="Y71" s="61" t="str">
        <f>IF(B71="","",IFERROR(VLOOKUP(B71,'ANÁLISE DE DADOS'!$A:$AM,23,0),""))</f>
        <v>-</v>
      </c>
      <c r="Z71" s="61" t="str">
        <f>IF(B71="","",IFERROR(VLOOKUP(B71,'ANÁLISE DE DADOS'!$A:$AM,24,0),""))</f>
        <v>Sim</v>
      </c>
      <c r="AA71" s="61">
        <f>IF(B71="","",IFERROR(VLOOKUP(B71,'ANÁLISE DE DADOS'!$A:$AM,25,0),""))</f>
        <v>0</v>
      </c>
      <c r="AB71" s="61">
        <f>IF(B71="","",IFERROR(VLOOKUP(B71,'ANÁLISE DE DADOS'!$A:$AM,26,0),""))</f>
        <v>1</v>
      </c>
      <c r="AC71" s="61" t="str">
        <f>IF(B71="","",IFERROR(VLOOKUP(B71,'ANÁLISE DE DADOS'!$A:$AM,27,0),""))</f>
        <v>Sim</v>
      </c>
      <c r="AD71" s="62">
        <f>IF(B71="","",IFERROR(VLOOKUP(B71,'ANÁLISE DE DADOS'!$A:$AM,28,0),""))</f>
        <v>45740</v>
      </c>
      <c r="AE71" s="61" t="str">
        <f>IF(B71="","",IFERROR(VLOOKUP(B71,'ANÁLISE DE DADOS'!$A:$AM,29,0),""))</f>
        <v>mar-25</v>
      </c>
      <c r="AF71" s="61" t="str">
        <f>IF(B71="","",IFERROR(VLOOKUP(B71,'ANÁLISE DE DADOS'!$A:$AM,30,0),""))</f>
        <v>2025</v>
      </c>
      <c r="AG71" s="62">
        <f>IF(B71="","",IFERROR(VLOOKUP(B71,'ANÁLISE DE DADOS'!$A:$AM,31,0),""))</f>
        <v>45772</v>
      </c>
      <c r="AH71" s="61" t="str">
        <f>IF(B71="","",IFERROR(VLOOKUP(B71,'ANÁLISE DE DADOS'!$A:$AM,32,0),""))</f>
        <v>abr-25</v>
      </c>
      <c r="AI71" s="61" t="str">
        <f>IF(B71="","",IFERROR(VLOOKUP(B71,'ANÁLISE DE DADOS'!$A:$AM,33,0),""))</f>
        <v>2025</v>
      </c>
      <c r="AJ71" s="61" t="str">
        <f>IF(B71="","",IFERROR(VLOOKUP(B71,'ANÁLISE DE DADOS'!$A:$AM,34,0),""))</f>
        <v>Acompanhando</v>
      </c>
      <c r="AK71" s="63">
        <f ca="1">IF(B71="","",IFERROR(VLOOKUP(B71,'ANÁLISE DE DADOS'!$A:$AM,35,0),""))</f>
        <v>3200</v>
      </c>
      <c r="AL71" s="63" t="str">
        <f ca="1">IF(B71="","",IFERROR(VLOOKUP(B71,'ANÁLISE DE DADOS'!$A:$AM,36,0),""))</f>
        <v>0</v>
      </c>
    </row>
    <row r="72" spans="2:38" x14ac:dyDescent="0.3">
      <c r="B72" s="30">
        <v>68</v>
      </c>
      <c r="C72" s="61">
        <f>IF(B72="","",IFERROR(VLOOKUP(B72,'ANÁLISE DE DADOS'!$A:$AM,1,0),""))</f>
        <v>68</v>
      </c>
      <c r="D72" s="61" t="str">
        <f>IF(B72="","",IFERROR(VLOOKUP(B72,'ANÁLISE DE DADOS'!$A:$AM,2,0),""))</f>
        <v>Filial</v>
      </c>
      <c r="E72" s="61">
        <f>IF(B72="","",IFERROR(VLOOKUP(B72,'ANÁLISE DE DADOS'!$A:$AM,3,0),""))</f>
        <v>0</v>
      </c>
      <c r="F72" s="61" t="str">
        <f>IF(B72="","",IFERROR(VLOOKUP(B72,'ANÁLISE DE DADOS'!$A:$AM,4,0),""))</f>
        <v>NovaHorizonte</v>
      </c>
      <c r="G72" s="62">
        <f>IF(B72="","",IFERROR(VLOOKUP(B72,'ANÁLISE DE DADOS'!$A:$AM,5,0),""))</f>
        <v>45709</v>
      </c>
      <c r="H72" s="62" t="str">
        <f>IF(B72="","",IFERROR(VLOOKUP(B72,'ANÁLISE DE DADOS'!$A:$AM,6,0),""))</f>
        <v>fev-25</v>
      </c>
      <c r="I72" s="62" t="str">
        <f>IF(B72="","",IFERROR(VLOOKUP(B72,'ANÁLISE DE DADOS'!$A:$AM,7,0),""))</f>
        <v>2025</v>
      </c>
      <c r="J72" s="62">
        <f>IF(B72="","",IFERROR(VLOOKUP(B72,'ANÁLISE DE DADOS'!$A:$AM,8,0),""))</f>
        <v>45737</v>
      </c>
      <c r="K72" s="61" t="str">
        <f>IF(B72="","",IFERROR(VLOOKUP(B72,'ANÁLISE DE DADOS'!$A:$AM,9,0),""))</f>
        <v>mar-25</v>
      </c>
      <c r="L72" s="61" t="str">
        <f>IF(B72="","",IFERROR(VLOOKUP(B72,'ANÁLISE DE DADOS'!$A:$AM,10,0),""))</f>
        <v>2025</v>
      </c>
      <c r="M72" s="62">
        <f>IF(B72="","",IFERROR(VLOOKUP(B72,'ANÁLISE DE DADOS'!$A:$AM,11,0),""))</f>
        <v>45737</v>
      </c>
      <c r="N72" s="61" t="str">
        <f>IF(B72="","",IFERROR(VLOOKUP(B72,'ANÁLISE DE DADOS'!$A:$AM,12,0),""))</f>
        <v>mar-25</v>
      </c>
      <c r="O72" s="61" t="str">
        <f>IF(B72="","",IFERROR(VLOOKUP(B72,'ANÁLISE DE DADOS'!$A:$AM,13,0),""))</f>
        <v>2025</v>
      </c>
      <c r="P72" s="63">
        <f>IF(B72="","",IFERROR(VLOOKUP(B72,'ANÁLISE DE DADOS'!$A:$AM,14,0),""))</f>
        <v>1500</v>
      </c>
      <c r="Q72" s="61" t="str">
        <f>IF(B72="","",IFERROR(VLOOKUP(B72,'ANÁLISE DE DADOS'!$A:$AM,15,0),""))</f>
        <v>Roberto</v>
      </c>
      <c r="R72" s="61" t="str">
        <f>IF(B72="","",IFERROR(VLOOKUP(B72,'ANÁLISE DE DADOS'!$A:$AM,16,0),""))</f>
        <v>ANALISTA LUCAS</v>
      </c>
      <c r="S72" s="61" t="str">
        <f>IF(B72="","",IFERROR(VLOOKUP(B72,'ANÁLISE DE DADOS'!$A:$AM,17,0),""))</f>
        <v>NÃO</v>
      </c>
      <c r="T72" s="61" t="str">
        <f>IF(B72="","",IFERROR(VLOOKUP(B72,'ANÁLISE DE DADOS'!$A:$AM,18,0),""))</f>
        <v>Sem Retorno</v>
      </c>
      <c r="U72" s="61" t="str">
        <f ca="1">IF(B72="","",IFERROR(VLOOKUP(B72,'ANÁLISE DE DADOS'!$A:$AM,19,0),""))</f>
        <v>Vencido</v>
      </c>
      <c r="V72" s="61">
        <f ca="1">IF(B72="","",IFERROR(VLOOKUP(B72,'ANÁLISE DE DADOS'!$A:$AM,20,0),""))</f>
        <v>58</v>
      </c>
      <c r="W72" s="61" t="str">
        <f ca="1">IF(B72="","",IFERROR(VLOOKUP(B72,'ANÁLISE DE DADOS'!$A:$AM,21,0),""))</f>
        <v>31-60 dias</v>
      </c>
      <c r="X72" s="61" t="str">
        <f ca="1">IF(B72="","",IFERROR(VLOOKUP(B72,'ANÁLISE DE DADOS'!$A:$AM,22,0),""))</f>
        <v>Atraso Médio</v>
      </c>
      <c r="Y72" s="61" t="str">
        <f>IF(B72="","",IFERROR(VLOOKUP(B72,'ANÁLISE DE DADOS'!$A:$AM,23,0),""))</f>
        <v>-</v>
      </c>
      <c r="Z72" s="61" t="str">
        <f>IF(B72="","",IFERROR(VLOOKUP(B72,'ANÁLISE DE DADOS'!$A:$AM,24,0),""))</f>
        <v>Sim</v>
      </c>
      <c r="AA72" s="61">
        <f>IF(B72="","",IFERROR(VLOOKUP(B72,'ANÁLISE DE DADOS'!$A:$AM,25,0),""))</f>
        <v>0</v>
      </c>
      <c r="AB72" s="61">
        <f>IF(B72="","",IFERROR(VLOOKUP(B72,'ANÁLISE DE DADOS'!$A:$AM,26,0),""))</f>
        <v>1</v>
      </c>
      <c r="AC72" s="61" t="str">
        <f>IF(B72="","",IFERROR(VLOOKUP(B72,'ANÁLISE DE DADOS'!$A:$AM,27,0),""))</f>
        <v>Sim</v>
      </c>
      <c r="AD72" s="62">
        <f>IF(B72="","",IFERROR(VLOOKUP(B72,'ANÁLISE DE DADOS'!$A:$AM,28,0),""))</f>
        <v>45740</v>
      </c>
      <c r="AE72" s="61" t="str">
        <f>IF(B72="","",IFERROR(VLOOKUP(B72,'ANÁLISE DE DADOS'!$A:$AM,29,0),""))</f>
        <v>mar-25</v>
      </c>
      <c r="AF72" s="61" t="str">
        <f>IF(B72="","",IFERROR(VLOOKUP(B72,'ANÁLISE DE DADOS'!$A:$AM,30,0),""))</f>
        <v>2025</v>
      </c>
      <c r="AG72" s="62">
        <f>IF(B72="","",IFERROR(VLOOKUP(B72,'ANÁLISE DE DADOS'!$A:$AM,31,0),""))</f>
        <v>45772</v>
      </c>
      <c r="AH72" s="61" t="str">
        <f>IF(B72="","",IFERROR(VLOOKUP(B72,'ANÁLISE DE DADOS'!$A:$AM,32,0),""))</f>
        <v>abr-25</v>
      </c>
      <c r="AI72" s="61" t="str">
        <f>IF(B72="","",IFERROR(VLOOKUP(B72,'ANÁLISE DE DADOS'!$A:$AM,33,0),""))</f>
        <v>2025</v>
      </c>
      <c r="AJ72" s="61" t="str">
        <f>IF(B72="","",IFERROR(VLOOKUP(B72,'ANÁLISE DE DADOS'!$A:$AM,34,0),""))</f>
        <v>Acompanhando</v>
      </c>
      <c r="AK72" s="63">
        <f ca="1">IF(B72="","",IFERROR(VLOOKUP(B72,'ANÁLISE DE DADOS'!$A:$AM,35,0),""))</f>
        <v>1500</v>
      </c>
      <c r="AL72" s="63" t="str">
        <f ca="1">IF(B72="","",IFERROR(VLOOKUP(B72,'ANÁLISE DE DADOS'!$A:$AM,36,0),""))</f>
        <v>0</v>
      </c>
    </row>
    <row r="73" spans="2:38" x14ac:dyDescent="0.3">
      <c r="B73" s="30">
        <v>69</v>
      </c>
      <c r="C73" s="61">
        <f>IF(B73="","",IFERROR(VLOOKUP(B73,'ANÁLISE DE DADOS'!$A:$AM,1,0),""))</f>
        <v>69</v>
      </c>
      <c r="D73" s="61" t="str">
        <f>IF(B73="","",IFERROR(VLOOKUP(B73,'ANÁLISE DE DADOS'!$A:$AM,2,0),""))</f>
        <v>Matriz</v>
      </c>
      <c r="E73" s="61">
        <f>IF(B73="","",IFERROR(VLOOKUP(B73,'ANÁLISE DE DADOS'!$A:$AM,3,0),""))</f>
        <v>0</v>
      </c>
      <c r="F73" s="61" t="str">
        <f>IF(B73="","",IFERROR(VLOOKUP(B73,'ANÁLISE DE DADOS'!$A:$AM,4,0),""))</f>
        <v>NovaHorizonte</v>
      </c>
      <c r="G73" s="62">
        <f>IF(B73="","",IFERROR(VLOOKUP(B73,'ANÁLISE DE DADOS'!$A:$AM,5,0),""))</f>
        <v>45709</v>
      </c>
      <c r="H73" s="62" t="str">
        <f>IF(B73="","",IFERROR(VLOOKUP(B73,'ANÁLISE DE DADOS'!$A:$AM,6,0),""))</f>
        <v>fev-25</v>
      </c>
      <c r="I73" s="62" t="str">
        <f>IF(B73="","",IFERROR(VLOOKUP(B73,'ANÁLISE DE DADOS'!$A:$AM,7,0),""))</f>
        <v>2025</v>
      </c>
      <c r="J73" s="62">
        <f>IF(B73="","",IFERROR(VLOOKUP(B73,'ANÁLISE DE DADOS'!$A:$AM,8,0),""))</f>
        <v>45737</v>
      </c>
      <c r="K73" s="61" t="str">
        <f>IF(B73="","",IFERROR(VLOOKUP(B73,'ANÁLISE DE DADOS'!$A:$AM,9,0),""))</f>
        <v>mar-25</v>
      </c>
      <c r="L73" s="61" t="str">
        <f>IF(B73="","",IFERROR(VLOOKUP(B73,'ANÁLISE DE DADOS'!$A:$AM,10,0),""))</f>
        <v>2025</v>
      </c>
      <c r="M73" s="62">
        <f>IF(B73="","",IFERROR(VLOOKUP(B73,'ANÁLISE DE DADOS'!$A:$AM,11,0),""))</f>
        <v>45737</v>
      </c>
      <c r="N73" s="61" t="str">
        <f>IF(B73="","",IFERROR(VLOOKUP(B73,'ANÁLISE DE DADOS'!$A:$AM,12,0),""))</f>
        <v>mar-25</v>
      </c>
      <c r="O73" s="61" t="str">
        <f>IF(B73="","",IFERROR(VLOOKUP(B73,'ANÁLISE DE DADOS'!$A:$AM,13,0),""))</f>
        <v>2025</v>
      </c>
      <c r="P73" s="63">
        <f>IF(B73="","",IFERROR(VLOOKUP(B73,'ANÁLISE DE DADOS'!$A:$AM,14,0),""))</f>
        <v>2800</v>
      </c>
      <c r="Q73" s="61" t="str">
        <f>IF(B73="","",IFERROR(VLOOKUP(B73,'ANÁLISE DE DADOS'!$A:$AM,15,0),""))</f>
        <v>Juliana</v>
      </c>
      <c r="R73" s="61" t="str">
        <f>IF(B73="","",IFERROR(VLOOKUP(B73,'ANÁLISE DE DADOS'!$A:$AM,16,0),""))</f>
        <v>ANALISTA LUCAS</v>
      </c>
      <c r="S73" s="61" t="str">
        <f>IF(B73="","",IFERROR(VLOOKUP(B73,'ANÁLISE DE DADOS'!$A:$AM,17,0),""))</f>
        <v>NÃO</v>
      </c>
      <c r="T73" s="61" t="str">
        <f>IF(B73="","",IFERROR(VLOOKUP(B73,'ANÁLISE DE DADOS'!$A:$AM,18,0),""))</f>
        <v>Sem Retorno</v>
      </c>
      <c r="U73" s="61" t="str">
        <f ca="1">IF(B73="","",IFERROR(VLOOKUP(B73,'ANÁLISE DE DADOS'!$A:$AM,19,0),""))</f>
        <v>Vencido</v>
      </c>
      <c r="V73" s="61">
        <f ca="1">IF(B73="","",IFERROR(VLOOKUP(B73,'ANÁLISE DE DADOS'!$A:$AM,20,0),""))</f>
        <v>58</v>
      </c>
      <c r="W73" s="61" t="str">
        <f ca="1">IF(B73="","",IFERROR(VLOOKUP(B73,'ANÁLISE DE DADOS'!$A:$AM,21,0),""))</f>
        <v>31-60 dias</v>
      </c>
      <c r="X73" s="61" t="str">
        <f ca="1">IF(B73="","",IFERROR(VLOOKUP(B73,'ANÁLISE DE DADOS'!$A:$AM,22,0),""))</f>
        <v>Atraso Médio</v>
      </c>
      <c r="Y73" s="61" t="str">
        <f>IF(B73="","",IFERROR(VLOOKUP(B73,'ANÁLISE DE DADOS'!$A:$AM,23,0),""))</f>
        <v>-</v>
      </c>
      <c r="Z73" s="61" t="str">
        <f>IF(B73="","",IFERROR(VLOOKUP(B73,'ANÁLISE DE DADOS'!$A:$AM,24,0),""))</f>
        <v>Sim</v>
      </c>
      <c r="AA73" s="61">
        <f>IF(B73="","",IFERROR(VLOOKUP(B73,'ANÁLISE DE DADOS'!$A:$AM,25,0),""))</f>
        <v>0</v>
      </c>
      <c r="AB73" s="61">
        <f>IF(B73="","",IFERROR(VLOOKUP(B73,'ANÁLISE DE DADOS'!$A:$AM,26,0),""))</f>
        <v>1</v>
      </c>
      <c r="AC73" s="61" t="str">
        <f>IF(B73="","",IFERROR(VLOOKUP(B73,'ANÁLISE DE DADOS'!$A:$AM,27,0),""))</f>
        <v>Sim</v>
      </c>
      <c r="AD73" s="62">
        <f>IF(B73="","",IFERROR(VLOOKUP(B73,'ANÁLISE DE DADOS'!$A:$AM,28,0),""))</f>
        <v>45740</v>
      </c>
      <c r="AE73" s="61" t="str">
        <f>IF(B73="","",IFERROR(VLOOKUP(B73,'ANÁLISE DE DADOS'!$A:$AM,29,0),""))</f>
        <v>mar-25</v>
      </c>
      <c r="AF73" s="61" t="str">
        <f>IF(B73="","",IFERROR(VLOOKUP(B73,'ANÁLISE DE DADOS'!$A:$AM,30,0),""))</f>
        <v>2025</v>
      </c>
      <c r="AG73" s="62">
        <f>IF(B73="","",IFERROR(VLOOKUP(B73,'ANÁLISE DE DADOS'!$A:$AM,31,0),""))</f>
        <v>45772</v>
      </c>
      <c r="AH73" s="61" t="str">
        <f>IF(B73="","",IFERROR(VLOOKUP(B73,'ANÁLISE DE DADOS'!$A:$AM,32,0),""))</f>
        <v>abr-25</v>
      </c>
      <c r="AI73" s="61" t="str">
        <f>IF(B73="","",IFERROR(VLOOKUP(B73,'ANÁLISE DE DADOS'!$A:$AM,33,0),""))</f>
        <v>2025</v>
      </c>
      <c r="AJ73" s="61" t="str">
        <f>IF(B73="","",IFERROR(VLOOKUP(B73,'ANÁLISE DE DADOS'!$A:$AM,34,0),""))</f>
        <v>Acompanhando</v>
      </c>
      <c r="AK73" s="63">
        <f ca="1">IF(B73="","",IFERROR(VLOOKUP(B73,'ANÁLISE DE DADOS'!$A:$AM,35,0),""))</f>
        <v>2800</v>
      </c>
      <c r="AL73" s="63" t="str">
        <f ca="1">IF(B73="","",IFERROR(VLOOKUP(B73,'ANÁLISE DE DADOS'!$A:$AM,36,0),""))</f>
        <v>0</v>
      </c>
    </row>
    <row r="74" spans="2:38" x14ac:dyDescent="0.3">
      <c r="B74" s="30">
        <v>70</v>
      </c>
      <c r="C74" s="61">
        <f>IF(B74="","",IFERROR(VLOOKUP(B74,'ANÁLISE DE DADOS'!$A:$AM,1,0),""))</f>
        <v>70</v>
      </c>
      <c r="D74" s="61" t="str">
        <f>IF(B74="","",IFERROR(VLOOKUP(B74,'ANÁLISE DE DADOS'!$A:$AM,2,0),""))</f>
        <v>Filial</v>
      </c>
      <c r="E74" s="61">
        <f>IF(B74="","",IFERROR(VLOOKUP(B74,'ANÁLISE DE DADOS'!$A:$AM,3,0),""))</f>
        <v>0</v>
      </c>
      <c r="F74" s="61" t="str">
        <f>IF(B74="","",IFERROR(VLOOKUP(B74,'ANÁLISE DE DADOS'!$A:$AM,4,0),""))</f>
        <v>NovaHorizonte</v>
      </c>
      <c r="G74" s="62">
        <f>IF(B74="","",IFERROR(VLOOKUP(B74,'ANÁLISE DE DADOS'!$A:$AM,5,0),""))</f>
        <v>45709</v>
      </c>
      <c r="H74" s="62" t="str">
        <f>IF(B74="","",IFERROR(VLOOKUP(B74,'ANÁLISE DE DADOS'!$A:$AM,6,0),""))</f>
        <v>fev-25</v>
      </c>
      <c r="I74" s="62" t="str">
        <f>IF(B74="","",IFERROR(VLOOKUP(B74,'ANÁLISE DE DADOS'!$A:$AM,7,0),""))</f>
        <v>2025</v>
      </c>
      <c r="J74" s="62">
        <f>IF(B74="","",IFERROR(VLOOKUP(B74,'ANÁLISE DE DADOS'!$A:$AM,8,0),""))</f>
        <v>45737</v>
      </c>
      <c r="K74" s="61" t="str">
        <f>IF(B74="","",IFERROR(VLOOKUP(B74,'ANÁLISE DE DADOS'!$A:$AM,9,0),""))</f>
        <v>mar-25</v>
      </c>
      <c r="L74" s="61" t="str">
        <f>IF(B74="","",IFERROR(VLOOKUP(B74,'ANÁLISE DE DADOS'!$A:$AM,10,0),""))</f>
        <v>2025</v>
      </c>
      <c r="M74" s="62">
        <f>IF(B74="","",IFERROR(VLOOKUP(B74,'ANÁLISE DE DADOS'!$A:$AM,11,0),""))</f>
        <v>45737</v>
      </c>
      <c r="N74" s="61" t="str">
        <f>IF(B74="","",IFERROR(VLOOKUP(B74,'ANÁLISE DE DADOS'!$A:$AM,12,0),""))</f>
        <v>mar-25</v>
      </c>
      <c r="O74" s="61" t="str">
        <f>IF(B74="","",IFERROR(VLOOKUP(B74,'ANÁLISE DE DADOS'!$A:$AM,13,0),""))</f>
        <v>2025</v>
      </c>
      <c r="P74" s="63">
        <f>IF(B74="","",IFERROR(VLOOKUP(B74,'ANÁLISE DE DADOS'!$A:$AM,14,0),""))</f>
        <v>1700</v>
      </c>
      <c r="Q74" s="61" t="str">
        <f>IF(B74="","",IFERROR(VLOOKUP(B74,'ANÁLISE DE DADOS'!$A:$AM,15,0),""))</f>
        <v>Gustavo</v>
      </c>
      <c r="R74" s="61" t="str">
        <f>IF(B74="","",IFERROR(VLOOKUP(B74,'ANÁLISE DE DADOS'!$A:$AM,16,0),""))</f>
        <v>ANALISTA LUCAS</v>
      </c>
      <c r="S74" s="61" t="str">
        <f>IF(B74="","",IFERROR(VLOOKUP(B74,'ANÁLISE DE DADOS'!$A:$AM,17,0),""))</f>
        <v>NÃO</v>
      </c>
      <c r="T74" s="61" t="str">
        <f>IF(B74="","",IFERROR(VLOOKUP(B74,'ANÁLISE DE DADOS'!$A:$AM,18,0),""))</f>
        <v>Sem Retorno</v>
      </c>
      <c r="U74" s="61" t="str">
        <f ca="1">IF(B74="","",IFERROR(VLOOKUP(B74,'ANÁLISE DE DADOS'!$A:$AM,19,0),""))</f>
        <v>Vencido</v>
      </c>
      <c r="V74" s="61">
        <f ca="1">IF(B74="","",IFERROR(VLOOKUP(B74,'ANÁLISE DE DADOS'!$A:$AM,20,0),""))</f>
        <v>58</v>
      </c>
      <c r="W74" s="61" t="str">
        <f ca="1">IF(B74="","",IFERROR(VLOOKUP(B74,'ANÁLISE DE DADOS'!$A:$AM,21,0),""))</f>
        <v>31-60 dias</v>
      </c>
      <c r="X74" s="61" t="str">
        <f ca="1">IF(B74="","",IFERROR(VLOOKUP(B74,'ANÁLISE DE DADOS'!$A:$AM,22,0),""))</f>
        <v>Atraso Médio</v>
      </c>
      <c r="Y74" s="61" t="str">
        <f>IF(B74="","",IFERROR(VLOOKUP(B74,'ANÁLISE DE DADOS'!$A:$AM,23,0),""))</f>
        <v>-</v>
      </c>
      <c r="Z74" s="61" t="str">
        <f>IF(B74="","",IFERROR(VLOOKUP(B74,'ANÁLISE DE DADOS'!$A:$AM,24,0),""))</f>
        <v>Sim</v>
      </c>
      <c r="AA74" s="61">
        <f>IF(B74="","",IFERROR(VLOOKUP(B74,'ANÁLISE DE DADOS'!$A:$AM,25,0),""))</f>
        <v>0</v>
      </c>
      <c r="AB74" s="61">
        <f>IF(B74="","",IFERROR(VLOOKUP(B74,'ANÁLISE DE DADOS'!$A:$AM,26,0),""))</f>
        <v>1</v>
      </c>
      <c r="AC74" s="61" t="str">
        <f>IF(B74="","",IFERROR(VLOOKUP(B74,'ANÁLISE DE DADOS'!$A:$AM,27,0),""))</f>
        <v>Sim</v>
      </c>
      <c r="AD74" s="62">
        <f>IF(B74="","",IFERROR(VLOOKUP(B74,'ANÁLISE DE DADOS'!$A:$AM,28,0),""))</f>
        <v>45740</v>
      </c>
      <c r="AE74" s="61" t="str">
        <f>IF(B74="","",IFERROR(VLOOKUP(B74,'ANÁLISE DE DADOS'!$A:$AM,29,0),""))</f>
        <v>mar-25</v>
      </c>
      <c r="AF74" s="61" t="str">
        <f>IF(B74="","",IFERROR(VLOOKUP(B74,'ANÁLISE DE DADOS'!$A:$AM,30,0),""))</f>
        <v>2025</v>
      </c>
      <c r="AG74" s="62">
        <f>IF(B74="","",IFERROR(VLOOKUP(B74,'ANÁLISE DE DADOS'!$A:$AM,31,0),""))</f>
        <v>45772</v>
      </c>
      <c r="AH74" s="61" t="str">
        <f>IF(B74="","",IFERROR(VLOOKUP(B74,'ANÁLISE DE DADOS'!$A:$AM,32,0),""))</f>
        <v>abr-25</v>
      </c>
      <c r="AI74" s="61" t="str">
        <f>IF(B74="","",IFERROR(VLOOKUP(B74,'ANÁLISE DE DADOS'!$A:$AM,33,0),""))</f>
        <v>2025</v>
      </c>
      <c r="AJ74" s="61" t="str">
        <f>IF(B74="","",IFERROR(VLOOKUP(B74,'ANÁLISE DE DADOS'!$A:$AM,34,0),""))</f>
        <v>Acompanhando</v>
      </c>
      <c r="AK74" s="63">
        <f ca="1">IF(B74="","",IFERROR(VLOOKUP(B74,'ANÁLISE DE DADOS'!$A:$AM,35,0),""))</f>
        <v>1700</v>
      </c>
      <c r="AL74" s="63" t="str">
        <f ca="1">IF(B74="","",IFERROR(VLOOKUP(B74,'ANÁLISE DE DADOS'!$A:$AM,36,0),""))</f>
        <v>0</v>
      </c>
    </row>
    <row r="75" spans="2:38" x14ac:dyDescent="0.3">
      <c r="B75" s="30">
        <v>71</v>
      </c>
      <c r="C75" s="61">
        <f>IF(B75="","",IFERROR(VLOOKUP(B75,'ANÁLISE DE DADOS'!$A:$AM,1,0),""))</f>
        <v>71</v>
      </c>
      <c r="D75" s="61" t="str">
        <f>IF(B75="","",IFERROR(VLOOKUP(B75,'ANÁLISE DE DADOS'!$A:$AM,2,0),""))</f>
        <v>Matriz</v>
      </c>
      <c r="E75" s="61">
        <f>IF(B75="","",IFERROR(VLOOKUP(B75,'ANÁLISE DE DADOS'!$A:$AM,3,0),""))</f>
        <v>0</v>
      </c>
      <c r="F75" s="61" t="str">
        <f>IF(B75="","",IFERROR(VLOOKUP(B75,'ANÁLISE DE DADOS'!$A:$AM,4,0),""))</f>
        <v>GlobalTech</v>
      </c>
      <c r="G75" s="62">
        <f>IF(B75="","",IFERROR(VLOOKUP(B75,'ANÁLISE DE DADOS'!$A:$AM,5,0),""))</f>
        <v>45709</v>
      </c>
      <c r="H75" s="62" t="str">
        <f>IF(B75="","",IFERROR(VLOOKUP(B75,'ANÁLISE DE DADOS'!$A:$AM,6,0),""))</f>
        <v>fev-25</v>
      </c>
      <c r="I75" s="62" t="str">
        <f>IF(B75="","",IFERROR(VLOOKUP(B75,'ANÁLISE DE DADOS'!$A:$AM,7,0),""))</f>
        <v>2025</v>
      </c>
      <c r="J75" s="62">
        <f>IF(B75="","",IFERROR(VLOOKUP(B75,'ANÁLISE DE DADOS'!$A:$AM,8,0),""))</f>
        <v>45737</v>
      </c>
      <c r="K75" s="61" t="str">
        <f>IF(B75="","",IFERROR(VLOOKUP(B75,'ANÁLISE DE DADOS'!$A:$AM,9,0),""))</f>
        <v>mar-25</v>
      </c>
      <c r="L75" s="61" t="str">
        <f>IF(B75="","",IFERROR(VLOOKUP(B75,'ANÁLISE DE DADOS'!$A:$AM,10,0),""))</f>
        <v>2025</v>
      </c>
      <c r="M75" s="62">
        <f>IF(B75="","",IFERROR(VLOOKUP(B75,'ANÁLISE DE DADOS'!$A:$AM,11,0),""))</f>
        <v>45737</v>
      </c>
      <c r="N75" s="61" t="str">
        <f>IF(B75="","",IFERROR(VLOOKUP(B75,'ANÁLISE DE DADOS'!$A:$AM,12,0),""))</f>
        <v>mar-25</v>
      </c>
      <c r="O75" s="61" t="str">
        <f>IF(B75="","",IFERROR(VLOOKUP(B75,'ANÁLISE DE DADOS'!$A:$AM,13,0),""))</f>
        <v>2025</v>
      </c>
      <c r="P75" s="63">
        <f>IF(B75="","",IFERROR(VLOOKUP(B75,'ANÁLISE DE DADOS'!$A:$AM,14,0),""))</f>
        <v>2200</v>
      </c>
      <c r="Q75" s="61" t="str">
        <f>IF(B75="","",IFERROR(VLOOKUP(B75,'ANÁLISE DE DADOS'!$A:$AM,15,0),""))</f>
        <v>Fernanda</v>
      </c>
      <c r="R75" s="61" t="str">
        <f>IF(B75="","",IFERROR(VLOOKUP(B75,'ANÁLISE DE DADOS'!$A:$AM,16,0),""))</f>
        <v>ANALISTA LUCAS</v>
      </c>
      <c r="S75" s="61" t="str">
        <f>IF(B75="","",IFERROR(VLOOKUP(B75,'ANÁLISE DE DADOS'!$A:$AM,17,0),""))</f>
        <v>NÃO</v>
      </c>
      <c r="T75" s="61" t="str">
        <f>IF(B75="","",IFERROR(VLOOKUP(B75,'ANÁLISE DE DADOS'!$A:$AM,18,0),""))</f>
        <v>Sem Retorno</v>
      </c>
      <c r="U75" s="61" t="str">
        <f ca="1">IF(B75="","",IFERROR(VLOOKUP(B75,'ANÁLISE DE DADOS'!$A:$AM,19,0),""))</f>
        <v>Vencido</v>
      </c>
      <c r="V75" s="61">
        <f ca="1">IF(B75="","",IFERROR(VLOOKUP(B75,'ANÁLISE DE DADOS'!$A:$AM,20,0),""))</f>
        <v>58</v>
      </c>
      <c r="W75" s="61" t="str">
        <f ca="1">IF(B75="","",IFERROR(VLOOKUP(B75,'ANÁLISE DE DADOS'!$A:$AM,21,0),""))</f>
        <v>31-60 dias</v>
      </c>
      <c r="X75" s="61" t="str">
        <f ca="1">IF(B75="","",IFERROR(VLOOKUP(B75,'ANÁLISE DE DADOS'!$A:$AM,22,0),""))</f>
        <v>Atraso Médio</v>
      </c>
      <c r="Y75" s="61" t="str">
        <f>IF(B75="","",IFERROR(VLOOKUP(B75,'ANÁLISE DE DADOS'!$A:$AM,23,0),""))</f>
        <v>-</v>
      </c>
      <c r="Z75" s="61" t="str">
        <f>IF(B75="","",IFERROR(VLOOKUP(B75,'ANÁLISE DE DADOS'!$A:$AM,24,0),""))</f>
        <v>Sim</v>
      </c>
      <c r="AA75" s="61">
        <f>IF(B75="","",IFERROR(VLOOKUP(B75,'ANÁLISE DE DADOS'!$A:$AM,25,0),""))</f>
        <v>0</v>
      </c>
      <c r="AB75" s="61">
        <f>IF(B75="","",IFERROR(VLOOKUP(B75,'ANÁLISE DE DADOS'!$A:$AM,26,0),""))</f>
        <v>1</v>
      </c>
      <c r="AC75" s="61" t="str">
        <f>IF(B75="","",IFERROR(VLOOKUP(B75,'ANÁLISE DE DADOS'!$A:$AM,27,0),""))</f>
        <v>Sim</v>
      </c>
      <c r="AD75" s="62">
        <f>IF(B75="","",IFERROR(VLOOKUP(B75,'ANÁLISE DE DADOS'!$A:$AM,28,0),""))</f>
        <v>45740</v>
      </c>
      <c r="AE75" s="61" t="str">
        <f>IF(B75="","",IFERROR(VLOOKUP(B75,'ANÁLISE DE DADOS'!$A:$AM,29,0),""))</f>
        <v>mar-25</v>
      </c>
      <c r="AF75" s="61" t="str">
        <f>IF(B75="","",IFERROR(VLOOKUP(B75,'ANÁLISE DE DADOS'!$A:$AM,30,0),""))</f>
        <v>2025</v>
      </c>
      <c r="AG75" s="62">
        <f>IF(B75="","",IFERROR(VLOOKUP(B75,'ANÁLISE DE DADOS'!$A:$AM,31,0),""))</f>
        <v>45772</v>
      </c>
      <c r="AH75" s="61" t="str">
        <f>IF(B75="","",IFERROR(VLOOKUP(B75,'ANÁLISE DE DADOS'!$A:$AM,32,0),""))</f>
        <v>abr-25</v>
      </c>
      <c r="AI75" s="61" t="str">
        <f>IF(B75="","",IFERROR(VLOOKUP(B75,'ANÁLISE DE DADOS'!$A:$AM,33,0),""))</f>
        <v>2025</v>
      </c>
      <c r="AJ75" s="61" t="str">
        <f>IF(B75="","",IFERROR(VLOOKUP(B75,'ANÁLISE DE DADOS'!$A:$AM,34,0),""))</f>
        <v>Acompanhando</v>
      </c>
      <c r="AK75" s="63">
        <f ca="1">IF(B75="","",IFERROR(VLOOKUP(B75,'ANÁLISE DE DADOS'!$A:$AM,35,0),""))</f>
        <v>2200</v>
      </c>
      <c r="AL75" s="63" t="str">
        <f ca="1">IF(B75="","",IFERROR(VLOOKUP(B75,'ANÁLISE DE DADOS'!$A:$AM,36,0),""))</f>
        <v>0</v>
      </c>
    </row>
    <row r="76" spans="2:38" x14ac:dyDescent="0.3">
      <c r="B76" s="30">
        <v>72</v>
      </c>
      <c r="C76" s="61">
        <f>IF(B76="","",IFERROR(VLOOKUP(B76,'ANÁLISE DE DADOS'!$A:$AM,1,0),""))</f>
        <v>72</v>
      </c>
      <c r="D76" s="61" t="str">
        <f>IF(B76="","",IFERROR(VLOOKUP(B76,'ANÁLISE DE DADOS'!$A:$AM,2,0),""))</f>
        <v>Filial</v>
      </c>
      <c r="E76" s="61">
        <f>IF(B76="","",IFERROR(VLOOKUP(B76,'ANÁLISE DE DADOS'!$A:$AM,3,0),""))</f>
        <v>0</v>
      </c>
      <c r="F76" s="61" t="str">
        <f>IF(B76="","",IFERROR(VLOOKUP(B76,'ANÁLISE DE DADOS'!$A:$AM,4,0),""))</f>
        <v>GlobalTech</v>
      </c>
      <c r="G76" s="62">
        <f>IF(B76="","",IFERROR(VLOOKUP(B76,'ANÁLISE DE DADOS'!$A:$AM,5,0),""))</f>
        <v>45709</v>
      </c>
      <c r="H76" s="62" t="str">
        <f>IF(B76="","",IFERROR(VLOOKUP(B76,'ANÁLISE DE DADOS'!$A:$AM,6,0),""))</f>
        <v>fev-25</v>
      </c>
      <c r="I76" s="62" t="str">
        <f>IF(B76="","",IFERROR(VLOOKUP(B76,'ANÁLISE DE DADOS'!$A:$AM,7,0),""))</f>
        <v>2025</v>
      </c>
      <c r="J76" s="62">
        <f>IF(B76="","",IFERROR(VLOOKUP(B76,'ANÁLISE DE DADOS'!$A:$AM,8,0),""))</f>
        <v>45737</v>
      </c>
      <c r="K76" s="61" t="str">
        <f>IF(B76="","",IFERROR(VLOOKUP(B76,'ANÁLISE DE DADOS'!$A:$AM,9,0),""))</f>
        <v>mar-25</v>
      </c>
      <c r="L76" s="61" t="str">
        <f>IF(B76="","",IFERROR(VLOOKUP(B76,'ANÁLISE DE DADOS'!$A:$AM,10,0),""))</f>
        <v>2025</v>
      </c>
      <c r="M76" s="62">
        <f>IF(B76="","",IFERROR(VLOOKUP(B76,'ANÁLISE DE DADOS'!$A:$AM,11,0),""))</f>
        <v>45737</v>
      </c>
      <c r="N76" s="61" t="str">
        <f>IF(B76="","",IFERROR(VLOOKUP(B76,'ANÁLISE DE DADOS'!$A:$AM,12,0),""))</f>
        <v>mar-25</v>
      </c>
      <c r="O76" s="61" t="str">
        <f>IF(B76="","",IFERROR(VLOOKUP(B76,'ANÁLISE DE DADOS'!$A:$AM,13,0),""))</f>
        <v>2025</v>
      </c>
      <c r="P76" s="63">
        <f>IF(B76="","",IFERROR(VLOOKUP(B76,'ANÁLISE DE DADOS'!$A:$AM,14,0),""))</f>
        <v>2200</v>
      </c>
      <c r="Q76" s="61" t="str">
        <f>IF(B76="","",IFERROR(VLOOKUP(B76,'ANÁLISE DE DADOS'!$A:$AM,15,0),""))</f>
        <v>Fernanda</v>
      </c>
      <c r="R76" s="61" t="str">
        <f>IF(B76="","",IFERROR(VLOOKUP(B76,'ANÁLISE DE DADOS'!$A:$AM,16,0),""))</f>
        <v>ANALISTA SIMONE</v>
      </c>
      <c r="S76" s="61" t="str">
        <f>IF(B76="","",IFERROR(VLOOKUP(B76,'ANÁLISE DE DADOS'!$A:$AM,17,0),""))</f>
        <v>NÃO</v>
      </c>
      <c r="T76" s="61" t="str">
        <f>IF(B76="","",IFERROR(VLOOKUP(B76,'ANÁLISE DE DADOS'!$A:$AM,18,0),""))</f>
        <v>Sem Retorno</v>
      </c>
      <c r="U76" s="61" t="str">
        <f ca="1">IF(B76="","",IFERROR(VLOOKUP(B76,'ANÁLISE DE DADOS'!$A:$AM,19,0),""))</f>
        <v>Vencido</v>
      </c>
      <c r="V76" s="61">
        <f ca="1">IF(B76="","",IFERROR(VLOOKUP(B76,'ANÁLISE DE DADOS'!$A:$AM,20,0),""))</f>
        <v>58</v>
      </c>
      <c r="W76" s="61" t="str">
        <f ca="1">IF(B76="","",IFERROR(VLOOKUP(B76,'ANÁLISE DE DADOS'!$A:$AM,21,0),""))</f>
        <v>31-60 dias</v>
      </c>
      <c r="X76" s="61" t="str">
        <f ca="1">IF(B76="","",IFERROR(VLOOKUP(B76,'ANÁLISE DE DADOS'!$A:$AM,22,0),""))</f>
        <v>Atraso Médio</v>
      </c>
      <c r="Y76" s="61" t="str">
        <f>IF(B76="","",IFERROR(VLOOKUP(B76,'ANÁLISE DE DADOS'!$A:$AM,23,0),""))</f>
        <v>-</v>
      </c>
      <c r="Z76" s="61" t="str">
        <f>IF(B76="","",IFERROR(VLOOKUP(B76,'ANÁLISE DE DADOS'!$A:$AM,24,0),""))</f>
        <v>Sim</v>
      </c>
      <c r="AA76" s="61">
        <f>IF(B76="","",IFERROR(VLOOKUP(B76,'ANÁLISE DE DADOS'!$A:$AM,25,0),""))</f>
        <v>0</v>
      </c>
      <c r="AB76" s="61">
        <f>IF(B76="","",IFERROR(VLOOKUP(B76,'ANÁLISE DE DADOS'!$A:$AM,26,0),""))</f>
        <v>1</v>
      </c>
      <c r="AC76" s="61" t="str">
        <f>IF(B76="","",IFERROR(VLOOKUP(B76,'ANÁLISE DE DADOS'!$A:$AM,27,0),""))</f>
        <v>Sim</v>
      </c>
      <c r="AD76" s="62">
        <f>IF(B76="","",IFERROR(VLOOKUP(B76,'ANÁLISE DE DADOS'!$A:$AM,28,0),""))</f>
        <v>45740</v>
      </c>
      <c r="AE76" s="61" t="str">
        <f>IF(B76="","",IFERROR(VLOOKUP(B76,'ANÁLISE DE DADOS'!$A:$AM,29,0),""))</f>
        <v>mar-25</v>
      </c>
      <c r="AF76" s="61" t="str">
        <f>IF(B76="","",IFERROR(VLOOKUP(B76,'ANÁLISE DE DADOS'!$A:$AM,30,0),""))</f>
        <v>2025</v>
      </c>
      <c r="AG76" s="62">
        <f>IF(B76="","",IFERROR(VLOOKUP(B76,'ANÁLISE DE DADOS'!$A:$AM,31,0),""))</f>
        <v>45772</v>
      </c>
      <c r="AH76" s="61" t="str">
        <f>IF(B76="","",IFERROR(VLOOKUP(B76,'ANÁLISE DE DADOS'!$A:$AM,32,0),""))</f>
        <v>abr-25</v>
      </c>
      <c r="AI76" s="61" t="str">
        <f>IF(B76="","",IFERROR(VLOOKUP(B76,'ANÁLISE DE DADOS'!$A:$AM,33,0),""))</f>
        <v>2025</v>
      </c>
      <c r="AJ76" s="61" t="str">
        <f>IF(B76="","",IFERROR(VLOOKUP(B76,'ANÁLISE DE DADOS'!$A:$AM,34,0),""))</f>
        <v>Acompanhando</v>
      </c>
      <c r="AK76" s="63">
        <f ca="1">IF(B76="","",IFERROR(VLOOKUP(B76,'ANÁLISE DE DADOS'!$A:$AM,35,0),""))</f>
        <v>2200</v>
      </c>
      <c r="AL76" s="63" t="str">
        <f ca="1">IF(B76="","",IFERROR(VLOOKUP(B76,'ANÁLISE DE DADOS'!$A:$AM,36,0),""))</f>
        <v>0</v>
      </c>
    </row>
    <row r="77" spans="2:38" x14ac:dyDescent="0.3">
      <c r="B77" s="30" t="s">
        <v>119</v>
      </c>
      <c r="C77" s="61" t="str">
        <f>IF(B77="","",IFERROR(VLOOKUP(B77,'ANÁLISE DE DADOS'!$A:$AM,1,0),""))</f>
        <v/>
      </c>
      <c r="D77" s="61" t="str">
        <f>IF(B77="","",IFERROR(VLOOKUP(B77,'ANÁLISE DE DADOS'!$A:$AM,2,0),""))</f>
        <v/>
      </c>
      <c r="E77" s="61" t="str">
        <f>IF(B77="","",IFERROR(VLOOKUP(B77,'ANÁLISE DE DADOS'!$A:$AM,3,0),""))</f>
        <v/>
      </c>
      <c r="F77" s="61" t="str">
        <f>IF(B77="","",IFERROR(VLOOKUP(B77,'ANÁLISE DE DADOS'!$A:$AM,4,0),""))</f>
        <v/>
      </c>
      <c r="G77" s="62" t="str">
        <f>IF(B77="","",IFERROR(VLOOKUP(B77,'ANÁLISE DE DADOS'!$A:$AM,5,0),""))</f>
        <v/>
      </c>
      <c r="H77" s="62" t="str">
        <f>IF(B77="","",IFERROR(VLOOKUP(B77,'ANÁLISE DE DADOS'!$A:$AM,6,0),""))</f>
        <v/>
      </c>
      <c r="I77" s="62" t="str">
        <f>IF(B77="","",IFERROR(VLOOKUP(B77,'ANÁLISE DE DADOS'!$A:$AM,7,0),""))</f>
        <v/>
      </c>
      <c r="J77" s="62" t="str">
        <f>IF(B77="","",IFERROR(VLOOKUP(B77,'ANÁLISE DE DADOS'!$A:$AM,8,0),""))</f>
        <v/>
      </c>
      <c r="K77" s="61" t="str">
        <f>IF(B77="","",IFERROR(VLOOKUP(B77,'ANÁLISE DE DADOS'!$A:$AM,9,0),""))</f>
        <v/>
      </c>
      <c r="L77" s="61" t="str">
        <f>IF(B77="","",IFERROR(VLOOKUP(B77,'ANÁLISE DE DADOS'!$A:$AM,10,0),""))</f>
        <v/>
      </c>
      <c r="M77" s="62" t="str">
        <f>IF(B77="","",IFERROR(VLOOKUP(B77,'ANÁLISE DE DADOS'!$A:$AM,11,0),""))</f>
        <v/>
      </c>
      <c r="N77" s="61" t="str">
        <f>IF(B77="","",IFERROR(VLOOKUP(B77,'ANÁLISE DE DADOS'!$A:$AM,12,0),""))</f>
        <v/>
      </c>
      <c r="O77" s="61" t="str">
        <f>IF(B77="","",IFERROR(VLOOKUP(B77,'ANÁLISE DE DADOS'!$A:$AM,13,0),""))</f>
        <v/>
      </c>
      <c r="P77" s="63" t="str">
        <f>IF(B77="","",IFERROR(VLOOKUP(B77,'ANÁLISE DE DADOS'!$A:$AM,14,0),""))</f>
        <v/>
      </c>
      <c r="Q77" s="61" t="str">
        <f>IF(B77="","",IFERROR(VLOOKUP(B77,'ANÁLISE DE DADOS'!$A:$AM,15,0),""))</f>
        <v/>
      </c>
      <c r="R77" s="61" t="str">
        <f>IF(B77="","",IFERROR(VLOOKUP(B77,'ANÁLISE DE DADOS'!$A:$AM,16,0),""))</f>
        <v/>
      </c>
      <c r="S77" s="61" t="str">
        <f>IF(B77="","",IFERROR(VLOOKUP(B77,'ANÁLISE DE DADOS'!$A:$AM,17,0),""))</f>
        <v/>
      </c>
      <c r="T77" s="61" t="str">
        <f>IF(B77="","",IFERROR(VLOOKUP(B77,'ANÁLISE DE DADOS'!$A:$AM,18,0),""))</f>
        <v/>
      </c>
      <c r="U77" s="61" t="str">
        <f>IF(B77="","",IFERROR(VLOOKUP(B77,'ANÁLISE DE DADOS'!$A:$AM,19,0),""))</f>
        <v/>
      </c>
      <c r="V77" s="61" t="str">
        <f>IF(B77="","",IFERROR(VLOOKUP(B77,'ANÁLISE DE DADOS'!$A:$AM,20,0),""))</f>
        <v/>
      </c>
      <c r="W77" s="61" t="str">
        <f>IF(B77="","",IFERROR(VLOOKUP(B77,'ANÁLISE DE DADOS'!$A:$AM,21,0),""))</f>
        <v/>
      </c>
      <c r="X77" s="61" t="str">
        <f>IF(B77="","",IFERROR(VLOOKUP(B77,'ANÁLISE DE DADOS'!$A:$AM,22,0),""))</f>
        <v/>
      </c>
      <c r="Y77" s="61" t="str">
        <f>IF(B77="","",IFERROR(VLOOKUP(B77,'ANÁLISE DE DADOS'!$A:$AM,23,0),""))</f>
        <v/>
      </c>
      <c r="Z77" s="61" t="str">
        <f>IF(B77="","",IFERROR(VLOOKUP(B77,'ANÁLISE DE DADOS'!$A:$AM,24,0),""))</f>
        <v/>
      </c>
      <c r="AA77" s="61" t="str">
        <f>IF(B77="","",IFERROR(VLOOKUP(B77,'ANÁLISE DE DADOS'!$A:$AM,25,0),""))</f>
        <v/>
      </c>
      <c r="AB77" s="61" t="str">
        <f>IF(B77="","",IFERROR(VLOOKUP(B77,'ANÁLISE DE DADOS'!$A:$AM,26,0),""))</f>
        <v/>
      </c>
      <c r="AC77" s="61" t="str">
        <f>IF(B77="","",IFERROR(VLOOKUP(B77,'ANÁLISE DE DADOS'!$A:$AM,27,0),""))</f>
        <v/>
      </c>
      <c r="AD77" s="62" t="str">
        <f>IF(B77="","",IFERROR(VLOOKUP(B77,'ANÁLISE DE DADOS'!$A:$AM,28,0),""))</f>
        <v/>
      </c>
      <c r="AE77" s="61" t="str">
        <f>IF(B77="","",IFERROR(VLOOKUP(B77,'ANÁLISE DE DADOS'!$A:$AM,29,0),""))</f>
        <v/>
      </c>
      <c r="AF77" s="61" t="str">
        <f>IF(B77="","",IFERROR(VLOOKUP(B77,'ANÁLISE DE DADOS'!$A:$AM,30,0),""))</f>
        <v/>
      </c>
      <c r="AG77" s="62" t="str">
        <f>IF(B77="","",IFERROR(VLOOKUP(B77,'ANÁLISE DE DADOS'!$A:$AM,31,0),""))</f>
        <v/>
      </c>
      <c r="AH77" s="61" t="str">
        <f>IF(B77="","",IFERROR(VLOOKUP(B77,'ANÁLISE DE DADOS'!$A:$AM,32,0),""))</f>
        <v/>
      </c>
      <c r="AI77" s="61" t="str">
        <f>IF(B77="","",IFERROR(VLOOKUP(B77,'ANÁLISE DE DADOS'!$A:$AM,33,0),""))</f>
        <v/>
      </c>
      <c r="AJ77" s="61" t="str">
        <f>IF(B77="","",IFERROR(VLOOKUP(B77,'ANÁLISE DE DADOS'!$A:$AM,34,0),""))</f>
        <v/>
      </c>
      <c r="AK77" s="63" t="str">
        <f>IF(B77="","",IFERROR(VLOOKUP(B77,'ANÁLISE DE DADOS'!$A:$AM,35,0),""))</f>
        <v/>
      </c>
      <c r="AL77" s="63" t="str">
        <f>IF(B77="","",IFERROR(VLOOKUP(B77,'ANÁLISE DE DADOS'!$A:$AM,36,0),""))</f>
        <v/>
      </c>
    </row>
    <row r="78" spans="2:38" x14ac:dyDescent="0.3">
      <c r="C78" s="61" t="str">
        <f>IF(B78="","",IFERROR(VLOOKUP(B78,'ANÁLISE DE DADOS'!$A:$AM,1,0),""))</f>
        <v/>
      </c>
      <c r="D78" s="61" t="str">
        <f>IF(B78="","",IFERROR(VLOOKUP(B78,'ANÁLISE DE DADOS'!$A:$AM,2,0),""))</f>
        <v/>
      </c>
      <c r="E78" s="61" t="str">
        <f>IF(B78="","",IFERROR(VLOOKUP(B78,'ANÁLISE DE DADOS'!$A:$AM,3,0),""))</f>
        <v/>
      </c>
      <c r="F78" s="61" t="str">
        <f>IF(B78="","",IFERROR(VLOOKUP(B78,'ANÁLISE DE DADOS'!$A:$AM,4,0),""))</f>
        <v/>
      </c>
      <c r="G78" s="62" t="str">
        <f>IF(B78="","",IFERROR(VLOOKUP(B78,'ANÁLISE DE DADOS'!$A:$AM,5,0),""))</f>
        <v/>
      </c>
      <c r="H78" s="62" t="str">
        <f>IF(B78="","",IFERROR(VLOOKUP(B78,'ANÁLISE DE DADOS'!$A:$AM,6,0),""))</f>
        <v/>
      </c>
      <c r="I78" s="62" t="str">
        <f>IF(B78="","",IFERROR(VLOOKUP(B78,'ANÁLISE DE DADOS'!$A:$AM,7,0),""))</f>
        <v/>
      </c>
      <c r="J78" s="62" t="str">
        <f>IF(B78="","",IFERROR(VLOOKUP(B78,'ANÁLISE DE DADOS'!$A:$AM,8,0),""))</f>
        <v/>
      </c>
      <c r="K78" s="61" t="str">
        <f>IF(B78="","",IFERROR(VLOOKUP(B78,'ANÁLISE DE DADOS'!$A:$AM,9,0),""))</f>
        <v/>
      </c>
      <c r="L78" s="61" t="str">
        <f>IF(B78="","",IFERROR(VLOOKUP(B78,'ANÁLISE DE DADOS'!$A:$AM,10,0),""))</f>
        <v/>
      </c>
      <c r="M78" s="62" t="str">
        <f>IF(B78="","",IFERROR(VLOOKUP(B78,'ANÁLISE DE DADOS'!$A:$AM,11,0),""))</f>
        <v/>
      </c>
      <c r="N78" s="61" t="str">
        <f>IF(B78="","",IFERROR(VLOOKUP(B78,'ANÁLISE DE DADOS'!$A:$AM,12,0),""))</f>
        <v/>
      </c>
      <c r="O78" s="61" t="str">
        <f>IF(B78="","",IFERROR(VLOOKUP(B78,'ANÁLISE DE DADOS'!$A:$AM,13,0),""))</f>
        <v/>
      </c>
      <c r="P78" s="63" t="str">
        <f>IF(B78="","",IFERROR(VLOOKUP(B78,'ANÁLISE DE DADOS'!$A:$AM,14,0),""))</f>
        <v/>
      </c>
      <c r="Q78" s="61" t="str">
        <f>IF(B78="","",IFERROR(VLOOKUP(B78,'ANÁLISE DE DADOS'!$A:$AM,15,0),""))</f>
        <v/>
      </c>
      <c r="R78" s="61" t="str">
        <f>IF(B78="","",IFERROR(VLOOKUP(B78,'ANÁLISE DE DADOS'!$A:$AM,16,0),""))</f>
        <v/>
      </c>
      <c r="S78" s="61" t="str">
        <f>IF(B78="","",IFERROR(VLOOKUP(B78,'ANÁLISE DE DADOS'!$A:$AM,17,0),""))</f>
        <v/>
      </c>
      <c r="T78" s="61" t="str">
        <f>IF(B78="","",IFERROR(VLOOKUP(B78,'ANÁLISE DE DADOS'!$A:$AM,18,0),""))</f>
        <v/>
      </c>
      <c r="U78" s="61" t="str">
        <f>IF(B78="","",IFERROR(VLOOKUP(B78,'ANÁLISE DE DADOS'!$A:$AM,19,0),""))</f>
        <v/>
      </c>
      <c r="V78" s="61" t="str">
        <f>IF(B78="","",IFERROR(VLOOKUP(B78,'ANÁLISE DE DADOS'!$A:$AM,20,0),""))</f>
        <v/>
      </c>
      <c r="W78" s="61" t="str">
        <f>IF(B78="","",IFERROR(VLOOKUP(B78,'ANÁLISE DE DADOS'!$A:$AM,21,0),""))</f>
        <v/>
      </c>
      <c r="X78" s="61" t="str">
        <f>IF(B78="","",IFERROR(VLOOKUP(B78,'ANÁLISE DE DADOS'!$A:$AM,22,0),""))</f>
        <v/>
      </c>
      <c r="Y78" s="61" t="str">
        <f>IF(B78="","",IFERROR(VLOOKUP(B78,'ANÁLISE DE DADOS'!$A:$AM,23,0),""))</f>
        <v/>
      </c>
      <c r="Z78" s="61" t="str">
        <f>IF(B78="","",IFERROR(VLOOKUP(B78,'ANÁLISE DE DADOS'!$A:$AM,24,0),""))</f>
        <v/>
      </c>
      <c r="AA78" s="61" t="str">
        <f>IF(B78="","",IFERROR(VLOOKUP(B78,'ANÁLISE DE DADOS'!$A:$AM,25,0),""))</f>
        <v/>
      </c>
      <c r="AB78" s="61" t="str">
        <f>IF(B78="","",IFERROR(VLOOKUP(B78,'ANÁLISE DE DADOS'!$A:$AM,26,0),""))</f>
        <v/>
      </c>
      <c r="AC78" s="61" t="str">
        <f>IF(B78="","",IFERROR(VLOOKUP(B78,'ANÁLISE DE DADOS'!$A:$AM,27,0),""))</f>
        <v/>
      </c>
      <c r="AD78" s="62" t="str">
        <f>IF(B78="","",IFERROR(VLOOKUP(B78,'ANÁLISE DE DADOS'!$A:$AM,28,0),""))</f>
        <v/>
      </c>
      <c r="AE78" s="61" t="str">
        <f>IF(B78="","",IFERROR(VLOOKUP(B78,'ANÁLISE DE DADOS'!$A:$AM,29,0),""))</f>
        <v/>
      </c>
      <c r="AF78" s="61" t="str">
        <f>IF(B78="","",IFERROR(VLOOKUP(B78,'ANÁLISE DE DADOS'!$A:$AM,30,0),""))</f>
        <v/>
      </c>
      <c r="AG78" s="62" t="str">
        <f>IF(B78="","",IFERROR(VLOOKUP(B78,'ANÁLISE DE DADOS'!$A:$AM,31,0),""))</f>
        <v/>
      </c>
      <c r="AH78" s="61" t="str">
        <f>IF(B78="","",IFERROR(VLOOKUP(B78,'ANÁLISE DE DADOS'!$A:$AM,32,0),""))</f>
        <v/>
      </c>
      <c r="AI78" s="61" t="str">
        <f>IF(B78="","",IFERROR(VLOOKUP(B78,'ANÁLISE DE DADOS'!$A:$AM,33,0),""))</f>
        <v/>
      </c>
      <c r="AJ78" s="61" t="str">
        <f>IF(B78="","",IFERROR(VLOOKUP(B78,'ANÁLISE DE DADOS'!$A:$AM,34,0),""))</f>
        <v/>
      </c>
      <c r="AK78" s="63" t="str">
        <f>IF(B78="","",IFERROR(VLOOKUP(B78,'ANÁLISE DE DADOS'!$A:$AM,35,0),""))</f>
        <v/>
      </c>
      <c r="AL78" s="63" t="str">
        <f>IF(B78="","",IFERROR(VLOOKUP(B78,'ANÁLISE DE DADOS'!$A:$AM,36,0),""))</f>
        <v/>
      </c>
    </row>
    <row r="79" spans="2:38" x14ac:dyDescent="0.3">
      <c r="C79" s="61" t="str">
        <f>IF(B79="","",IFERROR(VLOOKUP(B79,'ANÁLISE DE DADOS'!$A:$AM,1,0),""))</f>
        <v/>
      </c>
      <c r="D79" s="61" t="str">
        <f>IF(B79="","",IFERROR(VLOOKUP(B79,'ANÁLISE DE DADOS'!$A:$AM,2,0),""))</f>
        <v/>
      </c>
      <c r="E79" s="61" t="str">
        <f>IF(B79="","",IFERROR(VLOOKUP(B79,'ANÁLISE DE DADOS'!$A:$AM,3,0),""))</f>
        <v/>
      </c>
      <c r="F79" s="61" t="str">
        <f>IF(B79="","",IFERROR(VLOOKUP(B79,'ANÁLISE DE DADOS'!$A:$AM,4,0),""))</f>
        <v/>
      </c>
      <c r="G79" s="62" t="str">
        <f>IF(B79="","",IFERROR(VLOOKUP(B79,'ANÁLISE DE DADOS'!$A:$AM,5,0),""))</f>
        <v/>
      </c>
      <c r="H79" s="62" t="str">
        <f>IF(B79="","",IFERROR(VLOOKUP(B79,'ANÁLISE DE DADOS'!$A:$AM,6,0),""))</f>
        <v/>
      </c>
      <c r="I79" s="62" t="str">
        <f>IF(B79="","",IFERROR(VLOOKUP(B79,'ANÁLISE DE DADOS'!$A:$AM,7,0),""))</f>
        <v/>
      </c>
      <c r="J79" s="62" t="str">
        <f>IF(B79="","",IFERROR(VLOOKUP(B79,'ANÁLISE DE DADOS'!$A:$AM,8,0),""))</f>
        <v/>
      </c>
      <c r="K79" s="61" t="str">
        <f>IF(B79="","",IFERROR(VLOOKUP(B79,'ANÁLISE DE DADOS'!$A:$AM,9,0),""))</f>
        <v/>
      </c>
      <c r="L79" s="61" t="str">
        <f>IF(B79="","",IFERROR(VLOOKUP(B79,'ANÁLISE DE DADOS'!$A:$AM,10,0),""))</f>
        <v/>
      </c>
      <c r="M79" s="62" t="str">
        <f>IF(B79="","",IFERROR(VLOOKUP(B79,'ANÁLISE DE DADOS'!$A:$AM,11,0),""))</f>
        <v/>
      </c>
      <c r="N79" s="61" t="str">
        <f>IF(B79="","",IFERROR(VLOOKUP(B79,'ANÁLISE DE DADOS'!$A:$AM,12,0),""))</f>
        <v/>
      </c>
      <c r="O79" s="61" t="str">
        <f>IF(B79="","",IFERROR(VLOOKUP(B79,'ANÁLISE DE DADOS'!$A:$AM,13,0),""))</f>
        <v/>
      </c>
      <c r="P79" s="63" t="str">
        <f>IF(B79="","",IFERROR(VLOOKUP(B79,'ANÁLISE DE DADOS'!$A:$AM,14,0),""))</f>
        <v/>
      </c>
      <c r="Q79" s="61" t="str">
        <f>IF(B79="","",IFERROR(VLOOKUP(B79,'ANÁLISE DE DADOS'!$A:$AM,15,0),""))</f>
        <v/>
      </c>
      <c r="R79" s="61" t="str">
        <f>IF(B79="","",IFERROR(VLOOKUP(B79,'ANÁLISE DE DADOS'!$A:$AM,16,0),""))</f>
        <v/>
      </c>
      <c r="S79" s="61" t="str">
        <f>IF(B79="","",IFERROR(VLOOKUP(B79,'ANÁLISE DE DADOS'!$A:$AM,17,0),""))</f>
        <v/>
      </c>
      <c r="T79" s="61" t="str">
        <f>IF(B79="","",IFERROR(VLOOKUP(B79,'ANÁLISE DE DADOS'!$A:$AM,18,0),""))</f>
        <v/>
      </c>
      <c r="U79" s="61" t="str">
        <f>IF(B79="","",IFERROR(VLOOKUP(B79,'ANÁLISE DE DADOS'!$A:$AM,19,0),""))</f>
        <v/>
      </c>
      <c r="V79" s="61" t="str">
        <f>IF(B79="","",IFERROR(VLOOKUP(B79,'ANÁLISE DE DADOS'!$A:$AM,20,0),""))</f>
        <v/>
      </c>
      <c r="W79" s="61" t="str">
        <f>IF(B79="","",IFERROR(VLOOKUP(B79,'ANÁLISE DE DADOS'!$A:$AM,21,0),""))</f>
        <v/>
      </c>
      <c r="X79" s="61" t="str">
        <f>IF(B79="","",IFERROR(VLOOKUP(B79,'ANÁLISE DE DADOS'!$A:$AM,22,0),""))</f>
        <v/>
      </c>
      <c r="Y79" s="61" t="str">
        <f>IF(B79="","",IFERROR(VLOOKUP(B79,'ANÁLISE DE DADOS'!$A:$AM,23,0),""))</f>
        <v/>
      </c>
      <c r="Z79" s="61" t="str">
        <f>IF(B79="","",IFERROR(VLOOKUP(B79,'ANÁLISE DE DADOS'!$A:$AM,24,0),""))</f>
        <v/>
      </c>
      <c r="AA79" s="61" t="str">
        <f>IF(B79="","",IFERROR(VLOOKUP(B79,'ANÁLISE DE DADOS'!$A:$AM,25,0),""))</f>
        <v/>
      </c>
      <c r="AB79" s="61" t="str">
        <f>IF(B79="","",IFERROR(VLOOKUP(B79,'ANÁLISE DE DADOS'!$A:$AM,26,0),""))</f>
        <v/>
      </c>
      <c r="AC79" s="61" t="str">
        <f>IF(B79="","",IFERROR(VLOOKUP(B79,'ANÁLISE DE DADOS'!$A:$AM,27,0),""))</f>
        <v/>
      </c>
      <c r="AD79" s="62" t="str">
        <f>IF(B79="","",IFERROR(VLOOKUP(B79,'ANÁLISE DE DADOS'!$A:$AM,28,0),""))</f>
        <v/>
      </c>
      <c r="AE79" s="61" t="str">
        <f>IF(B79="","",IFERROR(VLOOKUP(B79,'ANÁLISE DE DADOS'!$A:$AM,29,0),""))</f>
        <v/>
      </c>
      <c r="AF79" s="61" t="str">
        <f>IF(B79="","",IFERROR(VLOOKUP(B79,'ANÁLISE DE DADOS'!$A:$AM,30,0),""))</f>
        <v/>
      </c>
      <c r="AG79" s="62" t="str">
        <f>IF(B79="","",IFERROR(VLOOKUP(B79,'ANÁLISE DE DADOS'!$A:$AM,31,0),""))</f>
        <v/>
      </c>
      <c r="AH79" s="61" t="str">
        <f>IF(B79="","",IFERROR(VLOOKUP(B79,'ANÁLISE DE DADOS'!$A:$AM,32,0),""))</f>
        <v/>
      </c>
      <c r="AI79" s="61" t="str">
        <f>IF(B79="","",IFERROR(VLOOKUP(B79,'ANÁLISE DE DADOS'!$A:$AM,33,0),""))</f>
        <v/>
      </c>
      <c r="AJ79" s="61" t="str">
        <f>IF(B79="","",IFERROR(VLOOKUP(B79,'ANÁLISE DE DADOS'!$A:$AM,34,0),""))</f>
        <v/>
      </c>
      <c r="AK79" s="63" t="str">
        <f>IF(B79="","",IFERROR(VLOOKUP(B79,'ANÁLISE DE DADOS'!$A:$AM,35,0),""))</f>
        <v/>
      </c>
      <c r="AL79" s="63" t="str">
        <f>IF(B79="","",IFERROR(VLOOKUP(B79,'ANÁLISE DE DADOS'!$A:$AM,36,0),""))</f>
        <v/>
      </c>
    </row>
    <row r="80" spans="2:38" x14ac:dyDescent="0.3">
      <c r="C80" s="61" t="str">
        <f>IF(B80="","",IFERROR(VLOOKUP(B80,'ANÁLISE DE DADOS'!$A:$AM,1,0),""))</f>
        <v/>
      </c>
      <c r="D80" s="61" t="str">
        <f>IF(B80="","",IFERROR(VLOOKUP(B80,'ANÁLISE DE DADOS'!$A:$AM,2,0),""))</f>
        <v/>
      </c>
      <c r="E80" s="61" t="str">
        <f>IF(B80="","",IFERROR(VLOOKUP(B80,'ANÁLISE DE DADOS'!$A:$AM,3,0),""))</f>
        <v/>
      </c>
      <c r="F80" s="61" t="str">
        <f>IF(B80="","",IFERROR(VLOOKUP(B80,'ANÁLISE DE DADOS'!$A:$AM,4,0),""))</f>
        <v/>
      </c>
      <c r="G80" s="62" t="str">
        <f>IF(B80="","",IFERROR(VLOOKUP(B80,'ANÁLISE DE DADOS'!$A:$AM,5,0),""))</f>
        <v/>
      </c>
      <c r="H80" s="62" t="str">
        <f>IF(B80="","",IFERROR(VLOOKUP(B80,'ANÁLISE DE DADOS'!$A:$AM,6,0),""))</f>
        <v/>
      </c>
      <c r="I80" s="62" t="str">
        <f>IF(B80="","",IFERROR(VLOOKUP(B80,'ANÁLISE DE DADOS'!$A:$AM,7,0),""))</f>
        <v/>
      </c>
      <c r="J80" s="62" t="str">
        <f>IF(B80="","",IFERROR(VLOOKUP(B80,'ANÁLISE DE DADOS'!$A:$AM,8,0),""))</f>
        <v/>
      </c>
      <c r="K80" s="61" t="str">
        <f>IF(B80="","",IFERROR(VLOOKUP(B80,'ANÁLISE DE DADOS'!$A:$AM,9,0),""))</f>
        <v/>
      </c>
      <c r="L80" s="61" t="str">
        <f>IF(B80="","",IFERROR(VLOOKUP(B80,'ANÁLISE DE DADOS'!$A:$AM,10,0),""))</f>
        <v/>
      </c>
      <c r="M80" s="62" t="str">
        <f>IF(B80="","",IFERROR(VLOOKUP(B80,'ANÁLISE DE DADOS'!$A:$AM,11,0),""))</f>
        <v/>
      </c>
      <c r="N80" s="61" t="str">
        <f>IF(B80="","",IFERROR(VLOOKUP(B80,'ANÁLISE DE DADOS'!$A:$AM,12,0),""))</f>
        <v/>
      </c>
      <c r="O80" s="61" t="str">
        <f>IF(B80="","",IFERROR(VLOOKUP(B80,'ANÁLISE DE DADOS'!$A:$AM,13,0),""))</f>
        <v/>
      </c>
      <c r="P80" s="63" t="str">
        <f>IF(B80="","",IFERROR(VLOOKUP(B80,'ANÁLISE DE DADOS'!$A:$AM,14,0),""))</f>
        <v/>
      </c>
      <c r="Q80" s="61" t="str">
        <f>IF(B80="","",IFERROR(VLOOKUP(B80,'ANÁLISE DE DADOS'!$A:$AM,15,0),""))</f>
        <v/>
      </c>
      <c r="R80" s="61" t="str">
        <f>IF(B80="","",IFERROR(VLOOKUP(B80,'ANÁLISE DE DADOS'!$A:$AM,16,0),""))</f>
        <v/>
      </c>
      <c r="S80" s="61" t="str">
        <f>IF(B80="","",IFERROR(VLOOKUP(B80,'ANÁLISE DE DADOS'!$A:$AM,17,0),""))</f>
        <v/>
      </c>
      <c r="T80" s="61" t="str">
        <f>IF(B80="","",IFERROR(VLOOKUP(B80,'ANÁLISE DE DADOS'!$A:$AM,18,0),""))</f>
        <v/>
      </c>
      <c r="U80" s="61" t="str">
        <f>IF(B80="","",IFERROR(VLOOKUP(B80,'ANÁLISE DE DADOS'!$A:$AM,19,0),""))</f>
        <v/>
      </c>
      <c r="V80" s="61" t="str">
        <f>IF(B80="","",IFERROR(VLOOKUP(B80,'ANÁLISE DE DADOS'!$A:$AM,20,0),""))</f>
        <v/>
      </c>
      <c r="W80" s="61" t="str">
        <f>IF(B80="","",IFERROR(VLOOKUP(B80,'ANÁLISE DE DADOS'!$A:$AM,21,0),""))</f>
        <v/>
      </c>
      <c r="X80" s="61" t="str">
        <f>IF(B80="","",IFERROR(VLOOKUP(B80,'ANÁLISE DE DADOS'!$A:$AM,22,0),""))</f>
        <v/>
      </c>
      <c r="Y80" s="61" t="str">
        <f>IF(B80="","",IFERROR(VLOOKUP(B80,'ANÁLISE DE DADOS'!$A:$AM,23,0),""))</f>
        <v/>
      </c>
      <c r="Z80" s="61" t="str">
        <f>IF(B80="","",IFERROR(VLOOKUP(B80,'ANÁLISE DE DADOS'!$A:$AM,24,0),""))</f>
        <v/>
      </c>
      <c r="AA80" s="61" t="str">
        <f>IF(B80="","",IFERROR(VLOOKUP(B80,'ANÁLISE DE DADOS'!$A:$AM,25,0),""))</f>
        <v/>
      </c>
      <c r="AB80" s="61" t="str">
        <f>IF(B80="","",IFERROR(VLOOKUP(B80,'ANÁLISE DE DADOS'!$A:$AM,26,0),""))</f>
        <v/>
      </c>
      <c r="AC80" s="61" t="str">
        <f>IF(B80="","",IFERROR(VLOOKUP(B80,'ANÁLISE DE DADOS'!$A:$AM,27,0),""))</f>
        <v/>
      </c>
      <c r="AD80" s="62" t="str">
        <f>IF(B80="","",IFERROR(VLOOKUP(B80,'ANÁLISE DE DADOS'!$A:$AM,28,0),""))</f>
        <v/>
      </c>
      <c r="AE80" s="61" t="str">
        <f>IF(B80="","",IFERROR(VLOOKUP(B80,'ANÁLISE DE DADOS'!$A:$AM,29,0),""))</f>
        <v/>
      </c>
      <c r="AF80" s="61" t="str">
        <f>IF(B80="","",IFERROR(VLOOKUP(B80,'ANÁLISE DE DADOS'!$A:$AM,30,0),""))</f>
        <v/>
      </c>
      <c r="AG80" s="62" t="str">
        <f>IF(B80="","",IFERROR(VLOOKUP(B80,'ANÁLISE DE DADOS'!$A:$AM,31,0),""))</f>
        <v/>
      </c>
      <c r="AH80" s="61" t="str">
        <f>IF(B80="","",IFERROR(VLOOKUP(B80,'ANÁLISE DE DADOS'!$A:$AM,32,0),""))</f>
        <v/>
      </c>
      <c r="AI80" s="61" t="str">
        <f>IF(B80="","",IFERROR(VLOOKUP(B80,'ANÁLISE DE DADOS'!$A:$AM,33,0),""))</f>
        <v/>
      </c>
      <c r="AJ80" s="61" t="str">
        <f>IF(B80="","",IFERROR(VLOOKUP(B80,'ANÁLISE DE DADOS'!$A:$AM,34,0),""))</f>
        <v/>
      </c>
      <c r="AK80" s="63" t="str">
        <f>IF(B80="","",IFERROR(VLOOKUP(B80,'ANÁLISE DE DADOS'!$A:$AM,35,0),""))</f>
        <v/>
      </c>
      <c r="AL80" s="63" t="str">
        <f>IF(B80="","",IFERROR(VLOOKUP(B80,'ANÁLISE DE DADOS'!$A:$AM,36,0),""))</f>
        <v/>
      </c>
    </row>
    <row r="81" spans="3:38" x14ac:dyDescent="0.3">
      <c r="C81" s="61" t="str">
        <f>IF(B81="","",IFERROR(VLOOKUP(B81,'ANÁLISE DE DADOS'!$A:$AM,1,0),""))</f>
        <v/>
      </c>
      <c r="D81" s="61" t="str">
        <f>IF(B81="","",IFERROR(VLOOKUP(B81,'ANÁLISE DE DADOS'!$A:$AM,2,0),""))</f>
        <v/>
      </c>
      <c r="E81" s="61" t="str">
        <f>IF(B81="","",IFERROR(VLOOKUP(B81,'ANÁLISE DE DADOS'!$A:$AM,3,0),""))</f>
        <v/>
      </c>
      <c r="F81" s="61" t="str">
        <f>IF(B81="","",IFERROR(VLOOKUP(B81,'ANÁLISE DE DADOS'!$A:$AM,4,0),""))</f>
        <v/>
      </c>
      <c r="G81" s="62" t="str">
        <f>IF(B81="","",IFERROR(VLOOKUP(B81,'ANÁLISE DE DADOS'!$A:$AM,5,0),""))</f>
        <v/>
      </c>
      <c r="H81" s="62" t="str">
        <f>IF(B81="","",IFERROR(VLOOKUP(B81,'ANÁLISE DE DADOS'!$A:$AM,6,0),""))</f>
        <v/>
      </c>
      <c r="I81" s="62" t="str">
        <f>IF(B81="","",IFERROR(VLOOKUP(B81,'ANÁLISE DE DADOS'!$A:$AM,7,0),""))</f>
        <v/>
      </c>
      <c r="J81" s="62" t="str">
        <f>IF(B81="","",IFERROR(VLOOKUP(B81,'ANÁLISE DE DADOS'!$A:$AM,8,0),""))</f>
        <v/>
      </c>
      <c r="K81" s="61" t="str">
        <f>IF(B81="","",IFERROR(VLOOKUP(B81,'ANÁLISE DE DADOS'!$A:$AM,9,0),""))</f>
        <v/>
      </c>
      <c r="L81" s="61" t="str">
        <f>IF(B81="","",IFERROR(VLOOKUP(B81,'ANÁLISE DE DADOS'!$A:$AM,10,0),""))</f>
        <v/>
      </c>
      <c r="M81" s="62" t="str">
        <f>IF(B81="","",IFERROR(VLOOKUP(B81,'ANÁLISE DE DADOS'!$A:$AM,11,0),""))</f>
        <v/>
      </c>
      <c r="N81" s="61" t="str">
        <f>IF(B81="","",IFERROR(VLOOKUP(B81,'ANÁLISE DE DADOS'!$A:$AM,12,0),""))</f>
        <v/>
      </c>
      <c r="O81" s="61" t="str">
        <f>IF(B81="","",IFERROR(VLOOKUP(B81,'ANÁLISE DE DADOS'!$A:$AM,13,0),""))</f>
        <v/>
      </c>
      <c r="P81" s="63" t="str">
        <f>IF(B81="","",IFERROR(VLOOKUP(B81,'ANÁLISE DE DADOS'!$A:$AM,14,0),""))</f>
        <v/>
      </c>
      <c r="Q81" s="61" t="str">
        <f>IF(B81="","",IFERROR(VLOOKUP(B81,'ANÁLISE DE DADOS'!$A:$AM,15,0),""))</f>
        <v/>
      </c>
      <c r="R81" s="61" t="str">
        <f>IF(B81="","",IFERROR(VLOOKUP(B81,'ANÁLISE DE DADOS'!$A:$AM,16,0),""))</f>
        <v/>
      </c>
      <c r="S81" s="61" t="str">
        <f>IF(B81="","",IFERROR(VLOOKUP(B81,'ANÁLISE DE DADOS'!$A:$AM,17,0),""))</f>
        <v/>
      </c>
      <c r="T81" s="61" t="str">
        <f>IF(B81="","",IFERROR(VLOOKUP(B81,'ANÁLISE DE DADOS'!$A:$AM,18,0),""))</f>
        <v/>
      </c>
      <c r="U81" s="61" t="str">
        <f>IF(B81="","",IFERROR(VLOOKUP(B81,'ANÁLISE DE DADOS'!$A:$AM,19,0),""))</f>
        <v/>
      </c>
      <c r="V81" s="61" t="str">
        <f>IF(B81="","",IFERROR(VLOOKUP(B81,'ANÁLISE DE DADOS'!$A:$AM,20,0),""))</f>
        <v/>
      </c>
      <c r="W81" s="61" t="str">
        <f>IF(B81="","",IFERROR(VLOOKUP(B81,'ANÁLISE DE DADOS'!$A:$AM,21,0),""))</f>
        <v/>
      </c>
      <c r="X81" s="61" t="str">
        <f>IF(B81="","",IFERROR(VLOOKUP(B81,'ANÁLISE DE DADOS'!$A:$AM,22,0),""))</f>
        <v/>
      </c>
      <c r="Y81" s="61" t="str">
        <f>IF(B81="","",IFERROR(VLOOKUP(B81,'ANÁLISE DE DADOS'!$A:$AM,23,0),""))</f>
        <v/>
      </c>
      <c r="Z81" s="61" t="str">
        <f>IF(B81="","",IFERROR(VLOOKUP(B81,'ANÁLISE DE DADOS'!$A:$AM,24,0),""))</f>
        <v/>
      </c>
      <c r="AA81" s="61" t="str">
        <f>IF(B81="","",IFERROR(VLOOKUP(B81,'ANÁLISE DE DADOS'!$A:$AM,25,0),""))</f>
        <v/>
      </c>
      <c r="AB81" s="61" t="str">
        <f>IF(B81="","",IFERROR(VLOOKUP(B81,'ANÁLISE DE DADOS'!$A:$AM,26,0),""))</f>
        <v/>
      </c>
      <c r="AC81" s="61" t="str">
        <f>IF(B81="","",IFERROR(VLOOKUP(B81,'ANÁLISE DE DADOS'!$A:$AM,27,0),""))</f>
        <v/>
      </c>
      <c r="AD81" s="62" t="str">
        <f>IF(B81="","",IFERROR(VLOOKUP(B81,'ANÁLISE DE DADOS'!$A:$AM,28,0),""))</f>
        <v/>
      </c>
      <c r="AE81" s="61" t="str">
        <f>IF(B81="","",IFERROR(VLOOKUP(B81,'ANÁLISE DE DADOS'!$A:$AM,29,0),""))</f>
        <v/>
      </c>
      <c r="AF81" s="61" t="str">
        <f>IF(B81="","",IFERROR(VLOOKUP(B81,'ANÁLISE DE DADOS'!$A:$AM,30,0),""))</f>
        <v/>
      </c>
      <c r="AG81" s="62" t="str">
        <f>IF(B81="","",IFERROR(VLOOKUP(B81,'ANÁLISE DE DADOS'!$A:$AM,31,0),""))</f>
        <v/>
      </c>
      <c r="AH81" s="61" t="str">
        <f>IF(B81="","",IFERROR(VLOOKUP(B81,'ANÁLISE DE DADOS'!$A:$AM,32,0),""))</f>
        <v/>
      </c>
      <c r="AI81" s="61" t="str">
        <f>IF(B81="","",IFERROR(VLOOKUP(B81,'ANÁLISE DE DADOS'!$A:$AM,33,0),""))</f>
        <v/>
      </c>
      <c r="AJ81" s="61" t="str">
        <f>IF(B81="","",IFERROR(VLOOKUP(B81,'ANÁLISE DE DADOS'!$A:$AM,34,0),""))</f>
        <v/>
      </c>
      <c r="AK81" s="63" t="str">
        <f>IF(B81="","",IFERROR(VLOOKUP(B81,'ANÁLISE DE DADOS'!$A:$AM,35,0),""))</f>
        <v/>
      </c>
      <c r="AL81" s="63" t="str">
        <f>IF(B81="","",IFERROR(VLOOKUP(B81,'ANÁLISE DE DADOS'!$A:$AM,36,0),""))</f>
        <v/>
      </c>
    </row>
    <row r="82" spans="3:38" x14ac:dyDescent="0.3">
      <c r="C82" s="61" t="str">
        <f>IF(B82="","",IFERROR(VLOOKUP(B82,'ANÁLISE DE DADOS'!$A:$AM,1,0),""))</f>
        <v/>
      </c>
      <c r="D82" s="61" t="str">
        <f>IF(B82="","",IFERROR(VLOOKUP(B82,'ANÁLISE DE DADOS'!$A:$AM,2,0),""))</f>
        <v/>
      </c>
      <c r="E82" s="61" t="str">
        <f>IF(B82="","",IFERROR(VLOOKUP(B82,'ANÁLISE DE DADOS'!$A:$AM,3,0),""))</f>
        <v/>
      </c>
      <c r="F82" s="61" t="str">
        <f>IF(B82="","",IFERROR(VLOOKUP(B82,'ANÁLISE DE DADOS'!$A:$AM,4,0),""))</f>
        <v/>
      </c>
      <c r="G82" s="62" t="str">
        <f>IF(B82="","",IFERROR(VLOOKUP(B82,'ANÁLISE DE DADOS'!$A:$AM,5,0),""))</f>
        <v/>
      </c>
      <c r="H82" s="62" t="str">
        <f>IF(B82="","",IFERROR(VLOOKUP(B82,'ANÁLISE DE DADOS'!$A:$AM,6,0),""))</f>
        <v/>
      </c>
      <c r="I82" s="62" t="str">
        <f>IF(B82="","",IFERROR(VLOOKUP(B82,'ANÁLISE DE DADOS'!$A:$AM,7,0),""))</f>
        <v/>
      </c>
      <c r="J82" s="62" t="str">
        <f>IF(B82="","",IFERROR(VLOOKUP(B82,'ANÁLISE DE DADOS'!$A:$AM,8,0),""))</f>
        <v/>
      </c>
      <c r="K82" s="61" t="str">
        <f>IF(B82="","",IFERROR(VLOOKUP(B82,'ANÁLISE DE DADOS'!$A:$AM,9,0),""))</f>
        <v/>
      </c>
      <c r="L82" s="61" t="str">
        <f>IF(B82="","",IFERROR(VLOOKUP(B82,'ANÁLISE DE DADOS'!$A:$AM,10,0),""))</f>
        <v/>
      </c>
      <c r="M82" s="62" t="str">
        <f>IF(B82="","",IFERROR(VLOOKUP(B82,'ANÁLISE DE DADOS'!$A:$AM,11,0),""))</f>
        <v/>
      </c>
      <c r="N82" s="61" t="str">
        <f>IF(B82="","",IFERROR(VLOOKUP(B82,'ANÁLISE DE DADOS'!$A:$AM,12,0),""))</f>
        <v/>
      </c>
      <c r="O82" s="61" t="str">
        <f>IF(B82="","",IFERROR(VLOOKUP(B82,'ANÁLISE DE DADOS'!$A:$AM,13,0),""))</f>
        <v/>
      </c>
      <c r="P82" s="63" t="str">
        <f>IF(B82="","",IFERROR(VLOOKUP(B82,'ANÁLISE DE DADOS'!$A:$AM,14,0),""))</f>
        <v/>
      </c>
      <c r="Q82" s="61" t="str">
        <f>IF(B82="","",IFERROR(VLOOKUP(B82,'ANÁLISE DE DADOS'!$A:$AM,15,0),""))</f>
        <v/>
      </c>
      <c r="R82" s="61" t="str">
        <f>IF(B82="","",IFERROR(VLOOKUP(B82,'ANÁLISE DE DADOS'!$A:$AM,16,0),""))</f>
        <v/>
      </c>
      <c r="S82" s="61" t="str">
        <f>IF(B82="","",IFERROR(VLOOKUP(B82,'ANÁLISE DE DADOS'!$A:$AM,17,0),""))</f>
        <v/>
      </c>
      <c r="T82" s="61" t="str">
        <f>IF(B82="","",IFERROR(VLOOKUP(B82,'ANÁLISE DE DADOS'!$A:$AM,18,0),""))</f>
        <v/>
      </c>
      <c r="U82" s="61" t="str">
        <f>IF(B82="","",IFERROR(VLOOKUP(B82,'ANÁLISE DE DADOS'!$A:$AM,19,0),""))</f>
        <v/>
      </c>
      <c r="V82" s="61" t="str">
        <f>IF(B82="","",IFERROR(VLOOKUP(B82,'ANÁLISE DE DADOS'!$A:$AM,20,0),""))</f>
        <v/>
      </c>
      <c r="W82" s="61" t="str">
        <f>IF(B82="","",IFERROR(VLOOKUP(B82,'ANÁLISE DE DADOS'!$A:$AM,21,0),""))</f>
        <v/>
      </c>
      <c r="X82" s="61" t="str">
        <f>IF(B82="","",IFERROR(VLOOKUP(B82,'ANÁLISE DE DADOS'!$A:$AM,22,0),""))</f>
        <v/>
      </c>
      <c r="Y82" s="61" t="str">
        <f>IF(B82="","",IFERROR(VLOOKUP(B82,'ANÁLISE DE DADOS'!$A:$AM,23,0),""))</f>
        <v/>
      </c>
      <c r="Z82" s="61" t="str">
        <f>IF(B82="","",IFERROR(VLOOKUP(B82,'ANÁLISE DE DADOS'!$A:$AM,24,0),""))</f>
        <v/>
      </c>
      <c r="AA82" s="61" t="str">
        <f>IF(B82="","",IFERROR(VLOOKUP(B82,'ANÁLISE DE DADOS'!$A:$AM,25,0),""))</f>
        <v/>
      </c>
      <c r="AB82" s="61" t="str">
        <f>IF(B82="","",IFERROR(VLOOKUP(B82,'ANÁLISE DE DADOS'!$A:$AM,26,0),""))</f>
        <v/>
      </c>
      <c r="AC82" s="61" t="str">
        <f>IF(B82="","",IFERROR(VLOOKUP(B82,'ANÁLISE DE DADOS'!$A:$AM,27,0),""))</f>
        <v/>
      </c>
      <c r="AD82" s="62" t="str">
        <f>IF(B82="","",IFERROR(VLOOKUP(B82,'ANÁLISE DE DADOS'!$A:$AM,28,0),""))</f>
        <v/>
      </c>
      <c r="AE82" s="61" t="str">
        <f>IF(B82="","",IFERROR(VLOOKUP(B82,'ANÁLISE DE DADOS'!$A:$AM,29,0),""))</f>
        <v/>
      </c>
      <c r="AF82" s="61" t="str">
        <f>IF(B82="","",IFERROR(VLOOKUP(B82,'ANÁLISE DE DADOS'!$A:$AM,30,0),""))</f>
        <v/>
      </c>
      <c r="AG82" s="62" t="str">
        <f>IF(B82="","",IFERROR(VLOOKUP(B82,'ANÁLISE DE DADOS'!$A:$AM,31,0),""))</f>
        <v/>
      </c>
      <c r="AH82" s="61" t="str">
        <f>IF(B82="","",IFERROR(VLOOKUP(B82,'ANÁLISE DE DADOS'!$A:$AM,32,0),""))</f>
        <v/>
      </c>
      <c r="AI82" s="61" t="str">
        <f>IF(B82="","",IFERROR(VLOOKUP(B82,'ANÁLISE DE DADOS'!$A:$AM,33,0),""))</f>
        <v/>
      </c>
      <c r="AJ82" s="61" t="str">
        <f>IF(B82="","",IFERROR(VLOOKUP(B82,'ANÁLISE DE DADOS'!$A:$AM,34,0),""))</f>
        <v/>
      </c>
      <c r="AK82" s="63" t="str">
        <f>IF(B82="","",IFERROR(VLOOKUP(B82,'ANÁLISE DE DADOS'!$A:$AM,35,0),""))</f>
        <v/>
      </c>
      <c r="AL82" s="63" t="str">
        <f>IF(B82="","",IFERROR(VLOOKUP(B82,'ANÁLISE DE DADOS'!$A:$AM,36,0),""))</f>
        <v/>
      </c>
    </row>
    <row r="83" spans="3:38" x14ac:dyDescent="0.3">
      <c r="C83" s="61" t="str">
        <f>IF(B83="","",IFERROR(VLOOKUP(B83,'ANÁLISE DE DADOS'!$A:$AM,1,0),""))</f>
        <v/>
      </c>
      <c r="D83" s="61" t="str">
        <f>IF(B83="","",IFERROR(VLOOKUP(B83,'ANÁLISE DE DADOS'!$A:$AM,2,0),""))</f>
        <v/>
      </c>
      <c r="E83" s="61" t="str">
        <f>IF(B83="","",IFERROR(VLOOKUP(B83,'ANÁLISE DE DADOS'!$A:$AM,3,0),""))</f>
        <v/>
      </c>
      <c r="F83" s="61" t="str">
        <f>IF(B83="","",IFERROR(VLOOKUP(B83,'ANÁLISE DE DADOS'!$A:$AM,4,0),""))</f>
        <v/>
      </c>
      <c r="G83" s="62" t="str">
        <f>IF(B83="","",IFERROR(VLOOKUP(B83,'ANÁLISE DE DADOS'!$A:$AM,5,0),""))</f>
        <v/>
      </c>
      <c r="H83" s="62" t="str">
        <f>IF(B83="","",IFERROR(VLOOKUP(B83,'ANÁLISE DE DADOS'!$A:$AM,6,0),""))</f>
        <v/>
      </c>
      <c r="I83" s="62" t="str">
        <f>IF(B83="","",IFERROR(VLOOKUP(B83,'ANÁLISE DE DADOS'!$A:$AM,7,0),""))</f>
        <v/>
      </c>
      <c r="J83" s="62" t="str">
        <f>IF(B83="","",IFERROR(VLOOKUP(B83,'ANÁLISE DE DADOS'!$A:$AM,8,0),""))</f>
        <v/>
      </c>
      <c r="K83" s="61" t="str">
        <f>IF(B83="","",IFERROR(VLOOKUP(B83,'ANÁLISE DE DADOS'!$A:$AM,9,0),""))</f>
        <v/>
      </c>
      <c r="L83" s="61" t="str">
        <f>IF(B83="","",IFERROR(VLOOKUP(B83,'ANÁLISE DE DADOS'!$A:$AM,10,0),""))</f>
        <v/>
      </c>
      <c r="M83" s="62" t="str">
        <f>IF(B83="","",IFERROR(VLOOKUP(B83,'ANÁLISE DE DADOS'!$A:$AM,11,0),""))</f>
        <v/>
      </c>
      <c r="N83" s="61" t="str">
        <f>IF(B83="","",IFERROR(VLOOKUP(B83,'ANÁLISE DE DADOS'!$A:$AM,12,0),""))</f>
        <v/>
      </c>
      <c r="O83" s="61" t="str">
        <f>IF(B83="","",IFERROR(VLOOKUP(B83,'ANÁLISE DE DADOS'!$A:$AM,13,0),""))</f>
        <v/>
      </c>
      <c r="P83" s="63" t="str">
        <f>IF(B83="","",IFERROR(VLOOKUP(B83,'ANÁLISE DE DADOS'!$A:$AM,14,0),""))</f>
        <v/>
      </c>
      <c r="Q83" s="61" t="str">
        <f>IF(B83="","",IFERROR(VLOOKUP(B83,'ANÁLISE DE DADOS'!$A:$AM,15,0),""))</f>
        <v/>
      </c>
      <c r="R83" s="61" t="str">
        <f>IF(B83="","",IFERROR(VLOOKUP(B83,'ANÁLISE DE DADOS'!$A:$AM,16,0),""))</f>
        <v/>
      </c>
      <c r="S83" s="61" t="str">
        <f>IF(B83="","",IFERROR(VLOOKUP(B83,'ANÁLISE DE DADOS'!$A:$AM,17,0),""))</f>
        <v/>
      </c>
      <c r="T83" s="61" t="str">
        <f>IF(B83="","",IFERROR(VLOOKUP(B83,'ANÁLISE DE DADOS'!$A:$AM,18,0),""))</f>
        <v/>
      </c>
      <c r="U83" s="61" t="str">
        <f>IF(B83="","",IFERROR(VLOOKUP(B83,'ANÁLISE DE DADOS'!$A:$AM,19,0),""))</f>
        <v/>
      </c>
      <c r="V83" s="61" t="str">
        <f>IF(B83="","",IFERROR(VLOOKUP(B83,'ANÁLISE DE DADOS'!$A:$AM,20,0),""))</f>
        <v/>
      </c>
      <c r="W83" s="61" t="str">
        <f>IF(B83="","",IFERROR(VLOOKUP(B83,'ANÁLISE DE DADOS'!$A:$AM,21,0),""))</f>
        <v/>
      </c>
      <c r="X83" s="61" t="str">
        <f>IF(B83="","",IFERROR(VLOOKUP(B83,'ANÁLISE DE DADOS'!$A:$AM,22,0),""))</f>
        <v/>
      </c>
      <c r="Y83" s="61" t="str">
        <f>IF(B83="","",IFERROR(VLOOKUP(B83,'ANÁLISE DE DADOS'!$A:$AM,23,0),""))</f>
        <v/>
      </c>
      <c r="Z83" s="61" t="str">
        <f>IF(B83="","",IFERROR(VLOOKUP(B83,'ANÁLISE DE DADOS'!$A:$AM,24,0),""))</f>
        <v/>
      </c>
      <c r="AA83" s="61" t="str">
        <f>IF(B83="","",IFERROR(VLOOKUP(B83,'ANÁLISE DE DADOS'!$A:$AM,25,0),""))</f>
        <v/>
      </c>
      <c r="AB83" s="61" t="str">
        <f>IF(B83="","",IFERROR(VLOOKUP(B83,'ANÁLISE DE DADOS'!$A:$AM,26,0),""))</f>
        <v/>
      </c>
      <c r="AC83" s="61" t="str">
        <f>IF(B83="","",IFERROR(VLOOKUP(B83,'ANÁLISE DE DADOS'!$A:$AM,27,0),""))</f>
        <v/>
      </c>
      <c r="AD83" s="62" t="str">
        <f>IF(B83="","",IFERROR(VLOOKUP(B83,'ANÁLISE DE DADOS'!$A:$AM,28,0),""))</f>
        <v/>
      </c>
      <c r="AE83" s="61" t="str">
        <f>IF(B83="","",IFERROR(VLOOKUP(B83,'ANÁLISE DE DADOS'!$A:$AM,29,0),""))</f>
        <v/>
      </c>
      <c r="AF83" s="61" t="str">
        <f>IF(B83="","",IFERROR(VLOOKUP(B83,'ANÁLISE DE DADOS'!$A:$AM,30,0),""))</f>
        <v/>
      </c>
      <c r="AG83" s="62" t="str">
        <f>IF(B83="","",IFERROR(VLOOKUP(B83,'ANÁLISE DE DADOS'!$A:$AM,31,0),""))</f>
        <v/>
      </c>
      <c r="AH83" s="61" t="str">
        <f>IF(B83="","",IFERROR(VLOOKUP(B83,'ANÁLISE DE DADOS'!$A:$AM,32,0),""))</f>
        <v/>
      </c>
      <c r="AI83" s="61" t="str">
        <f>IF(B83="","",IFERROR(VLOOKUP(B83,'ANÁLISE DE DADOS'!$A:$AM,33,0),""))</f>
        <v/>
      </c>
      <c r="AJ83" s="61" t="str">
        <f>IF(B83="","",IFERROR(VLOOKUP(B83,'ANÁLISE DE DADOS'!$A:$AM,34,0),""))</f>
        <v/>
      </c>
      <c r="AK83" s="63" t="str">
        <f>IF(B83="","",IFERROR(VLOOKUP(B83,'ANÁLISE DE DADOS'!$A:$AM,35,0),""))</f>
        <v/>
      </c>
      <c r="AL83" s="63" t="str">
        <f>IF(B83="","",IFERROR(VLOOKUP(B83,'ANÁLISE DE DADOS'!$A:$AM,36,0),""))</f>
        <v/>
      </c>
    </row>
    <row r="84" spans="3:38" x14ac:dyDescent="0.3">
      <c r="C84" s="61" t="str">
        <f>IF(B84="","",IFERROR(VLOOKUP(B84,'ANÁLISE DE DADOS'!$A:$AM,1,0),""))</f>
        <v/>
      </c>
      <c r="D84" s="61" t="str">
        <f>IF(B84="","",IFERROR(VLOOKUP(B84,'ANÁLISE DE DADOS'!$A:$AM,2,0),""))</f>
        <v/>
      </c>
      <c r="E84" s="61" t="str">
        <f>IF(B84="","",IFERROR(VLOOKUP(B84,'ANÁLISE DE DADOS'!$A:$AM,3,0),""))</f>
        <v/>
      </c>
      <c r="F84" s="61" t="str">
        <f>IF(B84="","",IFERROR(VLOOKUP(B84,'ANÁLISE DE DADOS'!$A:$AM,4,0),""))</f>
        <v/>
      </c>
      <c r="G84" s="62" t="str">
        <f>IF(B84="","",IFERROR(VLOOKUP(B84,'ANÁLISE DE DADOS'!$A:$AM,5,0),""))</f>
        <v/>
      </c>
      <c r="H84" s="62" t="str">
        <f>IF(B84="","",IFERROR(VLOOKUP(B84,'ANÁLISE DE DADOS'!$A:$AM,6,0),""))</f>
        <v/>
      </c>
      <c r="I84" s="62" t="str">
        <f>IF(B84="","",IFERROR(VLOOKUP(B84,'ANÁLISE DE DADOS'!$A:$AM,7,0),""))</f>
        <v/>
      </c>
      <c r="J84" s="62" t="str">
        <f>IF(B84="","",IFERROR(VLOOKUP(B84,'ANÁLISE DE DADOS'!$A:$AM,8,0),""))</f>
        <v/>
      </c>
      <c r="K84" s="61" t="str">
        <f>IF(B84="","",IFERROR(VLOOKUP(B84,'ANÁLISE DE DADOS'!$A:$AM,9,0),""))</f>
        <v/>
      </c>
      <c r="L84" s="61" t="str">
        <f>IF(B84="","",IFERROR(VLOOKUP(B84,'ANÁLISE DE DADOS'!$A:$AM,10,0),""))</f>
        <v/>
      </c>
      <c r="M84" s="62" t="str">
        <f>IF(B84="","",IFERROR(VLOOKUP(B84,'ANÁLISE DE DADOS'!$A:$AM,11,0),""))</f>
        <v/>
      </c>
      <c r="N84" s="61" t="str">
        <f>IF(B84="","",IFERROR(VLOOKUP(B84,'ANÁLISE DE DADOS'!$A:$AM,12,0),""))</f>
        <v/>
      </c>
      <c r="O84" s="61" t="str">
        <f>IF(B84="","",IFERROR(VLOOKUP(B84,'ANÁLISE DE DADOS'!$A:$AM,13,0),""))</f>
        <v/>
      </c>
      <c r="P84" s="63" t="str">
        <f>IF(B84="","",IFERROR(VLOOKUP(B84,'ANÁLISE DE DADOS'!$A:$AM,14,0),""))</f>
        <v/>
      </c>
      <c r="Q84" s="61" t="str">
        <f>IF(B84="","",IFERROR(VLOOKUP(B84,'ANÁLISE DE DADOS'!$A:$AM,15,0),""))</f>
        <v/>
      </c>
      <c r="R84" s="61" t="str">
        <f>IF(B84="","",IFERROR(VLOOKUP(B84,'ANÁLISE DE DADOS'!$A:$AM,16,0),""))</f>
        <v/>
      </c>
      <c r="S84" s="61" t="str">
        <f>IF(B84="","",IFERROR(VLOOKUP(B84,'ANÁLISE DE DADOS'!$A:$AM,17,0),""))</f>
        <v/>
      </c>
      <c r="T84" s="61" t="str">
        <f>IF(B84="","",IFERROR(VLOOKUP(B84,'ANÁLISE DE DADOS'!$A:$AM,18,0),""))</f>
        <v/>
      </c>
      <c r="U84" s="61" t="str">
        <f>IF(B84="","",IFERROR(VLOOKUP(B84,'ANÁLISE DE DADOS'!$A:$AM,19,0),""))</f>
        <v/>
      </c>
      <c r="V84" s="61" t="str">
        <f>IF(B84="","",IFERROR(VLOOKUP(B84,'ANÁLISE DE DADOS'!$A:$AM,20,0),""))</f>
        <v/>
      </c>
      <c r="W84" s="61" t="str">
        <f>IF(B84="","",IFERROR(VLOOKUP(B84,'ANÁLISE DE DADOS'!$A:$AM,21,0),""))</f>
        <v/>
      </c>
      <c r="X84" s="61" t="str">
        <f>IF(B84="","",IFERROR(VLOOKUP(B84,'ANÁLISE DE DADOS'!$A:$AM,22,0),""))</f>
        <v/>
      </c>
      <c r="Y84" s="61" t="str">
        <f>IF(B84="","",IFERROR(VLOOKUP(B84,'ANÁLISE DE DADOS'!$A:$AM,23,0),""))</f>
        <v/>
      </c>
      <c r="Z84" s="61" t="str">
        <f>IF(B84="","",IFERROR(VLOOKUP(B84,'ANÁLISE DE DADOS'!$A:$AM,24,0),""))</f>
        <v/>
      </c>
      <c r="AA84" s="61" t="str">
        <f>IF(B84="","",IFERROR(VLOOKUP(B84,'ANÁLISE DE DADOS'!$A:$AM,25,0),""))</f>
        <v/>
      </c>
      <c r="AB84" s="61" t="str">
        <f>IF(B84="","",IFERROR(VLOOKUP(B84,'ANÁLISE DE DADOS'!$A:$AM,26,0),""))</f>
        <v/>
      </c>
      <c r="AC84" s="61" t="str">
        <f>IF(B84="","",IFERROR(VLOOKUP(B84,'ANÁLISE DE DADOS'!$A:$AM,27,0),""))</f>
        <v/>
      </c>
      <c r="AD84" s="62" t="str">
        <f>IF(B84="","",IFERROR(VLOOKUP(B84,'ANÁLISE DE DADOS'!$A:$AM,28,0),""))</f>
        <v/>
      </c>
      <c r="AE84" s="61" t="str">
        <f>IF(B84="","",IFERROR(VLOOKUP(B84,'ANÁLISE DE DADOS'!$A:$AM,29,0),""))</f>
        <v/>
      </c>
      <c r="AF84" s="61" t="str">
        <f>IF(B84="","",IFERROR(VLOOKUP(B84,'ANÁLISE DE DADOS'!$A:$AM,30,0),""))</f>
        <v/>
      </c>
      <c r="AG84" s="62" t="str">
        <f>IF(B84="","",IFERROR(VLOOKUP(B84,'ANÁLISE DE DADOS'!$A:$AM,31,0),""))</f>
        <v/>
      </c>
      <c r="AH84" s="61" t="str">
        <f>IF(B84="","",IFERROR(VLOOKUP(B84,'ANÁLISE DE DADOS'!$A:$AM,32,0),""))</f>
        <v/>
      </c>
      <c r="AI84" s="61" t="str">
        <f>IF(B84="","",IFERROR(VLOOKUP(B84,'ANÁLISE DE DADOS'!$A:$AM,33,0),""))</f>
        <v/>
      </c>
      <c r="AJ84" s="61" t="str">
        <f>IF(B84="","",IFERROR(VLOOKUP(B84,'ANÁLISE DE DADOS'!$A:$AM,34,0),""))</f>
        <v/>
      </c>
      <c r="AK84" s="63" t="str">
        <f>IF(B84="","",IFERROR(VLOOKUP(B84,'ANÁLISE DE DADOS'!$A:$AM,35,0),""))</f>
        <v/>
      </c>
      <c r="AL84" s="63" t="str">
        <f>IF(B84="","",IFERROR(VLOOKUP(B84,'ANÁLISE DE DADOS'!$A:$AM,36,0),""))</f>
        <v/>
      </c>
    </row>
    <row r="85" spans="3:38" x14ac:dyDescent="0.3">
      <c r="C85" s="61" t="str">
        <f>IF(B85="","",IFERROR(VLOOKUP(B85,'ANÁLISE DE DADOS'!$A:$AM,1,0),""))</f>
        <v/>
      </c>
      <c r="D85" s="61" t="str">
        <f>IF(B85="","",IFERROR(VLOOKUP(B85,'ANÁLISE DE DADOS'!$A:$AM,2,0),""))</f>
        <v/>
      </c>
      <c r="E85" s="61" t="str">
        <f>IF(B85="","",IFERROR(VLOOKUP(B85,'ANÁLISE DE DADOS'!$A:$AM,3,0),""))</f>
        <v/>
      </c>
      <c r="F85" s="61" t="str">
        <f>IF(B85="","",IFERROR(VLOOKUP(B85,'ANÁLISE DE DADOS'!$A:$AM,4,0),""))</f>
        <v/>
      </c>
      <c r="G85" s="62" t="str">
        <f>IF(B85="","",IFERROR(VLOOKUP(B85,'ANÁLISE DE DADOS'!$A:$AM,5,0),""))</f>
        <v/>
      </c>
      <c r="H85" s="62" t="str">
        <f>IF(B85="","",IFERROR(VLOOKUP(B85,'ANÁLISE DE DADOS'!$A:$AM,6,0),""))</f>
        <v/>
      </c>
      <c r="I85" s="62" t="str">
        <f>IF(B85="","",IFERROR(VLOOKUP(B85,'ANÁLISE DE DADOS'!$A:$AM,7,0),""))</f>
        <v/>
      </c>
      <c r="J85" s="62" t="str">
        <f>IF(B85="","",IFERROR(VLOOKUP(B85,'ANÁLISE DE DADOS'!$A:$AM,8,0),""))</f>
        <v/>
      </c>
      <c r="K85" s="61" t="str">
        <f>IF(B85="","",IFERROR(VLOOKUP(B85,'ANÁLISE DE DADOS'!$A:$AM,9,0),""))</f>
        <v/>
      </c>
      <c r="L85" s="61" t="str">
        <f>IF(B85="","",IFERROR(VLOOKUP(B85,'ANÁLISE DE DADOS'!$A:$AM,10,0),""))</f>
        <v/>
      </c>
      <c r="M85" s="62" t="str">
        <f>IF(B85="","",IFERROR(VLOOKUP(B85,'ANÁLISE DE DADOS'!$A:$AM,11,0),""))</f>
        <v/>
      </c>
      <c r="N85" s="61" t="str">
        <f>IF(B85="","",IFERROR(VLOOKUP(B85,'ANÁLISE DE DADOS'!$A:$AM,12,0),""))</f>
        <v/>
      </c>
      <c r="O85" s="61" t="str">
        <f>IF(B85="","",IFERROR(VLOOKUP(B85,'ANÁLISE DE DADOS'!$A:$AM,13,0),""))</f>
        <v/>
      </c>
      <c r="P85" s="63" t="str">
        <f>IF(B85="","",IFERROR(VLOOKUP(B85,'ANÁLISE DE DADOS'!$A:$AM,14,0),""))</f>
        <v/>
      </c>
      <c r="Q85" s="61" t="str">
        <f>IF(B85="","",IFERROR(VLOOKUP(B85,'ANÁLISE DE DADOS'!$A:$AM,15,0),""))</f>
        <v/>
      </c>
      <c r="R85" s="61" t="str">
        <f>IF(B85="","",IFERROR(VLOOKUP(B85,'ANÁLISE DE DADOS'!$A:$AM,16,0),""))</f>
        <v/>
      </c>
      <c r="S85" s="61" t="str">
        <f>IF(B85="","",IFERROR(VLOOKUP(B85,'ANÁLISE DE DADOS'!$A:$AM,17,0),""))</f>
        <v/>
      </c>
      <c r="T85" s="61" t="str">
        <f>IF(B85="","",IFERROR(VLOOKUP(B85,'ANÁLISE DE DADOS'!$A:$AM,18,0),""))</f>
        <v/>
      </c>
      <c r="U85" s="61" t="str">
        <f>IF(B85="","",IFERROR(VLOOKUP(B85,'ANÁLISE DE DADOS'!$A:$AM,19,0),""))</f>
        <v/>
      </c>
      <c r="V85" s="61" t="str">
        <f>IF(B85="","",IFERROR(VLOOKUP(B85,'ANÁLISE DE DADOS'!$A:$AM,20,0),""))</f>
        <v/>
      </c>
      <c r="W85" s="61" t="str">
        <f>IF(B85="","",IFERROR(VLOOKUP(B85,'ANÁLISE DE DADOS'!$A:$AM,21,0),""))</f>
        <v/>
      </c>
      <c r="X85" s="61" t="str">
        <f>IF(B85="","",IFERROR(VLOOKUP(B85,'ANÁLISE DE DADOS'!$A:$AM,22,0),""))</f>
        <v/>
      </c>
      <c r="Y85" s="61" t="str">
        <f>IF(B85="","",IFERROR(VLOOKUP(B85,'ANÁLISE DE DADOS'!$A:$AM,23,0),""))</f>
        <v/>
      </c>
      <c r="Z85" s="61" t="str">
        <f>IF(B85="","",IFERROR(VLOOKUP(B85,'ANÁLISE DE DADOS'!$A:$AM,24,0),""))</f>
        <v/>
      </c>
      <c r="AA85" s="61" t="str">
        <f>IF(B85="","",IFERROR(VLOOKUP(B85,'ANÁLISE DE DADOS'!$A:$AM,25,0),""))</f>
        <v/>
      </c>
      <c r="AB85" s="61" t="str">
        <f>IF(B85="","",IFERROR(VLOOKUP(B85,'ANÁLISE DE DADOS'!$A:$AM,26,0),""))</f>
        <v/>
      </c>
      <c r="AC85" s="61" t="str">
        <f>IF(B85="","",IFERROR(VLOOKUP(B85,'ANÁLISE DE DADOS'!$A:$AM,27,0),""))</f>
        <v/>
      </c>
      <c r="AD85" s="62" t="str">
        <f>IF(B85="","",IFERROR(VLOOKUP(B85,'ANÁLISE DE DADOS'!$A:$AM,28,0),""))</f>
        <v/>
      </c>
      <c r="AE85" s="61" t="str">
        <f>IF(B85="","",IFERROR(VLOOKUP(B85,'ANÁLISE DE DADOS'!$A:$AM,29,0),""))</f>
        <v/>
      </c>
      <c r="AF85" s="61" t="str">
        <f>IF(B85="","",IFERROR(VLOOKUP(B85,'ANÁLISE DE DADOS'!$A:$AM,30,0),""))</f>
        <v/>
      </c>
      <c r="AG85" s="62" t="str">
        <f>IF(B85="","",IFERROR(VLOOKUP(B85,'ANÁLISE DE DADOS'!$A:$AM,31,0),""))</f>
        <v/>
      </c>
      <c r="AH85" s="61" t="str">
        <f>IF(B85="","",IFERROR(VLOOKUP(B85,'ANÁLISE DE DADOS'!$A:$AM,32,0),""))</f>
        <v/>
      </c>
      <c r="AI85" s="61" t="str">
        <f>IF(B85="","",IFERROR(VLOOKUP(B85,'ANÁLISE DE DADOS'!$A:$AM,33,0),""))</f>
        <v/>
      </c>
      <c r="AJ85" s="61" t="str">
        <f>IF(B85="","",IFERROR(VLOOKUP(B85,'ANÁLISE DE DADOS'!$A:$AM,34,0),""))</f>
        <v/>
      </c>
      <c r="AK85" s="63" t="str">
        <f>IF(B85="","",IFERROR(VLOOKUP(B85,'ANÁLISE DE DADOS'!$A:$AM,35,0),""))</f>
        <v/>
      </c>
      <c r="AL85" s="63" t="str">
        <f>IF(B85="","",IFERROR(VLOOKUP(B85,'ANÁLISE DE DADOS'!$A:$AM,36,0),""))</f>
        <v/>
      </c>
    </row>
    <row r="86" spans="3:38" x14ac:dyDescent="0.3">
      <c r="C86" s="61" t="str">
        <f>IF(B86="","",IFERROR(VLOOKUP(B86,'ANÁLISE DE DADOS'!$A:$AM,1,0),""))</f>
        <v/>
      </c>
      <c r="D86" s="61" t="str">
        <f>IF(B86="","",IFERROR(VLOOKUP(B86,'ANÁLISE DE DADOS'!$A:$AM,2,0),""))</f>
        <v/>
      </c>
      <c r="E86" s="61" t="str">
        <f>IF(B86="","",IFERROR(VLOOKUP(B86,'ANÁLISE DE DADOS'!$A:$AM,3,0),""))</f>
        <v/>
      </c>
      <c r="F86" s="61" t="str">
        <f>IF(B86="","",IFERROR(VLOOKUP(B86,'ANÁLISE DE DADOS'!$A:$AM,4,0),""))</f>
        <v/>
      </c>
      <c r="G86" s="62" t="str">
        <f>IF(B86="","",IFERROR(VLOOKUP(B86,'ANÁLISE DE DADOS'!$A:$AM,5,0),""))</f>
        <v/>
      </c>
      <c r="H86" s="62" t="str">
        <f>IF(B86="","",IFERROR(VLOOKUP(B86,'ANÁLISE DE DADOS'!$A:$AM,6,0),""))</f>
        <v/>
      </c>
      <c r="I86" s="62" t="str">
        <f>IF(B86="","",IFERROR(VLOOKUP(B86,'ANÁLISE DE DADOS'!$A:$AM,7,0),""))</f>
        <v/>
      </c>
      <c r="J86" s="62" t="str">
        <f>IF(B86="","",IFERROR(VLOOKUP(B86,'ANÁLISE DE DADOS'!$A:$AM,8,0),""))</f>
        <v/>
      </c>
      <c r="K86" s="61" t="str">
        <f>IF(B86="","",IFERROR(VLOOKUP(B86,'ANÁLISE DE DADOS'!$A:$AM,9,0),""))</f>
        <v/>
      </c>
      <c r="L86" s="61" t="str">
        <f>IF(B86="","",IFERROR(VLOOKUP(B86,'ANÁLISE DE DADOS'!$A:$AM,10,0),""))</f>
        <v/>
      </c>
      <c r="M86" s="62" t="str">
        <f>IF(B86="","",IFERROR(VLOOKUP(B86,'ANÁLISE DE DADOS'!$A:$AM,11,0),""))</f>
        <v/>
      </c>
      <c r="N86" s="61" t="str">
        <f>IF(B86="","",IFERROR(VLOOKUP(B86,'ANÁLISE DE DADOS'!$A:$AM,12,0),""))</f>
        <v/>
      </c>
      <c r="O86" s="61" t="str">
        <f>IF(B86="","",IFERROR(VLOOKUP(B86,'ANÁLISE DE DADOS'!$A:$AM,13,0),""))</f>
        <v/>
      </c>
      <c r="P86" s="63" t="str">
        <f>IF(B86="","",IFERROR(VLOOKUP(B86,'ANÁLISE DE DADOS'!$A:$AM,14,0),""))</f>
        <v/>
      </c>
      <c r="Q86" s="61" t="str">
        <f>IF(B86="","",IFERROR(VLOOKUP(B86,'ANÁLISE DE DADOS'!$A:$AM,15,0),""))</f>
        <v/>
      </c>
      <c r="R86" s="61" t="str">
        <f>IF(B86="","",IFERROR(VLOOKUP(B86,'ANÁLISE DE DADOS'!$A:$AM,16,0),""))</f>
        <v/>
      </c>
      <c r="S86" s="61" t="str">
        <f>IF(B86="","",IFERROR(VLOOKUP(B86,'ANÁLISE DE DADOS'!$A:$AM,17,0),""))</f>
        <v/>
      </c>
      <c r="T86" s="61" t="str">
        <f>IF(B86="","",IFERROR(VLOOKUP(B86,'ANÁLISE DE DADOS'!$A:$AM,18,0),""))</f>
        <v/>
      </c>
      <c r="U86" s="61" t="str">
        <f>IF(B86="","",IFERROR(VLOOKUP(B86,'ANÁLISE DE DADOS'!$A:$AM,19,0),""))</f>
        <v/>
      </c>
      <c r="V86" s="61" t="str">
        <f>IF(B86="","",IFERROR(VLOOKUP(B86,'ANÁLISE DE DADOS'!$A:$AM,20,0),""))</f>
        <v/>
      </c>
      <c r="W86" s="61" t="str">
        <f>IF(B86="","",IFERROR(VLOOKUP(B86,'ANÁLISE DE DADOS'!$A:$AM,21,0),""))</f>
        <v/>
      </c>
      <c r="X86" s="61" t="str">
        <f>IF(B86="","",IFERROR(VLOOKUP(B86,'ANÁLISE DE DADOS'!$A:$AM,22,0),""))</f>
        <v/>
      </c>
      <c r="Y86" s="61" t="str">
        <f>IF(B86="","",IFERROR(VLOOKUP(B86,'ANÁLISE DE DADOS'!$A:$AM,23,0),""))</f>
        <v/>
      </c>
      <c r="Z86" s="61" t="str">
        <f>IF(B86="","",IFERROR(VLOOKUP(B86,'ANÁLISE DE DADOS'!$A:$AM,24,0),""))</f>
        <v/>
      </c>
      <c r="AA86" s="61" t="str">
        <f>IF(B86="","",IFERROR(VLOOKUP(B86,'ANÁLISE DE DADOS'!$A:$AM,25,0),""))</f>
        <v/>
      </c>
      <c r="AB86" s="61" t="str">
        <f>IF(B86="","",IFERROR(VLOOKUP(B86,'ANÁLISE DE DADOS'!$A:$AM,26,0),""))</f>
        <v/>
      </c>
      <c r="AC86" s="61" t="str">
        <f>IF(B86="","",IFERROR(VLOOKUP(B86,'ANÁLISE DE DADOS'!$A:$AM,27,0),""))</f>
        <v/>
      </c>
      <c r="AD86" s="62" t="str">
        <f>IF(B86="","",IFERROR(VLOOKUP(B86,'ANÁLISE DE DADOS'!$A:$AM,28,0),""))</f>
        <v/>
      </c>
      <c r="AE86" s="61" t="str">
        <f>IF(B86="","",IFERROR(VLOOKUP(B86,'ANÁLISE DE DADOS'!$A:$AM,29,0),""))</f>
        <v/>
      </c>
      <c r="AF86" s="61" t="str">
        <f>IF(B86="","",IFERROR(VLOOKUP(B86,'ANÁLISE DE DADOS'!$A:$AM,30,0),""))</f>
        <v/>
      </c>
      <c r="AG86" s="62" t="str">
        <f>IF(B86="","",IFERROR(VLOOKUP(B86,'ANÁLISE DE DADOS'!$A:$AM,31,0),""))</f>
        <v/>
      </c>
      <c r="AH86" s="61" t="str">
        <f>IF(B86="","",IFERROR(VLOOKUP(B86,'ANÁLISE DE DADOS'!$A:$AM,32,0),""))</f>
        <v/>
      </c>
      <c r="AI86" s="61" t="str">
        <f>IF(B86="","",IFERROR(VLOOKUP(B86,'ANÁLISE DE DADOS'!$A:$AM,33,0),""))</f>
        <v/>
      </c>
      <c r="AJ86" s="61" t="str">
        <f>IF(B86="","",IFERROR(VLOOKUP(B86,'ANÁLISE DE DADOS'!$A:$AM,34,0),""))</f>
        <v/>
      </c>
      <c r="AK86" s="63" t="str">
        <f>IF(B86="","",IFERROR(VLOOKUP(B86,'ANÁLISE DE DADOS'!$A:$AM,35,0),""))</f>
        <v/>
      </c>
      <c r="AL86" s="63" t="str">
        <f>IF(B86="","",IFERROR(VLOOKUP(B86,'ANÁLISE DE DADOS'!$A:$AM,36,0),""))</f>
        <v/>
      </c>
    </row>
    <row r="87" spans="3:38" x14ac:dyDescent="0.3">
      <c r="C87" s="61" t="str">
        <f>IF(B87="","",IFERROR(VLOOKUP(B87,'ANÁLISE DE DADOS'!$A:$AM,1,0),""))</f>
        <v/>
      </c>
      <c r="D87" s="61" t="str">
        <f>IF(B87="","",IFERROR(VLOOKUP(B87,'ANÁLISE DE DADOS'!$A:$AM,2,0),""))</f>
        <v/>
      </c>
      <c r="E87" s="61" t="str">
        <f>IF(B87="","",IFERROR(VLOOKUP(B87,'ANÁLISE DE DADOS'!$A:$AM,3,0),""))</f>
        <v/>
      </c>
      <c r="F87" s="61" t="str">
        <f>IF(B87="","",IFERROR(VLOOKUP(B87,'ANÁLISE DE DADOS'!$A:$AM,4,0),""))</f>
        <v/>
      </c>
      <c r="G87" s="62" t="str">
        <f>IF(B87="","",IFERROR(VLOOKUP(B87,'ANÁLISE DE DADOS'!$A:$AM,5,0),""))</f>
        <v/>
      </c>
      <c r="H87" s="62" t="str">
        <f>IF(B87="","",IFERROR(VLOOKUP(B87,'ANÁLISE DE DADOS'!$A:$AM,6,0),""))</f>
        <v/>
      </c>
      <c r="I87" s="62" t="str">
        <f>IF(B87="","",IFERROR(VLOOKUP(B87,'ANÁLISE DE DADOS'!$A:$AM,7,0),""))</f>
        <v/>
      </c>
      <c r="J87" s="62" t="str">
        <f>IF(B87="","",IFERROR(VLOOKUP(B87,'ANÁLISE DE DADOS'!$A:$AM,8,0),""))</f>
        <v/>
      </c>
      <c r="K87" s="61" t="str">
        <f>IF(B87="","",IFERROR(VLOOKUP(B87,'ANÁLISE DE DADOS'!$A:$AM,9,0),""))</f>
        <v/>
      </c>
      <c r="L87" s="61" t="str">
        <f>IF(B87="","",IFERROR(VLOOKUP(B87,'ANÁLISE DE DADOS'!$A:$AM,10,0),""))</f>
        <v/>
      </c>
      <c r="M87" s="62" t="str">
        <f>IF(B87="","",IFERROR(VLOOKUP(B87,'ANÁLISE DE DADOS'!$A:$AM,11,0),""))</f>
        <v/>
      </c>
      <c r="N87" s="61" t="str">
        <f>IF(B87="","",IFERROR(VLOOKUP(B87,'ANÁLISE DE DADOS'!$A:$AM,12,0),""))</f>
        <v/>
      </c>
      <c r="O87" s="61" t="str">
        <f>IF(B87="","",IFERROR(VLOOKUP(B87,'ANÁLISE DE DADOS'!$A:$AM,13,0),""))</f>
        <v/>
      </c>
      <c r="P87" s="63" t="str">
        <f>IF(B87="","",IFERROR(VLOOKUP(B87,'ANÁLISE DE DADOS'!$A:$AM,14,0),""))</f>
        <v/>
      </c>
      <c r="Q87" s="61" t="str">
        <f>IF(B87="","",IFERROR(VLOOKUP(B87,'ANÁLISE DE DADOS'!$A:$AM,15,0),""))</f>
        <v/>
      </c>
      <c r="R87" s="61" t="str">
        <f>IF(B87="","",IFERROR(VLOOKUP(B87,'ANÁLISE DE DADOS'!$A:$AM,16,0),""))</f>
        <v/>
      </c>
      <c r="S87" s="61" t="str">
        <f>IF(B87="","",IFERROR(VLOOKUP(B87,'ANÁLISE DE DADOS'!$A:$AM,17,0),""))</f>
        <v/>
      </c>
      <c r="T87" s="61" t="str">
        <f>IF(B87="","",IFERROR(VLOOKUP(B87,'ANÁLISE DE DADOS'!$A:$AM,18,0),""))</f>
        <v/>
      </c>
      <c r="U87" s="61" t="str">
        <f>IF(B87="","",IFERROR(VLOOKUP(B87,'ANÁLISE DE DADOS'!$A:$AM,19,0),""))</f>
        <v/>
      </c>
      <c r="V87" s="61" t="str">
        <f>IF(B87="","",IFERROR(VLOOKUP(B87,'ANÁLISE DE DADOS'!$A:$AM,20,0),""))</f>
        <v/>
      </c>
      <c r="W87" s="61" t="str">
        <f>IF(B87="","",IFERROR(VLOOKUP(B87,'ANÁLISE DE DADOS'!$A:$AM,21,0),""))</f>
        <v/>
      </c>
      <c r="X87" s="61" t="str">
        <f>IF(B87="","",IFERROR(VLOOKUP(B87,'ANÁLISE DE DADOS'!$A:$AM,22,0),""))</f>
        <v/>
      </c>
      <c r="Y87" s="61" t="str">
        <f>IF(B87="","",IFERROR(VLOOKUP(B87,'ANÁLISE DE DADOS'!$A:$AM,23,0),""))</f>
        <v/>
      </c>
      <c r="Z87" s="61" t="str">
        <f>IF(B87="","",IFERROR(VLOOKUP(B87,'ANÁLISE DE DADOS'!$A:$AM,24,0),""))</f>
        <v/>
      </c>
      <c r="AA87" s="61" t="str">
        <f>IF(B87="","",IFERROR(VLOOKUP(B87,'ANÁLISE DE DADOS'!$A:$AM,25,0),""))</f>
        <v/>
      </c>
      <c r="AB87" s="61" t="str">
        <f>IF(B87="","",IFERROR(VLOOKUP(B87,'ANÁLISE DE DADOS'!$A:$AM,26,0),""))</f>
        <v/>
      </c>
      <c r="AC87" s="61" t="str">
        <f>IF(B87="","",IFERROR(VLOOKUP(B87,'ANÁLISE DE DADOS'!$A:$AM,27,0),""))</f>
        <v/>
      </c>
      <c r="AD87" s="62" t="str">
        <f>IF(B87="","",IFERROR(VLOOKUP(B87,'ANÁLISE DE DADOS'!$A:$AM,28,0),""))</f>
        <v/>
      </c>
      <c r="AE87" s="61" t="str">
        <f>IF(B87="","",IFERROR(VLOOKUP(B87,'ANÁLISE DE DADOS'!$A:$AM,29,0),""))</f>
        <v/>
      </c>
      <c r="AF87" s="61" t="str">
        <f>IF(B87="","",IFERROR(VLOOKUP(B87,'ANÁLISE DE DADOS'!$A:$AM,30,0),""))</f>
        <v/>
      </c>
      <c r="AG87" s="62" t="str">
        <f>IF(B87="","",IFERROR(VLOOKUP(B87,'ANÁLISE DE DADOS'!$A:$AM,31,0),""))</f>
        <v/>
      </c>
      <c r="AH87" s="61" t="str">
        <f>IF(B87="","",IFERROR(VLOOKUP(B87,'ANÁLISE DE DADOS'!$A:$AM,32,0),""))</f>
        <v/>
      </c>
      <c r="AI87" s="61" t="str">
        <f>IF(B87="","",IFERROR(VLOOKUP(B87,'ANÁLISE DE DADOS'!$A:$AM,33,0),""))</f>
        <v/>
      </c>
      <c r="AJ87" s="61" t="str">
        <f>IF(B87="","",IFERROR(VLOOKUP(B87,'ANÁLISE DE DADOS'!$A:$AM,34,0),""))</f>
        <v/>
      </c>
      <c r="AK87" s="63" t="str">
        <f>IF(B87="","",IFERROR(VLOOKUP(B87,'ANÁLISE DE DADOS'!$A:$AM,35,0),""))</f>
        <v/>
      </c>
      <c r="AL87" s="63" t="str">
        <f>IF(B87="","",IFERROR(VLOOKUP(B87,'ANÁLISE DE DADOS'!$A:$AM,36,0),""))</f>
        <v/>
      </c>
    </row>
    <row r="88" spans="3:38" x14ac:dyDescent="0.3">
      <c r="C88" s="61" t="str">
        <f>IF(B88="","",IFERROR(VLOOKUP(B88,'ANÁLISE DE DADOS'!$A:$AM,1,0),""))</f>
        <v/>
      </c>
      <c r="D88" s="61" t="str">
        <f>IF(B88="","",IFERROR(VLOOKUP(B88,'ANÁLISE DE DADOS'!$A:$AM,2,0),""))</f>
        <v/>
      </c>
      <c r="E88" s="61" t="str">
        <f>IF(B88="","",IFERROR(VLOOKUP(B88,'ANÁLISE DE DADOS'!$A:$AM,3,0),""))</f>
        <v/>
      </c>
      <c r="F88" s="61" t="str">
        <f>IF(B88="","",IFERROR(VLOOKUP(B88,'ANÁLISE DE DADOS'!$A:$AM,4,0),""))</f>
        <v/>
      </c>
      <c r="G88" s="62" t="str">
        <f>IF(B88="","",IFERROR(VLOOKUP(B88,'ANÁLISE DE DADOS'!$A:$AM,5,0),""))</f>
        <v/>
      </c>
      <c r="H88" s="62" t="str">
        <f>IF(B88="","",IFERROR(VLOOKUP(B88,'ANÁLISE DE DADOS'!$A:$AM,6,0),""))</f>
        <v/>
      </c>
      <c r="I88" s="62" t="str">
        <f>IF(B88="","",IFERROR(VLOOKUP(B88,'ANÁLISE DE DADOS'!$A:$AM,7,0),""))</f>
        <v/>
      </c>
      <c r="J88" s="62" t="str">
        <f>IF(B88="","",IFERROR(VLOOKUP(B88,'ANÁLISE DE DADOS'!$A:$AM,8,0),""))</f>
        <v/>
      </c>
      <c r="K88" s="61" t="str">
        <f>IF(B88="","",IFERROR(VLOOKUP(B88,'ANÁLISE DE DADOS'!$A:$AM,9,0),""))</f>
        <v/>
      </c>
      <c r="L88" s="61" t="str">
        <f>IF(B88="","",IFERROR(VLOOKUP(B88,'ANÁLISE DE DADOS'!$A:$AM,10,0),""))</f>
        <v/>
      </c>
      <c r="M88" s="62" t="str">
        <f>IF(B88="","",IFERROR(VLOOKUP(B88,'ANÁLISE DE DADOS'!$A:$AM,11,0),""))</f>
        <v/>
      </c>
      <c r="N88" s="61" t="str">
        <f>IF(B88="","",IFERROR(VLOOKUP(B88,'ANÁLISE DE DADOS'!$A:$AM,12,0),""))</f>
        <v/>
      </c>
      <c r="O88" s="61" t="str">
        <f>IF(B88="","",IFERROR(VLOOKUP(B88,'ANÁLISE DE DADOS'!$A:$AM,13,0),""))</f>
        <v/>
      </c>
      <c r="P88" s="63" t="str">
        <f>IF(B88="","",IFERROR(VLOOKUP(B88,'ANÁLISE DE DADOS'!$A:$AM,14,0),""))</f>
        <v/>
      </c>
      <c r="Q88" s="61" t="str">
        <f>IF(B88="","",IFERROR(VLOOKUP(B88,'ANÁLISE DE DADOS'!$A:$AM,15,0),""))</f>
        <v/>
      </c>
      <c r="R88" s="61" t="str">
        <f>IF(B88="","",IFERROR(VLOOKUP(B88,'ANÁLISE DE DADOS'!$A:$AM,16,0),""))</f>
        <v/>
      </c>
      <c r="S88" s="61" t="str">
        <f>IF(B88="","",IFERROR(VLOOKUP(B88,'ANÁLISE DE DADOS'!$A:$AM,17,0),""))</f>
        <v/>
      </c>
      <c r="T88" s="61" t="str">
        <f>IF(B88="","",IFERROR(VLOOKUP(B88,'ANÁLISE DE DADOS'!$A:$AM,18,0),""))</f>
        <v/>
      </c>
      <c r="U88" s="61" t="str">
        <f>IF(B88="","",IFERROR(VLOOKUP(B88,'ANÁLISE DE DADOS'!$A:$AM,19,0),""))</f>
        <v/>
      </c>
      <c r="V88" s="61" t="str">
        <f>IF(B88="","",IFERROR(VLOOKUP(B88,'ANÁLISE DE DADOS'!$A:$AM,20,0),""))</f>
        <v/>
      </c>
      <c r="W88" s="61" t="str">
        <f>IF(B88="","",IFERROR(VLOOKUP(B88,'ANÁLISE DE DADOS'!$A:$AM,21,0),""))</f>
        <v/>
      </c>
      <c r="X88" s="61" t="str">
        <f>IF(B88="","",IFERROR(VLOOKUP(B88,'ANÁLISE DE DADOS'!$A:$AM,22,0),""))</f>
        <v/>
      </c>
      <c r="Y88" s="61" t="str">
        <f>IF(B88="","",IFERROR(VLOOKUP(B88,'ANÁLISE DE DADOS'!$A:$AM,23,0),""))</f>
        <v/>
      </c>
      <c r="Z88" s="61" t="str">
        <f>IF(B88="","",IFERROR(VLOOKUP(B88,'ANÁLISE DE DADOS'!$A:$AM,24,0),""))</f>
        <v/>
      </c>
      <c r="AA88" s="61" t="str">
        <f>IF(B88="","",IFERROR(VLOOKUP(B88,'ANÁLISE DE DADOS'!$A:$AM,25,0),""))</f>
        <v/>
      </c>
      <c r="AB88" s="61" t="str">
        <f>IF(B88="","",IFERROR(VLOOKUP(B88,'ANÁLISE DE DADOS'!$A:$AM,26,0),""))</f>
        <v/>
      </c>
      <c r="AC88" s="61" t="str">
        <f>IF(B88="","",IFERROR(VLOOKUP(B88,'ANÁLISE DE DADOS'!$A:$AM,27,0),""))</f>
        <v/>
      </c>
      <c r="AD88" s="62" t="str">
        <f>IF(B88="","",IFERROR(VLOOKUP(B88,'ANÁLISE DE DADOS'!$A:$AM,28,0),""))</f>
        <v/>
      </c>
      <c r="AE88" s="61" t="str">
        <f>IF(B88="","",IFERROR(VLOOKUP(B88,'ANÁLISE DE DADOS'!$A:$AM,29,0),""))</f>
        <v/>
      </c>
      <c r="AF88" s="61" t="str">
        <f>IF(B88="","",IFERROR(VLOOKUP(B88,'ANÁLISE DE DADOS'!$A:$AM,30,0),""))</f>
        <v/>
      </c>
      <c r="AG88" s="62" t="str">
        <f>IF(B88="","",IFERROR(VLOOKUP(B88,'ANÁLISE DE DADOS'!$A:$AM,31,0),""))</f>
        <v/>
      </c>
      <c r="AH88" s="61" t="str">
        <f>IF(B88="","",IFERROR(VLOOKUP(B88,'ANÁLISE DE DADOS'!$A:$AM,32,0),""))</f>
        <v/>
      </c>
      <c r="AI88" s="61" t="str">
        <f>IF(B88="","",IFERROR(VLOOKUP(B88,'ANÁLISE DE DADOS'!$A:$AM,33,0),""))</f>
        <v/>
      </c>
      <c r="AJ88" s="61" t="str">
        <f>IF(B88="","",IFERROR(VLOOKUP(B88,'ANÁLISE DE DADOS'!$A:$AM,34,0),""))</f>
        <v/>
      </c>
      <c r="AK88" s="63" t="str">
        <f>IF(B88="","",IFERROR(VLOOKUP(B88,'ANÁLISE DE DADOS'!$A:$AM,35,0),""))</f>
        <v/>
      </c>
      <c r="AL88" s="63" t="str">
        <f>IF(B88="","",IFERROR(VLOOKUP(B88,'ANÁLISE DE DADOS'!$A:$AM,36,0),""))</f>
        <v/>
      </c>
    </row>
    <row r="89" spans="3:38" x14ac:dyDescent="0.3">
      <c r="C89" s="61" t="str">
        <f>IF(B89="","",IFERROR(VLOOKUP(B89,'ANÁLISE DE DADOS'!$A:$AM,1,0),""))</f>
        <v/>
      </c>
      <c r="D89" s="61" t="str">
        <f>IF(B89="","",IFERROR(VLOOKUP(B89,'ANÁLISE DE DADOS'!$A:$AM,2,0),""))</f>
        <v/>
      </c>
      <c r="E89" s="61" t="str">
        <f>IF(B89="","",IFERROR(VLOOKUP(B89,'ANÁLISE DE DADOS'!$A:$AM,3,0),""))</f>
        <v/>
      </c>
      <c r="F89" s="61" t="str">
        <f>IF(B89="","",IFERROR(VLOOKUP(B89,'ANÁLISE DE DADOS'!$A:$AM,4,0),""))</f>
        <v/>
      </c>
      <c r="G89" s="62" t="str">
        <f>IF(B89="","",IFERROR(VLOOKUP(B89,'ANÁLISE DE DADOS'!$A:$AM,5,0),""))</f>
        <v/>
      </c>
      <c r="H89" s="62" t="str">
        <f>IF(B89="","",IFERROR(VLOOKUP(B89,'ANÁLISE DE DADOS'!$A:$AM,6,0),""))</f>
        <v/>
      </c>
      <c r="I89" s="62" t="str">
        <f>IF(B89="","",IFERROR(VLOOKUP(B89,'ANÁLISE DE DADOS'!$A:$AM,7,0),""))</f>
        <v/>
      </c>
      <c r="J89" s="62" t="str">
        <f>IF(B89="","",IFERROR(VLOOKUP(B89,'ANÁLISE DE DADOS'!$A:$AM,8,0),""))</f>
        <v/>
      </c>
      <c r="K89" s="61" t="str">
        <f>IF(B89="","",IFERROR(VLOOKUP(B89,'ANÁLISE DE DADOS'!$A:$AM,9,0),""))</f>
        <v/>
      </c>
      <c r="L89" s="61" t="str">
        <f>IF(B89="","",IFERROR(VLOOKUP(B89,'ANÁLISE DE DADOS'!$A:$AM,10,0),""))</f>
        <v/>
      </c>
      <c r="M89" s="62" t="str">
        <f>IF(B89="","",IFERROR(VLOOKUP(B89,'ANÁLISE DE DADOS'!$A:$AM,11,0),""))</f>
        <v/>
      </c>
      <c r="N89" s="61" t="str">
        <f>IF(B89="","",IFERROR(VLOOKUP(B89,'ANÁLISE DE DADOS'!$A:$AM,12,0),""))</f>
        <v/>
      </c>
      <c r="O89" s="61" t="str">
        <f>IF(B89="","",IFERROR(VLOOKUP(B89,'ANÁLISE DE DADOS'!$A:$AM,13,0),""))</f>
        <v/>
      </c>
      <c r="P89" s="63" t="str">
        <f>IF(B89="","",IFERROR(VLOOKUP(B89,'ANÁLISE DE DADOS'!$A:$AM,14,0),""))</f>
        <v/>
      </c>
      <c r="Q89" s="61" t="str">
        <f>IF(B89="","",IFERROR(VLOOKUP(B89,'ANÁLISE DE DADOS'!$A:$AM,15,0),""))</f>
        <v/>
      </c>
      <c r="R89" s="61" t="str">
        <f>IF(B89="","",IFERROR(VLOOKUP(B89,'ANÁLISE DE DADOS'!$A:$AM,16,0),""))</f>
        <v/>
      </c>
      <c r="S89" s="61" t="str">
        <f>IF(B89="","",IFERROR(VLOOKUP(B89,'ANÁLISE DE DADOS'!$A:$AM,17,0),""))</f>
        <v/>
      </c>
      <c r="T89" s="61" t="str">
        <f>IF(B89="","",IFERROR(VLOOKUP(B89,'ANÁLISE DE DADOS'!$A:$AM,18,0),""))</f>
        <v/>
      </c>
      <c r="U89" s="61" t="str">
        <f>IF(B89="","",IFERROR(VLOOKUP(B89,'ANÁLISE DE DADOS'!$A:$AM,19,0),""))</f>
        <v/>
      </c>
      <c r="V89" s="61" t="str">
        <f>IF(B89="","",IFERROR(VLOOKUP(B89,'ANÁLISE DE DADOS'!$A:$AM,20,0),""))</f>
        <v/>
      </c>
      <c r="W89" s="61" t="str">
        <f>IF(B89="","",IFERROR(VLOOKUP(B89,'ANÁLISE DE DADOS'!$A:$AM,21,0),""))</f>
        <v/>
      </c>
      <c r="X89" s="61" t="str">
        <f>IF(B89="","",IFERROR(VLOOKUP(B89,'ANÁLISE DE DADOS'!$A:$AM,22,0),""))</f>
        <v/>
      </c>
      <c r="Y89" s="61" t="str">
        <f>IF(B89="","",IFERROR(VLOOKUP(B89,'ANÁLISE DE DADOS'!$A:$AM,23,0),""))</f>
        <v/>
      </c>
      <c r="Z89" s="61" t="str">
        <f>IF(B89="","",IFERROR(VLOOKUP(B89,'ANÁLISE DE DADOS'!$A:$AM,24,0),""))</f>
        <v/>
      </c>
      <c r="AA89" s="61" t="str">
        <f>IF(B89="","",IFERROR(VLOOKUP(B89,'ANÁLISE DE DADOS'!$A:$AM,25,0),""))</f>
        <v/>
      </c>
      <c r="AB89" s="61" t="str">
        <f>IF(B89="","",IFERROR(VLOOKUP(B89,'ANÁLISE DE DADOS'!$A:$AM,26,0),""))</f>
        <v/>
      </c>
      <c r="AC89" s="61" t="str">
        <f>IF(B89="","",IFERROR(VLOOKUP(B89,'ANÁLISE DE DADOS'!$A:$AM,27,0),""))</f>
        <v/>
      </c>
      <c r="AD89" s="62" t="str">
        <f>IF(B89="","",IFERROR(VLOOKUP(B89,'ANÁLISE DE DADOS'!$A:$AM,28,0),""))</f>
        <v/>
      </c>
      <c r="AE89" s="61" t="str">
        <f>IF(B89="","",IFERROR(VLOOKUP(B89,'ANÁLISE DE DADOS'!$A:$AM,29,0),""))</f>
        <v/>
      </c>
      <c r="AF89" s="61" t="str">
        <f>IF(B89="","",IFERROR(VLOOKUP(B89,'ANÁLISE DE DADOS'!$A:$AM,30,0),""))</f>
        <v/>
      </c>
      <c r="AG89" s="62" t="str">
        <f>IF(B89="","",IFERROR(VLOOKUP(B89,'ANÁLISE DE DADOS'!$A:$AM,31,0),""))</f>
        <v/>
      </c>
      <c r="AH89" s="61" t="str">
        <f>IF(B89="","",IFERROR(VLOOKUP(B89,'ANÁLISE DE DADOS'!$A:$AM,32,0),""))</f>
        <v/>
      </c>
      <c r="AI89" s="61" t="str">
        <f>IF(B89="","",IFERROR(VLOOKUP(B89,'ANÁLISE DE DADOS'!$A:$AM,33,0),""))</f>
        <v/>
      </c>
      <c r="AJ89" s="61" t="str">
        <f>IF(B89="","",IFERROR(VLOOKUP(B89,'ANÁLISE DE DADOS'!$A:$AM,34,0),""))</f>
        <v/>
      </c>
      <c r="AK89" s="63" t="str">
        <f>IF(B89="","",IFERROR(VLOOKUP(B89,'ANÁLISE DE DADOS'!$A:$AM,35,0),""))</f>
        <v/>
      </c>
      <c r="AL89" s="63" t="str">
        <f>IF(B89="","",IFERROR(VLOOKUP(B89,'ANÁLISE DE DADOS'!$A:$AM,36,0),""))</f>
        <v/>
      </c>
    </row>
    <row r="90" spans="3:38" x14ac:dyDescent="0.3">
      <c r="C90" s="61" t="str">
        <f>IF(B90="","",IFERROR(VLOOKUP(B90,'ANÁLISE DE DADOS'!$A:$AM,1,0),""))</f>
        <v/>
      </c>
      <c r="D90" s="61" t="str">
        <f>IF(B90="","",IFERROR(VLOOKUP(B90,'ANÁLISE DE DADOS'!$A:$AM,2,0),""))</f>
        <v/>
      </c>
      <c r="E90" s="61" t="str">
        <f>IF(B90="","",IFERROR(VLOOKUP(B90,'ANÁLISE DE DADOS'!$A:$AM,3,0),""))</f>
        <v/>
      </c>
      <c r="F90" s="61" t="str">
        <f>IF(B90="","",IFERROR(VLOOKUP(B90,'ANÁLISE DE DADOS'!$A:$AM,4,0),""))</f>
        <v/>
      </c>
      <c r="G90" s="62" t="str">
        <f>IF(B90="","",IFERROR(VLOOKUP(B90,'ANÁLISE DE DADOS'!$A:$AM,5,0),""))</f>
        <v/>
      </c>
      <c r="H90" s="62" t="str">
        <f>IF(B90="","",IFERROR(VLOOKUP(B90,'ANÁLISE DE DADOS'!$A:$AM,6,0),""))</f>
        <v/>
      </c>
      <c r="I90" s="62" t="str">
        <f>IF(B90="","",IFERROR(VLOOKUP(B90,'ANÁLISE DE DADOS'!$A:$AM,7,0),""))</f>
        <v/>
      </c>
      <c r="J90" s="62" t="str">
        <f>IF(B90="","",IFERROR(VLOOKUP(B90,'ANÁLISE DE DADOS'!$A:$AM,8,0),""))</f>
        <v/>
      </c>
      <c r="K90" s="61" t="str">
        <f>IF(B90="","",IFERROR(VLOOKUP(B90,'ANÁLISE DE DADOS'!$A:$AM,9,0),""))</f>
        <v/>
      </c>
      <c r="L90" s="61" t="str">
        <f>IF(B90="","",IFERROR(VLOOKUP(B90,'ANÁLISE DE DADOS'!$A:$AM,10,0),""))</f>
        <v/>
      </c>
      <c r="M90" s="62" t="str">
        <f>IF(B90="","",IFERROR(VLOOKUP(B90,'ANÁLISE DE DADOS'!$A:$AM,11,0),""))</f>
        <v/>
      </c>
      <c r="N90" s="61" t="str">
        <f>IF(B90="","",IFERROR(VLOOKUP(B90,'ANÁLISE DE DADOS'!$A:$AM,12,0),""))</f>
        <v/>
      </c>
      <c r="O90" s="61" t="str">
        <f>IF(B90="","",IFERROR(VLOOKUP(B90,'ANÁLISE DE DADOS'!$A:$AM,13,0),""))</f>
        <v/>
      </c>
      <c r="P90" s="63" t="str">
        <f>IF(B90="","",IFERROR(VLOOKUP(B90,'ANÁLISE DE DADOS'!$A:$AM,14,0),""))</f>
        <v/>
      </c>
      <c r="Q90" s="61" t="str">
        <f>IF(B90="","",IFERROR(VLOOKUP(B90,'ANÁLISE DE DADOS'!$A:$AM,15,0),""))</f>
        <v/>
      </c>
      <c r="R90" s="61" t="str">
        <f>IF(B90="","",IFERROR(VLOOKUP(B90,'ANÁLISE DE DADOS'!$A:$AM,16,0),""))</f>
        <v/>
      </c>
      <c r="S90" s="61" t="str">
        <f>IF(B90="","",IFERROR(VLOOKUP(B90,'ANÁLISE DE DADOS'!$A:$AM,17,0),""))</f>
        <v/>
      </c>
      <c r="T90" s="61" t="str">
        <f>IF(B90="","",IFERROR(VLOOKUP(B90,'ANÁLISE DE DADOS'!$A:$AM,18,0),""))</f>
        <v/>
      </c>
      <c r="U90" s="61" t="str">
        <f>IF(B90="","",IFERROR(VLOOKUP(B90,'ANÁLISE DE DADOS'!$A:$AM,19,0),""))</f>
        <v/>
      </c>
      <c r="V90" s="61" t="str">
        <f>IF(B90="","",IFERROR(VLOOKUP(B90,'ANÁLISE DE DADOS'!$A:$AM,20,0),""))</f>
        <v/>
      </c>
      <c r="W90" s="61" t="str">
        <f>IF(B90="","",IFERROR(VLOOKUP(B90,'ANÁLISE DE DADOS'!$A:$AM,21,0),""))</f>
        <v/>
      </c>
      <c r="X90" s="61" t="str">
        <f>IF(B90="","",IFERROR(VLOOKUP(B90,'ANÁLISE DE DADOS'!$A:$AM,22,0),""))</f>
        <v/>
      </c>
      <c r="Y90" s="61" t="str">
        <f>IF(B90="","",IFERROR(VLOOKUP(B90,'ANÁLISE DE DADOS'!$A:$AM,23,0),""))</f>
        <v/>
      </c>
      <c r="Z90" s="61" t="str">
        <f>IF(B90="","",IFERROR(VLOOKUP(B90,'ANÁLISE DE DADOS'!$A:$AM,24,0),""))</f>
        <v/>
      </c>
      <c r="AA90" s="61" t="str">
        <f>IF(B90="","",IFERROR(VLOOKUP(B90,'ANÁLISE DE DADOS'!$A:$AM,25,0),""))</f>
        <v/>
      </c>
      <c r="AB90" s="61" t="str">
        <f>IF(B90="","",IFERROR(VLOOKUP(B90,'ANÁLISE DE DADOS'!$A:$AM,26,0),""))</f>
        <v/>
      </c>
      <c r="AC90" s="61" t="str">
        <f>IF(B90="","",IFERROR(VLOOKUP(B90,'ANÁLISE DE DADOS'!$A:$AM,27,0),""))</f>
        <v/>
      </c>
      <c r="AD90" s="62" t="str">
        <f>IF(B90="","",IFERROR(VLOOKUP(B90,'ANÁLISE DE DADOS'!$A:$AM,28,0),""))</f>
        <v/>
      </c>
      <c r="AE90" s="61" t="str">
        <f>IF(B90="","",IFERROR(VLOOKUP(B90,'ANÁLISE DE DADOS'!$A:$AM,29,0),""))</f>
        <v/>
      </c>
      <c r="AF90" s="61" t="str">
        <f>IF(B90="","",IFERROR(VLOOKUP(B90,'ANÁLISE DE DADOS'!$A:$AM,30,0),""))</f>
        <v/>
      </c>
      <c r="AG90" s="62" t="str">
        <f>IF(B90="","",IFERROR(VLOOKUP(B90,'ANÁLISE DE DADOS'!$A:$AM,31,0),""))</f>
        <v/>
      </c>
      <c r="AH90" s="61" t="str">
        <f>IF(B90="","",IFERROR(VLOOKUP(B90,'ANÁLISE DE DADOS'!$A:$AM,32,0),""))</f>
        <v/>
      </c>
      <c r="AI90" s="61" t="str">
        <f>IF(B90="","",IFERROR(VLOOKUP(B90,'ANÁLISE DE DADOS'!$A:$AM,33,0),""))</f>
        <v/>
      </c>
      <c r="AJ90" s="61" t="str">
        <f>IF(B90="","",IFERROR(VLOOKUP(B90,'ANÁLISE DE DADOS'!$A:$AM,34,0),""))</f>
        <v/>
      </c>
      <c r="AK90" s="63" t="str">
        <f>IF(B90="","",IFERROR(VLOOKUP(B90,'ANÁLISE DE DADOS'!$A:$AM,35,0),""))</f>
        <v/>
      </c>
      <c r="AL90" s="63" t="str">
        <f>IF(B90="","",IFERROR(VLOOKUP(B90,'ANÁLISE DE DADOS'!$A:$AM,36,0),""))</f>
        <v/>
      </c>
    </row>
    <row r="91" spans="3:38" x14ac:dyDescent="0.3">
      <c r="C91" s="61" t="str">
        <f>IF(B91="","",IFERROR(VLOOKUP(B91,'ANÁLISE DE DADOS'!$A:$AM,1,0),""))</f>
        <v/>
      </c>
      <c r="D91" s="61" t="str">
        <f>IF(B91="","",IFERROR(VLOOKUP(B91,'ANÁLISE DE DADOS'!$A:$AM,2,0),""))</f>
        <v/>
      </c>
      <c r="E91" s="61" t="str">
        <f>IF(B91="","",IFERROR(VLOOKUP(B91,'ANÁLISE DE DADOS'!$A:$AM,3,0),""))</f>
        <v/>
      </c>
      <c r="F91" s="61" t="str">
        <f>IF(B91="","",IFERROR(VLOOKUP(B91,'ANÁLISE DE DADOS'!$A:$AM,4,0),""))</f>
        <v/>
      </c>
      <c r="G91" s="62" t="str">
        <f>IF(B91="","",IFERROR(VLOOKUP(B91,'ANÁLISE DE DADOS'!$A:$AM,5,0),""))</f>
        <v/>
      </c>
      <c r="H91" s="62" t="str">
        <f>IF(B91="","",IFERROR(VLOOKUP(B91,'ANÁLISE DE DADOS'!$A:$AM,6,0),""))</f>
        <v/>
      </c>
      <c r="I91" s="62" t="str">
        <f>IF(B91="","",IFERROR(VLOOKUP(B91,'ANÁLISE DE DADOS'!$A:$AM,7,0),""))</f>
        <v/>
      </c>
      <c r="J91" s="62" t="str">
        <f>IF(B91="","",IFERROR(VLOOKUP(B91,'ANÁLISE DE DADOS'!$A:$AM,8,0),""))</f>
        <v/>
      </c>
      <c r="K91" s="61" t="str">
        <f>IF(B91="","",IFERROR(VLOOKUP(B91,'ANÁLISE DE DADOS'!$A:$AM,9,0),""))</f>
        <v/>
      </c>
      <c r="L91" s="61" t="str">
        <f>IF(B91="","",IFERROR(VLOOKUP(B91,'ANÁLISE DE DADOS'!$A:$AM,10,0),""))</f>
        <v/>
      </c>
      <c r="M91" s="62" t="str">
        <f>IF(B91="","",IFERROR(VLOOKUP(B91,'ANÁLISE DE DADOS'!$A:$AM,11,0),""))</f>
        <v/>
      </c>
      <c r="N91" s="61" t="str">
        <f>IF(B91="","",IFERROR(VLOOKUP(B91,'ANÁLISE DE DADOS'!$A:$AM,12,0),""))</f>
        <v/>
      </c>
      <c r="O91" s="61" t="str">
        <f>IF(B91="","",IFERROR(VLOOKUP(B91,'ANÁLISE DE DADOS'!$A:$AM,13,0),""))</f>
        <v/>
      </c>
      <c r="P91" s="63" t="str">
        <f>IF(B91="","",IFERROR(VLOOKUP(B91,'ANÁLISE DE DADOS'!$A:$AM,14,0),""))</f>
        <v/>
      </c>
      <c r="Q91" s="61" t="str">
        <f>IF(B91="","",IFERROR(VLOOKUP(B91,'ANÁLISE DE DADOS'!$A:$AM,15,0),""))</f>
        <v/>
      </c>
      <c r="R91" s="61" t="str">
        <f>IF(B91="","",IFERROR(VLOOKUP(B91,'ANÁLISE DE DADOS'!$A:$AM,16,0),""))</f>
        <v/>
      </c>
      <c r="S91" s="61" t="str">
        <f>IF(B91="","",IFERROR(VLOOKUP(B91,'ANÁLISE DE DADOS'!$A:$AM,17,0),""))</f>
        <v/>
      </c>
      <c r="T91" s="61" t="str">
        <f>IF(B91="","",IFERROR(VLOOKUP(B91,'ANÁLISE DE DADOS'!$A:$AM,18,0),""))</f>
        <v/>
      </c>
      <c r="U91" s="61" t="str">
        <f>IF(B91="","",IFERROR(VLOOKUP(B91,'ANÁLISE DE DADOS'!$A:$AM,19,0),""))</f>
        <v/>
      </c>
      <c r="V91" s="61" t="str">
        <f>IF(B91="","",IFERROR(VLOOKUP(B91,'ANÁLISE DE DADOS'!$A:$AM,20,0),""))</f>
        <v/>
      </c>
      <c r="W91" s="61" t="str">
        <f>IF(B91="","",IFERROR(VLOOKUP(B91,'ANÁLISE DE DADOS'!$A:$AM,21,0),""))</f>
        <v/>
      </c>
      <c r="X91" s="61" t="str">
        <f>IF(B91="","",IFERROR(VLOOKUP(B91,'ANÁLISE DE DADOS'!$A:$AM,22,0),""))</f>
        <v/>
      </c>
      <c r="Y91" s="61" t="str">
        <f>IF(B91="","",IFERROR(VLOOKUP(B91,'ANÁLISE DE DADOS'!$A:$AM,23,0),""))</f>
        <v/>
      </c>
      <c r="Z91" s="61" t="str">
        <f>IF(B91="","",IFERROR(VLOOKUP(B91,'ANÁLISE DE DADOS'!$A:$AM,24,0),""))</f>
        <v/>
      </c>
      <c r="AA91" s="61" t="str">
        <f>IF(B91="","",IFERROR(VLOOKUP(B91,'ANÁLISE DE DADOS'!$A:$AM,25,0),""))</f>
        <v/>
      </c>
      <c r="AB91" s="61" t="str">
        <f>IF(B91="","",IFERROR(VLOOKUP(B91,'ANÁLISE DE DADOS'!$A:$AM,26,0),""))</f>
        <v/>
      </c>
      <c r="AC91" s="61" t="str">
        <f>IF(B91="","",IFERROR(VLOOKUP(B91,'ANÁLISE DE DADOS'!$A:$AM,27,0),""))</f>
        <v/>
      </c>
      <c r="AD91" s="62" t="str">
        <f>IF(B91="","",IFERROR(VLOOKUP(B91,'ANÁLISE DE DADOS'!$A:$AM,28,0),""))</f>
        <v/>
      </c>
      <c r="AE91" s="61" t="str">
        <f>IF(B91="","",IFERROR(VLOOKUP(B91,'ANÁLISE DE DADOS'!$A:$AM,29,0),""))</f>
        <v/>
      </c>
      <c r="AF91" s="61" t="str">
        <f>IF(B91="","",IFERROR(VLOOKUP(B91,'ANÁLISE DE DADOS'!$A:$AM,30,0),""))</f>
        <v/>
      </c>
      <c r="AG91" s="62" t="str">
        <f>IF(B91="","",IFERROR(VLOOKUP(B91,'ANÁLISE DE DADOS'!$A:$AM,31,0),""))</f>
        <v/>
      </c>
      <c r="AH91" s="61" t="str">
        <f>IF(B91="","",IFERROR(VLOOKUP(B91,'ANÁLISE DE DADOS'!$A:$AM,32,0),""))</f>
        <v/>
      </c>
      <c r="AI91" s="61" t="str">
        <f>IF(B91="","",IFERROR(VLOOKUP(B91,'ANÁLISE DE DADOS'!$A:$AM,33,0),""))</f>
        <v/>
      </c>
      <c r="AJ91" s="61" t="str">
        <f>IF(B91="","",IFERROR(VLOOKUP(B91,'ANÁLISE DE DADOS'!$A:$AM,34,0),""))</f>
        <v/>
      </c>
      <c r="AK91" s="63" t="str">
        <f>IF(B91="","",IFERROR(VLOOKUP(B91,'ANÁLISE DE DADOS'!$A:$AM,35,0),""))</f>
        <v/>
      </c>
      <c r="AL91" s="63" t="str">
        <f>IF(B91="","",IFERROR(VLOOKUP(B91,'ANÁLISE DE DADOS'!$A:$AM,36,0),""))</f>
        <v/>
      </c>
    </row>
    <row r="92" spans="3:38" x14ac:dyDescent="0.3">
      <c r="C92" s="61" t="str">
        <f>IF(B92="","",IFERROR(VLOOKUP(B92,'ANÁLISE DE DADOS'!$A:$AM,1,0),""))</f>
        <v/>
      </c>
      <c r="D92" s="61" t="str">
        <f>IF(B92="","",IFERROR(VLOOKUP(B92,'ANÁLISE DE DADOS'!$A:$AM,2,0),""))</f>
        <v/>
      </c>
      <c r="E92" s="61" t="str">
        <f>IF(B92="","",IFERROR(VLOOKUP(B92,'ANÁLISE DE DADOS'!$A:$AM,3,0),""))</f>
        <v/>
      </c>
      <c r="F92" s="61" t="str">
        <f>IF(B92="","",IFERROR(VLOOKUP(B92,'ANÁLISE DE DADOS'!$A:$AM,4,0),""))</f>
        <v/>
      </c>
      <c r="G92" s="62" t="str">
        <f>IF(B92="","",IFERROR(VLOOKUP(B92,'ANÁLISE DE DADOS'!$A:$AM,5,0),""))</f>
        <v/>
      </c>
      <c r="H92" s="62" t="str">
        <f>IF(B92="","",IFERROR(VLOOKUP(B92,'ANÁLISE DE DADOS'!$A:$AM,6,0),""))</f>
        <v/>
      </c>
      <c r="I92" s="62" t="str">
        <f>IF(B92="","",IFERROR(VLOOKUP(B92,'ANÁLISE DE DADOS'!$A:$AM,7,0),""))</f>
        <v/>
      </c>
      <c r="J92" s="62" t="str">
        <f>IF(B92="","",IFERROR(VLOOKUP(B92,'ANÁLISE DE DADOS'!$A:$AM,8,0),""))</f>
        <v/>
      </c>
      <c r="K92" s="61" t="str">
        <f>IF(B92="","",IFERROR(VLOOKUP(B92,'ANÁLISE DE DADOS'!$A:$AM,9,0),""))</f>
        <v/>
      </c>
      <c r="L92" s="61" t="str">
        <f>IF(B92="","",IFERROR(VLOOKUP(B92,'ANÁLISE DE DADOS'!$A:$AM,10,0),""))</f>
        <v/>
      </c>
      <c r="M92" s="62" t="str">
        <f>IF(B92="","",IFERROR(VLOOKUP(B92,'ANÁLISE DE DADOS'!$A:$AM,11,0),""))</f>
        <v/>
      </c>
      <c r="N92" s="61" t="str">
        <f>IF(B92="","",IFERROR(VLOOKUP(B92,'ANÁLISE DE DADOS'!$A:$AM,12,0),""))</f>
        <v/>
      </c>
      <c r="O92" s="61" t="str">
        <f>IF(B92="","",IFERROR(VLOOKUP(B92,'ANÁLISE DE DADOS'!$A:$AM,13,0),""))</f>
        <v/>
      </c>
      <c r="P92" s="63" t="str">
        <f>IF(B92="","",IFERROR(VLOOKUP(B92,'ANÁLISE DE DADOS'!$A:$AM,14,0),""))</f>
        <v/>
      </c>
      <c r="Q92" s="61" t="str">
        <f>IF(B92="","",IFERROR(VLOOKUP(B92,'ANÁLISE DE DADOS'!$A:$AM,15,0),""))</f>
        <v/>
      </c>
      <c r="R92" s="61" t="str">
        <f>IF(B92="","",IFERROR(VLOOKUP(B92,'ANÁLISE DE DADOS'!$A:$AM,16,0),""))</f>
        <v/>
      </c>
      <c r="S92" s="61" t="str">
        <f>IF(B92="","",IFERROR(VLOOKUP(B92,'ANÁLISE DE DADOS'!$A:$AM,17,0),""))</f>
        <v/>
      </c>
      <c r="T92" s="61" t="str">
        <f>IF(B92="","",IFERROR(VLOOKUP(B92,'ANÁLISE DE DADOS'!$A:$AM,18,0),""))</f>
        <v/>
      </c>
      <c r="U92" s="61" t="str">
        <f>IF(B92="","",IFERROR(VLOOKUP(B92,'ANÁLISE DE DADOS'!$A:$AM,19,0),""))</f>
        <v/>
      </c>
      <c r="V92" s="61" t="str">
        <f>IF(B92="","",IFERROR(VLOOKUP(B92,'ANÁLISE DE DADOS'!$A:$AM,20,0),""))</f>
        <v/>
      </c>
      <c r="W92" s="61" t="str">
        <f>IF(B92="","",IFERROR(VLOOKUP(B92,'ANÁLISE DE DADOS'!$A:$AM,21,0),""))</f>
        <v/>
      </c>
      <c r="X92" s="61" t="str">
        <f>IF(B92="","",IFERROR(VLOOKUP(B92,'ANÁLISE DE DADOS'!$A:$AM,22,0),""))</f>
        <v/>
      </c>
      <c r="Y92" s="61" t="str">
        <f>IF(B92="","",IFERROR(VLOOKUP(B92,'ANÁLISE DE DADOS'!$A:$AM,23,0),""))</f>
        <v/>
      </c>
      <c r="Z92" s="61" t="str">
        <f>IF(B92="","",IFERROR(VLOOKUP(B92,'ANÁLISE DE DADOS'!$A:$AM,24,0),""))</f>
        <v/>
      </c>
      <c r="AA92" s="61" t="str">
        <f>IF(B92="","",IFERROR(VLOOKUP(B92,'ANÁLISE DE DADOS'!$A:$AM,25,0),""))</f>
        <v/>
      </c>
      <c r="AB92" s="61" t="str">
        <f>IF(B92="","",IFERROR(VLOOKUP(B92,'ANÁLISE DE DADOS'!$A:$AM,26,0),""))</f>
        <v/>
      </c>
      <c r="AC92" s="61" t="str">
        <f>IF(B92="","",IFERROR(VLOOKUP(B92,'ANÁLISE DE DADOS'!$A:$AM,27,0),""))</f>
        <v/>
      </c>
      <c r="AD92" s="62" t="str">
        <f>IF(B92="","",IFERROR(VLOOKUP(B92,'ANÁLISE DE DADOS'!$A:$AM,28,0),""))</f>
        <v/>
      </c>
      <c r="AE92" s="61" t="str">
        <f>IF(B92="","",IFERROR(VLOOKUP(B92,'ANÁLISE DE DADOS'!$A:$AM,29,0),""))</f>
        <v/>
      </c>
      <c r="AF92" s="61" t="str">
        <f>IF(B92="","",IFERROR(VLOOKUP(B92,'ANÁLISE DE DADOS'!$A:$AM,30,0),""))</f>
        <v/>
      </c>
      <c r="AG92" s="62" t="str">
        <f>IF(B92="","",IFERROR(VLOOKUP(B92,'ANÁLISE DE DADOS'!$A:$AM,31,0),""))</f>
        <v/>
      </c>
      <c r="AH92" s="61" t="str">
        <f>IF(B92="","",IFERROR(VLOOKUP(B92,'ANÁLISE DE DADOS'!$A:$AM,32,0),""))</f>
        <v/>
      </c>
      <c r="AI92" s="61" t="str">
        <f>IF(B92="","",IFERROR(VLOOKUP(B92,'ANÁLISE DE DADOS'!$A:$AM,33,0),""))</f>
        <v/>
      </c>
      <c r="AJ92" s="61" t="str">
        <f>IF(B92="","",IFERROR(VLOOKUP(B92,'ANÁLISE DE DADOS'!$A:$AM,34,0),""))</f>
        <v/>
      </c>
      <c r="AK92" s="63" t="str">
        <f>IF(B92="","",IFERROR(VLOOKUP(B92,'ANÁLISE DE DADOS'!$A:$AM,35,0),""))</f>
        <v/>
      </c>
      <c r="AL92" s="63" t="str">
        <f>IF(B92="","",IFERROR(VLOOKUP(B92,'ANÁLISE DE DADOS'!$A:$AM,36,0),""))</f>
        <v/>
      </c>
    </row>
    <row r="93" spans="3:38" x14ac:dyDescent="0.3">
      <c r="C93" s="61" t="str">
        <f>IF(B93="","",IFERROR(VLOOKUP(B93,'ANÁLISE DE DADOS'!$A:$AM,1,0),""))</f>
        <v/>
      </c>
      <c r="D93" s="61" t="str">
        <f>IF(B93="","",IFERROR(VLOOKUP(B93,'ANÁLISE DE DADOS'!$A:$AM,2,0),""))</f>
        <v/>
      </c>
      <c r="E93" s="61" t="str">
        <f>IF(B93="","",IFERROR(VLOOKUP(B93,'ANÁLISE DE DADOS'!$A:$AM,3,0),""))</f>
        <v/>
      </c>
      <c r="F93" s="61" t="str">
        <f>IF(B93="","",IFERROR(VLOOKUP(B93,'ANÁLISE DE DADOS'!$A:$AM,4,0),""))</f>
        <v/>
      </c>
      <c r="G93" s="62" t="str">
        <f>IF(B93="","",IFERROR(VLOOKUP(B93,'ANÁLISE DE DADOS'!$A:$AM,5,0),""))</f>
        <v/>
      </c>
      <c r="H93" s="62" t="str">
        <f>IF(B93="","",IFERROR(VLOOKUP(B93,'ANÁLISE DE DADOS'!$A:$AM,6,0),""))</f>
        <v/>
      </c>
      <c r="I93" s="62" t="str">
        <f>IF(B93="","",IFERROR(VLOOKUP(B93,'ANÁLISE DE DADOS'!$A:$AM,7,0),""))</f>
        <v/>
      </c>
      <c r="J93" s="62" t="str">
        <f>IF(B93="","",IFERROR(VLOOKUP(B93,'ANÁLISE DE DADOS'!$A:$AM,8,0),""))</f>
        <v/>
      </c>
      <c r="K93" s="61" t="str">
        <f>IF(B93="","",IFERROR(VLOOKUP(B93,'ANÁLISE DE DADOS'!$A:$AM,9,0),""))</f>
        <v/>
      </c>
      <c r="L93" s="61" t="str">
        <f>IF(B93="","",IFERROR(VLOOKUP(B93,'ANÁLISE DE DADOS'!$A:$AM,10,0),""))</f>
        <v/>
      </c>
      <c r="M93" s="62" t="str">
        <f>IF(B93="","",IFERROR(VLOOKUP(B93,'ANÁLISE DE DADOS'!$A:$AM,11,0),""))</f>
        <v/>
      </c>
      <c r="N93" s="61" t="str">
        <f>IF(B93="","",IFERROR(VLOOKUP(B93,'ANÁLISE DE DADOS'!$A:$AM,12,0),""))</f>
        <v/>
      </c>
      <c r="O93" s="61" t="str">
        <f>IF(B93="","",IFERROR(VLOOKUP(B93,'ANÁLISE DE DADOS'!$A:$AM,13,0),""))</f>
        <v/>
      </c>
      <c r="P93" s="63" t="str">
        <f>IF(B93="","",IFERROR(VLOOKUP(B93,'ANÁLISE DE DADOS'!$A:$AM,14,0),""))</f>
        <v/>
      </c>
      <c r="Q93" s="61" t="str">
        <f>IF(B93="","",IFERROR(VLOOKUP(B93,'ANÁLISE DE DADOS'!$A:$AM,15,0),""))</f>
        <v/>
      </c>
      <c r="R93" s="61" t="str">
        <f>IF(B93="","",IFERROR(VLOOKUP(B93,'ANÁLISE DE DADOS'!$A:$AM,16,0),""))</f>
        <v/>
      </c>
      <c r="S93" s="61" t="str">
        <f>IF(B93="","",IFERROR(VLOOKUP(B93,'ANÁLISE DE DADOS'!$A:$AM,17,0),""))</f>
        <v/>
      </c>
      <c r="T93" s="61" t="str">
        <f>IF(B93="","",IFERROR(VLOOKUP(B93,'ANÁLISE DE DADOS'!$A:$AM,18,0),""))</f>
        <v/>
      </c>
      <c r="U93" s="61" t="str">
        <f>IF(B93="","",IFERROR(VLOOKUP(B93,'ANÁLISE DE DADOS'!$A:$AM,19,0),""))</f>
        <v/>
      </c>
      <c r="V93" s="61" t="str">
        <f>IF(B93="","",IFERROR(VLOOKUP(B93,'ANÁLISE DE DADOS'!$A:$AM,20,0),""))</f>
        <v/>
      </c>
      <c r="W93" s="61" t="str">
        <f>IF(B93="","",IFERROR(VLOOKUP(B93,'ANÁLISE DE DADOS'!$A:$AM,21,0),""))</f>
        <v/>
      </c>
      <c r="X93" s="61" t="str">
        <f>IF(B93="","",IFERROR(VLOOKUP(B93,'ANÁLISE DE DADOS'!$A:$AM,22,0),""))</f>
        <v/>
      </c>
      <c r="Y93" s="61" t="str">
        <f>IF(B93="","",IFERROR(VLOOKUP(B93,'ANÁLISE DE DADOS'!$A:$AM,23,0),""))</f>
        <v/>
      </c>
      <c r="Z93" s="61" t="str">
        <f>IF(B93="","",IFERROR(VLOOKUP(B93,'ANÁLISE DE DADOS'!$A:$AM,24,0),""))</f>
        <v/>
      </c>
      <c r="AA93" s="61" t="str">
        <f>IF(B93="","",IFERROR(VLOOKUP(B93,'ANÁLISE DE DADOS'!$A:$AM,25,0),""))</f>
        <v/>
      </c>
      <c r="AB93" s="61" t="str">
        <f>IF(B93="","",IFERROR(VLOOKUP(B93,'ANÁLISE DE DADOS'!$A:$AM,26,0),""))</f>
        <v/>
      </c>
      <c r="AC93" s="61" t="str">
        <f>IF(B93="","",IFERROR(VLOOKUP(B93,'ANÁLISE DE DADOS'!$A:$AM,27,0),""))</f>
        <v/>
      </c>
      <c r="AD93" s="62" t="str">
        <f>IF(B93="","",IFERROR(VLOOKUP(B93,'ANÁLISE DE DADOS'!$A:$AM,28,0),""))</f>
        <v/>
      </c>
      <c r="AE93" s="61" t="str">
        <f>IF(B93="","",IFERROR(VLOOKUP(B93,'ANÁLISE DE DADOS'!$A:$AM,29,0),""))</f>
        <v/>
      </c>
      <c r="AF93" s="61" t="str">
        <f>IF(B93="","",IFERROR(VLOOKUP(B93,'ANÁLISE DE DADOS'!$A:$AM,30,0),""))</f>
        <v/>
      </c>
      <c r="AG93" s="62" t="str">
        <f>IF(B93="","",IFERROR(VLOOKUP(B93,'ANÁLISE DE DADOS'!$A:$AM,31,0),""))</f>
        <v/>
      </c>
      <c r="AH93" s="61" t="str">
        <f>IF(B93="","",IFERROR(VLOOKUP(B93,'ANÁLISE DE DADOS'!$A:$AM,32,0),""))</f>
        <v/>
      </c>
      <c r="AI93" s="61" t="str">
        <f>IF(B93="","",IFERROR(VLOOKUP(B93,'ANÁLISE DE DADOS'!$A:$AM,33,0),""))</f>
        <v/>
      </c>
      <c r="AJ93" s="61" t="str">
        <f>IF(B93="","",IFERROR(VLOOKUP(B93,'ANÁLISE DE DADOS'!$A:$AM,34,0),""))</f>
        <v/>
      </c>
      <c r="AK93" s="63" t="str">
        <f>IF(B93="","",IFERROR(VLOOKUP(B93,'ANÁLISE DE DADOS'!$A:$AM,35,0),""))</f>
        <v/>
      </c>
      <c r="AL93" s="63" t="str">
        <f>IF(B93="","",IFERROR(VLOOKUP(B93,'ANÁLISE DE DADOS'!$A:$AM,36,0),""))</f>
        <v/>
      </c>
    </row>
    <row r="94" spans="3:38" x14ac:dyDescent="0.3">
      <c r="C94" s="61" t="str">
        <f>IF(B94="","",IFERROR(VLOOKUP(B94,'ANÁLISE DE DADOS'!$A:$AM,1,0),""))</f>
        <v/>
      </c>
      <c r="D94" s="61" t="str">
        <f>IF(B94="","",IFERROR(VLOOKUP(B94,'ANÁLISE DE DADOS'!$A:$AM,2,0),""))</f>
        <v/>
      </c>
      <c r="E94" s="61" t="str">
        <f>IF(B94="","",IFERROR(VLOOKUP(B94,'ANÁLISE DE DADOS'!$A:$AM,3,0),""))</f>
        <v/>
      </c>
      <c r="F94" s="61" t="str">
        <f>IF(B94="","",IFERROR(VLOOKUP(B94,'ANÁLISE DE DADOS'!$A:$AM,4,0),""))</f>
        <v/>
      </c>
      <c r="G94" s="62" t="str">
        <f>IF(B94="","",IFERROR(VLOOKUP(B94,'ANÁLISE DE DADOS'!$A:$AM,5,0),""))</f>
        <v/>
      </c>
      <c r="H94" s="62" t="str">
        <f>IF(B94="","",IFERROR(VLOOKUP(B94,'ANÁLISE DE DADOS'!$A:$AM,6,0),""))</f>
        <v/>
      </c>
      <c r="I94" s="62" t="str">
        <f>IF(B94="","",IFERROR(VLOOKUP(B94,'ANÁLISE DE DADOS'!$A:$AM,7,0),""))</f>
        <v/>
      </c>
      <c r="J94" s="62" t="str">
        <f>IF(B94="","",IFERROR(VLOOKUP(B94,'ANÁLISE DE DADOS'!$A:$AM,8,0),""))</f>
        <v/>
      </c>
      <c r="K94" s="61" t="str">
        <f>IF(B94="","",IFERROR(VLOOKUP(B94,'ANÁLISE DE DADOS'!$A:$AM,9,0),""))</f>
        <v/>
      </c>
      <c r="L94" s="61" t="str">
        <f>IF(B94="","",IFERROR(VLOOKUP(B94,'ANÁLISE DE DADOS'!$A:$AM,10,0),""))</f>
        <v/>
      </c>
      <c r="M94" s="62" t="str">
        <f>IF(B94="","",IFERROR(VLOOKUP(B94,'ANÁLISE DE DADOS'!$A:$AM,11,0),""))</f>
        <v/>
      </c>
      <c r="N94" s="61" t="str">
        <f>IF(B94="","",IFERROR(VLOOKUP(B94,'ANÁLISE DE DADOS'!$A:$AM,12,0),""))</f>
        <v/>
      </c>
      <c r="O94" s="61" t="str">
        <f>IF(B94="","",IFERROR(VLOOKUP(B94,'ANÁLISE DE DADOS'!$A:$AM,13,0),""))</f>
        <v/>
      </c>
      <c r="P94" s="63" t="str">
        <f>IF(B94="","",IFERROR(VLOOKUP(B94,'ANÁLISE DE DADOS'!$A:$AM,14,0),""))</f>
        <v/>
      </c>
      <c r="Q94" s="61" t="str">
        <f>IF(B94="","",IFERROR(VLOOKUP(B94,'ANÁLISE DE DADOS'!$A:$AM,15,0),""))</f>
        <v/>
      </c>
      <c r="R94" s="61" t="str">
        <f>IF(B94="","",IFERROR(VLOOKUP(B94,'ANÁLISE DE DADOS'!$A:$AM,16,0),""))</f>
        <v/>
      </c>
      <c r="S94" s="61" t="str">
        <f>IF(B94="","",IFERROR(VLOOKUP(B94,'ANÁLISE DE DADOS'!$A:$AM,17,0),""))</f>
        <v/>
      </c>
      <c r="T94" s="61" t="str">
        <f>IF(B94="","",IFERROR(VLOOKUP(B94,'ANÁLISE DE DADOS'!$A:$AM,18,0),""))</f>
        <v/>
      </c>
      <c r="U94" s="61" t="str">
        <f>IF(B94="","",IFERROR(VLOOKUP(B94,'ANÁLISE DE DADOS'!$A:$AM,19,0),""))</f>
        <v/>
      </c>
      <c r="V94" s="61" t="str">
        <f>IF(B94="","",IFERROR(VLOOKUP(B94,'ANÁLISE DE DADOS'!$A:$AM,20,0),""))</f>
        <v/>
      </c>
      <c r="W94" s="61" t="str">
        <f>IF(B94="","",IFERROR(VLOOKUP(B94,'ANÁLISE DE DADOS'!$A:$AM,21,0),""))</f>
        <v/>
      </c>
      <c r="X94" s="61" t="str">
        <f>IF(B94="","",IFERROR(VLOOKUP(B94,'ANÁLISE DE DADOS'!$A:$AM,22,0),""))</f>
        <v/>
      </c>
      <c r="Y94" s="61" t="str">
        <f>IF(B94="","",IFERROR(VLOOKUP(B94,'ANÁLISE DE DADOS'!$A:$AM,23,0),""))</f>
        <v/>
      </c>
      <c r="Z94" s="61" t="str">
        <f>IF(B94="","",IFERROR(VLOOKUP(B94,'ANÁLISE DE DADOS'!$A:$AM,24,0),""))</f>
        <v/>
      </c>
      <c r="AA94" s="61" t="str">
        <f>IF(B94="","",IFERROR(VLOOKUP(B94,'ANÁLISE DE DADOS'!$A:$AM,25,0),""))</f>
        <v/>
      </c>
      <c r="AB94" s="61" t="str">
        <f>IF(B94="","",IFERROR(VLOOKUP(B94,'ANÁLISE DE DADOS'!$A:$AM,26,0),""))</f>
        <v/>
      </c>
      <c r="AC94" s="61" t="str">
        <f>IF(B94="","",IFERROR(VLOOKUP(B94,'ANÁLISE DE DADOS'!$A:$AM,27,0),""))</f>
        <v/>
      </c>
      <c r="AD94" s="62" t="str">
        <f>IF(B94="","",IFERROR(VLOOKUP(B94,'ANÁLISE DE DADOS'!$A:$AM,28,0),""))</f>
        <v/>
      </c>
      <c r="AE94" s="61" t="str">
        <f>IF(B94="","",IFERROR(VLOOKUP(B94,'ANÁLISE DE DADOS'!$A:$AM,29,0),""))</f>
        <v/>
      </c>
      <c r="AF94" s="61" t="str">
        <f>IF(B94="","",IFERROR(VLOOKUP(B94,'ANÁLISE DE DADOS'!$A:$AM,30,0),""))</f>
        <v/>
      </c>
      <c r="AG94" s="62" t="str">
        <f>IF(B94="","",IFERROR(VLOOKUP(B94,'ANÁLISE DE DADOS'!$A:$AM,31,0),""))</f>
        <v/>
      </c>
      <c r="AH94" s="61" t="str">
        <f>IF(B94="","",IFERROR(VLOOKUP(B94,'ANÁLISE DE DADOS'!$A:$AM,32,0),""))</f>
        <v/>
      </c>
      <c r="AI94" s="61" t="str">
        <f>IF(B94="","",IFERROR(VLOOKUP(B94,'ANÁLISE DE DADOS'!$A:$AM,33,0),""))</f>
        <v/>
      </c>
      <c r="AJ94" s="61" t="str">
        <f>IF(B94="","",IFERROR(VLOOKUP(B94,'ANÁLISE DE DADOS'!$A:$AM,34,0),""))</f>
        <v/>
      </c>
      <c r="AK94" s="63" t="str">
        <f>IF(B94="","",IFERROR(VLOOKUP(B94,'ANÁLISE DE DADOS'!$A:$AM,35,0),""))</f>
        <v/>
      </c>
      <c r="AL94" s="63" t="str">
        <f>IF(B94="","",IFERROR(VLOOKUP(B94,'ANÁLISE DE DADOS'!$A:$AM,36,0),""))</f>
        <v/>
      </c>
    </row>
    <row r="95" spans="3:38" x14ac:dyDescent="0.3">
      <c r="C95" s="61" t="str">
        <f>IF(B95="","",IFERROR(VLOOKUP(B95,'ANÁLISE DE DADOS'!$A:$AM,1,0),""))</f>
        <v/>
      </c>
      <c r="D95" s="61" t="str">
        <f>IF(B95="","",IFERROR(VLOOKUP(B95,'ANÁLISE DE DADOS'!$A:$AM,2,0),""))</f>
        <v/>
      </c>
      <c r="E95" s="61" t="str">
        <f>IF(B95="","",IFERROR(VLOOKUP(B95,'ANÁLISE DE DADOS'!$A:$AM,3,0),""))</f>
        <v/>
      </c>
      <c r="F95" s="61" t="str">
        <f>IF(B95="","",IFERROR(VLOOKUP(B95,'ANÁLISE DE DADOS'!$A:$AM,4,0),""))</f>
        <v/>
      </c>
      <c r="G95" s="62" t="str">
        <f>IF(B95="","",IFERROR(VLOOKUP(B95,'ANÁLISE DE DADOS'!$A:$AM,5,0),""))</f>
        <v/>
      </c>
      <c r="H95" s="62" t="str">
        <f>IF(B95="","",IFERROR(VLOOKUP(B95,'ANÁLISE DE DADOS'!$A:$AM,6,0),""))</f>
        <v/>
      </c>
      <c r="I95" s="62" t="str">
        <f>IF(B95="","",IFERROR(VLOOKUP(B95,'ANÁLISE DE DADOS'!$A:$AM,7,0),""))</f>
        <v/>
      </c>
      <c r="J95" s="62" t="str">
        <f>IF(B95="","",IFERROR(VLOOKUP(B95,'ANÁLISE DE DADOS'!$A:$AM,8,0),""))</f>
        <v/>
      </c>
      <c r="K95" s="61" t="str">
        <f>IF(B95="","",IFERROR(VLOOKUP(B95,'ANÁLISE DE DADOS'!$A:$AM,9,0),""))</f>
        <v/>
      </c>
      <c r="L95" s="61" t="str">
        <f>IF(B95="","",IFERROR(VLOOKUP(B95,'ANÁLISE DE DADOS'!$A:$AM,10,0),""))</f>
        <v/>
      </c>
      <c r="M95" s="62" t="str">
        <f>IF(B95="","",IFERROR(VLOOKUP(B95,'ANÁLISE DE DADOS'!$A:$AM,11,0),""))</f>
        <v/>
      </c>
      <c r="N95" s="61" t="str">
        <f>IF(B95="","",IFERROR(VLOOKUP(B95,'ANÁLISE DE DADOS'!$A:$AM,12,0),""))</f>
        <v/>
      </c>
      <c r="O95" s="61" t="str">
        <f>IF(B95="","",IFERROR(VLOOKUP(B95,'ANÁLISE DE DADOS'!$A:$AM,13,0),""))</f>
        <v/>
      </c>
      <c r="P95" s="63" t="str">
        <f>IF(B95="","",IFERROR(VLOOKUP(B95,'ANÁLISE DE DADOS'!$A:$AM,14,0),""))</f>
        <v/>
      </c>
      <c r="Q95" s="61" t="str">
        <f>IF(B95="","",IFERROR(VLOOKUP(B95,'ANÁLISE DE DADOS'!$A:$AM,15,0),""))</f>
        <v/>
      </c>
      <c r="R95" s="61" t="str">
        <f>IF(B95="","",IFERROR(VLOOKUP(B95,'ANÁLISE DE DADOS'!$A:$AM,16,0),""))</f>
        <v/>
      </c>
      <c r="S95" s="61" t="str">
        <f>IF(B95="","",IFERROR(VLOOKUP(B95,'ANÁLISE DE DADOS'!$A:$AM,17,0),""))</f>
        <v/>
      </c>
      <c r="T95" s="61" t="str">
        <f>IF(B95="","",IFERROR(VLOOKUP(B95,'ANÁLISE DE DADOS'!$A:$AM,18,0),""))</f>
        <v/>
      </c>
      <c r="U95" s="61" t="str">
        <f>IF(B95="","",IFERROR(VLOOKUP(B95,'ANÁLISE DE DADOS'!$A:$AM,19,0),""))</f>
        <v/>
      </c>
      <c r="V95" s="61" t="str">
        <f>IF(B95="","",IFERROR(VLOOKUP(B95,'ANÁLISE DE DADOS'!$A:$AM,20,0),""))</f>
        <v/>
      </c>
      <c r="W95" s="61" t="str">
        <f>IF(B95="","",IFERROR(VLOOKUP(B95,'ANÁLISE DE DADOS'!$A:$AM,21,0),""))</f>
        <v/>
      </c>
      <c r="X95" s="61" t="str">
        <f>IF(B95="","",IFERROR(VLOOKUP(B95,'ANÁLISE DE DADOS'!$A:$AM,22,0),""))</f>
        <v/>
      </c>
      <c r="Y95" s="61" t="str">
        <f>IF(B95="","",IFERROR(VLOOKUP(B95,'ANÁLISE DE DADOS'!$A:$AM,23,0),""))</f>
        <v/>
      </c>
      <c r="Z95" s="61" t="str">
        <f>IF(B95="","",IFERROR(VLOOKUP(B95,'ANÁLISE DE DADOS'!$A:$AM,24,0),""))</f>
        <v/>
      </c>
      <c r="AA95" s="61" t="str">
        <f>IF(B95="","",IFERROR(VLOOKUP(B95,'ANÁLISE DE DADOS'!$A:$AM,25,0),""))</f>
        <v/>
      </c>
      <c r="AB95" s="61" t="str">
        <f>IF(B95="","",IFERROR(VLOOKUP(B95,'ANÁLISE DE DADOS'!$A:$AM,26,0),""))</f>
        <v/>
      </c>
      <c r="AC95" s="61" t="str">
        <f>IF(B95="","",IFERROR(VLOOKUP(B95,'ANÁLISE DE DADOS'!$A:$AM,27,0),""))</f>
        <v/>
      </c>
      <c r="AD95" s="62" t="str">
        <f>IF(B95="","",IFERROR(VLOOKUP(B95,'ANÁLISE DE DADOS'!$A:$AM,28,0),""))</f>
        <v/>
      </c>
      <c r="AE95" s="61" t="str">
        <f>IF(B95="","",IFERROR(VLOOKUP(B95,'ANÁLISE DE DADOS'!$A:$AM,29,0),""))</f>
        <v/>
      </c>
      <c r="AF95" s="61" t="str">
        <f>IF(B95="","",IFERROR(VLOOKUP(B95,'ANÁLISE DE DADOS'!$A:$AM,30,0),""))</f>
        <v/>
      </c>
      <c r="AG95" s="62" t="str">
        <f>IF(B95="","",IFERROR(VLOOKUP(B95,'ANÁLISE DE DADOS'!$A:$AM,31,0),""))</f>
        <v/>
      </c>
      <c r="AH95" s="61" t="str">
        <f>IF(B95="","",IFERROR(VLOOKUP(B95,'ANÁLISE DE DADOS'!$A:$AM,32,0),""))</f>
        <v/>
      </c>
      <c r="AI95" s="61" t="str">
        <f>IF(B95="","",IFERROR(VLOOKUP(B95,'ANÁLISE DE DADOS'!$A:$AM,33,0),""))</f>
        <v/>
      </c>
      <c r="AJ95" s="61" t="str">
        <f>IF(B95="","",IFERROR(VLOOKUP(B95,'ANÁLISE DE DADOS'!$A:$AM,34,0),""))</f>
        <v/>
      </c>
      <c r="AK95" s="63" t="str">
        <f>IF(B95="","",IFERROR(VLOOKUP(B95,'ANÁLISE DE DADOS'!$A:$AM,35,0),""))</f>
        <v/>
      </c>
      <c r="AL95" s="63" t="str">
        <f>IF(B95="","",IFERROR(VLOOKUP(B95,'ANÁLISE DE DADOS'!$A:$AM,36,0),""))</f>
        <v/>
      </c>
    </row>
    <row r="96" spans="3:38" x14ac:dyDescent="0.3">
      <c r="C96" s="61" t="str">
        <f>IF(B96="","",IFERROR(VLOOKUP(B96,'ANÁLISE DE DADOS'!$A:$AM,1,0),""))</f>
        <v/>
      </c>
      <c r="D96" s="61" t="str">
        <f>IF(B96="","",IFERROR(VLOOKUP(B96,'ANÁLISE DE DADOS'!$A:$AM,2,0),""))</f>
        <v/>
      </c>
      <c r="E96" s="61" t="str">
        <f>IF(B96="","",IFERROR(VLOOKUP(B96,'ANÁLISE DE DADOS'!$A:$AM,3,0),""))</f>
        <v/>
      </c>
      <c r="F96" s="61" t="str">
        <f>IF(B96="","",IFERROR(VLOOKUP(B96,'ANÁLISE DE DADOS'!$A:$AM,4,0),""))</f>
        <v/>
      </c>
      <c r="G96" s="62" t="str">
        <f>IF(B96="","",IFERROR(VLOOKUP(B96,'ANÁLISE DE DADOS'!$A:$AM,5,0),""))</f>
        <v/>
      </c>
      <c r="H96" s="62" t="str">
        <f>IF(B96="","",IFERROR(VLOOKUP(B96,'ANÁLISE DE DADOS'!$A:$AM,6,0),""))</f>
        <v/>
      </c>
      <c r="I96" s="62" t="str">
        <f>IF(B96="","",IFERROR(VLOOKUP(B96,'ANÁLISE DE DADOS'!$A:$AM,7,0),""))</f>
        <v/>
      </c>
      <c r="J96" s="62" t="str">
        <f>IF(B96="","",IFERROR(VLOOKUP(B96,'ANÁLISE DE DADOS'!$A:$AM,8,0),""))</f>
        <v/>
      </c>
      <c r="K96" s="61" t="str">
        <f>IF(B96="","",IFERROR(VLOOKUP(B96,'ANÁLISE DE DADOS'!$A:$AM,9,0),""))</f>
        <v/>
      </c>
      <c r="L96" s="61" t="str">
        <f>IF(B96="","",IFERROR(VLOOKUP(B96,'ANÁLISE DE DADOS'!$A:$AM,10,0),""))</f>
        <v/>
      </c>
      <c r="M96" s="62" t="str">
        <f>IF(B96="","",IFERROR(VLOOKUP(B96,'ANÁLISE DE DADOS'!$A:$AM,11,0),""))</f>
        <v/>
      </c>
      <c r="N96" s="61" t="str">
        <f>IF(B96="","",IFERROR(VLOOKUP(B96,'ANÁLISE DE DADOS'!$A:$AM,12,0),""))</f>
        <v/>
      </c>
      <c r="O96" s="61" t="str">
        <f>IF(B96="","",IFERROR(VLOOKUP(B96,'ANÁLISE DE DADOS'!$A:$AM,13,0),""))</f>
        <v/>
      </c>
      <c r="P96" s="63" t="str">
        <f>IF(B96="","",IFERROR(VLOOKUP(B96,'ANÁLISE DE DADOS'!$A:$AM,14,0),""))</f>
        <v/>
      </c>
      <c r="Q96" s="61" t="str">
        <f>IF(B96="","",IFERROR(VLOOKUP(B96,'ANÁLISE DE DADOS'!$A:$AM,15,0),""))</f>
        <v/>
      </c>
      <c r="R96" s="61" t="str">
        <f>IF(B96="","",IFERROR(VLOOKUP(B96,'ANÁLISE DE DADOS'!$A:$AM,16,0),""))</f>
        <v/>
      </c>
      <c r="S96" s="61" t="str">
        <f>IF(B96="","",IFERROR(VLOOKUP(B96,'ANÁLISE DE DADOS'!$A:$AM,17,0),""))</f>
        <v/>
      </c>
      <c r="T96" s="61" t="str">
        <f>IF(B96="","",IFERROR(VLOOKUP(B96,'ANÁLISE DE DADOS'!$A:$AM,18,0),""))</f>
        <v/>
      </c>
      <c r="U96" s="61" t="str">
        <f>IF(B96="","",IFERROR(VLOOKUP(B96,'ANÁLISE DE DADOS'!$A:$AM,19,0),""))</f>
        <v/>
      </c>
      <c r="V96" s="61" t="str">
        <f>IF(B96="","",IFERROR(VLOOKUP(B96,'ANÁLISE DE DADOS'!$A:$AM,20,0),""))</f>
        <v/>
      </c>
      <c r="W96" s="61" t="str">
        <f>IF(B96="","",IFERROR(VLOOKUP(B96,'ANÁLISE DE DADOS'!$A:$AM,21,0),""))</f>
        <v/>
      </c>
      <c r="X96" s="61" t="str">
        <f>IF(B96="","",IFERROR(VLOOKUP(B96,'ANÁLISE DE DADOS'!$A:$AM,22,0),""))</f>
        <v/>
      </c>
      <c r="Y96" s="61" t="str">
        <f>IF(B96="","",IFERROR(VLOOKUP(B96,'ANÁLISE DE DADOS'!$A:$AM,23,0),""))</f>
        <v/>
      </c>
      <c r="Z96" s="61" t="str">
        <f>IF(B96="","",IFERROR(VLOOKUP(B96,'ANÁLISE DE DADOS'!$A:$AM,24,0),""))</f>
        <v/>
      </c>
      <c r="AA96" s="61" t="str">
        <f>IF(B96="","",IFERROR(VLOOKUP(B96,'ANÁLISE DE DADOS'!$A:$AM,25,0),""))</f>
        <v/>
      </c>
      <c r="AB96" s="61" t="str">
        <f>IF(B96="","",IFERROR(VLOOKUP(B96,'ANÁLISE DE DADOS'!$A:$AM,26,0),""))</f>
        <v/>
      </c>
      <c r="AC96" s="61" t="str">
        <f>IF(B96="","",IFERROR(VLOOKUP(B96,'ANÁLISE DE DADOS'!$A:$AM,27,0),""))</f>
        <v/>
      </c>
      <c r="AD96" s="62" t="str">
        <f>IF(B96="","",IFERROR(VLOOKUP(B96,'ANÁLISE DE DADOS'!$A:$AM,28,0),""))</f>
        <v/>
      </c>
      <c r="AE96" s="61" t="str">
        <f>IF(B96="","",IFERROR(VLOOKUP(B96,'ANÁLISE DE DADOS'!$A:$AM,29,0),""))</f>
        <v/>
      </c>
      <c r="AF96" s="61" t="str">
        <f>IF(B96="","",IFERROR(VLOOKUP(B96,'ANÁLISE DE DADOS'!$A:$AM,30,0),""))</f>
        <v/>
      </c>
      <c r="AG96" s="62" t="str">
        <f>IF(B96="","",IFERROR(VLOOKUP(B96,'ANÁLISE DE DADOS'!$A:$AM,31,0),""))</f>
        <v/>
      </c>
      <c r="AH96" s="61" t="str">
        <f>IF(B96="","",IFERROR(VLOOKUP(B96,'ANÁLISE DE DADOS'!$A:$AM,32,0),""))</f>
        <v/>
      </c>
      <c r="AI96" s="61" t="str">
        <f>IF(B96="","",IFERROR(VLOOKUP(B96,'ANÁLISE DE DADOS'!$A:$AM,33,0),""))</f>
        <v/>
      </c>
      <c r="AJ96" s="61" t="str">
        <f>IF(B96="","",IFERROR(VLOOKUP(B96,'ANÁLISE DE DADOS'!$A:$AM,34,0),""))</f>
        <v/>
      </c>
      <c r="AK96" s="63" t="str">
        <f>IF(B96="","",IFERROR(VLOOKUP(B96,'ANÁLISE DE DADOS'!$A:$AM,35,0),""))</f>
        <v/>
      </c>
      <c r="AL96" s="63" t="str">
        <f>IF(B96="","",IFERROR(VLOOKUP(B96,'ANÁLISE DE DADOS'!$A:$AM,36,0),""))</f>
        <v/>
      </c>
    </row>
    <row r="97" spans="3:38" x14ac:dyDescent="0.3">
      <c r="C97" s="61" t="str">
        <f>IF(B97="","",IFERROR(VLOOKUP(B97,'ANÁLISE DE DADOS'!$A:$AM,1,0),""))</f>
        <v/>
      </c>
      <c r="D97" s="61" t="str">
        <f>IF(B97="","",IFERROR(VLOOKUP(B97,'ANÁLISE DE DADOS'!$A:$AM,2,0),""))</f>
        <v/>
      </c>
      <c r="E97" s="61" t="str">
        <f>IF(B97="","",IFERROR(VLOOKUP(B97,'ANÁLISE DE DADOS'!$A:$AM,3,0),""))</f>
        <v/>
      </c>
      <c r="F97" s="61" t="str">
        <f>IF(B97="","",IFERROR(VLOOKUP(B97,'ANÁLISE DE DADOS'!$A:$AM,4,0),""))</f>
        <v/>
      </c>
      <c r="G97" s="62" t="str">
        <f>IF(B97="","",IFERROR(VLOOKUP(B97,'ANÁLISE DE DADOS'!$A:$AM,5,0),""))</f>
        <v/>
      </c>
      <c r="H97" s="62" t="str">
        <f>IF(B97="","",IFERROR(VLOOKUP(B97,'ANÁLISE DE DADOS'!$A:$AM,6,0),""))</f>
        <v/>
      </c>
      <c r="I97" s="62" t="str">
        <f>IF(B97="","",IFERROR(VLOOKUP(B97,'ANÁLISE DE DADOS'!$A:$AM,7,0),""))</f>
        <v/>
      </c>
      <c r="J97" s="62" t="str">
        <f>IF(B97="","",IFERROR(VLOOKUP(B97,'ANÁLISE DE DADOS'!$A:$AM,8,0),""))</f>
        <v/>
      </c>
      <c r="K97" s="61" t="str">
        <f>IF(B97="","",IFERROR(VLOOKUP(B97,'ANÁLISE DE DADOS'!$A:$AM,9,0),""))</f>
        <v/>
      </c>
      <c r="L97" s="61" t="str">
        <f>IF(B97="","",IFERROR(VLOOKUP(B97,'ANÁLISE DE DADOS'!$A:$AM,10,0),""))</f>
        <v/>
      </c>
      <c r="M97" s="62" t="str">
        <f>IF(B97="","",IFERROR(VLOOKUP(B97,'ANÁLISE DE DADOS'!$A:$AM,11,0),""))</f>
        <v/>
      </c>
      <c r="N97" s="61" t="str">
        <f>IF(B97="","",IFERROR(VLOOKUP(B97,'ANÁLISE DE DADOS'!$A:$AM,12,0),""))</f>
        <v/>
      </c>
      <c r="O97" s="61" t="str">
        <f>IF(B97="","",IFERROR(VLOOKUP(B97,'ANÁLISE DE DADOS'!$A:$AM,13,0),""))</f>
        <v/>
      </c>
      <c r="P97" s="63" t="str">
        <f>IF(B97="","",IFERROR(VLOOKUP(B97,'ANÁLISE DE DADOS'!$A:$AM,14,0),""))</f>
        <v/>
      </c>
      <c r="Q97" s="61" t="str">
        <f>IF(B97="","",IFERROR(VLOOKUP(B97,'ANÁLISE DE DADOS'!$A:$AM,15,0),""))</f>
        <v/>
      </c>
      <c r="R97" s="61" t="str">
        <f>IF(B97="","",IFERROR(VLOOKUP(B97,'ANÁLISE DE DADOS'!$A:$AM,16,0),""))</f>
        <v/>
      </c>
      <c r="S97" s="61" t="str">
        <f>IF(B97="","",IFERROR(VLOOKUP(B97,'ANÁLISE DE DADOS'!$A:$AM,17,0),""))</f>
        <v/>
      </c>
      <c r="T97" s="61" t="str">
        <f>IF(B97="","",IFERROR(VLOOKUP(B97,'ANÁLISE DE DADOS'!$A:$AM,18,0),""))</f>
        <v/>
      </c>
      <c r="U97" s="61" t="str">
        <f>IF(B97="","",IFERROR(VLOOKUP(B97,'ANÁLISE DE DADOS'!$A:$AM,19,0),""))</f>
        <v/>
      </c>
      <c r="V97" s="61" t="str">
        <f>IF(B97="","",IFERROR(VLOOKUP(B97,'ANÁLISE DE DADOS'!$A:$AM,20,0),""))</f>
        <v/>
      </c>
      <c r="W97" s="61" t="str">
        <f>IF(B97="","",IFERROR(VLOOKUP(B97,'ANÁLISE DE DADOS'!$A:$AM,21,0),""))</f>
        <v/>
      </c>
      <c r="X97" s="61" t="str">
        <f>IF(B97="","",IFERROR(VLOOKUP(B97,'ANÁLISE DE DADOS'!$A:$AM,22,0),""))</f>
        <v/>
      </c>
      <c r="Y97" s="61" t="str">
        <f>IF(B97="","",IFERROR(VLOOKUP(B97,'ANÁLISE DE DADOS'!$A:$AM,23,0),""))</f>
        <v/>
      </c>
      <c r="Z97" s="61" t="str">
        <f>IF(B97="","",IFERROR(VLOOKUP(B97,'ANÁLISE DE DADOS'!$A:$AM,24,0),""))</f>
        <v/>
      </c>
      <c r="AA97" s="61" t="str">
        <f>IF(B97="","",IFERROR(VLOOKUP(B97,'ANÁLISE DE DADOS'!$A:$AM,25,0),""))</f>
        <v/>
      </c>
      <c r="AB97" s="61" t="str">
        <f>IF(B97="","",IFERROR(VLOOKUP(B97,'ANÁLISE DE DADOS'!$A:$AM,26,0),""))</f>
        <v/>
      </c>
      <c r="AC97" s="61" t="str">
        <f>IF(B97="","",IFERROR(VLOOKUP(B97,'ANÁLISE DE DADOS'!$A:$AM,27,0),""))</f>
        <v/>
      </c>
      <c r="AD97" s="62" t="str">
        <f>IF(B97="","",IFERROR(VLOOKUP(B97,'ANÁLISE DE DADOS'!$A:$AM,28,0),""))</f>
        <v/>
      </c>
      <c r="AE97" s="61" t="str">
        <f>IF(B97="","",IFERROR(VLOOKUP(B97,'ANÁLISE DE DADOS'!$A:$AM,29,0),""))</f>
        <v/>
      </c>
      <c r="AF97" s="61" t="str">
        <f>IF(B97="","",IFERROR(VLOOKUP(B97,'ANÁLISE DE DADOS'!$A:$AM,30,0),""))</f>
        <v/>
      </c>
      <c r="AG97" s="62" t="str">
        <f>IF(B97="","",IFERROR(VLOOKUP(B97,'ANÁLISE DE DADOS'!$A:$AM,31,0),""))</f>
        <v/>
      </c>
      <c r="AH97" s="61" t="str">
        <f>IF(B97="","",IFERROR(VLOOKUP(B97,'ANÁLISE DE DADOS'!$A:$AM,32,0),""))</f>
        <v/>
      </c>
      <c r="AI97" s="61" t="str">
        <f>IF(B97="","",IFERROR(VLOOKUP(B97,'ANÁLISE DE DADOS'!$A:$AM,33,0),""))</f>
        <v/>
      </c>
      <c r="AJ97" s="61" t="str">
        <f>IF(B97="","",IFERROR(VLOOKUP(B97,'ANÁLISE DE DADOS'!$A:$AM,34,0),""))</f>
        <v/>
      </c>
      <c r="AK97" s="63" t="str">
        <f>IF(B97="","",IFERROR(VLOOKUP(B97,'ANÁLISE DE DADOS'!$A:$AM,35,0),""))</f>
        <v/>
      </c>
      <c r="AL97" s="63" t="str">
        <f>IF(B97="","",IFERROR(VLOOKUP(B97,'ANÁLISE DE DADOS'!$A:$AM,36,0),""))</f>
        <v/>
      </c>
    </row>
    <row r="98" spans="3:38" x14ac:dyDescent="0.3">
      <c r="C98" s="61" t="str">
        <f>IF(B98="","",IFERROR(VLOOKUP(B98,'ANÁLISE DE DADOS'!$A:$AM,1,0),""))</f>
        <v/>
      </c>
      <c r="D98" s="61" t="str">
        <f>IF(B98="","",IFERROR(VLOOKUP(B98,'ANÁLISE DE DADOS'!$A:$AM,2,0),""))</f>
        <v/>
      </c>
      <c r="E98" s="61" t="str">
        <f>IF(B98="","",IFERROR(VLOOKUP(B98,'ANÁLISE DE DADOS'!$A:$AM,3,0),""))</f>
        <v/>
      </c>
      <c r="F98" s="61" t="str">
        <f>IF(B98="","",IFERROR(VLOOKUP(B98,'ANÁLISE DE DADOS'!$A:$AM,4,0),""))</f>
        <v/>
      </c>
      <c r="G98" s="62" t="str">
        <f>IF(B98="","",IFERROR(VLOOKUP(B98,'ANÁLISE DE DADOS'!$A:$AM,5,0),""))</f>
        <v/>
      </c>
      <c r="H98" s="62" t="str">
        <f>IF(B98="","",IFERROR(VLOOKUP(B98,'ANÁLISE DE DADOS'!$A:$AM,6,0),""))</f>
        <v/>
      </c>
      <c r="I98" s="62" t="str">
        <f>IF(B98="","",IFERROR(VLOOKUP(B98,'ANÁLISE DE DADOS'!$A:$AM,7,0),""))</f>
        <v/>
      </c>
      <c r="J98" s="62" t="str">
        <f>IF(B98="","",IFERROR(VLOOKUP(B98,'ANÁLISE DE DADOS'!$A:$AM,8,0),""))</f>
        <v/>
      </c>
      <c r="K98" s="61" t="str">
        <f>IF(B98="","",IFERROR(VLOOKUP(B98,'ANÁLISE DE DADOS'!$A:$AM,9,0),""))</f>
        <v/>
      </c>
      <c r="L98" s="61" t="str">
        <f>IF(B98="","",IFERROR(VLOOKUP(B98,'ANÁLISE DE DADOS'!$A:$AM,10,0),""))</f>
        <v/>
      </c>
      <c r="M98" s="62" t="str">
        <f>IF(B98="","",IFERROR(VLOOKUP(B98,'ANÁLISE DE DADOS'!$A:$AM,11,0),""))</f>
        <v/>
      </c>
      <c r="N98" s="61" t="str">
        <f>IF(B98="","",IFERROR(VLOOKUP(B98,'ANÁLISE DE DADOS'!$A:$AM,12,0),""))</f>
        <v/>
      </c>
      <c r="O98" s="61" t="str">
        <f>IF(B98="","",IFERROR(VLOOKUP(B98,'ANÁLISE DE DADOS'!$A:$AM,13,0),""))</f>
        <v/>
      </c>
      <c r="P98" s="63" t="str">
        <f>IF(B98="","",IFERROR(VLOOKUP(B98,'ANÁLISE DE DADOS'!$A:$AM,14,0),""))</f>
        <v/>
      </c>
      <c r="Q98" s="61" t="str">
        <f>IF(B98="","",IFERROR(VLOOKUP(B98,'ANÁLISE DE DADOS'!$A:$AM,15,0),""))</f>
        <v/>
      </c>
      <c r="R98" s="61" t="str">
        <f>IF(B98="","",IFERROR(VLOOKUP(B98,'ANÁLISE DE DADOS'!$A:$AM,16,0),""))</f>
        <v/>
      </c>
      <c r="S98" s="61" t="str">
        <f>IF(B98="","",IFERROR(VLOOKUP(B98,'ANÁLISE DE DADOS'!$A:$AM,17,0),""))</f>
        <v/>
      </c>
      <c r="T98" s="61" t="str">
        <f>IF(B98="","",IFERROR(VLOOKUP(B98,'ANÁLISE DE DADOS'!$A:$AM,18,0),""))</f>
        <v/>
      </c>
      <c r="U98" s="61" t="str">
        <f>IF(B98="","",IFERROR(VLOOKUP(B98,'ANÁLISE DE DADOS'!$A:$AM,19,0),""))</f>
        <v/>
      </c>
      <c r="V98" s="61" t="str">
        <f>IF(B98="","",IFERROR(VLOOKUP(B98,'ANÁLISE DE DADOS'!$A:$AM,20,0),""))</f>
        <v/>
      </c>
      <c r="W98" s="61" t="str">
        <f>IF(B98="","",IFERROR(VLOOKUP(B98,'ANÁLISE DE DADOS'!$A:$AM,21,0),""))</f>
        <v/>
      </c>
      <c r="X98" s="61" t="str">
        <f>IF(B98="","",IFERROR(VLOOKUP(B98,'ANÁLISE DE DADOS'!$A:$AM,22,0),""))</f>
        <v/>
      </c>
      <c r="Y98" s="61" t="str">
        <f>IF(B98="","",IFERROR(VLOOKUP(B98,'ANÁLISE DE DADOS'!$A:$AM,23,0),""))</f>
        <v/>
      </c>
      <c r="Z98" s="61" t="str">
        <f>IF(B98="","",IFERROR(VLOOKUP(B98,'ANÁLISE DE DADOS'!$A:$AM,24,0),""))</f>
        <v/>
      </c>
      <c r="AA98" s="61" t="str">
        <f>IF(B98="","",IFERROR(VLOOKUP(B98,'ANÁLISE DE DADOS'!$A:$AM,25,0),""))</f>
        <v/>
      </c>
      <c r="AB98" s="61" t="str">
        <f>IF(B98="","",IFERROR(VLOOKUP(B98,'ANÁLISE DE DADOS'!$A:$AM,26,0),""))</f>
        <v/>
      </c>
      <c r="AC98" s="61" t="str">
        <f>IF(B98="","",IFERROR(VLOOKUP(B98,'ANÁLISE DE DADOS'!$A:$AM,27,0),""))</f>
        <v/>
      </c>
      <c r="AD98" s="62" t="str">
        <f>IF(B98="","",IFERROR(VLOOKUP(B98,'ANÁLISE DE DADOS'!$A:$AM,28,0),""))</f>
        <v/>
      </c>
      <c r="AE98" s="61" t="str">
        <f>IF(B98="","",IFERROR(VLOOKUP(B98,'ANÁLISE DE DADOS'!$A:$AM,29,0),""))</f>
        <v/>
      </c>
      <c r="AF98" s="61" t="str">
        <f>IF(B98="","",IFERROR(VLOOKUP(B98,'ANÁLISE DE DADOS'!$A:$AM,30,0),""))</f>
        <v/>
      </c>
      <c r="AG98" s="62" t="str">
        <f>IF(B98="","",IFERROR(VLOOKUP(B98,'ANÁLISE DE DADOS'!$A:$AM,31,0),""))</f>
        <v/>
      </c>
      <c r="AH98" s="61" t="str">
        <f>IF(B98="","",IFERROR(VLOOKUP(B98,'ANÁLISE DE DADOS'!$A:$AM,32,0),""))</f>
        <v/>
      </c>
      <c r="AI98" s="61" t="str">
        <f>IF(B98="","",IFERROR(VLOOKUP(B98,'ANÁLISE DE DADOS'!$A:$AM,33,0),""))</f>
        <v/>
      </c>
      <c r="AJ98" s="61" t="str">
        <f>IF(B98="","",IFERROR(VLOOKUP(B98,'ANÁLISE DE DADOS'!$A:$AM,34,0),""))</f>
        <v/>
      </c>
      <c r="AK98" s="63" t="str">
        <f>IF(B98="","",IFERROR(VLOOKUP(B98,'ANÁLISE DE DADOS'!$A:$AM,35,0),""))</f>
        <v/>
      </c>
      <c r="AL98" s="63" t="str">
        <f>IF(B98="","",IFERROR(VLOOKUP(B98,'ANÁLISE DE DADOS'!$A:$AM,36,0),""))</f>
        <v/>
      </c>
    </row>
    <row r="99" spans="3:38" x14ac:dyDescent="0.3">
      <c r="C99" s="61" t="str">
        <f>IF(B99="","",IFERROR(VLOOKUP(B99,'ANÁLISE DE DADOS'!$A:$AM,1,0),""))</f>
        <v/>
      </c>
      <c r="D99" s="61" t="str">
        <f>IF(B99="","",IFERROR(VLOOKUP(B99,'ANÁLISE DE DADOS'!$A:$AM,2,0),""))</f>
        <v/>
      </c>
      <c r="E99" s="61" t="str">
        <f>IF(B99="","",IFERROR(VLOOKUP(B99,'ANÁLISE DE DADOS'!$A:$AM,3,0),""))</f>
        <v/>
      </c>
      <c r="F99" s="61" t="str">
        <f>IF(B99="","",IFERROR(VLOOKUP(B99,'ANÁLISE DE DADOS'!$A:$AM,4,0),""))</f>
        <v/>
      </c>
      <c r="G99" s="62" t="str">
        <f>IF(B99="","",IFERROR(VLOOKUP(B99,'ANÁLISE DE DADOS'!$A:$AM,5,0),""))</f>
        <v/>
      </c>
      <c r="H99" s="62" t="str">
        <f>IF(B99="","",IFERROR(VLOOKUP(B99,'ANÁLISE DE DADOS'!$A:$AM,6,0),""))</f>
        <v/>
      </c>
      <c r="I99" s="62" t="str">
        <f>IF(B99="","",IFERROR(VLOOKUP(B99,'ANÁLISE DE DADOS'!$A:$AM,7,0),""))</f>
        <v/>
      </c>
      <c r="J99" s="62" t="str">
        <f>IF(B99="","",IFERROR(VLOOKUP(B99,'ANÁLISE DE DADOS'!$A:$AM,8,0),""))</f>
        <v/>
      </c>
      <c r="K99" s="61" t="str">
        <f>IF(B99="","",IFERROR(VLOOKUP(B99,'ANÁLISE DE DADOS'!$A:$AM,9,0),""))</f>
        <v/>
      </c>
      <c r="L99" s="61" t="str">
        <f>IF(B99="","",IFERROR(VLOOKUP(B99,'ANÁLISE DE DADOS'!$A:$AM,10,0),""))</f>
        <v/>
      </c>
      <c r="M99" s="62" t="str">
        <f>IF(B99="","",IFERROR(VLOOKUP(B99,'ANÁLISE DE DADOS'!$A:$AM,11,0),""))</f>
        <v/>
      </c>
      <c r="N99" s="61" t="str">
        <f>IF(B99="","",IFERROR(VLOOKUP(B99,'ANÁLISE DE DADOS'!$A:$AM,12,0),""))</f>
        <v/>
      </c>
      <c r="O99" s="61" t="str">
        <f>IF(B99="","",IFERROR(VLOOKUP(B99,'ANÁLISE DE DADOS'!$A:$AM,13,0),""))</f>
        <v/>
      </c>
      <c r="P99" s="63" t="str">
        <f>IF(B99="","",IFERROR(VLOOKUP(B99,'ANÁLISE DE DADOS'!$A:$AM,14,0),""))</f>
        <v/>
      </c>
      <c r="Q99" s="61" t="str">
        <f>IF(B99="","",IFERROR(VLOOKUP(B99,'ANÁLISE DE DADOS'!$A:$AM,15,0),""))</f>
        <v/>
      </c>
      <c r="R99" s="61" t="str">
        <f>IF(B99="","",IFERROR(VLOOKUP(B99,'ANÁLISE DE DADOS'!$A:$AM,16,0),""))</f>
        <v/>
      </c>
      <c r="S99" s="61" t="str">
        <f>IF(B99="","",IFERROR(VLOOKUP(B99,'ANÁLISE DE DADOS'!$A:$AM,17,0),""))</f>
        <v/>
      </c>
      <c r="T99" s="61" t="str">
        <f>IF(B99="","",IFERROR(VLOOKUP(B99,'ANÁLISE DE DADOS'!$A:$AM,18,0),""))</f>
        <v/>
      </c>
      <c r="U99" s="61" t="str">
        <f>IF(B99="","",IFERROR(VLOOKUP(B99,'ANÁLISE DE DADOS'!$A:$AM,19,0),""))</f>
        <v/>
      </c>
      <c r="V99" s="61" t="str">
        <f>IF(B99="","",IFERROR(VLOOKUP(B99,'ANÁLISE DE DADOS'!$A:$AM,20,0),""))</f>
        <v/>
      </c>
      <c r="W99" s="61" t="str">
        <f>IF(B99="","",IFERROR(VLOOKUP(B99,'ANÁLISE DE DADOS'!$A:$AM,21,0),""))</f>
        <v/>
      </c>
      <c r="X99" s="61" t="str">
        <f>IF(B99="","",IFERROR(VLOOKUP(B99,'ANÁLISE DE DADOS'!$A:$AM,22,0),""))</f>
        <v/>
      </c>
      <c r="Y99" s="61" t="str">
        <f>IF(B99="","",IFERROR(VLOOKUP(B99,'ANÁLISE DE DADOS'!$A:$AM,23,0),""))</f>
        <v/>
      </c>
      <c r="Z99" s="61" t="str">
        <f>IF(B99="","",IFERROR(VLOOKUP(B99,'ANÁLISE DE DADOS'!$A:$AM,24,0),""))</f>
        <v/>
      </c>
      <c r="AA99" s="61" t="str">
        <f>IF(B99="","",IFERROR(VLOOKUP(B99,'ANÁLISE DE DADOS'!$A:$AM,25,0),""))</f>
        <v/>
      </c>
      <c r="AB99" s="61" t="str">
        <f>IF(B99="","",IFERROR(VLOOKUP(B99,'ANÁLISE DE DADOS'!$A:$AM,26,0),""))</f>
        <v/>
      </c>
      <c r="AC99" s="61" t="str">
        <f>IF(B99="","",IFERROR(VLOOKUP(B99,'ANÁLISE DE DADOS'!$A:$AM,27,0),""))</f>
        <v/>
      </c>
      <c r="AD99" s="62" t="str">
        <f>IF(B99="","",IFERROR(VLOOKUP(B99,'ANÁLISE DE DADOS'!$A:$AM,28,0),""))</f>
        <v/>
      </c>
      <c r="AE99" s="61" t="str">
        <f>IF(B99="","",IFERROR(VLOOKUP(B99,'ANÁLISE DE DADOS'!$A:$AM,29,0),""))</f>
        <v/>
      </c>
      <c r="AF99" s="61" t="str">
        <f>IF(B99="","",IFERROR(VLOOKUP(B99,'ANÁLISE DE DADOS'!$A:$AM,30,0),""))</f>
        <v/>
      </c>
      <c r="AG99" s="62" t="str">
        <f>IF(B99="","",IFERROR(VLOOKUP(B99,'ANÁLISE DE DADOS'!$A:$AM,31,0),""))</f>
        <v/>
      </c>
      <c r="AH99" s="61" t="str">
        <f>IF(B99="","",IFERROR(VLOOKUP(B99,'ANÁLISE DE DADOS'!$A:$AM,32,0),""))</f>
        <v/>
      </c>
      <c r="AI99" s="61" t="str">
        <f>IF(B99="","",IFERROR(VLOOKUP(B99,'ANÁLISE DE DADOS'!$A:$AM,33,0),""))</f>
        <v/>
      </c>
      <c r="AJ99" s="61" t="str">
        <f>IF(B99="","",IFERROR(VLOOKUP(B99,'ANÁLISE DE DADOS'!$A:$AM,34,0),""))</f>
        <v/>
      </c>
      <c r="AK99" s="63" t="str">
        <f>IF(B99="","",IFERROR(VLOOKUP(B99,'ANÁLISE DE DADOS'!$A:$AM,35,0),""))</f>
        <v/>
      </c>
      <c r="AL99" s="63" t="str">
        <f>IF(B99="","",IFERROR(VLOOKUP(B99,'ANÁLISE DE DADOS'!$A:$AM,36,0),""))</f>
        <v/>
      </c>
    </row>
    <row r="100" spans="3:38" x14ac:dyDescent="0.3">
      <c r="C100" s="61" t="str">
        <f>IF(B100="","",IFERROR(VLOOKUP(B100,'ANÁLISE DE DADOS'!$A:$AM,1,0),""))</f>
        <v/>
      </c>
      <c r="D100" s="61" t="str">
        <f>IF(B100="","",IFERROR(VLOOKUP(B100,'ANÁLISE DE DADOS'!$A:$AM,2,0),""))</f>
        <v/>
      </c>
      <c r="E100" s="61" t="str">
        <f>IF(B100="","",IFERROR(VLOOKUP(B100,'ANÁLISE DE DADOS'!$A:$AM,3,0),""))</f>
        <v/>
      </c>
      <c r="F100" s="61" t="str">
        <f>IF(B100="","",IFERROR(VLOOKUP(B100,'ANÁLISE DE DADOS'!$A:$AM,4,0),""))</f>
        <v/>
      </c>
      <c r="G100" s="62" t="str">
        <f>IF(B100="","",IFERROR(VLOOKUP(B100,'ANÁLISE DE DADOS'!$A:$AM,5,0),""))</f>
        <v/>
      </c>
      <c r="H100" s="62" t="str">
        <f>IF(B100="","",IFERROR(VLOOKUP(B100,'ANÁLISE DE DADOS'!$A:$AM,6,0),""))</f>
        <v/>
      </c>
      <c r="I100" s="62" t="str">
        <f>IF(B100="","",IFERROR(VLOOKUP(B100,'ANÁLISE DE DADOS'!$A:$AM,7,0),""))</f>
        <v/>
      </c>
      <c r="J100" s="62" t="str">
        <f>IF(B100="","",IFERROR(VLOOKUP(B100,'ANÁLISE DE DADOS'!$A:$AM,8,0),""))</f>
        <v/>
      </c>
      <c r="K100" s="61" t="str">
        <f>IF(B100="","",IFERROR(VLOOKUP(B100,'ANÁLISE DE DADOS'!$A:$AM,9,0),""))</f>
        <v/>
      </c>
      <c r="L100" s="61" t="str">
        <f>IF(B100="","",IFERROR(VLOOKUP(B100,'ANÁLISE DE DADOS'!$A:$AM,10,0),""))</f>
        <v/>
      </c>
      <c r="M100" s="62" t="str">
        <f>IF(B100="","",IFERROR(VLOOKUP(B100,'ANÁLISE DE DADOS'!$A:$AM,11,0),""))</f>
        <v/>
      </c>
      <c r="N100" s="61" t="str">
        <f>IF(B100="","",IFERROR(VLOOKUP(B100,'ANÁLISE DE DADOS'!$A:$AM,12,0),""))</f>
        <v/>
      </c>
      <c r="O100" s="61" t="str">
        <f>IF(B100="","",IFERROR(VLOOKUP(B100,'ANÁLISE DE DADOS'!$A:$AM,13,0),""))</f>
        <v/>
      </c>
      <c r="P100" s="63" t="str">
        <f>IF(B100="","",IFERROR(VLOOKUP(B100,'ANÁLISE DE DADOS'!$A:$AM,14,0),""))</f>
        <v/>
      </c>
      <c r="Q100" s="61" t="str">
        <f>IF(B100="","",IFERROR(VLOOKUP(B100,'ANÁLISE DE DADOS'!$A:$AM,15,0),""))</f>
        <v/>
      </c>
      <c r="R100" s="61" t="str">
        <f>IF(B100="","",IFERROR(VLOOKUP(B100,'ANÁLISE DE DADOS'!$A:$AM,16,0),""))</f>
        <v/>
      </c>
      <c r="S100" s="61" t="str">
        <f>IF(B100="","",IFERROR(VLOOKUP(B100,'ANÁLISE DE DADOS'!$A:$AM,17,0),""))</f>
        <v/>
      </c>
      <c r="T100" s="61" t="str">
        <f>IF(B100="","",IFERROR(VLOOKUP(B100,'ANÁLISE DE DADOS'!$A:$AM,18,0),""))</f>
        <v/>
      </c>
      <c r="U100" s="61" t="str">
        <f>IF(B100="","",IFERROR(VLOOKUP(B100,'ANÁLISE DE DADOS'!$A:$AM,19,0),""))</f>
        <v/>
      </c>
      <c r="V100" s="61" t="str">
        <f>IF(B100="","",IFERROR(VLOOKUP(B100,'ANÁLISE DE DADOS'!$A:$AM,20,0),""))</f>
        <v/>
      </c>
      <c r="W100" s="61" t="str">
        <f>IF(B100="","",IFERROR(VLOOKUP(B100,'ANÁLISE DE DADOS'!$A:$AM,21,0),""))</f>
        <v/>
      </c>
      <c r="X100" s="61" t="str">
        <f>IF(B100="","",IFERROR(VLOOKUP(B100,'ANÁLISE DE DADOS'!$A:$AM,22,0),""))</f>
        <v/>
      </c>
      <c r="Y100" s="61" t="str">
        <f>IF(B100="","",IFERROR(VLOOKUP(B100,'ANÁLISE DE DADOS'!$A:$AM,23,0),""))</f>
        <v/>
      </c>
      <c r="Z100" s="61" t="str">
        <f>IF(B100="","",IFERROR(VLOOKUP(B100,'ANÁLISE DE DADOS'!$A:$AM,24,0),""))</f>
        <v/>
      </c>
      <c r="AA100" s="61" t="str">
        <f>IF(B100="","",IFERROR(VLOOKUP(B100,'ANÁLISE DE DADOS'!$A:$AM,25,0),""))</f>
        <v/>
      </c>
      <c r="AB100" s="61" t="str">
        <f>IF(B100="","",IFERROR(VLOOKUP(B100,'ANÁLISE DE DADOS'!$A:$AM,26,0),""))</f>
        <v/>
      </c>
      <c r="AC100" s="61" t="str">
        <f>IF(B100="","",IFERROR(VLOOKUP(B100,'ANÁLISE DE DADOS'!$A:$AM,27,0),""))</f>
        <v/>
      </c>
      <c r="AD100" s="62" t="str">
        <f>IF(B100="","",IFERROR(VLOOKUP(B100,'ANÁLISE DE DADOS'!$A:$AM,28,0),""))</f>
        <v/>
      </c>
      <c r="AE100" s="61" t="str">
        <f>IF(B100="","",IFERROR(VLOOKUP(B100,'ANÁLISE DE DADOS'!$A:$AM,29,0),""))</f>
        <v/>
      </c>
      <c r="AF100" s="61" t="str">
        <f>IF(B100="","",IFERROR(VLOOKUP(B100,'ANÁLISE DE DADOS'!$A:$AM,30,0),""))</f>
        <v/>
      </c>
      <c r="AG100" s="62" t="str">
        <f>IF(B100="","",IFERROR(VLOOKUP(B100,'ANÁLISE DE DADOS'!$A:$AM,31,0),""))</f>
        <v/>
      </c>
      <c r="AH100" s="61" t="str">
        <f>IF(B100="","",IFERROR(VLOOKUP(B100,'ANÁLISE DE DADOS'!$A:$AM,32,0),""))</f>
        <v/>
      </c>
      <c r="AI100" s="61" t="str">
        <f>IF(B100="","",IFERROR(VLOOKUP(B100,'ANÁLISE DE DADOS'!$A:$AM,33,0),""))</f>
        <v/>
      </c>
      <c r="AJ100" s="61" t="str">
        <f>IF(B100="","",IFERROR(VLOOKUP(B100,'ANÁLISE DE DADOS'!$A:$AM,34,0),""))</f>
        <v/>
      </c>
      <c r="AK100" s="63" t="str">
        <f>IF(B100="","",IFERROR(VLOOKUP(B100,'ANÁLISE DE DADOS'!$A:$AM,35,0),""))</f>
        <v/>
      </c>
      <c r="AL100" s="63" t="str">
        <f>IF(B100="","",IFERROR(VLOOKUP(B100,'ANÁLISE DE DADOS'!$A:$AM,36,0),""))</f>
        <v/>
      </c>
    </row>
    <row r="101" spans="3:38" x14ac:dyDescent="0.3">
      <c r="C101" s="61" t="str">
        <f>IF(B101="","",IFERROR(VLOOKUP(B101,'ANÁLISE DE DADOS'!$A:$AM,1,0),""))</f>
        <v/>
      </c>
      <c r="D101" s="61" t="str">
        <f>IF(B101="","",IFERROR(VLOOKUP(B101,'ANÁLISE DE DADOS'!$A:$AM,2,0),""))</f>
        <v/>
      </c>
      <c r="E101" s="61" t="str">
        <f>IF(B101="","",IFERROR(VLOOKUP(B101,'ANÁLISE DE DADOS'!$A:$AM,3,0),""))</f>
        <v/>
      </c>
      <c r="F101" s="61" t="str">
        <f>IF(B101="","",IFERROR(VLOOKUP(B101,'ANÁLISE DE DADOS'!$A:$AM,4,0),""))</f>
        <v/>
      </c>
      <c r="G101" s="62" t="str">
        <f>IF(B101="","",IFERROR(VLOOKUP(B101,'ANÁLISE DE DADOS'!$A:$AM,5,0),""))</f>
        <v/>
      </c>
      <c r="H101" s="62" t="str">
        <f>IF(B101="","",IFERROR(VLOOKUP(B101,'ANÁLISE DE DADOS'!$A:$AM,6,0),""))</f>
        <v/>
      </c>
      <c r="I101" s="62" t="str">
        <f>IF(B101="","",IFERROR(VLOOKUP(B101,'ANÁLISE DE DADOS'!$A:$AM,7,0),""))</f>
        <v/>
      </c>
      <c r="J101" s="62" t="str">
        <f>IF(B101="","",IFERROR(VLOOKUP(B101,'ANÁLISE DE DADOS'!$A:$AM,8,0),""))</f>
        <v/>
      </c>
      <c r="K101" s="61" t="str">
        <f>IF(B101="","",IFERROR(VLOOKUP(B101,'ANÁLISE DE DADOS'!$A:$AM,9,0),""))</f>
        <v/>
      </c>
      <c r="L101" s="61" t="str">
        <f>IF(B101="","",IFERROR(VLOOKUP(B101,'ANÁLISE DE DADOS'!$A:$AM,10,0),""))</f>
        <v/>
      </c>
      <c r="M101" s="62" t="str">
        <f>IF(B101="","",IFERROR(VLOOKUP(B101,'ANÁLISE DE DADOS'!$A:$AM,11,0),""))</f>
        <v/>
      </c>
      <c r="N101" s="61" t="str">
        <f>IF(B101="","",IFERROR(VLOOKUP(B101,'ANÁLISE DE DADOS'!$A:$AM,12,0),""))</f>
        <v/>
      </c>
      <c r="O101" s="61" t="str">
        <f>IF(B101="","",IFERROR(VLOOKUP(B101,'ANÁLISE DE DADOS'!$A:$AM,13,0),""))</f>
        <v/>
      </c>
      <c r="P101" s="63" t="str">
        <f>IF(B101="","",IFERROR(VLOOKUP(B101,'ANÁLISE DE DADOS'!$A:$AM,14,0),""))</f>
        <v/>
      </c>
      <c r="Q101" s="61" t="str">
        <f>IF(B101="","",IFERROR(VLOOKUP(B101,'ANÁLISE DE DADOS'!$A:$AM,15,0),""))</f>
        <v/>
      </c>
      <c r="R101" s="61" t="str">
        <f>IF(B101="","",IFERROR(VLOOKUP(B101,'ANÁLISE DE DADOS'!$A:$AM,16,0),""))</f>
        <v/>
      </c>
      <c r="S101" s="61" t="str">
        <f>IF(B101="","",IFERROR(VLOOKUP(B101,'ANÁLISE DE DADOS'!$A:$AM,17,0),""))</f>
        <v/>
      </c>
      <c r="T101" s="61" t="str">
        <f>IF(B101="","",IFERROR(VLOOKUP(B101,'ANÁLISE DE DADOS'!$A:$AM,18,0),""))</f>
        <v/>
      </c>
      <c r="U101" s="61" t="str">
        <f>IF(B101="","",IFERROR(VLOOKUP(B101,'ANÁLISE DE DADOS'!$A:$AM,19,0),""))</f>
        <v/>
      </c>
      <c r="V101" s="61" t="str">
        <f>IF(B101="","",IFERROR(VLOOKUP(B101,'ANÁLISE DE DADOS'!$A:$AM,20,0),""))</f>
        <v/>
      </c>
      <c r="W101" s="61" t="str">
        <f>IF(B101="","",IFERROR(VLOOKUP(B101,'ANÁLISE DE DADOS'!$A:$AM,21,0),""))</f>
        <v/>
      </c>
      <c r="X101" s="61" t="str">
        <f>IF(B101="","",IFERROR(VLOOKUP(B101,'ANÁLISE DE DADOS'!$A:$AM,22,0),""))</f>
        <v/>
      </c>
      <c r="Y101" s="61" t="str">
        <f>IF(B101="","",IFERROR(VLOOKUP(B101,'ANÁLISE DE DADOS'!$A:$AM,23,0),""))</f>
        <v/>
      </c>
      <c r="Z101" s="61" t="str">
        <f>IF(B101="","",IFERROR(VLOOKUP(B101,'ANÁLISE DE DADOS'!$A:$AM,24,0),""))</f>
        <v/>
      </c>
      <c r="AA101" s="61" t="str">
        <f>IF(B101="","",IFERROR(VLOOKUP(B101,'ANÁLISE DE DADOS'!$A:$AM,25,0),""))</f>
        <v/>
      </c>
      <c r="AB101" s="61" t="str">
        <f>IF(B101="","",IFERROR(VLOOKUP(B101,'ANÁLISE DE DADOS'!$A:$AM,26,0),""))</f>
        <v/>
      </c>
      <c r="AC101" s="61" t="str">
        <f>IF(B101="","",IFERROR(VLOOKUP(B101,'ANÁLISE DE DADOS'!$A:$AM,27,0),""))</f>
        <v/>
      </c>
      <c r="AD101" s="62" t="str">
        <f>IF(B101="","",IFERROR(VLOOKUP(B101,'ANÁLISE DE DADOS'!$A:$AM,28,0),""))</f>
        <v/>
      </c>
      <c r="AE101" s="61" t="str">
        <f>IF(B101="","",IFERROR(VLOOKUP(B101,'ANÁLISE DE DADOS'!$A:$AM,29,0),""))</f>
        <v/>
      </c>
      <c r="AF101" s="61" t="str">
        <f>IF(B101="","",IFERROR(VLOOKUP(B101,'ANÁLISE DE DADOS'!$A:$AM,30,0),""))</f>
        <v/>
      </c>
      <c r="AG101" s="62" t="str">
        <f>IF(B101="","",IFERROR(VLOOKUP(B101,'ANÁLISE DE DADOS'!$A:$AM,31,0),""))</f>
        <v/>
      </c>
      <c r="AH101" s="61" t="str">
        <f>IF(B101="","",IFERROR(VLOOKUP(B101,'ANÁLISE DE DADOS'!$A:$AM,32,0),""))</f>
        <v/>
      </c>
      <c r="AI101" s="61" t="str">
        <f>IF(B101="","",IFERROR(VLOOKUP(B101,'ANÁLISE DE DADOS'!$A:$AM,33,0),""))</f>
        <v/>
      </c>
      <c r="AJ101" s="61" t="str">
        <f>IF(B101="","",IFERROR(VLOOKUP(B101,'ANÁLISE DE DADOS'!$A:$AM,34,0),""))</f>
        <v/>
      </c>
      <c r="AK101" s="63" t="str">
        <f>IF(B101="","",IFERROR(VLOOKUP(B101,'ANÁLISE DE DADOS'!$A:$AM,35,0),""))</f>
        <v/>
      </c>
      <c r="AL101" s="63" t="str">
        <f>IF(B101="","",IFERROR(VLOOKUP(B101,'ANÁLISE DE DADOS'!$A:$AM,36,0),""))</f>
        <v/>
      </c>
    </row>
    <row r="102" spans="3:38" x14ac:dyDescent="0.3">
      <c r="C102" s="61" t="str">
        <f>IF(B102="","",IFERROR(VLOOKUP(B102,'ANÁLISE DE DADOS'!$A:$AM,1,0),""))</f>
        <v/>
      </c>
      <c r="D102" s="61" t="str">
        <f>IF(B102="","",IFERROR(VLOOKUP(B102,'ANÁLISE DE DADOS'!$A:$AM,2,0),""))</f>
        <v/>
      </c>
      <c r="E102" s="61" t="str">
        <f>IF(B102="","",IFERROR(VLOOKUP(B102,'ANÁLISE DE DADOS'!$A:$AM,3,0),""))</f>
        <v/>
      </c>
      <c r="F102" s="61" t="str">
        <f>IF(B102="","",IFERROR(VLOOKUP(B102,'ANÁLISE DE DADOS'!$A:$AM,4,0),""))</f>
        <v/>
      </c>
      <c r="G102" s="62" t="str">
        <f>IF(B102="","",IFERROR(VLOOKUP(B102,'ANÁLISE DE DADOS'!$A:$AM,5,0),""))</f>
        <v/>
      </c>
      <c r="H102" s="62" t="str">
        <f>IF(B102="","",IFERROR(VLOOKUP(B102,'ANÁLISE DE DADOS'!$A:$AM,6,0),""))</f>
        <v/>
      </c>
      <c r="I102" s="62" t="str">
        <f>IF(B102="","",IFERROR(VLOOKUP(B102,'ANÁLISE DE DADOS'!$A:$AM,7,0),""))</f>
        <v/>
      </c>
      <c r="J102" s="62" t="str">
        <f>IF(B102="","",IFERROR(VLOOKUP(B102,'ANÁLISE DE DADOS'!$A:$AM,8,0),""))</f>
        <v/>
      </c>
      <c r="K102" s="61" t="str">
        <f>IF(B102="","",IFERROR(VLOOKUP(B102,'ANÁLISE DE DADOS'!$A:$AM,9,0),""))</f>
        <v/>
      </c>
      <c r="L102" s="61" t="str">
        <f>IF(B102="","",IFERROR(VLOOKUP(B102,'ANÁLISE DE DADOS'!$A:$AM,10,0),""))</f>
        <v/>
      </c>
      <c r="M102" s="62" t="str">
        <f>IF(B102="","",IFERROR(VLOOKUP(B102,'ANÁLISE DE DADOS'!$A:$AM,11,0),""))</f>
        <v/>
      </c>
      <c r="N102" s="61" t="str">
        <f>IF(B102="","",IFERROR(VLOOKUP(B102,'ANÁLISE DE DADOS'!$A:$AM,12,0),""))</f>
        <v/>
      </c>
      <c r="O102" s="61" t="str">
        <f>IF(B102="","",IFERROR(VLOOKUP(B102,'ANÁLISE DE DADOS'!$A:$AM,13,0),""))</f>
        <v/>
      </c>
      <c r="P102" s="63" t="str">
        <f>IF(B102="","",IFERROR(VLOOKUP(B102,'ANÁLISE DE DADOS'!$A:$AM,14,0),""))</f>
        <v/>
      </c>
      <c r="Q102" s="61" t="str">
        <f>IF(B102="","",IFERROR(VLOOKUP(B102,'ANÁLISE DE DADOS'!$A:$AM,15,0),""))</f>
        <v/>
      </c>
      <c r="R102" s="61" t="str">
        <f>IF(B102="","",IFERROR(VLOOKUP(B102,'ANÁLISE DE DADOS'!$A:$AM,16,0),""))</f>
        <v/>
      </c>
      <c r="S102" s="61" t="str">
        <f>IF(B102="","",IFERROR(VLOOKUP(B102,'ANÁLISE DE DADOS'!$A:$AM,17,0),""))</f>
        <v/>
      </c>
      <c r="T102" s="61" t="str">
        <f>IF(B102="","",IFERROR(VLOOKUP(B102,'ANÁLISE DE DADOS'!$A:$AM,18,0),""))</f>
        <v/>
      </c>
      <c r="U102" s="61" t="str">
        <f>IF(B102="","",IFERROR(VLOOKUP(B102,'ANÁLISE DE DADOS'!$A:$AM,19,0),""))</f>
        <v/>
      </c>
      <c r="V102" s="61" t="str">
        <f>IF(B102="","",IFERROR(VLOOKUP(B102,'ANÁLISE DE DADOS'!$A:$AM,20,0),""))</f>
        <v/>
      </c>
      <c r="W102" s="61" t="str">
        <f>IF(B102="","",IFERROR(VLOOKUP(B102,'ANÁLISE DE DADOS'!$A:$AM,21,0),""))</f>
        <v/>
      </c>
      <c r="X102" s="61" t="str">
        <f>IF(B102="","",IFERROR(VLOOKUP(B102,'ANÁLISE DE DADOS'!$A:$AM,22,0),""))</f>
        <v/>
      </c>
      <c r="Y102" s="61" t="str">
        <f>IF(B102="","",IFERROR(VLOOKUP(B102,'ANÁLISE DE DADOS'!$A:$AM,23,0),""))</f>
        <v/>
      </c>
      <c r="Z102" s="61" t="str">
        <f>IF(B102="","",IFERROR(VLOOKUP(B102,'ANÁLISE DE DADOS'!$A:$AM,24,0),""))</f>
        <v/>
      </c>
      <c r="AA102" s="61" t="str">
        <f>IF(B102="","",IFERROR(VLOOKUP(B102,'ANÁLISE DE DADOS'!$A:$AM,25,0),""))</f>
        <v/>
      </c>
      <c r="AB102" s="61" t="str">
        <f>IF(B102="","",IFERROR(VLOOKUP(B102,'ANÁLISE DE DADOS'!$A:$AM,26,0),""))</f>
        <v/>
      </c>
      <c r="AC102" s="61" t="str">
        <f>IF(B102="","",IFERROR(VLOOKUP(B102,'ANÁLISE DE DADOS'!$A:$AM,27,0),""))</f>
        <v/>
      </c>
      <c r="AD102" s="62" t="str">
        <f>IF(B102="","",IFERROR(VLOOKUP(B102,'ANÁLISE DE DADOS'!$A:$AM,28,0),""))</f>
        <v/>
      </c>
      <c r="AE102" s="61" t="str">
        <f>IF(B102="","",IFERROR(VLOOKUP(B102,'ANÁLISE DE DADOS'!$A:$AM,29,0),""))</f>
        <v/>
      </c>
      <c r="AF102" s="61" t="str">
        <f>IF(B102="","",IFERROR(VLOOKUP(B102,'ANÁLISE DE DADOS'!$A:$AM,30,0),""))</f>
        <v/>
      </c>
      <c r="AG102" s="62" t="str">
        <f>IF(B102="","",IFERROR(VLOOKUP(B102,'ANÁLISE DE DADOS'!$A:$AM,31,0),""))</f>
        <v/>
      </c>
      <c r="AH102" s="61" t="str">
        <f>IF(B102="","",IFERROR(VLOOKUP(B102,'ANÁLISE DE DADOS'!$A:$AM,32,0),""))</f>
        <v/>
      </c>
      <c r="AI102" s="61" t="str">
        <f>IF(B102="","",IFERROR(VLOOKUP(B102,'ANÁLISE DE DADOS'!$A:$AM,33,0),""))</f>
        <v/>
      </c>
      <c r="AJ102" s="61" t="str">
        <f>IF(B102="","",IFERROR(VLOOKUP(B102,'ANÁLISE DE DADOS'!$A:$AM,34,0),""))</f>
        <v/>
      </c>
      <c r="AK102" s="63" t="str">
        <f>IF(B102="","",IFERROR(VLOOKUP(B102,'ANÁLISE DE DADOS'!$A:$AM,35,0),""))</f>
        <v/>
      </c>
      <c r="AL102" s="63" t="str">
        <f>IF(B102="","",IFERROR(VLOOKUP(B102,'ANÁLISE DE DADOS'!$A:$AM,36,0),""))</f>
        <v/>
      </c>
    </row>
    <row r="103" spans="3:38" x14ac:dyDescent="0.3">
      <c r="C103" s="61" t="str">
        <f>IF(B103="","",IFERROR(VLOOKUP(B103,'ANÁLISE DE DADOS'!$A:$AM,1,0),""))</f>
        <v/>
      </c>
      <c r="D103" s="61" t="str">
        <f>IF(B103="","",IFERROR(VLOOKUP(B103,'ANÁLISE DE DADOS'!$A:$AM,2,0),""))</f>
        <v/>
      </c>
      <c r="E103" s="61" t="str">
        <f>IF(B103="","",IFERROR(VLOOKUP(B103,'ANÁLISE DE DADOS'!$A:$AM,3,0),""))</f>
        <v/>
      </c>
      <c r="F103" s="61" t="str">
        <f>IF(B103="","",IFERROR(VLOOKUP(B103,'ANÁLISE DE DADOS'!$A:$AM,4,0),""))</f>
        <v/>
      </c>
      <c r="G103" s="62" t="str">
        <f>IF(B103="","",IFERROR(VLOOKUP(B103,'ANÁLISE DE DADOS'!$A:$AM,5,0),""))</f>
        <v/>
      </c>
      <c r="H103" s="62" t="str">
        <f>IF(B103="","",IFERROR(VLOOKUP(B103,'ANÁLISE DE DADOS'!$A:$AM,6,0),""))</f>
        <v/>
      </c>
      <c r="I103" s="62" t="str">
        <f>IF(B103="","",IFERROR(VLOOKUP(B103,'ANÁLISE DE DADOS'!$A:$AM,7,0),""))</f>
        <v/>
      </c>
      <c r="J103" s="62" t="str">
        <f>IF(B103="","",IFERROR(VLOOKUP(B103,'ANÁLISE DE DADOS'!$A:$AM,8,0),""))</f>
        <v/>
      </c>
      <c r="K103" s="61" t="str">
        <f>IF(B103="","",IFERROR(VLOOKUP(B103,'ANÁLISE DE DADOS'!$A:$AM,9,0),""))</f>
        <v/>
      </c>
      <c r="L103" s="61" t="str">
        <f>IF(B103="","",IFERROR(VLOOKUP(B103,'ANÁLISE DE DADOS'!$A:$AM,10,0),""))</f>
        <v/>
      </c>
      <c r="M103" s="62" t="str">
        <f>IF(B103="","",IFERROR(VLOOKUP(B103,'ANÁLISE DE DADOS'!$A:$AM,11,0),""))</f>
        <v/>
      </c>
      <c r="N103" s="61" t="str">
        <f>IF(B103="","",IFERROR(VLOOKUP(B103,'ANÁLISE DE DADOS'!$A:$AM,12,0),""))</f>
        <v/>
      </c>
      <c r="O103" s="61" t="str">
        <f>IF(B103="","",IFERROR(VLOOKUP(B103,'ANÁLISE DE DADOS'!$A:$AM,13,0),""))</f>
        <v/>
      </c>
      <c r="P103" s="63" t="str">
        <f>IF(B103="","",IFERROR(VLOOKUP(B103,'ANÁLISE DE DADOS'!$A:$AM,14,0),""))</f>
        <v/>
      </c>
      <c r="Q103" s="61" t="str">
        <f>IF(B103="","",IFERROR(VLOOKUP(B103,'ANÁLISE DE DADOS'!$A:$AM,15,0),""))</f>
        <v/>
      </c>
      <c r="R103" s="61" t="str">
        <f>IF(B103="","",IFERROR(VLOOKUP(B103,'ANÁLISE DE DADOS'!$A:$AM,16,0),""))</f>
        <v/>
      </c>
      <c r="S103" s="61" t="str">
        <f>IF(B103="","",IFERROR(VLOOKUP(B103,'ANÁLISE DE DADOS'!$A:$AM,17,0),""))</f>
        <v/>
      </c>
      <c r="T103" s="61" t="str">
        <f>IF(B103="","",IFERROR(VLOOKUP(B103,'ANÁLISE DE DADOS'!$A:$AM,18,0),""))</f>
        <v/>
      </c>
      <c r="U103" s="61" t="str">
        <f>IF(B103="","",IFERROR(VLOOKUP(B103,'ANÁLISE DE DADOS'!$A:$AM,19,0),""))</f>
        <v/>
      </c>
      <c r="V103" s="61" t="str">
        <f>IF(B103="","",IFERROR(VLOOKUP(B103,'ANÁLISE DE DADOS'!$A:$AM,20,0),""))</f>
        <v/>
      </c>
      <c r="W103" s="61" t="str">
        <f>IF(B103="","",IFERROR(VLOOKUP(B103,'ANÁLISE DE DADOS'!$A:$AM,21,0),""))</f>
        <v/>
      </c>
      <c r="X103" s="61" t="str">
        <f>IF(B103="","",IFERROR(VLOOKUP(B103,'ANÁLISE DE DADOS'!$A:$AM,22,0),""))</f>
        <v/>
      </c>
      <c r="Y103" s="61" t="str">
        <f>IF(B103="","",IFERROR(VLOOKUP(B103,'ANÁLISE DE DADOS'!$A:$AM,23,0),""))</f>
        <v/>
      </c>
      <c r="Z103" s="61" t="str">
        <f>IF(B103="","",IFERROR(VLOOKUP(B103,'ANÁLISE DE DADOS'!$A:$AM,24,0),""))</f>
        <v/>
      </c>
      <c r="AA103" s="61" t="str">
        <f>IF(B103="","",IFERROR(VLOOKUP(B103,'ANÁLISE DE DADOS'!$A:$AM,25,0),""))</f>
        <v/>
      </c>
      <c r="AB103" s="61" t="str">
        <f>IF(B103="","",IFERROR(VLOOKUP(B103,'ANÁLISE DE DADOS'!$A:$AM,26,0),""))</f>
        <v/>
      </c>
      <c r="AC103" s="61" t="str">
        <f>IF(B103="","",IFERROR(VLOOKUP(B103,'ANÁLISE DE DADOS'!$A:$AM,27,0),""))</f>
        <v/>
      </c>
      <c r="AD103" s="62" t="str">
        <f>IF(B103="","",IFERROR(VLOOKUP(B103,'ANÁLISE DE DADOS'!$A:$AM,28,0),""))</f>
        <v/>
      </c>
      <c r="AE103" s="61" t="str">
        <f>IF(B103="","",IFERROR(VLOOKUP(B103,'ANÁLISE DE DADOS'!$A:$AM,29,0),""))</f>
        <v/>
      </c>
      <c r="AF103" s="61" t="str">
        <f>IF(B103="","",IFERROR(VLOOKUP(B103,'ANÁLISE DE DADOS'!$A:$AM,30,0),""))</f>
        <v/>
      </c>
      <c r="AG103" s="62" t="str">
        <f>IF(B103="","",IFERROR(VLOOKUP(B103,'ANÁLISE DE DADOS'!$A:$AM,31,0),""))</f>
        <v/>
      </c>
      <c r="AH103" s="61" t="str">
        <f>IF(B103="","",IFERROR(VLOOKUP(B103,'ANÁLISE DE DADOS'!$A:$AM,32,0),""))</f>
        <v/>
      </c>
      <c r="AI103" s="61" t="str">
        <f>IF(B103="","",IFERROR(VLOOKUP(B103,'ANÁLISE DE DADOS'!$A:$AM,33,0),""))</f>
        <v/>
      </c>
      <c r="AJ103" s="61" t="str">
        <f>IF(B103="","",IFERROR(VLOOKUP(B103,'ANÁLISE DE DADOS'!$A:$AM,34,0),""))</f>
        <v/>
      </c>
      <c r="AK103" s="63" t="str">
        <f>IF(B103="","",IFERROR(VLOOKUP(B103,'ANÁLISE DE DADOS'!$A:$AM,35,0),""))</f>
        <v/>
      </c>
      <c r="AL103" s="63" t="str">
        <f>IF(B103="","",IFERROR(VLOOKUP(B103,'ANÁLISE DE DADOS'!$A:$AM,36,0),""))</f>
        <v/>
      </c>
    </row>
    <row r="104" spans="3:38" x14ac:dyDescent="0.3">
      <c r="C104" s="61" t="str">
        <f>IF(B104="","",IFERROR(VLOOKUP(B104,'ANÁLISE DE DADOS'!$A:$AM,1,0),""))</f>
        <v/>
      </c>
      <c r="D104" s="61" t="str">
        <f>IF(B104="","",IFERROR(VLOOKUP(B104,'ANÁLISE DE DADOS'!$A:$AM,2,0),""))</f>
        <v/>
      </c>
      <c r="E104" s="61" t="str">
        <f>IF(B104="","",IFERROR(VLOOKUP(B104,'ANÁLISE DE DADOS'!$A:$AM,3,0),""))</f>
        <v/>
      </c>
      <c r="F104" s="61" t="str">
        <f>IF(B104="","",IFERROR(VLOOKUP(B104,'ANÁLISE DE DADOS'!$A:$AM,4,0),""))</f>
        <v/>
      </c>
      <c r="G104" s="62" t="str">
        <f>IF(B104="","",IFERROR(VLOOKUP(B104,'ANÁLISE DE DADOS'!$A:$AM,5,0),""))</f>
        <v/>
      </c>
      <c r="H104" s="62" t="str">
        <f>IF(B104="","",IFERROR(VLOOKUP(B104,'ANÁLISE DE DADOS'!$A:$AM,6,0),""))</f>
        <v/>
      </c>
      <c r="I104" s="62" t="str">
        <f>IF(B104="","",IFERROR(VLOOKUP(B104,'ANÁLISE DE DADOS'!$A:$AM,7,0),""))</f>
        <v/>
      </c>
      <c r="J104" s="62" t="str">
        <f>IF(B104="","",IFERROR(VLOOKUP(B104,'ANÁLISE DE DADOS'!$A:$AM,8,0),""))</f>
        <v/>
      </c>
      <c r="K104" s="61" t="str">
        <f>IF(B104="","",IFERROR(VLOOKUP(B104,'ANÁLISE DE DADOS'!$A:$AM,9,0),""))</f>
        <v/>
      </c>
      <c r="L104" s="61" t="str">
        <f>IF(B104="","",IFERROR(VLOOKUP(B104,'ANÁLISE DE DADOS'!$A:$AM,10,0),""))</f>
        <v/>
      </c>
      <c r="M104" s="62" t="str">
        <f>IF(B104="","",IFERROR(VLOOKUP(B104,'ANÁLISE DE DADOS'!$A:$AM,11,0),""))</f>
        <v/>
      </c>
      <c r="N104" s="61" t="str">
        <f>IF(B104="","",IFERROR(VLOOKUP(B104,'ANÁLISE DE DADOS'!$A:$AM,12,0),""))</f>
        <v/>
      </c>
      <c r="O104" s="61" t="str">
        <f>IF(B104="","",IFERROR(VLOOKUP(B104,'ANÁLISE DE DADOS'!$A:$AM,13,0),""))</f>
        <v/>
      </c>
      <c r="P104" s="63" t="str">
        <f>IF(B104="","",IFERROR(VLOOKUP(B104,'ANÁLISE DE DADOS'!$A:$AM,14,0),""))</f>
        <v/>
      </c>
      <c r="Q104" s="61" t="str">
        <f>IF(B104="","",IFERROR(VLOOKUP(B104,'ANÁLISE DE DADOS'!$A:$AM,15,0),""))</f>
        <v/>
      </c>
      <c r="R104" s="61" t="str">
        <f>IF(B104="","",IFERROR(VLOOKUP(B104,'ANÁLISE DE DADOS'!$A:$AM,16,0),""))</f>
        <v/>
      </c>
      <c r="S104" s="61" t="str">
        <f>IF(B104="","",IFERROR(VLOOKUP(B104,'ANÁLISE DE DADOS'!$A:$AM,17,0),""))</f>
        <v/>
      </c>
      <c r="T104" s="61" t="str">
        <f>IF(B104="","",IFERROR(VLOOKUP(B104,'ANÁLISE DE DADOS'!$A:$AM,18,0),""))</f>
        <v/>
      </c>
      <c r="U104" s="61" t="str">
        <f>IF(B104="","",IFERROR(VLOOKUP(B104,'ANÁLISE DE DADOS'!$A:$AM,19,0),""))</f>
        <v/>
      </c>
      <c r="V104" s="61" t="str">
        <f>IF(B104="","",IFERROR(VLOOKUP(B104,'ANÁLISE DE DADOS'!$A:$AM,20,0),""))</f>
        <v/>
      </c>
      <c r="W104" s="61" t="str">
        <f>IF(B104="","",IFERROR(VLOOKUP(B104,'ANÁLISE DE DADOS'!$A:$AM,21,0),""))</f>
        <v/>
      </c>
      <c r="X104" s="61" t="str">
        <f>IF(B104="","",IFERROR(VLOOKUP(B104,'ANÁLISE DE DADOS'!$A:$AM,22,0),""))</f>
        <v/>
      </c>
      <c r="Y104" s="61" t="str">
        <f>IF(B104="","",IFERROR(VLOOKUP(B104,'ANÁLISE DE DADOS'!$A:$AM,23,0),""))</f>
        <v/>
      </c>
      <c r="Z104" s="61" t="str">
        <f>IF(B104="","",IFERROR(VLOOKUP(B104,'ANÁLISE DE DADOS'!$A:$AM,24,0),""))</f>
        <v/>
      </c>
      <c r="AA104" s="61" t="str">
        <f>IF(B104="","",IFERROR(VLOOKUP(B104,'ANÁLISE DE DADOS'!$A:$AM,25,0),""))</f>
        <v/>
      </c>
      <c r="AB104" s="61" t="str">
        <f>IF(B104="","",IFERROR(VLOOKUP(B104,'ANÁLISE DE DADOS'!$A:$AM,26,0),""))</f>
        <v/>
      </c>
      <c r="AC104" s="61" t="str">
        <f>IF(B104="","",IFERROR(VLOOKUP(B104,'ANÁLISE DE DADOS'!$A:$AM,27,0),""))</f>
        <v/>
      </c>
      <c r="AD104" s="62" t="str">
        <f>IF(B104="","",IFERROR(VLOOKUP(B104,'ANÁLISE DE DADOS'!$A:$AM,28,0),""))</f>
        <v/>
      </c>
      <c r="AE104" s="61" t="str">
        <f>IF(B104="","",IFERROR(VLOOKUP(B104,'ANÁLISE DE DADOS'!$A:$AM,29,0),""))</f>
        <v/>
      </c>
      <c r="AF104" s="61" t="str">
        <f>IF(B104="","",IFERROR(VLOOKUP(B104,'ANÁLISE DE DADOS'!$A:$AM,30,0),""))</f>
        <v/>
      </c>
      <c r="AG104" s="62" t="str">
        <f>IF(B104="","",IFERROR(VLOOKUP(B104,'ANÁLISE DE DADOS'!$A:$AM,31,0),""))</f>
        <v/>
      </c>
      <c r="AH104" s="61" t="str">
        <f>IF(B104="","",IFERROR(VLOOKUP(B104,'ANÁLISE DE DADOS'!$A:$AM,32,0),""))</f>
        <v/>
      </c>
      <c r="AI104" s="61" t="str">
        <f>IF(B104="","",IFERROR(VLOOKUP(B104,'ANÁLISE DE DADOS'!$A:$AM,33,0),""))</f>
        <v/>
      </c>
      <c r="AJ104" s="61" t="str">
        <f>IF(B104="","",IFERROR(VLOOKUP(B104,'ANÁLISE DE DADOS'!$A:$AM,34,0),""))</f>
        <v/>
      </c>
      <c r="AK104" s="63" t="str">
        <f>IF(B104="","",IFERROR(VLOOKUP(B104,'ANÁLISE DE DADOS'!$A:$AM,35,0),""))</f>
        <v/>
      </c>
      <c r="AL104" s="63" t="str">
        <f>IF(B104="","",IFERROR(VLOOKUP(B104,'ANÁLISE DE DADOS'!$A:$AM,36,0),""))</f>
        <v/>
      </c>
    </row>
    <row r="105" spans="3:38" x14ac:dyDescent="0.3">
      <c r="C105" s="61" t="str">
        <f>IF(B105="","",IFERROR(VLOOKUP(B105,'ANÁLISE DE DADOS'!$A:$AM,1,0),""))</f>
        <v/>
      </c>
      <c r="D105" s="61" t="str">
        <f>IF(B105="","",IFERROR(VLOOKUP(B105,'ANÁLISE DE DADOS'!$A:$AM,2,0),""))</f>
        <v/>
      </c>
      <c r="E105" s="61" t="str">
        <f>IF(B105="","",IFERROR(VLOOKUP(B105,'ANÁLISE DE DADOS'!$A:$AM,3,0),""))</f>
        <v/>
      </c>
      <c r="F105" s="61" t="str">
        <f>IF(B105="","",IFERROR(VLOOKUP(B105,'ANÁLISE DE DADOS'!$A:$AM,4,0),""))</f>
        <v/>
      </c>
      <c r="G105" s="62" t="str">
        <f>IF(B105="","",IFERROR(VLOOKUP(B105,'ANÁLISE DE DADOS'!$A:$AM,5,0),""))</f>
        <v/>
      </c>
      <c r="H105" s="62" t="str">
        <f>IF(B105="","",IFERROR(VLOOKUP(B105,'ANÁLISE DE DADOS'!$A:$AM,6,0),""))</f>
        <v/>
      </c>
      <c r="I105" s="62" t="str">
        <f>IF(B105="","",IFERROR(VLOOKUP(B105,'ANÁLISE DE DADOS'!$A:$AM,7,0),""))</f>
        <v/>
      </c>
      <c r="J105" s="62" t="str">
        <f>IF(B105="","",IFERROR(VLOOKUP(B105,'ANÁLISE DE DADOS'!$A:$AM,8,0),""))</f>
        <v/>
      </c>
      <c r="K105" s="61" t="str">
        <f>IF(B105="","",IFERROR(VLOOKUP(B105,'ANÁLISE DE DADOS'!$A:$AM,9,0),""))</f>
        <v/>
      </c>
      <c r="L105" s="61" t="str">
        <f>IF(B105="","",IFERROR(VLOOKUP(B105,'ANÁLISE DE DADOS'!$A:$AM,10,0),""))</f>
        <v/>
      </c>
      <c r="M105" s="62" t="str">
        <f>IF(B105="","",IFERROR(VLOOKUP(B105,'ANÁLISE DE DADOS'!$A:$AM,11,0),""))</f>
        <v/>
      </c>
      <c r="N105" s="61" t="str">
        <f>IF(B105="","",IFERROR(VLOOKUP(B105,'ANÁLISE DE DADOS'!$A:$AM,12,0),""))</f>
        <v/>
      </c>
      <c r="O105" s="61" t="str">
        <f>IF(B105="","",IFERROR(VLOOKUP(B105,'ANÁLISE DE DADOS'!$A:$AM,13,0),""))</f>
        <v/>
      </c>
      <c r="P105" s="63" t="str">
        <f>IF(B105="","",IFERROR(VLOOKUP(B105,'ANÁLISE DE DADOS'!$A:$AM,14,0),""))</f>
        <v/>
      </c>
      <c r="Q105" s="61" t="str">
        <f>IF(B105="","",IFERROR(VLOOKUP(B105,'ANÁLISE DE DADOS'!$A:$AM,15,0),""))</f>
        <v/>
      </c>
      <c r="R105" s="61" t="str">
        <f>IF(B105="","",IFERROR(VLOOKUP(B105,'ANÁLISE DE DADOS'!$A:$AM,16,0),""))</f>
        <v/>
      </c>
      <c r="S105" s="61" t="str">
        <f>IF(B105="","",IFERROR(VLOOKUP(B105,'ANÁLISE DE DADOS'!$A:$AM,17,0),""))</f>
        <v/>
      </c>
      <c r="T105" s="61" t="str">
        <f>IF(B105="","",IFERROR(VLOOKUP(B105,'ANÁLISE DE DADOS'!$A:$AM,18,0),""))</f>
        <v/>
      </c>
      <c r="U105" s="61" t="str">
        <f>IF(B105="","",IFERROR(VLOOKUP(B105,'ANÁLISE DE DADOS'!$A:$AM,19,0),""))</f>
        <v/>
      </c>
      <c r="V105" s="61" t="str">
        <f>IF(B105="","",IFERROR(VLOOKUP(B105,'ANÁLISE DE DADOS'!$A:$AM,20,0),""))</f>
        <v/>
      </c>
      <c r="W105" s="61" t="str">
        <f>IF(B105="","",IFERROR(VLOOKUP(B105,'ANÁLISE DE DADOS'!$A:$AM,21,0),""))</f>
        <v/>
      </c>
      <c r="X105" s="61" t="str">
        <f>IF(B105="","",IFERROR(VLOOKUP(B105,'ANÁLISE DE DADOS'!$A:$AM,22,0),""))</f>
        <v/>
      </c>
      <c r="Y105" s="61" t="str">
        <f>IF(B105="","",IFERROR(VLOOKUP(B105,'ANÁLISE DE DADOS'!$A:$AM,23,0),""))</f>
        <v/>
      </c>
      <c r="Z105" s="61" t="str">
        <f>IF(B105="","",IFERROR(VLOOKUP(B105,'ANÁLISE DE DADOS'!$A:$AM,24,0),""))</f>
        <v/>
      </c>
      <c r="AA105" s="61" t="str">
        <f>IF(B105="","",IFERROR(VLOOKUP(B105,'ANÁLISE DE DADOS'!$A:$AM,25,0),""))</f>
        <v/>
      </c>
      <c r="AB105" s="61" t="str">
        <f>IF(B105="","",IFERROR(VLOOKUP(B105,'ANÁLISE DE DADOS'!$A:$AM,26,0),""))</f>
        <v/>
      </c>
      <c r="AC105" s="61" t="str">
        <f>IF(B105="","",IFERROR(VLOOKUP(B105,'ANÁLISE DE DADOS'!$A:$AM,27,0),""))</f>
        <v/>
      </c>
      <c r="AD105" s="62" t="str">
        <f>IF(B105="","",IFERROR(VLOOKUP(B105,'ANÁLISE DE DADOS'!$A:$AM,28,0),""))</f>
        <v/>
      </c>
      <c r="AE105" s="61" t="str">
        <f>IF(B105="","",IFERROR(VLOOKUP(B105,'ANÁLISE DE DADOS'!$A:$AM,29,0),""))</f>
        <v/>
      </c>
      <c r="AF105" s="61" t="str">
        <f>IF(B105="","",IFERROR(VLOOKUP(B105,'ANÁLISE DE DADOS'!$A:$AM,30,0),""))</f>
        <v/>
      </c>
      <c r="AG105" s="62" t="str">
        <f>IF(B105="","",IFERROR(VLOOKUP(B105,'ANÁLISE DE DADOS'!$A:$AM,31,0),""))</f>
        <v/>
      </c>
      <c r="AH105" s="61" t="str">
        <f>IF(B105="","",IFERROR(VLOOKUP(B105,'ANÁLISE DE DADOS'!$A:$AM,32,0),""))</f>
        <v/>
      </c>
      <c r="AI105" s="61" t="str">
        <f>IF(B105="","",IFERROR(VLOOKUP(B105,'ANÁLISE DE DADOS'!$A:$AM,33,0),""))</f>
        <v/>
      </c>
      <c r="AJ105" s="61" t="str">
        <f>IF(B105="","",IFERROR(VLOOKUP(B105,'ANÁLISE DE DADOS'!$A:$AM,34,0),""))</f>
        <v/>
      </c>
      <c r="AK105" s="63" t="str">
        <f>IF(B105="","",IFERROR(VLOOKUP(B105,'ANÁLISE DE DADOS'!$A:$AM,35,0),""))</f>
        <v/>
      </c>
      <c r="AL105" s="63" t="str">
        <f>IF(B105="","",IFERROR(VLOOKUP(B105,'ANÁLISE DE DADOS'!$A:$AM,36,0),""))</f>
        <v/>
      </c>
    </row>
    <row r="106" spans="3:38" x14ac:dyDescent="0.3">
      <c r="C106" s="61" t="str">
        <f>IF(B106="","",IFERROR(VLOOKUP(B106,'ANÁLISE DE DADOS'!$A:$AM,1,0),""))</f>
        <v/>
      </c>
      <c r="D106" s="61" t="str">
        <f>IF(B106="","",IFERROR(VLOOKUP(B106,'ANÁLISE DE DADOS'!$A:$AM,2,0),""))</f>
        <v/>
      </c>
      <c r="E106" s="61" t="str">
        <f>IF(B106="","",IFERROR(VLOOKUP(B106,'ANÁLISE DE DADOS'!$A:$AM,3,0),""))</f>
        <v/>
      </c>
      <c r="F106" s="61" t="str">
        <f>IF(B106="","",IFERROR(VLOOKUP(B106,'ANÁLISE DE DADOS'!$A:$AM,4,0),""))</f>
        <v/>
      </c>
      <c r="G106" s="62" t="str">
        <f>IF(B106="","",IFERROR(VLOOKUP(B106,'ANÁLISE DE DADOS'!$A:$AM,5,0),""))</f>
        <v/>
      </c>
      <c r="H106" s="62" t="str">
        <f>IF(B106="","",IFERROR(VLOOKUP(B106,'ANÁLISE DE DADOS'!$A:$AM,6,0),""))</f>
        <v/>
      </c>
      <c r="I106" s="62" t="str">
        <f>IF(B106="","",IFERROR(VLOOKUP(B106,'ANÁLISE DE DADOS'!$A:$AM,7,0),""))</f>
        <v/>
      </c>
      <c r="J106" s="62" t="str">
        <f>IF(B106="","",IFERROR(VLOOKUP(B106,'ANÁLISE DE DADOS'!$A:$AM,8,0),""))</f>
        <v/>
      </c>
      <c r="K106" s="61" t="str">
        <f>IF(B106="","",IFERROR(VLOOKUP(B106,'ANÁLISE DE DADOS'!$A:$AM,9,0),""))</f>
        <v/>
      </c>
      <c r="L106" s="61" t="str">
        <f>IF(B106="","",IFERROR(VLOOKUP(B106,'ANÁLISE DE DADOS'!$A:$AM,10,0),""))</f>
        <v/>
      </c>
      <c r="M106" s="62" t="str">
        <f>IF(B106="","",IFERROR(VLOOKUP(B106,'ANÁLISE DE DADOS'!$A:$AM,11,0),""))</f>
        <v/>
      </c>
      <c r="N106" s="61" t="str">
        <f>IF(B106="","",IFERROR(VLOOKUP(B106,'ANÁLISE DE DADOS'!$A:$AM,12,0),""))</f>
        <v/>
      </c>
      <c r="O106" s="61" t="str">
        <f>IF(B106="","",IFERROR(VLOOKUP(B106,'ANÁLISE DE DADOS'!$A:$AM,13,0),""))</f>
        <v/>
      </c>
      <c r="P106" s="63" t="str">
        <f>IF(B106="","",IFERROR(VLOOKUP(B106,'ANÁLISE DE DADOS'!$A:$AM,14,0),""))</f>
        <v/>
      </c>
      <c r="Q106" s="61" t="str">
        <f>IF(B106="","",IFERROR(VLOOKUP(B106,'ANÁLISE DE DADOS'!$A:$AM,15,0),""))</f>
        <v/>
      </c>
      <c r="R106" s="61" t="str">
        <f>IF(B106="","",IFERROR(VLOOKUP(B106,'ANÁLISE DE DADOS'!$A:$AM,16,0),""))</f>
        <v/>
      </c>
      <c r="S106" s="61" t="str">
        <f>IF(B106="","",IFERROR(VLOOKUP(B106,'ANÁLISE DE DADOS'!$A:$AM,17,0),""))</f>
        <v/>
      </c>
      <c r="T106" s="61" t="str">
        <f>IF(B106="","",IFERROR(VLOOKUP(B106,'ANÁLISE DE DADOS'!$A:$AM,18,0),""))</f>
        <v/>
      </c>
      <c r="U106" s="61" t="str">
        <f>IF(B106="","",IFERROR(VLOOKUP(B106,'ANÁLISE DE DADOS'!$A:$AM,19,0),""))</f>
        <v/>
      </c>
      <c r="V106" s="61" t="str">
        <f>IF(B106="","",IFERROR(VLOOKUP(B106,'ANÁLISE DE DADOS'!$A:$AM,20,0),""))</f>
        <v/>
      </c>
      <c r="W106" s="61" t="str">
        <f>IF(B106="","",IFERROR(VLOOKUP(B106,'ANÁLISE DE DADOS'!$A:$AM,21,0),""))</f>
        <v/>
      </c>
      <c r="X106" s="61" t="str">
        <f>IF(B106="","",IFERROR(VLOOKUP(B106,'ANÁLISE DE DADOS'!$A:$AM,22,0),""))</f>
        <v/>
      </c>
      <c r="Y106" s="61" t="str">
        <f>IF(B106="","",IFERROR(VLOOKUP(B106,'ANÁLISE DE DADOS'!$A:$AM,23,0),""))</f>
        <v/>
      </c>
      <c r="Z106" s="61" t="str">
        <f>IF(B106="","",IFERROR(VLOOKUP(B106,'ANÁLISE DE DADOS'!$A:$AM,24,0),""))</f>
        <v/>
      </c>
      <c r="AA106" s="61" t="str">
        <f>IF(B106="","",IFERROR(VLOOKUP(B106,'ANÁLISE DE DADOS'!$A:$AM,25,0),""))</f>
        <v/>
      </c>
      <c r="AB106" s="61" t="str">
        <f>IF(B106="","",IFERROR(VLOOKUP(B106,'ANÁLISE DE DADOS'!$A:$AM,26,0),""))</f>
        <v/>
      </c>
      <c r="AC106" s="61" t="str">
        <f>IF(B106="","",IFERROR(VLOOKUP(B106,'ANÁLISE DE DADOS'!$A:$AM,27,0),""))</f>
        <v/>
      </c>
      <c r="AD106" s="62" t="str">
        <f>IF(B106="","",IFERROR(VLOOKUP(B106,'ANÁLISE DE DADOS'!$A:$AM,28,0),""))</f>
        <v/>
      </c>
      <c r="AE106" s="61" t="str">
        <f>IF(B106="","",IFERROR(VLOOKUP(B106,'ANÁLISE DE DADOS'!$A:$AM,29,0),""))</f>
        <v/>
      </c>
      <c r="AF106" s="61" t="str">
        <f>IF(B106="","",IFERROR(VLOOKUP(B106,'ANÁLISE DE DADOS'!$A:$AM,30,0),""))</f>
        <v/>
      </c>
      <c r="AG106" s="62" t="str">
        <f>IF(B106="","",IFERROR(VLOOKUP(B106,'ANÁLISE DE DADOS'!$A:$AM,31,0),""))</f>
        <v/>
      </c>
      <c r="AH106" s="61" t="str">
        <f>IF(B106="","",IFERROR(VLOOKUP(B106,'ANÁLISE DE DADOS'!$A:$AM,32,0),""))</f>
        <v/>
      </c>
      <c r="AI106" s="61" t="str">
        <f>IF(B106="","",IFERROR(VLOOKUP(B106,'ANÁLISE DE DADOS'!$A:$AM,33,0),""))</f>
        <v/>
      </c>
      <c r="AJ106" s="61" t="str">
        <f>IF(B106="","",IFERROR(VLOOKUP(B106,'ANÁLISE DE DADOS'!$A:$AM,34,0),""))</f>
        <v/>
      </c>
      <c r="AK106" s="63" t="str">
        <f>IF(B106="","",IFERROR(VLOOKUP(B106,'ANÁLISE DE DADOS'!$A:$AM,35,0),""))</f>
        <v/>
      </c>
      <c r="AL106" s="63" t="str">
        <f>IF(B106="","",IFERROR(VLOOKUP(B106,'ANÁLISE DE DADOS'!$A:$AM,36,0),""))</f>
        <v/>
      </c>
    </row>
    <row r="107" spans="3:38" x14ac:dyDescent="0.3">
      <c r="C107" s="61" t="str">
        <f>IF(B107="","",IFERROR(VLOOKUP(B107,'ANÁLISE DE DADOS'!$A:$AM,1,0),""))</f>
        <v/>
      </c>
      <c r="D107" s="61" t="str">
        <f>IF(B107="","",IFERROR(VLOOKUP(B107,'ANÁLISE DE DADOS'!$A:$AM,2,0),""))</f>
        <v/>
      </c>
      <c r="E107" s="61" t="str">
        <f>IF(B107="","",IFERROR(VLOOKUP(B107,'ANÁLISE DE DADOS'!$A:$AM,3,0),""))</f>
        <v/>
      </c>
      <c r="F107" s="61" t="str">
        <f>IF(B107="","",IFERROR(VLOOKUP(B107,'ANÁLISE DE DADOS'!$A:$AM,4,0),""))</f>
        <v/>
      </c>
      <c r="G107" s="62" t="str">
        <f>IF(B107="","",IFERROR(VLOOKUP(B107,'ANÁLISE DE DADOS'!$A:$AM,5,0),""))</f>
        <v/>
      </c>
      <c r="H107" s="62" t="str">
        <f>IF(B107="","",IFERROR(VLOOKUP(B107,'ANÁLISE DE DADOS'!$A:$AM,6,0),""))</f>
        <v/>
      </c>
      <c r="I107" s="62" t="str">
        <f>IF(B107="","",IFERROR(VLOOKUP(B107,'ANÁLISE DE DADOS'!$A:$AM,7,0),""))</f>
        <v/>
      </c>
      <c r="J107" s="62" t="str">
        <f>IF(B107="","",IFERROR(VLOOKUP(B107,'ANÁLISE DE DADOS'!$A:$AM,8,0),""))</f>
        <v/>
      </c>
      <c r="K107" s="61" t="str">
        <f>IF(B107="","",IFERROR(VLOOKUP(B107,'ANÁLISE DE DADOS'!$A:$AM,9,0),""))</f>
        <v/>
      </c>
      <c r="L107" s="61" t="str">
        <f>IF(B107="","",IFERROR(VLOOKUP(B107,'ANÁLISE DE DADOS'!$A:$AM,10,0),""))</f>
        <v/>
      </c>
      <c r="M107" s="62" t="str">
        <f>IF(B107="","",IFERROR(VLOOKUP(B107,'ANÁLISE DE DADOS'!$A:$AM,11,0),""))</f>
        <v/>
      </c>
      <c r="N107" s="61" t="str">
        <f>IF(B107="","",IFERROR(VLOOKUP(B107,'ANÁLISE DE DADOS'!$A:$AM,12,0),""))</f>
        <v/>
      </c>
      <c r="O107" s="61" t="str">
        <f>IF(B107="","",IFERROR(VLOOKUP(B107,'ANÁLISE DE DADOS'!$A:$AM,13,0),""))</f>
        <v/>
      </c>
      <c r="P107" s="63" t="str">
        <f>IF(B107="","",IFERROR(VLOOKUP(B107,'ANÁLISE DE DADOS'!$A:$AM,14,0),""))</f>
        <v/>
      </c>
      <c r="Q107" s="61" t="str">
        <f>IF(B107="","",IFERROR(VLOOKUP(B107,'ANÁLISE DE DADOS'!$A:$AM,15,0),""))</f>
        <v/>
      </c>
      <c r="R107" s="61" t="str">
        <f>IF(B107="","",IFERROR(VLOOKUP(B107,'ANÁLISE DE DADOS'!$A:$AM,16,0),""))</f>
        <v/>
      </c>
      <c r="S107" s="61" t="str">
        <f>IF(B107="","",IFERROR(VLOOKUP(B107,'ANÁLISE DE DADOS'!$A:$AM,17,0),""))</f>
        <v/>
      </c>
      <c r="T107" s="61" t="str">
        <f>IF(B107="","",IFERROR(VLOOKUP(B107,'ANÁLISE DE DADOS'!$A:$AM,18,0),""))</f>
        <v/>
      </c>
      <c r="U107" s="61" t="str">
        <f>IF(B107="","",IFERROR(VLOOKUP(B107,'ANÁLISE DE DADOS'!$A:$AM,19,0),""))</f>
        <v/>
      </c>
      <c r="V107" s="61" t="str">
        <f>IF(B107="","",IFERROR(VLOOKUP(B107,'ANÁLISE DE DADOS'!$A:$AM,20,0),""))</f>
        <v/>
      </c>
      <c r="W107" s="61" t="str">
        <f>IF(B107="","",IFERROR(VLOOKUP(B107,'ANÁLISE DE DADOS'!$A:$AM,21,0),""))</f>
        <v/>
      </c>
      <c r="X107" s="61" t="str">
        <f>IF(B107="","",IFERROR(VLOOKUP(B107,'ANÁLISE DE DADOS'!$A:$AM,22,0),""))</f>
        <v/>
      </c>
      <c r="Y107" s="61" t="str">
        <f>IF(B107="","",IFERROR(VLOOKUP(B107,'ANÁLISE DE DADOS'!$A:$AM,23,0),""))</f>
        <v/>
      </c>
      <c r="Z107" s="61" t="str">
        <f>IF(B107="","",IFERROR(VLOOKUP(B107,'ANÁLISE DE DADOS'!$A:$AM,24,0),""))</f>
        <v/>
      </c>
      <c r="AA107" s="61" t="str">
        <f>IF(B107="","",IFERROR(VLOOKUP(B107,'ANÁLISE DE DADOS'!$A:$AM,25,0),""))</f>
        <v/>
      </c>
      <c r="AB107" s="61" t="str">
        <f>IF(B107="","",IFERROR(VLOOKUP(B107,'ANÁLISE DE DADOS'!$A:$AM,26,0),""))</f>
        <v/>
      </c>
      <c r="AC107" s="61" t="str">
        <f>IF(B107="","",IFERROR(VLOOKUP(B107,'ANÁLISE DE DADOS'!$A:$AM,27,0),""))</f>
        <v/>
      </c>
      <c r="AD107" s="62" t="str">
        <f>IF(B107="","",IFERROR(VLOOKUP(B107,'ANÁLISE DE DADOS'!$A:$AM,28,0),""))</f>
        <v/>
      </c>
      <c r="AE107" s="61" t="str">
        <f>IF(B107="","",IFERROR(VLOOKUP(B107,'ANÁLISE DE DADOS'!$A:$AM,29,0),""))</f>
        <v/>
      </c>
      <c r="AF107" s="61" t="str">
        <f>IF(B107="","",IFERROR(VLOOKUP(B107,'ANÁLISE DE DADOS'!$A:$AM,30,0),""))</f>
        <v/>
      </c>
      <c r="AG107" s="62" t="str">
        <f>IF(B107="","",IFERROR(VLOOKUP(B107,'ANÁLISE DE DADOS'!$A:$AM,31,0),""))</f>
        <v/>
      </c>
      <c r="AH107" s="61" t="str">
        <f>IF(B107="","",IFERROR(VLOOKUP(B107,'ANÁLISE DE DADOS'!$A:$AM,32,0),""))</f>
        <v/>
      </c>
      <c r="AI107" s="61" t="str">
        <f>IF(B107="","",IFERROR(VLOOKUP(B107,'ANÁLISE DE DADOS'!$A:$AM,33,0),""))</f>
        <v/>
      </c>
      <c r="AJ107" s="61" t="str">
        <f>IF(B107="","",IFERROR(VLOOKUP(B107,'ANÁLISE DE DADOS'!$A:$AM,34,0),""))</f>
        <v/>
      </c>
      <c r="AK107" s="63" t="str">
        <f>IF(B107="","",IFERROR(VLOOKUP(B107,'ANÁLISE DE DADOS'!$A:$AM,35,0),""))</f>
        <v/>
      </c>
      <c r="AL107" s="63" t="str">
        <f>IF(B107="","",IFERROR(VLOOKUP(B107,'ANÁLISE DE DADOS'!$A:$AM,36,0),""))</f>
        <v/>
      </c>
    </row>
    <row r="108" spans="3:38" x14ac:dyDescent="0.3">
      <c r="C108" s="61" t="str">
        <f>IF(B108="","",IFERROR(VLOOKUP(B108,'ANÁLISE DE DADOS'!$A:$AM,1,0),""))</f>
        <v/>
      </c>
      <c r="D108" s="61" t="str">
        <f>IF(B108="","",IFERROR(VLOOKUP(B108,'ANÁLISE DE DADOS'!$A:$AM,2,0),""))</f>
        <v/>
      </c>
      <c r="E108" s="61" t="str">
        <f>IF(B108="","",IFERROR(VLOOKUP(B108,'ANÁLISE DE DADOS'!$A:$AM,3,0),""))</f>
        <v/>
      </c>
      <c r="F108" s="61" t="str">
        <f>IF(B108="","",IFERROR(VLOOKUP(B108,'ANÁLISE DE DADOS'!$A:$AM,4,0),""))</f>
        <v/>
      </c>
      <c r="G108" s="62" t="str">
        <f>IF(B108="","",IFERROR(VLOOKUP(B108,'ANÁLISE DE DADOS'!$A:$AM,5,0),""))</f>
        <v/>
      </c>
      <c r="H108" s="62" t="str">
        <f>IF(B108="","",IFERROR(VLOOKUP(B108,'ANÁLISE DE DADOS'!$A:$AM,6,0),""))</f>
        <v/>
      </c>
      <c r="I108" s="62" t="str">
        <f>IF(B108="","",IFERROR(VLOOKUP(B108,'ANÁLISE DE DADOS'!$A:$AM,7,0),""))</f>
        <v/>
      </c>
      <c r="J108" s="62" t="str">
        <f>IF(B108="","",IFERROR(VLOOKUP(B108,'ANÁLISE DE DADOS'!$A:$AM,8,0),""))</f>
        <v/>
      </c>
      <c r="K108" s="61" t="str">
        <f>IF(B108="","",IFERROR(VLOOKUP(B108,'ANÁLISE DE DADOS'!$A:$AM,9,0),""))</f>
        <v/>
      </c>
      <c r="L108" s="61" t="str">
        <f>IF(B108="","",IFERROR(VLOOKUP(B108,'ANÁLISE DE DADOS'!$A:$AM,10,0),""))</f>
        <v/>
      </c>
      <c r="M108" s="62" t="str">
        <f>IF(B108="","",IFERROR(VLOOKUP(B108,'ANÁLISE DE DADOS'!$A:$AM,11,0),""))</f>
        <v/>
      </c>
      <c r="N108" s="61" t="str">
        <f>IF(B108="","",IFERROR(VLOOKUP(B108,'ANÁLISE DE DADOS'!$A:$AM,12,0),""))</f>
        <v/>
      </c>
      <c r="O108" s="61" t="str">
        <f>IF(B108="","",IFERROR(VLOOKUP(B108,'ANÁLISE DE DADOS'!$A:$AM,13,0),""))</f>
        <v/>
      </c>
      <c r="P108" s="63" t="str">
        <f>IF(B108="","",IFERROR(VLOOKUP(B108,'ANÁLISE DE DADOS'!$A:$AM,14,0),""))</f>
        <v/>
      </c>
      <c r="Q108" s="61" t="str">
        <f>IF(B108="","",IFERROR(VLOOKUP(B108,'ANÁLISE DE DADOS'!$A:$AM,15,0),""))</f>
        <v/>
      </c>
      <c r="R108" s="61" t="str">
        <f>IF(B108="","",IFERROR(VLOOKUP(B108,'ANÁLISE DE DADOS'!$A:$AM,16,0),""))</f>
        <v/>
      </c>
      <c r="S108" s="61" t="str">
        <f>IF(B108="","",IFERROR(VLOOKUP(B108,'ANÁLISE DE DADOS'!$A:$AM,17,0),""))</f>
        <v/>
      </c>
      <c r="T108" s="61" t="str">
        <f>IF(B108="","",IFERROR(VLOOKUP(B108,'ANÁLISE DE DADOS'!$A:$AM,18,0),""))</f>
        <v/>
      </c>
      <c r="U108" s="61" t="str">
        <f>IF(B108="","",IFERROR(VLOOKUP(B108,'ANÁLISE DE DADOS'!$A:$AM,19,0),""))</f>
        <v/>
      </c>
      <c r="V108" s="61" t="str">
        <f>IF(B108="","",IFERROR(VLOOKUP(B108,'ANÁLISE DE DADOS'!$A:$AM,20,0),""))</f>
        <v/>
      </c>
      <c r="W108" s="61" t="str">
        <f>IF(B108="","",IFERROR(VLOOKUP(B108,'ANÁLISE DE DADOS'!$A:$AM,21,0),""))</f>
        <v/>
      </c>
      <c r="X108" s="61" t="str">
        <f>IF(B108="","",IFERROR(VLOOKUP(B108,'ANÁLISE DE DADOS'!$A:$AM,22,0),""))</f>
        <v/>
      </c>
      <c r="Y108" s="61" t="str">
        <f>IF(B108="","",IFERROR(VLOOKUP(B108,'ANÁLISE DE DADOS'!$A:$AM,23,0),""))</f>
        <v/>
      </c>
      <c r="Z108" s="61" t="str">
        <f>IF(B108="","",IFERROR(VLOOKUP(B108,'ANÁLISE DE DADOS'!$A:$AM,24,0),""))</f>
        <v/>
      </c>
      <c r="AA108" s="61" t="str">
        <f>IF(B108="","",IFERROR(VLOOKUP(B108,'ANÁLISE DE DADOS'!$A:$AM,25,0),""))</f>
        <v/>
      </c>
      <c r="AB108" s="61" t="str">
        <f>IF(B108="","",IFERROR(VLOOKUP(B108,'ANÁLISE DE DADOS'!$A:$AM,26,0),""))</f>
        <v/>
      </c>
      <c r="AC108" s="61" t="str">
        <f>IF(B108="","",IFERROR(VLOOKUP(B108,'ANÁLISE DE DADOS'!$A:$AM,27,0),""))</f>
        <v/>
      </c>
      <c r="AD108" s="62" t="str">
        <f>IF(B108="","",IFERROR(VLOOKUP(B108,'ANÁLISE DE DADOS'!$A:$AM,28,0),""))</f>
        <v/>
      </c>
      <c r="AE108" s="61" t="str">
        <f>IF(B108="","",IFERROR(VLOOKUP(B108,'ANÁLISE DE DADOS'!$A:$AM,29,0),""))</f>
        <v/>
      </c>
      <c r="AF108" s="61" t="str">
        <f>IF(B108="","",IFERROR(VLOOKUP(B108,'ANÁLISE DE DADOS'!$A:$AM,30,0),""))</f>
        <v/>
      </c>
      <c r="AG108" s="62" t="str">
        <f>IF(B108="","",IFERROR(VLOOKUP(B108,'ANÁLISE DE DADOS'!$A:$AM,31,0),""))</f>
        <v/>
      </c>
      <c r="AH108" s="61" t="str">
        <f>IF(B108="","",IFERROR(VLOOKUP(B108,'ANÁLISE DE DADOS'!$A:$AM,32,0),""))</f>
        <v/>
      </c>
      <c r="AI108" s="61" t="str">
        <f>IF(B108="","",IFERROR(VLOOKUP(B108,'ANÁLISE DE DADOS'!$A:$AM,33,0),""))</f>
        <v/>
      </c>
      <c r="AJ108" s="61" t="str">
        <f>IF(B108="","",IFERROR(VLOOKUP(B108,'ANÁLISE DE DADOS'!$A:$AM,34,0),""))</f>
        <v/>
      </c>
      <c r="AK108" s="63" t="str">
        <f>IF(B108="","",IFERROR(VLOOKUP(B108,'ANÁLISE DE DADOS'!$A:$AM,35,0),""))</f>
        <v/>
      </c>
      <c r="AL108" s="63" t="str">
        <f>IF(B108="","",IFERROR(VLOOKUP(B108,'ANÁLISE DE DADOS'!$A:$AM,36,0),""))</f>
        <v/>
      </c>
    </row>
    <row r="109" spans="3:38" x14ac:dyDescent="0.3">
      <c r="C109" s="61" t="str">
        <f>IF(B109="","",IFERROR(VLOOKUP(B109,'ANÁLISE DE DADOS'!$A:$AM,1,0),""))</f>
        <v/>
      </c>
      <c r="D109" s="61" t="str">
        <f>IF(B109="","",IFERROR(VLOOKUP(B109,'ANÁLISE DE DADOS'!$A:$AM,2,0),""))</f>
        <v/>
      </c>
      <c r="E109" s="61" t="str">
        <f>IF(B109="","",IFERROR(VLOOKUP(B109,'ANÁLISE DE DADOS'!$A:$AM,3,0),""))</f>
        <v/>
      </c>
      <c r="F109" s="61" t="str">
        <f>IF(B109="","",IFERROR(VLOOKUP(B109,'ANÁLISE DE DADOS'!$A:$AM,4,0),""))</f>
        <v/>
      </c>
      <c r="G109" s="62" t="str">
        <f>IF(B109="","",IFERROR(VLOOKUP(B109,'ANÁLISE DE DADOS'!$A:$AM,5,0),""))</f>
        <v/>
      </c>
      <c r="H109" s="62" t="str">
        <f>IF(B109="","",IFERROR(VLOOKUP(B109,'ANÁLISE DE DADOS'!$A:$AM,6,0),""))</f>
        <v/>
      </c>
      <c r="I109" s="62" t="str">
        <f>IF(B109="","",IFERROR(VLOOKUP(B109,'ANÁLISE DE DADOS'!$A:$AM,7,0),""))</f>
        <v/>
      </c>
      <c r="J109" s="62" t="str">
        <f>IF(B109="","",IFERROR(VLOOKUP(B109,'ANÁLISE DE DADOS'!$A:$AM,8,0),""))</f>
        <v/>
      </c>
      <c r="K109" s="61" t="str">
        <f>IF(B109="","",IFERROR(VLOOKUP(B109,'ANÁLISE DE DADOS'!$A:$AM,9,0),""))</f>
        <v/>
      </c>
      <c r="L109" s="61" t="str">
        <f>IF(B109="","",IFERROR(VLOOKUP(B109,'ANÁLISE DE DADOS'!$A:$AM,10,0),""))</f>
        <v/>
      </c>
      <c r="M109" s="62" t="str">
        <f>IF(B109="","",IFERROR(VLOOKUP(B109,'ANÁLISE DE DADOS'!$A:$AM,11,0),""))</f>
        <v/>
      </c>
      <c r="N109" s="61" t="str">
        <f>IF(B109="","",IFERROR(VLOOKUP(B109,'ANÁLISE DE DADOS'!$A:$AM,12,0),""))</f>
        <v/>
      </c>
      <c r="O109" s="61" t="str">
        <f>IF(B109="","",IFERROR(VLOOKUP(B109,'ANÁLISE DE DADOS'!$A:$AM,13,0),""))</f>
        <v/>
      </c>
      <c r="P109" s="63" t="str">
        <f>IF(B109="","",IFERROR(VLOOKUP(B109,'ANÁLISE DE DADOS'!$A:$AM,14,0),""))</f>
        <v/>
      </c>
      <c r="Q109" s="61" t="str">
        <f>IF(B109="","",IFERROR(VLOOKUP(B109,'ANÁLISE DE DADOS'!$A:$AM,15,0),""))</f>
        <v/>
      </c>
      <c r="R109" s="61" t="str">
        <f>IF(B109="","",IFERROR(VLOOKUP(B109,'ANÁLISE DE DADOS'!$A:$AM,16,0),""))</f>
        <v/>
      </c>
      <c r="S109" s="61" t="str">
        <f>IF(B109="","",IFERROR(VLOOKUP(B109,'ANÁLISE DE DADOS'!$A:$AM,17,0),""))</f>
        <v/>
      </c>
      <c r="T109" s="61" t="str">
        <f>IF(B109="","",IFERROR(VLOOKUP(B109,'ANÁLISE DE DADOS'!$A:$AM,18,0),""))</f>
        <v/>
      </c>
      <c r="U109" s="61" t="str">
        <f>IF(B109="","",IFERROR(VLOOKUP(B109,'ANÁLISE DE DADOS'!$A:$AM,19,0),""))</f>
        <v/>
      </c>
      <c r="V109" s="61" t="str">
        <f>IF(B109="","",IFERROR(VLOOKUP(B109,'ANÁLISE DE DADOS'!$A:$AM,20,0),""))</f>
        <v/>
      </c>
      <c r="W109" s="61" t="str">
        <f>IF(B109="","",IFERROR(VLOOKUP(B109,'ANÁLISE DE DADOS'!$A:$AM,21,0),""))</f>
        <v/>
      </c>
      <c r="X109" s="61" t="str">
        <f>IF(B109="","",IFERROR(VLOOKUP(B109,'ANÁLISE DE DADOS'!$A:$AM,22,0),""))</f>
        <v/>
      </c>
      <c r="Y109" s="61" t="str">
        <f>IF(B109="","",IFERROR(VLOOKUP(B109,'ANÁLISE DE DADOS'!$A:$AM,23,0),""))</f>
        <v/>
      </c>
      <c r="Z109" s="61" t="str">
        <f>IF(B109="","",IFERROR(VLOOKUP(B109,'ANÁLISE DE DADOS'!$A:$AM,24,0),""))</f>
        <v/>
      </c>
      <c r="AA109" s="61" t="str">
        <f>IF(B109="","",IFERROR(VLOOKUP(B109,'ANÁLISE DE DADOS'!$A:$AM,25,0),""))</f>
        <v/>
      </c>
      <c r="AB109" s="61" t="str">
        <f>IF(B109="","",IFERROR(VLOOKUP(B109,'ANÁLISE DE DADOS'!$A:$AM,26,0),""))</f>
        <v/>
      </c>
      <c r="AC109" s="61" t="str">
        <f>IF(B109="","",IFERROR(VLOOKUP(B109,'ANÁLISE DE DADOS'!$A:$AM,27,0),""))</f>
        <v/>
      </c>
      <c r="AD109" s="62" t="str">
        <f>IF(B109="","",IFERROR(VLOOKUP(B109,'ANÁLISE DE DADOS'!$A:$AM,28,0),""))</f>
        <v/>
      </c>
      <c r="AE109" s="61" t="str">
        <f>IF(B109="","",IFERROR(VLOOKUP(B109,'ANÁLISE DE DADOS'!$A:$AM,29,0),""))</f>
        <v/>
      </c>
      <c r="AF109" s="61" t="str">
        <f>IF(B109="","",IFERROR(VLOOKUP(B109,'ANÁLISE DE DADOS'!$A:$AM,30,0),""))</f>
        <v/>
      </c>
      <c r="AG109" s="62" t="str">
        <f>IF(B109="","",IFERROR(VLOOKUP(B109,'ANÁLISE DE DADOS'!$A:$AM,31,0),""))</f>
        <v/>
      </c>
      <c r="AH109" s="61" t="str">
        <f>IF(B109="","",IFERROR(VLOOKUP(B109,'ANÁLISE DE DADOS'!$A:$AM,32,0),""))</f>
        <v/>
      </c>
      <c r="AI109" s="61" t="str">
        <f>IF(B109="","",IFERROR(VLOOKUP(B109,'ANÁLISE DE DADOS'!$A:$AM,33,0),""))</f>
        <v/>
      </c>
      <c r="AJ109" s="61" t="str">
        <f>IF(B109="","",IFERROR(VLOOKUP(B109,'ANÁLISE DE DADOS'!$A:$AM,34,0),""))</f>
        <v/>
      </c>
      <c r="AK109" s="63" t="str">
        <f>IF(B109="","",IFERROR(VLOOKUP(B109,'ANÁLISE DE DADOS'!$A:$AM,35,0),""))</f>
        <v/>
      </c>
      <c r="AL109" s="63" t="str">
        <f>IF(B109="","",IFERROR(VLOOKUP(B109,'ANÁLISE DE DADOS'!$A:$AM,36,0),""))</f>
        <v/>
      </c>
    </row>
    <row r="110" spans="3:38" x14ac:dyDescent="0.3">
      <c r="C110" s="61" t="str">
        <f>IF(B110="","",IFERROR(VLOOKUP(B110,'ANÁLISE DE DADOS'!$A:$AM,1,0),""))</f>
        <v/>
      </c>
      <c r="D110" s="61" t="str">
        <f>IF(B110="","",IFERROR(VLOOKUP(B110,'ANÁLISE DE DADOS'!$A:$AM,2,0),""))</f>
        <v/>
      </c>
      <c r="E110" s="61" t="str">
        <f>IF(B110="","",IFERROR(VLOOKUP(B110,'ANÁLISE DE DADOS'!$A:$AM,3,0),""))</f>
        <v/>
      </c>
      <c r="F110" s="61" t="str">
        <f>IF(B110="","",IFERROR(VLOOKUP(B110,'ANÁLISE DE DADOS'!$A:$AM,4,0),""))</f>
        <v/>
      </c>
      <c r="G110" s="62" t="str">
        <f>IF(B110="","",IFERROR(VLOOKUP(B110,'ANÁLISE DE DADOS'!$A:$AM,5,0),""))</f>
        <v/>
      </c>
      <c r="H110" s="62" t="str">
        <f>IF(B110="","",IFERROR(VLOOKUP(B110,'ANÁLISE DE DADOS'!$A:$AM,6,0),""))</f>
        <v/>
      </c>
      <c r="I110" s="62" t="str">
        <f>IF(B110="","",IFERROR(VLOOKUP(B110,'ANÁLISE DE DADOS'!$A:$AM,7,0),""))</f>
        <v/>
      </c>
      <c r="J110" s="62" t="str">
        <f>IF(B110="","",IFERROR(VLOOKUP(B110,'ANÁLISE DE DADOS'!$A:$AM,8,0),""))</f>
        <v/>
      </c>
      <c r="K110" s="61" t="str">
        <f>IF(B110="","",IFERROR(VLOOKUP(B110,'ANÁLISE DE DADOS'!$A:$AM,9,0),""))</f>
        <v/>
      </c>
      <c r="L110" s="61" t="str">
        <f>IF(B110="","",IFERROR(VLOOKUP(B110,'ANÁLISE DE DADOS'!$A:$AM,10,0),""))</f>
        <v/>
      </c>
      <c r="M110" s="62" t="str">
        <f>IF(B110="","",IFERROR(VLOOKUP(B110,'ANÁLISE DE DADOS'!$A:$AM,11,0),""))</f>
        <v/>
      </c>
      <c r="N110" s="61" t="str">
        <f>IF(B110="","",IFERROR(VLOOKUP(B110,'ANÁLISE DE DADOS'!$A:$AM,12,0),""))</f>
        <v/>
      </c>
      <c r="O110" s="61" t="str">
        <f>IF(B110="","",IFERROR(VLOOKUP(B110,'ANÁLISE DE DADOS'!$A:$AM,13,0),""))</f>
        <v/>
      </c>
      <c r="P110" s="63" t="str">
        <f>IF(B110="","",IFERROR(VLOOKUP(B110,'ANÁLISE DE DADOS'!$A:$AM,14,0),""))</f>
        <v/>
      </c>
      <c r="Q110" s="61" t="str">
        <f>IF(B110="","",IFERROR(VLOOKUP(B110,'ANÁLISE DE DADOS'!$A:$AM,15,0),""))</f>
        <v/>
      </c>
      <c r="R110" s="61" t="str">
        <f>IF(B110="","",IFERROR(VLOOKUP(B110,'ANÁLISE DE DADOS'!$A:$AM,16,0),""))</f>
        <v/>
      </c>
      <c r="S110" s="61" t="str">
        <f>IF(B110="","",IFERROR(VLOOKUP(B110,'ANÁLISE DE DADOS'!$A:$AM,17,0),""))</f>
        <v/>
      </c>
      <c r="T110" s="61" t="str">
        <f>IF(B110="","",IFERROR(VLOOKUP(B110,'ANÁLISE DE DADOS'!$A:$AM,18,0),""))</f>
        <v/>
      </c>
      <c r="U110" s="61" t="str">
        <f>IF(B110="","",IFERROR(VLOOKUP(B110,'ANÁLISE DE DADOS'!$A:$AM,19,0),""))</f>
        <v/>
      </c>
      <c r="V110" s="61" t="str">
        <f>IF(B110="","",IFERROR(VLOOKUP(B110,'ANÁLISE DE DADOS'!$A:$AM,20,0),""))</f>
        <v/>
      </c>
      <c r="W110" s="61" t="str">
        <f>IF(B110="","",IFERROR(VLOOKUP(B110,'ANÁLISE DE DADOS'!$A:$AM,21,0),""))</f>
        <v/>
      </c>
      <c r="X110" s="61" t="str">
        <f>IF(B110="","",IFERROR(VLOOKUP(B110,'ANÁLISE DE DADOS'!$A:$AM,22,0),""))</f>
        <v/>
      </c>
      <c r="Y110" s="61" t="str">
        <f>IF(B110="","",IFERROR(VLOOKUP(B110,'ANÁLISE DE DADOS'!$A:$AM,23,0),""))</f>
        <v/>
      </c>
      <c r="Z110" s="61" t="str">
        <f>IF(B110="","",IFERROR(VLOOKUP(B110,'ANÁLISE DE DADOS'!$A:$AM,24,0),""))</f>
        <v/>
      </c>
      <c r="AA110" s="61" t="str">
        <f>IF(B110="","",IFERROR(VLOOKUP(B110,'ANÁLISE DE DADOS'!$A:$AM,25,0),""))</f>
        <v/>
      </c>
      <c r="AB110" s="61" t="str">
        <f>IF(B110="","",IFERROR(VLOOKUP(B110,'ANÁLISE DE DADOS'!$A:$AM,26,0),""))</f>
        <v/>
      </c>
      <c r="AC110" s="61" t="str">
        <f>IF(B110="","",IFERROR(VLOOKUP(B110,'ANÁLISE DE DADOS'!$A:$AM,27,0),""))</f>
        <v/>
      </c>
      <c r="AD110" s="62" t="str">
        <f>IF(B110="","",IFERROR(VLOOKUP(B110,'ANÁLISE DE DADOS'!$A:$AM,28,0),""))</f>
        <v/>
      </c>
      <c r="AE110" s="61" t="str">
        <f>IF(B110="","",IFERROR(VLOOKUP(B110,'ANÁLISE DE DADOS'!$A:$AM,29,0),""))</f>
        <v/>
      </c>
      <c r="AF110" s="61" t="str">
        <f>IF(B110="","",IFERROR(VLOOKUP(B110,'ANÁLISE DE DADOS'!$A:$AM,30,0),""))</f>
        <v/>
      </c>
      <c r="AG110" s="62" t="str">
        <f>IF(B110="","",IFERROR(VLOOKUP(B110,'ANÁLISE DE DADOS'!$A:$AM,31,0),""))</f>
        <v/>
      </c>
      <c r="AH110" s="61" t="str">
        <f>IF(B110="","",IFERROR(VLOOKUP(B110,'ANÁLISE DE DADOS'!$A:$AM,32,0),""))</f>
        <v/>
      </c>
      <c r="AI110" s="61" t="str">
        <f>IF(B110="","",IFERROR(VLOOKUP(B110,'ANÁLISE DE DADOS'!$A:$AM,33,0),""))</f>
        <v/>
      </c>
      <c r="AJ110" s="61" t="str">
        <f>IF(B110="","",IFERROR(VLOOKUP(B110,'ANÁLISE DE DADOS'!$A:$AM,34,0),""))</f>
        <v/>
      </c>
      <c r="AK110" s="63" t="str">
        <f>IF(B110="","",IFERROR(VLOOKUP(B110,'ANÁLISE DE DADOS'!$A:$AM,35,0),""))</f>
        <v/>
      </c>
      <c r="AL110" s="63" t="str">
        <f>IF(B110="","",IFERROR(VLOOKUP(B110,'ANÁLISE DE DADOS'!$A:$AM,36,0),""))</f>
        <v/>
      </c>
    </row>
    <row r="111" spans="3:38" x14ac:dyDescent="0.3">
      <c r="C111" s="61" t="str">
        <f>IF(B111="","",IFERROR(VLOOKUP(B111,'ANÁLISE DE DADOS'!$A:$AM,1,0),""))</f>
        <v/>
      </c>
      <c r="D111" s="61" t="str">
        <f>IF(B111="","",IFERROR(VLOOKUP(B111,'ANÁLISE DE DADOS'!$A:$AM,2,0),""))</f>
        <v/>
      </c>
      <c r="E111" s="61" t="str">
        <f>IF(B111="","",IFERROR(VLOOKUP(B111,'ANÁLISE DE DADOS'!$A:$AM,3,0),""))</f>
        <v/>
      </c>
      <c r="F111" s="61" t="str">
        <f>IF(B111="","",IFERROR(VLOOKUP(B111,'ANÁLISE DE DADOS'!$A:$AM,4,0),""))</f>
        <v/>
      </c>
      <c r="G111" s="62" t="str">
        <f>IF(B111="","",IFERROR(VLOOKUP(B111,'ANÁLISE DE DADOS'!$A:$AM,5,0),""))</f>
        <v/>
      </c>
      <c r="H111" s="62" t="str">
        <f>IF(B111="","",IFERROR(VLOOKUP(B111,'ANÁLISE DE DADOS'!$A:$AM,6,0),""))</f>
        <v/>
      </c>
      <c r="I111" s="62" t="str">
        <f>IF(B111="","",IFERROR(VLOOKUP(B111,'ANÁLISE DE DADOS'!$A:$AM,7,0),""))</f>
        <v/>
      </c>
      <c r="J111" s="62" t="str">
        <f>IF(B111="","",IFERROR(VLOOKUP(B111,'ANÁLISE DE DADOS'!$A:$AM,8,0),""))</f>
        <v/>
      </c>
      <c r="K111" s="61" t="str">
        <f>IF(B111="","",IFERROR(VLOOKUP(B111,'ANÁLISE DE DADOS'!$A:$AM,9,0),""))</f>
        <v/>
      </c>
      <c r="L111" s="61" t="str">
        <f>IF(B111="","",IFERROR(VLOOKUP(B111,'ANÁLISE DE DADOS'!$A:$AM,10,0),""))</f>
        <v/>
      </c>
      <c r="M111" s="62" t="str">
        <f>IF(B111="","",IFERROR(VLOOKUP(B111,'ANÁLISE DE DADOS'!$A:$AM,11,0),""))</f>
        <v/>
      </c>
      <c r="N111" s="61" t="str">
        <f>IF(B111="","",IFERROR(VLOOKUP(B111,'ANÁLISE DE DADOS'!$A:$AM,12,0),""))</f>
        <v/>
      </c>
      <c r="O111" s="61" t="str">
        <f>IF(B111="","",IFERROR(VLOOKUP(B111,'ANÁLISE DE DADOS'!$A:$AM,13,0),""))</f>
        <v/>
      </c>
      <c r="P111" s="63" t="str">
        <f>IF(B111="","",IFERROR(VLOOKUP(B111,'ANÁLISE DE DADOS'!$A:$AM,14,0),""))</f>
        <v/>
      </c>
      <c r="Q111" s="61" t="str">
        <f>IF(B111="","",IFERROR(VLOOKUP(B111,'ANÁLISE DE DADOS'!$A:$AM,15,0),""))</f>
        <v/>
      </c>
      <c r="R111" s="61" t="str">
        <f>IF(B111="","",IFERROR(VLOOKUP(B111,'ANÁLISE DE DADOS'!$A:$AM,16,0),""))</f>
        <v/>
      </c>
      <c r="S111" s="61" t="str">
        <f>IF(B111="","",IFERROR(VLOOKUP(B111,'ANÁLISE DE DADOS'!$A:$AM,17,0),""))</f>
        <v/>
      </c>
      <c r="T111" s="61" t="str">
        <f>IF(B111="","",IFERROR(VLOOKUP(B111,'ANÁLISE DE DADOS'!$A:$AM,18,0),""))</f>
        <v/>
      </c>
      <c r="U111" s="61" t="str">
        <f>IF(B111="","",IFERROR(VLOOKUP(B111,'ANÁLISE DE DADOS'!$A:$AM,19,0),""))</f>
        <v/>
      </c>
      <c r="V111" s="61" t="str">
        <f>IF(B111="","",IFERROR(VLOOKUP(B111,'ANÁLISE DE DADOS'!$A:$AM,20,0),""))</f>
        <v/>
      </c>
      <c r="W111" s="61" t="str">
        <f>IF(B111="","",IFERROR(VLOOKUP(B111,'ANÁLISE DE DADOS'!$A:$AM,21,0),""))</f>
        <v/>
      </c>
      <c r="X111" s="61" t="str">
        <f>IF(B111="","",IFERROR(VLOOKUP(B111,'ANÁLISE DE DADOS'!$A:$AM,22,0),""))</f>
        <v/>
      </c>
      <c r="Y111" s="61" t="str">
        <f>IF(B111="","",IFERROR(VLOOKUP(B111,'ANÁLISE DE DADOS'!$A:$AM,23,0),""))</f>
        <v/>
      </c>
      <c r="Z111" s="61" t="str">
        <f>IF(B111="","",IFERROR(VLOOKUP(B111,'ANÁLISE DE DADOS'!$A:$AM,24,0),""))</f>
        <v/>
      </c>
      <c r="AA111" s="61" t="str">
        <f>IF(B111="","",IFERROR(VLOOKUP(B111,'ANÁLISE DE DADOS'!$A:$AM,25,0),""))</f>
        <v/>
      </c>
      <c r="AB111" s="61" t="str">
        <f>IF(B111="","",IFERROR(VLOOKUP(B111,'ANÁLISE DE DADOS'!$A:$AM,26,0),""))</f>
        <v/>
      </c>
      <c r="AC111" s="61" t="str">
        <f>IF(B111="","",IFERROR(VLOOKUP(B111,'ANÁLISE DE DADOS'!$A:$AM,27,0),""))</f>
        <v/>
      </c>
      <c r="AD111" s="62" t="str">
        <f>IF(B111="","",IFERROR(VLOOKUP(B111,'ANÁLISE DE DADOS'!$A:$AM,28,0),""))</f>
        <v/>
      </c>
      <c r="AE111" s="61" t="str">
        <f>IF(B111="","",IFERROR(VLOOKUP(B111,'ANÁLISE DE DADOS'!$A:$AM,29,0),""))</f>
        <v/>
      </c>
      <c r="AF111" s="61" t="str">
        <f>IF(B111="","",IFERROR(VLOOKUP(B111,'ANÁLISE DE DADOS'!$A:$AM,30,0),""))</f>
        <v/>
      </c>
      <c r="AG111" s="62" t="str">
        <f>IF(B111="","",IFERROR(VLOOKUP(B111,'ANÁLISE DE DADOS'!$A:$AM,31,0),""))</f>
        <v/>
      </c>
      <c r="AH111" s="61" t="str">
        <f>IF(B111="","",IFERROR(VLOOKUP(B111,'ANÁLISE DE DADOS'!$A:$AM,32,0),""))</f>
        <v/>
      </c>
      <c r="AI111" s="61" t="str">
        <f>IF(B111="","",IFERROR(VLOOKUP(B111,'ANÁLISE DE DADOS'!$A:$AM,33,0),""))</f>
        <v/>
      </c>
      <c r="AJ111" s="61" t="str">
        <f>IF(B111="","",IFERROR(VLOOKUP(B111,'ANÁLISE DE DADOS'!$A:$AM,34,0),""))</f>
        <v/>
      </c>
      <c r="AK111" s="63" t="str">
        <f>IF(B111="","",IFERROR(VLOOKUP(B111,'ANÁLISE DE DADOS'!$A:$AM,35,0),""))</f>
        <v/>
      </c>
      <c r="AL111" s="63" t="str">
        <f>IF(B111="","",IFERROR(VLOOKUP(B111,'ANÁLISE DE DADOS'!$A:$AM,36,0),""))</f>
        <v/>
      </c>
    </row>
    <row r="112" spans="3:38" x14ac:dyDescent="0.3">
      <c r="C112" s="61" t="str">
        <f>IF(B112="","",IFERROR(VLOOKUP(B112,'ANÁLISE DE DADOS'!$A:$AM,1,0),""))</f>
        <v/>
      </c>
      <c r="D112" s="61" t="str">
        <f>IF(B112="","",IFERROR(VLOOKUP(B112,'ANÁLISE DE DADOS'!$A:$AM,2,0),""))</f>
        <v/>
      </c>
      <c r="E112" s="61" t="str">
        <f>IF(B112="","",IFERROR(VLOOKUP(B112,'ANÁLISE DE DADOS'!$A:$AM,3,0),""))</f>
        <v/>
      </c>
      <c r="F112" s="61" t="str">
        <f>IF(B112="","",IFERROR(VLOOKUP(B112,'ANÁLISE DE DADOS'!$A:$AM,4,0),""))</f>
        <v/>
      </c>
      <c r="G112" s="62" t="str">
        <f>IF(B112="","",IFERROR(VLOOKUP(B112,'ANÁLISE DE DADOS'!$A:$AM,5,0),""))</f>
        <v/>
      </c>
      <c r="H112" s="62" t="str">
        <f>IF(B112="","",IFERROR(VLOOKUP(B112,'ANÁLISE DE DADOS'!$A:$AM,6,0),""))</f>
        <v/>
      </c>
      <c r="I112" s="62" t="str">
        <f>IF(B112="","",IFERROR(VLOOKUP(B112,'ANÁLISE DE DADOS'!$A:$AM,7,0),""))</f>
        <v/>
      </c>
      <c r="J112" s="62" t="str">
        <f>IF(B112="","",IFERROR(VLOOKUP(B112,'ANÁLISE DE DADOS'!$A:$AM,8,0),""))</f>
        <v/>
      </c>
      <c r="K112" s="61" t="str">
        <f>IF(B112="","",IFERROR(VLOOKUP(B112,'ANÁLISE DE DADOS'!$A:$AM,9,0),""))</f>
        <v/>
      </c>
      <c r="L112" s="61" t="str">
        <f>IF(B112="","",IFERROR(VLOOKUP(B112,'ANÁLISE DE DADOS'!$A:$AM,10,0),""))</f>
        <v/>
      </c>
      <c r="M112" s="62" t="str">
        <f>IF(B112="","",IFERROR(VLOOKUP(B112,'ANÁLISE DE DADOS'!$A:$AM,11,0),""))</f>
        <v/>
      </c>
      <c r="N112" s="61" t="str">
        <f>IF(B112="","",IFERROR(VLOOKUP(B112,'ANÁLISE DE DADOS'!$A:$AM,12,0),""))</f>
        <v/>
      </c>
      <c r="O112" s="61" t="str">
        <f>IF(B112="","",IFERROR(VLOOKUP(B112,'ANÁLISE DE DADOS'!$A:$AM,13,0),""))</f>
        <v/>
      </c>
      <c r="P112" s="63" t="str">
        <f>IF(B112="","",IFERROR(VLOOKUP(B112,'ANÁLISE DE DADOS'!$A:$AM,14,0),""))</f>
        <v/>
      </c>
      <c r="Q112" s="61" t="str">
        <f>IF(B112="","",IFERROR(VLOOKUP(B112,'ANÁLISE DE DADOS'!$A:$AM,15,0),""))</f>
        <v/>
      </c>
      <c r="R112" s="61" t="str">
        <f>IF(B112="","",IFERROR(VLOOKUP(B112,'ANÁLISE DE DADOS'!$A:$AM,16,0),""))</f>
        <v/>
      </c>
      <c r="S112" s="61" t="str">
        <f>IF(B112="","",IFERROR(VLOOKUP(B112,'ANÁLISE DE DADOS'!$A:$AM,17,0),""))</f>
        <v/>
      </c>
      <c r="T112" s="61" t="str">
        <f>IF(B112="","",IFERROR(VLOOKUP(B112,'ANÁLISE DE DADOS'!$A:$AM,18,0),""))</f>
        <v/>
      </c>
      <c r="U112" s="61" t="str">
        <f>IF(B112="","",IFERROR(VLOOKUP(B112,'ANÁLISE DE DADOS'!$A:$AM,19,0),""))</f>
        <v/>
      </c>
      <c r="V112" s="61" t="str">
        <f>IF(B112="","",IFERROR(VLOOKUP(B112,'ANÁLISE DE DADOS'!$A:$AM,20,0),""))</f>
        <v/>
      </c>
      <c r="W112" s="61" t="str">
        <f>IF(B112="","",IFERROR(VLOOKUP(B112,'ANÁLISE DE DADOS'!$A:$AM,21,0),""))</f>
        <v/>
      </c>
      <c r="X112" s="61" t="str">
        <f>IF(B112="","",IFERROR(VLOOKUP(B112,'ANÁLISE DE DADOS'!$A:$AM,22,0),""))</f>
        <v/>
      </c>
      <c r="Y112" s="61" t="str">
        <f>IF(B112="","",IFERROR(VLOOKUP(B112,'ANÁLISE DE DADOS'!$A:$AM,23,0),""))</f>
        <v/>
      </c>
      <c r="Z112" s="61" t="str">
        <f>IF(B112="","",IFERROR(VLOOKUP(B112,'ANÁLISE DE DADOS'!$A:$AM,24,0),""))</f>
        <v/>
      </c>
      <c r="AA112" s="61" t="str">
        <f>IF(B112="","",IFERROR(VLOOKUP(B112,'ANÁLISE DE DADOS'!$A:$AM,25,0),""))</f>
        <v/>
      </c>
      <c r="AB112" s="61" t="str">
        <f>IF(B112="","",IFERROR(VLOOKUP(B112,'ANÁLISE DE DADOS'!$A:$AM,26,0),""))</f>
        <v/>
      </c>
      <c r="AC112" s="61" t="str">
        <f>IF(B112="","",IFERROR(VLOOKUP(B112,'ANÁLISE DE DADOS'!$A:$AM,27,0),""))</f>
        <v/>
      </c>
      <c r="AD112" s="62" t="str">
        <f>IF(B112="","",IFERROR(VLOOKUP(B112,'ANÁLISE DE DADOS'!$A:$AM,28,0),""))</f>
        <v/>
      </c>
      <c r="AE112" s="61" t="str">
        <f>IF(B112="","",IFERROR(VLOOKUP(B112,'ANÁLISE DE DADOS'!$A:$AM,29,0),""))</f>
        <v/>
      </c>
      <c r="AF112" s="61" t="str">
        <f>IF(B112="","",IFERROR(VLOOKUP(B112,'ANÁLISE DE DADOS'!$A:$AM,30,0),""))</f>
        <v/>
      </c>
      <c r="AG112" s="62" t="str">
        <f>IF(B112="","",IFERROR(VLOOKUP(B112,'ANÁLISE DE DADOS'!$A:$AM,31,0),""))</f>
        <v/>
      </c>
      <c r="AH112" s="61" t="str">
        <f>IF(B112="","",IFERROR(VLOOKUP(B112,'ANÁLISE DE DADOS'!$A:$AM,32,0),""))</f>
        <v/>
      </c>
      <c r="AI112" s="61" t="str">
        <f>IF(B112="","",IFERROR(VLOOKUP(B112,'ANÁLISE DE DADOS'!$A:$AM,33,0),""))</f>
        <v/>
      </c>
      <c r="AJ112" s="61" t="str">
        <f>IF(B112="","",IFERROR(VLOOKUP(B112,'ANÁLISE DE DADOS'!$A:$AM,34,0),""))</f>
        <v/>
      </c>
      <c r="AK112" s="63" t="str">
        <f>IF(B112="","",IFERROR(VLOOKUP(B112,'ANÁLISE DE DADOS'!$A:$AM,35,0),""))</f>
        <v/>
      </c>
      <c r="AL112" s="63" t="str">
        <f>IF(B112="","",IFERROR(VLOOKUP(B112,'ANÁLISE DE DADOS'!$A:$AM,36,0),""))</f>
        <v/>
      </c>
    </row>
    <row r="113" spans="3:38" x14ac:dyDescent="0.3">
      <c r="C113" s="61" t="str">
        <f>IF(B113="","",IFERROR(VLOOKUP(B113,'ANÁLISE DE DADOS'!$A:$AM,1,0),""))</f>
        <v/>
      </c>
      <c r="D113" s="61" t="str">
        <f>IF(B113="","",IFERROR(VLOOKUP(B113,'ANÁLISE DE DADOS'!$A:$AM,2,0),""))</f>
        <v/>
      </c>
      <c r="E113" s="61" t="str">
        <f>IF(B113="","",IFERROR(VLOOKUP(B113,'ANÁLISE DE DADOS'!$A:$AM,3,0),""))</f>
        <v/>
      </c>
      <c r="F113" s="61" t="str">
        <f>IF(B113="","",IFERROR(VLOOKUP(B113,'ANÁLISE DE DADOS'!$A:$AM,4,0),""))</f>
        <v/>
      </c>
      <c r="G113" s="62" t="str">
        <f>IF(B113="","",IFERROR(VLOOKUP(B113,'ANÁLISE DE DADOS'!$A:$AM,5,0),""))</f>
        <v/>
      </c>
      <c r="H113" s="62" t="str">
        <f>IF(B113="","",IFERROR(VLOOKUP(B113,'ANÁLISE DE DADOS'!$A:$AM,6,0),""))</f>
        <v/>
      </c>
      <c r="I113" s="62" t="str">
        <f>IF(B113="","",IFERROR(VLOOKUP(B113,'ANÁLISE DE DADOS'!$A:$AM,7,0),""))</f>
        <v/>
      </c>
      <c r="J113" s="62" t="str">
        <f>IF(B113="","",IFERROR(VLOOKUP(B113,'ANÁLISE DE DADOS'!$A:$AM,8,0),""))</f>
        <v/>
      </c>
      <c r="K113" s="61" t="str">
        <f>IF(B113="","",IFERROR(VLOOKUP(B113,'ANÁLISE DE DADOS'!$A:$AM,9,0),""))</f>
        <v/>
      </c>
      <c r="L113" s="61" t="str">
        <f>IF(B113="","",IFERROR(VLOOKUP(B113,'ANÁLISE DE DADOS'!$A:$AM,10,0),""))</f>
        <v/>
      </c>
      <c r="M113" s="62" t="str">
        <f>IF(B113="","",IFERROR(VLOOKUP(B113,'ANÁLISE DE DADOS'!$A:$AM,11,0),""))</f>
        <v/>
      </c>
      <c r="N113" s="61" t="str">
        <f>IF(B113="","",IFERROR(VLOOKUP(B113,'ANÁLISE DE DADOS'!$A:$AM,12,0),""))</f>
        <v/>
      </c>
      <c r="O113" s="61" t="str">
        <f>IF(B113="","",IFERROR(VLOOKUP(B113,'ANÁLISE DE DADOS'!$A:$AM,13,0),""))</f>
        <v/>
      </c>
      <c r="P113" s="63" t="str">
        <f>IF(B113="","",IFERROR(VLOOKUP(B113,'ANÁLISE DE DADOS'!$A:$AM,14,0),""))</f>
        <v/>
      </c>
      <c r="Q113" s="61" t="str">
        <f>IF(B113="","",IFERROR(VLOOKUP(B113,'ANÁLISE DE DADOS'!$A:$AM,15,0),""))</f>
        <v/>
      </c>
      <c r="R113" s="61" t="str">
        <f>IF(B113="","",IFERROR(VLOOKUP(B113,'ANÁLISE DE DADOS'!$A:$AM,16,0),""))</f>
        <v/>
      </c>
      <c r="S113" s="61" t="str">
        <f>IF(B113="","",IFERROR(VLOOKUP(B113,'ANÁLISE DE DADOS'!$A:$AM,17,0),""))</f>
        <v/>
      </c>
      <c r="T113" s="61" t="str">
        <f>IF(B113="","",IFERROR(VLOOKUP(B113,'ANÁLISE DE DADOS'!$A:$AM,18,0),""))</f>
        <v/>
      </c>
      <c r="U113" s="61" t="str">
        <f>IF(B113="","",IFERROR(VLOOKUP(B113,'ANÁLISE DE DADOS'!$A:$AM,19,0),""))</f>
        <v/>
      </c>
      <c r="V113" s="61" t="str">
        <f>IF(B113="","",IFERROR(VLOOKUP(B113,'ANÁLISE DE DADOS'!$A:$AM,20,0),""))</f>
        <v/>
      </c>
      <c r="W113" s="61" t="str">
        <f>IF(B113="","",IFERROR(VLOOKUP(B113,'ANÁLISE DE DADOS'!$A:$AM,21,0),""))</f>
        <v/>
      </c>
      <c r="X113" s="61" t="str">
        <f>IF(B113="","",IFERROR(VLOOKUP(B113,'ANÁLISE DE DADOS'!$A:$AM,22,0),""))</f>
        <v/>
      </c>
      <c r="Y113" s="61" t="str">
        <f>IF(B113="","",IFERROR(VLOOKUP(B113,'ANÁLISE DE DADOS'!$A:$AM,23,0),""))</f>
        <v/>
      </c>
      <c r="Z113" s="61" t="str">
        <f>IF(B113="","",IFERROR(VLOOKUP(B113,'ANÁLISE DE DADOS'!$A:$AM,24,0),""))</f>
        <v/>
      </c>
      <c r="AA113" s="61" t="str">
        <f>IF(B113="","",IFERROR(VLOOKUP(B113,'ANÁLISE DE DADOS'!$A:$AM,25,0),""))</f>
        <v/>
      </c>
      <c r="AB113" s="61" t="str">
        <f>IF(B113="","",IFERROR(VLOOKUP(B113,'ANÁLISE DE DADOS'!$A:$AM,26,0),""))</f>
        <v/>
      </c>
      <c r="AC113" s="61" t="str">
        <f>IF(B113="","",IFERROR(VLOOKUP(B113,'ANÁLISE DE DADOS'!$A:$AM,27,0),""))</f>
        <v/>
      </c>
      <c r="AD113" s="62" t="str">
        <f>IF(B113="","",IFERROR(VLOOKUP(B113,'ANÁLISE DE DADOS'!$A:$AM,28,0),""))</f>
        <v/>
      </c>
      <c r="AE113" s="61" t="str">
        <f>IF(B113="","",IFERROR(VLOOKUP(B113,'ANÁLISE DE DADOS'!$A:$AM,29,0),""))</f>
        <v/>
      </c>
      <c r="AF113" s="61" t="str">
        <f>IF(B113="","",IFERROR(VLOOKUP(B113,'ANÁLISE DE DADOS'!$A:$AM,30,0),""))</f>
        <v/>
      </c>
      <c r="AG113" s="62" t="str">
        <f>IF(B113="","",IFERROR(VLOOKUP(B113,'ANÁLISE DE DADOS'!$A:$AM,31,0),""))</f>
        <v/>
      </c>
      <c r="AH113" s="61" t="str">
        <f>IF(B113="","",IFERROR(VLOOKUP(B113,'ANÁLISE DE DADOS'!$A:$AM,32,0),""))</f>
        <v/>
      </c>
      <c r="AI113" s="61" t="str">
        <f>IF(B113="","",IFERROR(VLOOKUP(B113,'ANÁLISE DE DADOS'!$A:$AM,33,0),""))</f>
        <v/>
      </c>
      <c r="AJ113" s="61" t="str">
        <f>IF(B113="","",IFERROR(VLOOKUP(B113,'ANÁLISE DE DADOS'!$A:$AM,34,0),""))</f>
        <v/>
      </c>
      <c r="AK113" s="63" t="str">
        <f>IF(B113="","",IFERROR(VLOOKUP(B113,'ANÁLISE DE DADOS'!$A:$AM,35,0),""))</f>
        <v/>
      </c>
      <c r="AL113" s="63" t="str">
        <f>IF(B113="","",IFERROR(VLOOKUP(B113,'ANÁLISE DE DADOS'!$A:$AM,36,0),""))</f>
        <v/>
      </c>
    </row>
    <row r="114" spans="3:38" x14ac:dyDescent="0.3">
      <c r="C114" s="61" t="str">
        <f>IF(B114="","",IFERROR(VLOOKUP(B114,'ANÁLISE DE DADOS'!$A:$AM,1,0),""))</f>
        <v/>
      </c>
      <c r="D114" s="61" t="str">
        <f>IF(B114="","",IFERROR(VLOOKUP(B114,'ANÁLISE DE DADOS'!$A:$AM,2,0),""))</f>
        <v/>
      </c>
      <c r="E114" s="61" t="str">
        <f>IF(B114="","",IFERROR(VLOOKUP(B114,'ANÁLISE DE DADOS'!$A:$AM,3,0),""))</f>
        <v/>
      </c>
      <c r="F114" s="61" t="str">
        <f>IF(B114="","",IFERROR(VLOOKUP(B114,'ANÁLISE DE DADOS'!$A:$AM,4,0),""))</f>
        <v/>
      </c>
      <c r="G114" s="62" t="str">
        <f>IF(B114="","",IFERROR(VLOOKUP(B114,'ANÁLISE DE DADOS'!$A:$AM,5,0),""))</f>
        <v/>
      </c>
      <c r="H114" s="62" t="str">
        <f>IF(B114="","",IFERROR(VLOOKUP(B114,'ANÁLISE DE DADOS'!$A:$AM,6,0),""))</f>
        <v/>
      </c>
      <c r="I114" s="62" t="str">
        <f>IF(B114="","",IFERROR(VLOOKUP(B114,'ANÁLISE DE DADOS'!$A:$AM,7,0),""))</f>
        <v/>
      </c>
      <c r="J114" s="62" t="str">
        <f>IF(B114="","",IFERROR(VLOOKUP(B114,'ANÁLISE DE DADOS'!$A:$AM,8,0),""))</f>
        <v/>
      </c>
      <c r="K114" s="61" t="str">
        <f>IF(B114="","",IFERROR(VLOOKUP(B114,'ANÁLISE DE DADOS'!$A:$AM,9,0),""))</f>
        <v/>
      </c>
      <c r="L114" s="61" t="str">
        <f>IF(B114="","",IFERROR(VLOOKUP(B114,'ANÁLISE DE DADOS'!$A:$AM,10,0),""))</f>
        <v/>
      </c>
      <c r="M114" s="62" t="str">
        <f>IF(B114="","",IFERROR(VLOOKUP(B114,'ANÁLISE DE DADOS'!$A:$AM,11,0),""))</f>
        <v/>
      </c>
      <c r="N114" s="61" t="str">
        <f>IF(B114="","",IFERROR(VLOOKUP(B114,'ANÁLISE DE DADOS'!$A:$AM,12,0),""))</f>
        <v/>
      </c>
      <c r="O114" s="61" t="str">
        <f>IF(B114="","",IFERROR(VLOOKUP(B114,'ANÁLISE DE DADOS'!$A:$AM,13,0),""))</f>
        <v/>
      </c>
      <c r="P114" s="63" t="str">
        <f>IF(B114="","",IFERROR(VLOOKUP(B114,'ANÁLISE DE DADOS'!$A:$AM,14,0),""))</f>
        <v/>
      </c>
      <c r="Q114" s="61" t="str">
        <f>IF(B114="","",IFERROR(VLOOKUP(B114,'ANÁLISE DE DADOS'!$A:$AM,15,0),""))</f>
        <v/>
      </c>
      <c r="R114" s="61" t="str">
        <f>IF(B114="","",IFERROR(VLOOKUP(B114,'ANÁLISE DE DADOS'!$A:$AM,16,0),""))</f>
        <v/>
      </c>
      <c r="S114" s="61" t="str">
        <f>IF(B114="","",IFERROR(VLOOKUP(B114,'ANÁLISE DE DADOS'!$A:$AM,17,0),""))</f>
        <v/>
      </c>
      <c r="T114" s="61" t="str">
        <f>IF(B114="","",IFERROR(VLOOKUP(B114,'ANÁLISE DE DADOS'!$A:$AM,18,0),""))</f>
        <v/>
      </c>
      <c r="U114" s="61" t="str">
        <f>IF(B114="","",IFERROR(VLOOKUP(B114,'ANÁLISE DE DADOS'!$A:$AM,19,0),""))</f>
        <v/>
      </c>
      <c r="V114" s="61" t="str">
        <f>IF(B114="","",IFERROR(VLOOKUP(B114,'ANÁLISE DE DADOS'!$A:$AM,20,0),""))</f>
        <v/>
      </c>
      <c r="W114" s="61" t="str">
        <f>IF(B114="","",IFERROR(VLOOKUP(B114,'ANÁLISE DE DADOS'!$A:$AM,21,0),""))</f>
        <v/>
      </c>
      <c r="X114" s="61" t="str">
        <f>IF(B114="","",IFERROR(VLOOKUP(B114,'ANÁLISE DE DADOS'!$A:$AM,22,0),""))</f>
        <v/>
      </c>
      <c r="Y114" s="61" t="str">
        <f>IF(B114="","",IFERROR(VLOOKUP(B114,'ANÁLISE DE DADOS'!$A:$AM,23,0),""))</f>
        <v/>
      </c>
      <c r="Z114" s="61" t="str">
        <f>IF(B114="","",IFERROR(VLOOKUP(B114,'ANÁLISE DE DADOS'!$A:$AM,24,0),""))</f>
        <v/>
      </c>
      <c r="AA114" s="61" t="str">
        <f>IF(B114="","",IFERROR(VLOOKUP(B114,'ANÁLISE DE DADOS'!$A:$AM,25,0),""))</f>
        <v/>
      </c>
      <c r="AB114" s="61" t="str">
        <f>IF(B114="","",IFERROR(VLOOKUP(B114,'ANÁLISE DE DADOS'!$A:$AM,26,0),""))</f>
        <v/>
      </c>
      <c r="AC114" s="61" t="str">
        <f>IF(B114="","",IFERROR(VLOOKUP(B114,'ANÁLISE DE DADOS'!$A:$AM,27,0),""))</f>
        <v/>
      </c>
      <c r="AD114" s="62" t="str">
        <f>IF(B114="","",IFERROR(VLOOKUP(B114,'ANÁLISE DE DADOS'!$A:$AM,28,0),""))</f>
        <v/>
      </c>
      <c r="AE114" s="61" t="str">
        <f>IF(B114="","",IFERROR(VLOOKUP(B114,'ANÁLISE DE DADOS'!$A:$AM,29,0),""))</f>
        <v/>
      </c>
      <c r="AF114" s="61" t="str">
        <f>IF(B114="","",IFERROR(VLOOKUP(B114,'ANÁLISE DE DADOS'!$A:$AM,30,0),""))</f>
        <v/>
      </c>
      <c r="AG114" s="62" t="str">
        <f>IF(B114="","",IFERROR(VLOOKUP(B114,'ANÁLISE DE DADOS'!$A:$AM,31,0),""))</f>
        <v/>
      </c>
      <c r="AH114" s="61" t="str">
        <f>IF(B114="","",IFERROR(VLOOKUP(B114,'ANÁLISE DE DADOS'!$A:$AM,32,0),""))</f>
        <v/>
      </c>
      <c r="AI114" s="61" t="str">
        <f>IF(B114="","",IFERROR(VLOOKUP(B114,'ANÁLISE DE DADOS'!$A:$AM,33,0),""))</f>
        <v/>
      </c>
      <c r="AJ114" s="61" t="str">
        <f>IF(B114="","",IFERROR(VLOOKUP(B114,'ANÁLISE DE DADOS'!$A:$AM,34,0),""))</f>
        <v/>
      </c>
      <c r="AK114" s="63" t="str">
        <f>IF(B114="","",IFERROR(VLOOKUP(B114,'ANÁLISE DE DADOS'!$A:$AM,35,0),""))</f>
        <v/>
      </c>
      <c r="AL114" s="63" t="str">
        <f>IF(B114="","",IFERROR(VLOOKUP(B114,'ANÁLISE DE DADOS'!$A:$AM,36,0),""))</f>
        <v/>
      </c>
    </row>
    <row r="115" spans="3:38" x14ac:dyDescent="0.3">
      <c r="C115" s="61" t="str">
        <f>IF(B115="","",IFERROR(VLOOKUP(B115,'ANÁLISE DE DADOS'!$A:$AM,1,0),""))</f>
        <v/>
      </c>
      <c r="D115" s="61" t="str">
        <f>IF(B115="","",IFERROR(VLOOKUP(B115,'ANÁLISE DE DADOS'!$A:$AM,2,0),""))</f>
        <v/>
      </c>
      <c r="E115" s="61" t="str">
        <f>IF(B115="","",IFERROR(VLOOKUP(B115,'ANÁLISE DE DADOS'!$A:$AM,3,0),""))</f>
        <v/>
      </c>
      <c r="F115" s="61" t="str">
        <f>IF(B115="","",IFERROR(VLOOKUP(B115,'ANÁLISE DE DADOS'!$A:$AM,4,0),""))</f>
        <v/>
      </c>
      <c r="G115" s="62" t="str">
        <f>IF(B115="","",IFERROR(VLOOKUP(B115,'ANÁLISE DE DADOS'!$A:$AM,5,0),""))</f>
        <v/>
      </c>
      <c r="H115" s="62" t="str">
        <f>IF(B115="","",IFERROR(VLOOKUP(B115,'ANÁLISE DE DADOS'!$A:$AM,6,0),""))</f>
        <v/>
      </c>
      <c r="I115" s="62" t="str">
        <f>IF(B115="","",IFERROR(VLOOKUP(B115,'ANÁLISE DE DADOS'!$A:$AM,7,0),""))</f>
        <v/>
      </c>
      <c r="J115" s="62" t="str">
        <f>IF(B115="","",IFERROR(VLOOKUP(B115,'ANÁLISE DE DADOS'!$A:$AM,8,0),""))</f>
        <v/>
      </c>
      <c r="K115" s="61" t="str">
        <f>IF(B115="","",IFERROR(VLOOKUP(B115,'ANÁLISE DE DADOS'!$A:$AM,9,0),""))</f>
        <v/>
      </c>
      <c r="L115" s="61" t="str">
        <f>IF(B115="","",IFERROR(VLOOKUP(B115,'ANÁLISE DE DADOS'!$A:$AM,10,0),""))</f>
        <v/>
      </c>
      <c r="M115" s="62" t="str">
        <f>IF(B115="","",IFERROR(VLOOKUP(B115,'ANÁLISE DE DADOS'!$A:$AM,11,0),""))</f>
        <v/>
      </c>
      <c r="N115" s="61" t="str">
        <f>IF(B115="","",IFERROR(VLOOKUP(B115,'ANÁLISE DE DADOS'!$A:$AM,12,0),""))</f>
        <v/>
      </c>
      <c r="O115" s="61" t="str">
        <f>IF(B115="","",IFERROR(VLOOKUP(B115,'ANÁLISE DE DADOS'!$A:$AM,13,0),""))</f>
        <v/>
      </c>
      <c r="P115" s="63" t="str">
        <f>IF(B115="","",IFERROR(VLOOKUP(B115,'ANÁLISE DE DADOS'!$A:$AM,14,0),""))</f>
        <v/>
      </c>
      <c r="Q115" s="61" t="str">
        <f>IF(B115="","",IFERROR(VLOOKUP(B115,'ANÁLISE DE DADOS'!$A:$AM,15,0),""))</f>
        <v/>
      </c>
      <c r="R115" s="61" t="str">
        <f>IF(B115="","",IFERROR(VLOOKUP(B115,'ANÁLISE DE DADOS'!$A:$AM,16,0),""))</f>
        <v/>
      </c>
      <c r="S115" s="61" t="str">
        <f>IF(B115="","",IFERROR(VLOOKUP(B115,'ANÁLISE DE DADOS'!$A:$AM,17,0),""))</f>
        <v/>
      </c>
      <c r="T115" s="61" t="str">
        <f>IF(B115="","",IFERROR(VLOOKUP(B115,'ANÁLISE DE DADOS'!$A:$AM,18,0),""))</f>
        <v/>
      </c>
      <c r="U115" s="61" t="str">
        <f>IF(B115="","",IFERROR(VLOOKUP(B115,'ANÁLISE DE DADOS'!$A:$AM,19,0),""))</f>
        <v/>
      </c>
      <c r="V115" s="61" t="str">
        <f>IF(B115="","",IFERROR(VLOOKUP(B115,'ANÁLISE DE DADOS'!$A:$AM,20,0),""))</f>
        <v/>
      </c>
      <c r="W115" s="61" t="str">
        <f>IF(B115="","",IFERROR(VLOOKUP(B115,'ANÁLISE DE DADOS'!$A:$AM,21,0),""))</f>
        <v/>
      </c>
      <c r="X115" s="61" t="str">
        <f>IF(B115="","",IFERROR(VLOOKUP(B115,'ANÁLISE DE DADOS'!$A:$AM,22,0),""))</f>
        <v/>
      </c>
      <c r="Y115" s="61" t="str">
        <f>IF(B115="","",IFERROR(VLOOKUP(B115,'ANÁLISE DE DADOS'!$A:$AM,23,0),""))</f>
        <v/>
      </c>
      <c r="Z115" s="61" t="str">
        <f>IF(B115="","",IFERROR(VLOOKUP(B115,'ANÁLISE DE DADOS'!$A:$AM,24,0),""))</f>
        <v/>
      </c>
      <c r="AA115" s="61" t="str">
        <f>IF(B115="","",IFERROR(VLOOKUP(B115,'ANÁLISE DE DADOS'!$A:$AM,25,0),""))</f>
        <v/>
      </c>
      <c r="AB115" s="61" t="str">
        <f>IF(B115="","",IFERROR(VLOOKUP(B115,'ANÁLISE DE DADOS'!$A:$AM,26,0),""))</f>
        <v/>
      </c>
      <c r="AC115" s="61" t="str">
        <f>IF(B115="","",IFERROR(VLOOKUP(B115,'ANÁLISE DE DADOS'!$A:$AM,27,0),""))</f>
        <v/>
      </c>
      <c r="AD115" s="62" t="str">
        <f>IF(B115="","",IFERROR(VLOOKUP(B115,'ANÁLISE DE DADOS'!$A:$AM,28,0),""))</f>
        <v/>
      </c>
      <c r="AE115" s="61" t="str">
        <f>IF(B115="","",IFERROR(VLOOKUP(B115,'ANÁLISE DE DADOS'!$A:$AM,29,0),""))</f>
        <v/>
      </c>
      <c r="AF115" s="61" t="str">
        <f>IF(B115="","",IFERROR(VLOOKUP(B115,'ANÁLISE DE DADOS'!$A:$AM,30,0),""))</f>
        <v/>
      </c>
      <c r="AG115" s="62" t="str">
        <f>IF(B115="","",IFERROR(VLOOKUP(B115,'ANÁLISE DE DADOS'!$A:$AM,31,0),""))</f>
        <v/>
      </c>
      <c r="AH115" s="61" t="str">
        <f>IF(B115="","",IFERROR(VLOOKUP(B115,'ANÁLISE DE DADOS'!$A:$AM,32,0),""))</f>
        <v/>
      </c>
      <c r="AI115" s="61" t="str">
        <f>IF(B115="","",IFERROR(VLOOKUP(B115,'ANÁLISE DE DADOS'!$A:$AM,33,0),""))</f>
        <v/>
      </c>
      <c r="AJ115" s="61" t="str">
        <f>IF(B115="","",IFERROR(VLOOKUP(B115,'ANÁLISE DE DADOS'!$A:$AM,34,0),""))</f>
        <v/>
      </c>
      <c r="AK115" s="63" t="str">
        <f>IF(B115="","",IFERROR(VLOOKUP(B115,'ANÁLISE DE DADOS'!$A:$AM,35,0),""))</f>
        <v/>
      </c>
      <c r="AL115" s="63" t="str">
        <f>IF(B115="","",IFERROR(VLOOKUP(B115,'ANÁLISE DE DADOS'!$A:$AM,36,0),""))</f>
        <v/>
      </c>
    </row>
    <row r="116" spans="3:38" x14ac:dyDescent="0.3">
      <c r="C116" s="61" t="str">
        <f>IF(B116="","",IFERROR(VLOOKUP(B116,'ANÁLISE DE DADOS'!$A:$AM,1,0),""))</f>
        <v/>
      </c>
      <c r="D116" s="61" t="str">
        <f>IF(B116="","",IFERROR(VLOOKUP(B116,'ANÁLISE DE DADOS'!$A:$AM,2,0),""))</f>
        <v/>
      </c>
      <c r="E116" s="61" t="str">
        <f>IF(B116="","",IFERROR(VLOOKUP(B116,'ANÁLISE DE DADOS'!$A:$AM,3,0),""))</f>
        <v/>
      </c>
      <c r="F116" s="61" t="str">
        <f>IF(B116="","",IFERROR(VLOOKUP(B116,'ANÁLISE DE DADOS'!$A:$AM,4,0),""))</f>
        <v/>
      </c>
      <c r="G116" s="62" t="str">
        <f>IF(B116="","",IFERROR(VLOOKUP(B116,'ANÁLISE DE DADOS'!$A:$AM,5,0),""))</f>
        <v/>
      </c>
      <c r="H116" s="62" t="str">
        <f>IF(B116="","",IFERROR(VLOOKUP(B116,'ANÁLISE DE DADOS'!$A:$AM,6,0),""))</f>
        <v/>
      </c>
      <c r="I116" s="62" t="str">
        <f>IF(B116="","",IFERROR(VLOOKUP(B116,'ANÁLISE DE DADOS'!$A:$AM,7,0),""))</f>
        <v/>
      </c>
      <c r="J116" s="62" t="str">
        <f>IF(B116="","",IFERROR(VLOOKUP(B116,'ANÁLISE DE DADOS'!$A:$AM,8,0),""))</f>
        <v/>
      </c>
      <c r="K116" s="61" t="str">
        <f>IF(B116="","",IFERROR(VLOOKUP(B116,'ANÁLISE DE DADOS'!$A:$AM,9,0),""))</f>
        <v/>
      </c>
      <c r="L116" s="61" t="str">
        <f>IF(B116="","",IFERROR(VLOOKUP(B116,'ANÁLISE DE DADOS'!$A:$AM,10,0),""))</f>
        <v/>
      </c>
      <c r="M116" s="62" t="str">
        <f>IF(B116="","",IFERROR(VLOOKUP(B116,'ANÁLISE DE DADOS'!$A:$AM,11,0),""))</f>
        <v/>
      </c>
      <c r="N116" s="61" t="str">
        <f>IF(B116="","",IFERROR(VLOOKUP(B116,'ANÁLISE DE DADOS'!$A:$AM,12,0),""))</f>
        <v/>
      </c>
      <c r="O116" s="61" t="str">
        <f>IF(B116="","",IFERROR(VLOOKUP(B116,'ANÁLISE DE DADOS'!$A:$AM,13,0),""))</f>
        <v/>
      </c>
      <c r="P116" s="63" t="str">
        <f>IF(B116="","",IFERROR(VLOOKUP(B116,'ANÁLISE DE DADOS'!$A:$AM,14,0),""))</f>
        <v/>
      </c>
      <c r="Q116" s="61" t="str">
        <f>IF(B116="","",IFERROR(VLOOKUP(B116,'ANÁLISE DE DADOS'!$A:$AM,15,0),""))</f>
        <v/>
      </c>
      <c r="R116" s="61" t="str">
        <f>IF(B116="","",IFERROR(VLOOKUP(B116,'ANÁLISE DE DADOS'!$A:$AM,16,0),""))</f>
        <v/>
      </c>
      <c r="S116" s="61" t="str">
        <f>IF(B116="","",IFERROR(VLOOKUP(B116,'ANÁLISE DE DADOS'!$A:$AM,17,0),""))</f>
        <v/>
      </c>
      <c r="T116" s="61" t="str">
        <f>IF(B116="","",IFERROR(VLOOKUP(B116,'ANÁLISE DE DADOS'!$A:$AM,18,0),""))</f>
        <v/>
      </c>
      <c r="U116" s="61" t="str">
        <f>IF(B116="","",IFERROR(VLOOKUP(B116,'ANÁLISE DE DADOS'!$A:$AM,19,0),""))</f>
        <v/>
      </c>
      <c r="V116" s="61" t="str">
        <f>IF(B116="","",IFERROR(VLOOKUP(B116,'ANÁLISE DE DADOS'!$A:$AM,20,0),""))</f>
        <v/>
      </c>
      <c r="W116" s="61" t="str">
        <f>IF(B116="","",IFERROR(VLOOKUP(B116,'ANÁLISE DE DADOS'!$A:$AM,21,0),""))</f>
        <v/>
      </c>
      <c r="X116" s="61" t="str">
        <f>IF(B116="","",IFERROR(VLOOKUP(B116,'ANÁLISE DE DADOS'!$A:$AM,22,0),""))</f>
        <v/>
      </c>
      <c r="Y116" s="61" t="str">
        <f>IF(B116="","",IFERROR(VLOOKUP(B116,'ANÁLISE DE DADOS'!$A:$AM,23,0),""))</f>
        <v/>
      </c>
      <c r="Z116" s="61" t="str">
        <f>IF(B116="","",IFERROR(VLOOKUP(B116,'ANÁLISE DE DADOS'!$A:$AM,24,0),""))</f>
        <v/>
      </c>
      <c r="AA116" s="61" t="str">
        <f>IF(B116="","",IFERROR(VLOOKUP(B116,'ANÁLISE DE DADOS'!$A:$AM,25,0),""))</f>
        <v/>
      </c>
      <c r="AB116" s="61" t="str">
        <f>IF(B116="","",IFERROR(VLOOKUP(B116,'ANÁLISE DE DADOS'!$A:$AM,26,0),""))</f>
        <v/>
      </c>
      <c r="AC116" s="61" t="str">
        <f>IF(B116="","",IFERROR(VLOOKUP(B116,'ANÁLISE DE DADOS'!$A:$AM,27,0),""))</f>
        <v/>
      </c>
      <c r="AD116" s="62" t="str">
        <f>IF(B116="","",IFERROR(VLOOKUP(B116,'ANÁLISE DE DADOS'!$A:$AM,28,0),""))</f>
        <v/>
      </c>
      <c r="AE116" s="61" t="str">
        <f>IF(B116="","",IFERROR(VLOOKUP(B116,'ANÁLISE DE DADOS'!$A:$AM,29,0),""))</f>
        <v/>
      </c>
      <c r="AF116" s="61" t="str">
        <f>IF(B116="","",IFERROR(VLOOKUP(B116,'ANÁLISE DE DADOS'!$A:$AM,30,0),""))</f>
        <v/>
      </c>
      <c r="AG116" s="62" t="str">
        <f>IF(B116="","",IFERROR(VLOOKUP(B116,'ANÁLISE DE DADOS'!$A:$AM,31,0),""))</f>
        <v/>
      </c>
      <c r="AH116" s="61" t="str">
        <f>IF(B116="","",IFERROR(VLOOKUP(B116,'ANÁLISE DE DADOS'!$A:$AM,32,0),""))</f>
        <v/>
      </c>
      <c r="AI116" s="61" t="str">
        <f>IF(B116="","",IFERROR(VLOOKUP(B116,'ANÁLISE DE DADOS'!$A:$AM,33,0),""))</f>
        <v/>
      </c>
      <c r="AJ116" s="61" t="str">
        <f>IF(B116="","",IFERROR(VLOOKUP(B116,'ANÁLISE DE DADOS'!$A:$AM,34,0),""))</f>
        <v/>
      </c>
      <c r="AK116" s="63" t="str">
        <f>IF(B116="","",IFERROR(VLOOKUP(B116,'ANÁLISE DE DADOS'!$A:$AM,35,0),""))</f>
        <v/>
      </c>
      <c r="AL116" s="63" t="str">
        <f>IF(B116="","",IFERROR(VLOOKUP(B116,'ANÁLISE DE DADOS'!$A:$AM,36,0),""))</f>
        <v/>
      </c>
    </row>
    <row r="117" spans="3:38" x14ac:dyDescent="0.3">
      <c r="C117" s="61" t="str">
        <f>IF(B117="","",IFERROR(VLOOKUP(B117,'ANÁLISE DE DADOS'!$A:$AM,1,0),""))</f>
        <v/>
      </c>
      <c r="D117" s="61" t="str">
        <f>IF(B117="","",IFERROR(VLOOKUP(B117,'ANÁLISE DE DADOS'!$A:$AM,2,0),""))</f>
        <v/>
      </c>
      <c r="E117" s="61" t="str">
        <f>IF(B117="","",IFERROR(VLOOKUP(B117,'ANÁLISE DE DADOS'!$A:$AM,3,0),""))</f>
        <v/>
      </c>
      <c r="F117" s="61" t="str">
        <f>IF(B117="","",IFERROR(VLOOKUP(B117,'ANÁLISE DE DADOS'!$A:$AM,4,0),""))</f>
        <v/>
      </c>
      <c r="G117" s="62" t="str">
        <f>IF(B117="","",IFERROR(VLOOKUP(B117,'ANÁLISE DE DADOS'!$A:$AM,5,0),""))</f>
        <v/>
      </c>
      <c r="H117" s="62" t="str">
        <f>IF(B117="","",IFERROR(VLOOKUP(B117,'ANÁLISE DE DADOS'!$A:$AM,6,0),""))</f>
        <v/>
      </c>
      <c r="I117" s="62" t="str">
        <f>IF(B117="","",IFERROR(VLOOKUP(B117,'ANÁLISE DE DADOS'!$A:$AM,7,0),""))</f>
        <v/>
      </c>
      <c r="J117" s="62" t="str">
        <f>IF(B117="","",IFERROR(VLOOKUP(B117,'ANÁLISE DE DADOS'!$A:$AM,8,0),""))</f>
        <v/>
      </c>
      <c r="K117" s="61" t="str">
        <f>IF(B117="","",IFERROR(VLOOKUP(B117,'ANÁLISE DE DADOS'!$A:$AM,9,0),""))</f>
        <v/>
      </c>
      <c r="L117" s="61" t="str">
        <f>IF(B117="","",IFERROR(VLOOKUP(B117,'ANÁLISE DE DADOS'!$A:$AM,10,0),""))</f>
        <v/>
      </c>
      <c r="M117" s="62" t="str">
        <f>IF(B117="","",IFERROR(VLOOKUP(B117,'ANÁLISE DE DADOS'!$A:$AM,11,0),""))</f>
        <v/>
      </c>
      <c r="N117" s="61" t="str">
        <f>IF(B117="","",IFERROR(VLOOKUP(B117,'ANÁLISE DE DADOS'!$A:$AM,12,0),""))</f>
        <v/>
      </c>
      <c r="O117" s="61" t="str">
        <f>IF(B117="","",IFERROR(VLOOKUP(B117,'ANÁLISE DE DADOS'!$A:$AM,13,0),""))</f>
        <v/>
      </c>
      <c r="P117" s="63" t="str">
        <f>IF(B117="","",IFERROR(VLOOKUP(B117,'ANÁLISE DE DADOS'!$A:$AM,14,0),""))</f>
        <v/>
      </c>
      <c r="Q117" s="61" t="str">
        <f>IF(B117="","",IFERROR(VLOOKUP(B117,'ANÁLISE DE DADOS'!$A:$AM,15,0),""))</f>
        <v/>
      </c>
      <c r="R117" s="61" t="str">
        <f>IF(B117="","",IFERROR(VLOOKUP(B117,'ANÁLISE DE DADOS'!$A:$AM,16,0),""))</f>
        <v/>
      </c>
      <c r="S117" s="61" t="str">
        <f>IF(B117="","",IFERROR(VLOOKUP(B117,'ANÁLISE DE DADOS'!$A:$AM,17,0),""))</f>
        <v/>
      </c>
      <c r="T117" s="61" t="str">
        <f>IF(B117="","",IFERROR(VLOOKUP(B117,'ANÁLISE DE DADOS'!$A:$AM,18,0),""))</f>
        <v/>
      </c>
      <c r="U117" s="61" t="str">
        <f>IF(B117="","",IFERROR(VLOOKUP(B117,'ANÁLISE DE DADOS'!$A:$AM,19,0),""))</f>
        <v/>
      </c>
      <c r="V117" s="61" t="str">
        <f>IF(B117="","",IFERROR(VLOOKUP(B117,'ANÁLISE DE DADOS'!$A:$AM,20,0),""))</f>
        <v/>
      </c>
      <c r="W117" s="61" t="str">
        <f>IF(B117="","",IFERROR(VLOOKUP(B117,'ANÁLISE DE DADOS'!$A:$AM,21,0),""))</f>
        <v/>
      </c>
      <c r="X117" s="61" t="str">
        <f>IF(B117="","",IFERROR(VLOOKUP(B117,'ANÁLISE DE DADOS'!$A:$AM,22,0),""))</f>
        <v/>
      </c>
      <c r="Y117" s="61" t="str">
        <f>IF(B117="","",IFERROR(VLOOKUP(B117,'ANÁLISE DE DADOS'!$A:$AM,23,0),""))</f>
        <v/>
      </c>
      <c r="Z117" s="61" t="str">
        <f>IF(B117="","",IFERROR(VLOOKUP(B117,'ANÁLISE DE DADOS'!$A:$AM,24,0),""))</f>
        <v/>
      </c>
      <c r="AA117" s="61" t="str">
        <f>IF(B117="","",IFERROR(VLOOKUP(B117,'ANÁLISE DE DADOS'!$A:$AM,25,0),""))</f>
        <v/>
      </c>
      <c r="AB117" s="61" t="str">
        <f>IF(B117="","",IFERROR(VLOOKUP(B117,'ANÁLISE DE DADOS'!$A:$AM,26,0),""))</f>
        <v/>
      </c>
      <c r="AC117" s="61" t="str">
        <f>IF(B117="","",IFERROR(VLOOKUP(B117,'ANÁLISE DE DADOS'!$A:$AM,27,0),""))</f>
        <v/>
      </c>
      <c r="AD117" s="62" t="str">
        <f>IF(B117="","",IFERROR(VLOOKUP(B117,'ANÁLISE DE DADOS'!$A:$AM,28,0),""))</f>
        <v/>
      </c>
      <c r="AE117" s="61" t="str">
        <f>IF(B117="","",IFERROR(VLOOKUP(B117,'ANÁLISE DE DADOS'!$A:$AM,29,0),""))</f>
        <v/>
      </c>
      <c r="AF117" s="61" t="str">
        <f>IF(B117="","",IFERROR(VLOOKUP(B117,'ANÁLISE DE DADOS'!$A:$AM,30,0),""))</f>
        <v/>
      </c>
      <c r="AG117" s="62" t="str">
        <f>IF(B117="","",IFERROR(VLOOKUP(B117,'ANÁLISE DE DADOS'!$A:$AM,31,0),""))</f>
        <v/>
      </c>
      <c r="AH117" s="61" t="str">
        <f>IF(B117="","",IFERROR(VLOOKUP(B117,'ANÁLISE DE DADOS'!$A:$AM,32,0),""))</f>
        <v/>
      </c>
      <c r="AI117" s="61" t="str">
        <f>IF(B117="","",IFERROR(VLOOKUP(B117,'ANÁLISE DE DADOS'!$A:$AM,33,0),""))</f>
        <v/>
      </c>
      <c r="AJ117" s="61" t="str">
        <f>IF(B117="","",IFERROR(VLOOKUP(B117,'ANÁLISE DE DADOS'!$A:$AM,34,0),""))</f>
        <v/>
      </c>
      <c r="AK117" s="63" t="str">
        <f>IF(B117="","",IFERROR(VLOOKUP(B117,'ANÁLISE DE DADOS'!$A:$AM,35,0),""))</f>
        <v/>
      </c>
      <c r="AL117" s="63" t="str">
        <f>IF(B117="","",IFERROR(VLOOKUP(B117,'ANÁLISE DE DADOS'!$A:$AM,36,0),""))</f>
        <v/>
      </c>
    </row>
  </sheetData>
  <sheetProtection algorithmName="SHA-512" hashValue="bfusCIo2GpYxvPNHni7udVLj0nbdRETCOKhjz/7HWGDL6AuHIp5Nzc6hRNaG7Kmj9e1go+cQoo1lyueVSthkEA==" saltValue="qstSK5VzcNfMhfBrBtJgyQ==" spinCount="100000" sheet="1" objects="1" scenarios="1"/>
  <conditionalFormatting sqref="D4:D117">
    <cfRule type="containsText" dxfId="41" priority="5" operator="containsText" text="FILIAL">
      <formula>NOT(ISERROR(SEARCH("FILIAL",D4)))</formula>
    </cfRule>
    <cfRule type="containsText" dxfId="40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39" priority="14" operator="containsText" text="NÃO">
      <formula>NOT(ISERROR(SEARCH("NÃO",S4)))</formula>
    </cfRule>
    <cfRule type="containsText" dxfId="38" priority="15" operator="containsText" text="sim">
      <formula>NOT(ISERROR(SEARCH("sim",S4)))</formula>
    </cfRule>
  </conditionalFormatting>
  <conditionalFormatting sqref="U4:U116">
    <cfRule type="containsText" dxfId="37" priority="11" operator="containsText" text="A VENCER">
      <formula>NOT(ISERROR(SEARCH("A VENCER",U4)))</formula>
    </cfRule>
    <cfRule type="containsText" dxfId="36" priority="12" operator="containsText" text="QUITADO">
      <formula>NOT(ISERROR(SEARCH("QUITADO",U4)))</formula>
    </cfRule>
    <cfRule type="containsText" dxfId="35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34" priority="7" operator="containsText" text="RECENTE">
      <formula>NOT(ISERROR(SEARCH("RECENTE",X4)))</formula>
    </cfRule>
    <cfRule type="containsText" dxfId="33" priority="8" operator="containsText" text="MÉDIO">
      <formula>NOT(ISERROR(SEARCH("MÉDIO",X4)))</formula>
    </cfRule>
    <cfRule type="containsText" dxfId="32" priority="9" operator="containsText" text="CRÍTICO">
      <formula>NOT(ISERROR(SEARCH("CRÍTICO",X4)))</formula>
    </cfRule>
  </conditionalFormatting>
  <conditionalFormatting sqref="Z4:Z117">
    <cfRule type="containsText" dxfId="31" priority="3" operator="containsText" text="NÃO">
      <formula>NOT(ISERROR(SEARCH("NÃO",Z4)))</formula>
    </cfRule>
    <cfRule type="containsText" dxfId="30" priority="4" operator="containsText" text="SIM">
      <formula>NOT(ISERROR(SEARCH("SIM",Z4)))</formula>
    </cfRule>
  </conditionalFormatting>
  <conditionalFormatting sqref="AC4:AC117">
    <cfRule type="containsText" dxfId="29" priority="1" operator="containsText" text="NÃO">
      <formula>NOT(ISERROR(SEARCH("NÃO",AC4)))</formula>
    </cfRule>
    <cfRule type="containsText" dxfId="28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E11D-913D-4820-A999-9B018FC1CAA7}">
  <sheetPr>
    <tabColor rgb="FF7030A0"/>
  </sheetPr>
  <dimension ref="B1:AL117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N16" sqref="AN16"/>
    </sheetView>
  </sheetViews>
  <sheetFormatPr defaultRowHeight="14.4" x14ac:dyDescent="0.3"/>
  <cols>
    <col min="1" max="1" width="30.5546875" customWidth="1"/>
    <col min="2" max="2" width="28.5546875" style="30" hidden="1" customWidth="1"/>
    <col min="3" max="3" width="9.6640625" style="30" customWidth="1"/>
    <col min="4" max="4" width="8.88671875" style="30"/>
    <col min="5" max="5" width="13" style="30" bestFit="1" customWidth="1"/>
    <col min="6" max="6" width="15.33203125" style="30" bestFit="1" customWidth="1"/>
    <col min="7" max="7" width="16.6640625" style="30" hidden="1" customWidth="1"/>
    <col min="8" max="8" width="13" style="30" hidden="1" customWidth="1"/>
    <col min="9" max="9" width="13.109375" style="30" hidden="1" customWidth="1"/>
    <col min="10" max="10" width="16.6640625" style="44" hidden="1" customWidth="1"/>
    <col min="11" max="11" width="16.21875" style="30" hidden="1" customWidth="1"/>
    <col min="12" max="12" width="17.5546875" style="30" hidden="1" customWidth="1"/>
    <col min="13" max="13" width="15.88671875" style="44" hidden="1" customWidth="1"/>
    <col min="14" max="14" width="10.44140625" style="30" hidden="1" customWidth="1"/>
    <col min="15" max="15" width="10.6640625" style="30" hidden="1" customWidth="1"/>
    <col min="16" max="16" width="13.44140625" style="46" hidden="1" customWidth="1"/>
    <col min="17" max="17" width="12.33203125" style="30" hidden="1" customWidth="1"/>
    <col min="18" max="18" width="17.77734375" style="30" hidden="1" customWidth="1"/>
    <col min="19" max="19" width="8.33203125" style="30" hidden="1" customWidth="1"/>
    <col min="20" max="20" width="56.109375" style="30" bestFit="1" customWidth="1"/>
    <col min="21" max="21" width="21.88671875" style="30" bestFit="1" customWidth="1"/>
    <col min="22" max="22" width="13.33203125" style="30" bestFit="1" customWidth="1"/>
    <col min="23" max="23" width="13.5546875" style="30" bestFit="1" customWidth="1"/>
    <col min="24" max="24" width="14.5546875" style="30" bestFit="1" customWidth="1"/>
    <col min="25" max="25" width="12" style="30" customWidth="1"/>
    <col min="26" max="26" width="14.109375" style="30" customWidth="1"/>
    <col min="27" max="27" width="15.109375" style="30" hidden="1" customWidth="1"/>
    <col min="28" max="28" width="19.33203125" style="30" hidden="1" customWidth="1"/>
    <col min="29" max="29" width="13.44140625" style="30" hidden="1" customWidth="1"/>
    <col min="30" max="30" width="15.109375" style="44" hidden="1" customWidth="1"/>
    <col min="31" max="31" width="13.109375" style="30" hidden="1" customWidth="1"/>
    <col min="32" max="32" width="13.5546875" style="30" hidden="1" customWidth="1"/>
    <col min="33" max="33" width="23.5546875" style="44" hidden="1" customWidth="1"/>
    <col min="34" max="34" width="14.77734375" style="30" hidden="1" customWidth="1"/>
    <col min="35" max="35" width="15.6640625" style="30" hidden="1" customWidth="1"/>
    <col min="36" max="36" width="17" style="30" hidden="1" customWidth="1"/>
    <col min="37" max="37" width="14.33203125" style="46" hidden="1" customWidth="1"/>
    <col min="38" max="38" width="13.77734375" style="46" hidden="1" customWidth="1"/>
  </cols>
  <sheetData>
    <row r="1" spans="2:38" s="66" customFormat="1" ht="27.6" customHeight="1" thickBot="1" x14ac:dyDescent="0.35">
      <c r="B1" s="65"/>
      <c r="C1" s="70"/>
      <c r="D1" s="71"/>
      <c r="E1" s="71"/>
      <c r="F1" s="71"/>
      <c r="G1" s="71"/>
      <c r="H1" s="71"/>
      <c r="I1" s="71"/>
      <c r="J1" s="72" t="s">
        <v>159</v>
      </c>
      <c r="K1" s="71"/>
      <c r="L1" s="71"/>
      <c r="M1" s="73"/>
      <c r="N1" s="71"/>
      <c r="O1" s="71"/>
      <c r="P1" s="74"/>
      <c r="Q1" s="71"/>
      <c r="R1" s="71"/>
      <c r="S1" s="75"/>
      <c r="T1" s="86"/>
      <c r="U1" s="87"/>
      <c r="V1" s="88" t="s">
        <v>160</v>
      </c>
      <c r="W1" s="87"/>
      <c r="X1" s="87"/>
      <c r="Y1" s="87"/>
      <c r="Z1" s="89"/>
      <c r="AA1" s="80"/>
      <c r="AB1" s="81"/>
      <c r="AC1" s="81"/>
      <c r="AD1" s="82"/>
      <c r="AE1" s="81"/>
      <c r="AF1" s="81"/>
      <c r="AG1" s="83" t="s">
        <v>161</v>
      </c>
      <c r="AH1" s="81"/>
      <c r="AI1" s="81"/>
      <c r="AJ1" s="81"/>
      <c r="AK1" s="81"/>
      <c r="AL1" s="84"/>
    </row>
    <row r="2" spans="2:38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2:38" s="57" customFormat="1" ht="43.2" x14ac:dyDescent="0.3">
      <c r="B3" s="58" t="s">
        <v>145</v>
      </c>
      <c r="C3" s="58" t="str">
        <f>Tabela1[[#Headers],[DOC./NF]]</f>
        <v>DOC./NF</v>
      </c>
      <c r="D3" s="58" t="str">
        <f>Tabela1[[#Headers],[UNIDADE]]</f>
        <v>UNIDADE</v>
      </c>
      <c r="E3" s="58" t="str">
        <f>Tabela1[[#Headers],[GRUPO]]</f>
        <v>GRUPO</v>
      </c>
      <c r="F3" s="58" t="str">
        <f>Tabela1[[#Headers],[EMPRESA]]</f>
        <v>EMPRESA</v>
      </c>
      <c r="G3" s="58" t="str">
        <f>Tabela1[[#Headers],[DATA DE EMISSÃO]]</f>
        <v>DATA DE EMISSÃO</v>
      </c>
      <c r="H3" s="58" t="str">
        <f>Tabela1[[#Headers],[MÊS EMISSOR]]</f>
        <v>MÊS EMISSOR</v>
      </c>
      <c r="I3" s="58" t="str">
        <f>Tabela1[[#Headers],[ANO EMISSOR]]</f>
        <v>ANO EMISSOR</v>
      </c>
      <c r="J3" s="59" t="str">
        <f>Tabela1[[#Headers],[VENCIMENTO ORIGINAL]]</f>
        <v>VENCIMENTO ORIGINAL</v>
      </c>
      <c r="K3" s="58" t="str">
        <f>Tabela1[[#Headers],[MÊS VENCIMENTO ORIGINAL]]</f>
        <v>MÊS VENCIMENTO ORIGINAL</v>
      </c>
      <c r="L3" s="58" t="str">
        <f>Tabela1[[#Headers],[ANO VENCIMENTO ORIGINAL]]</f>
        <v>ANO VENCIMENTO ORIGINAL</v>
      </c>
      <c r="M3" s="59" t="str">
        <f>Tabela1[[#Headers],[VENCIMENTO ATUAL]]</f>
        <v>VENCIMENTO ATUAL</v>
      </c>
      <c r="N3" s="58" t="str">
        <f>Tabela1[[#Headers],[MÊS ATUAL]]</f>
        <v>MÊS ATUAL</v>
      </c>
      <c r="O3" s="58" t="str">
        <f>Tabela1[[#Headers],[ANO ATUAL]]</f>
        <v>ANO ATUAL</v>
      </c>
      <c r="P3" s="60" t="str">
        <f>Tabela1[[#Headers],[VALOR ORIGINAL]]</f>
        <v>VALOR ORIGINAL</v>
      </c>
      <c r="Q3" s="58" t="str">
        <f>Tabela1[[#Headers],[VENDEDORES]]</f>
        <v>VENDEDORES</v>
      </c>
      <c r="R3" s="58" t="str">
        <f>Tabela1[[#Headers],[CARTEIRA]]</f>
        <v>CARTEIRA</v>
      </c>
      <c r="S3" s="58" t="str">
        <f>Tabela1[[#Headers],[PAGO]]</f>
        <v>PAGO</v>
      </c>
      <c r="T3" s="90" t="str">
        <f>Tabela1[[#Headers],[Status de Cobrança]]</f>
        <v>Status de Cobrança</v>
      </c>
      <c r="U3" s="90" t="str">
        <f>Tabela1[[#Headers],[Status de Pagamento]]</f>
        <v>Status de Pagamento</v>
      </c>
      <c r="V3" s="90" t="str">
        <f>Tabela1[[#Headers],[Dias em Atraso]]</f>
        <v>Dias em Atraso</v>
      </c>
      <c r="W3" s="90" t="str">
        <f>Tabela1[[#Headers],[Faixa de Atraso]]</f>
        <v>Faixa de Atraso</v>
      </c>
      <c r="X3" s="90" t="str">
        <f>Tabela1[[#Headers],[Título Elegível]]</f>
        <v>Título Elegível</v>
      </c>
      <c r="Y3" s="90" t="str">
        <f>Tabela1[[#Headers],[Valor a Faturar]]</f>
        <v>Valor a Faturar</v>
      </c>
      <c r="Z3" s="90" t="str">
        <f>Tabela1[[#Headers],[Bloqueio de sistema ]]</f>
        <v xml:space="preserve">Bloqueio de sistema </v>
      </c>
      <c r="AA3" s="67" t="str">
        <f>Tabela1[[#Headers],[Statuts de Negociação]]</f>
        <v>Statuts de Negociação</v>
      </c>
      <c r="AB3" s="67" t="str">
        <f>Tabela1[[#Headers],[Número de Negociações Feitas]]</f>
        <v>Número de Negociações Feitas</v>
      </c>
      <c r="AC3" s="67" t="str">
        <f>Tabela1[[#Headers],[Acordo Fechado?]]</f>
        <v>Acordo Fechado?</v>
      </c>
      <c r="AD3" s="68" t="str">
        <f>Tabela1[[#Headers],[Data de Negociação]]</f>
        <v>Data de Negociação</v>
      </c>
      <c r="AE3" s="67" t="str">
        <f>Tabela1[[#Headers],[MÊS NEGOCIAÇÃO]]</f>
        <v>MÊS NEGOCIAÇÃO</v>
      </c>
      <c r="AF3" s="67" t="str">
        <f>Tabela1[[#Headers],[ANO NEGOCIAÇÃO]]</f>
        <v>ANO NEGOCIAÇÃO</v>
      </c>
      <c r="AG3" s="68" t="str">
        <f>Tabela1[[#Headers],[Data da Entrada/Primeira Parcela]]</f>
        <v>Data da Entrada/Primeira Parcela</v>
      </c>
      <c r="AH3" s="67" t="str">
        <f>Tabela1[[#Headers],[MÊS PRIMEIRA PARCELA]]</f>
        <v>MÊS PRIMEIRA PARCELA</v>
      </c>
      <c r="AI3" s="67" t="str">
        <f>Tabela1[[#Headers],[ANO PRIMERA PARCELA]]</f>
        <v>ANO PRIMERA PARCELA</v>
      </c>
      <c r="AJ3" s="67" t="str">
        <f>Tabela1[[#Headers],[Título Quitado? (Sim/Não)]]</f>
        <v>Título Quitado? (Sim/Não)</v>
      </c>
      <c r="AK3" s="69" t="str">
        <f>Tabela1[[#Headers],[Valores Vencidos]]</f>
        <v>Valores Vencidos</v>
      </c>
      <c r="AL3" s="69" t="str">
        <f>Tabela1[[#Headers],[Cobrança3]]</f>
        <v>Cobrança3</v>
      </c>
    </row>
    <row r="4" spans="2:38" x14ac:dyDescent="0.3">
      <c r="B4" s="30">
        <v>0</v>
      </c>
      <c r="C4" s="61">
        <f>IF(B4="","",IFERROR(VLOOKUP(B4,'ANÁLISE DE DADOS'!$A:$AM,1,0),""))</f>
        <v>0</v>
      </c>
      <c r="D4" s="61">
        <f>IF(B4="","",IFERROR(VLOOKUP(B4,'ANÁLISE DE DADOS'!$A:$AM,2,0),""))</f>
        <v>0</v>
      </c>
      <c r="E4" s="61">
        <f>IF(B4="","",IFERROR(VLOOKUP(B4,'ANÁLISE DE DADOS'!$A:$AM,3,0),""))</f>
        <v>0</v>
      </c>
      <c r="F4" s="61">
        <f>IF(B4="","",IFERROR(VLOOKUP(B4,'ANÁLISE DE DADOS'!$A:$AM,4,0),""))</f>
        <v>0</v>
      </c>
      <c r="G4" s="62">
        <f>IF(B4="","",IFERROR(VLOOKUP(B4,'ANÁLISE DE DADOS'!$A:$AM,5,0),""))</f>
        <v>0</v>
      </c>
      <c r="H4" s="62" t="str">
        <f>IF(B4="","",IFERROR(VLOOKUP(B4,'ANÁLISE DE DADOS'!$A:$AM,6,0),""))</f>
        <v>jan-00</v>
      </c>
      <c r="I4" s="62" t="str">
        <f>IF(B4="","",IFERROR(VLOOKUP(B4,'ANÁLISE DE DADOS'!$A:$AM,7,0),""))</f>
        <v>1900</v>
      </c>
      <c r="J4" s="62">
        <f>IF(B4="","",IFERROR(VLOOKUP(B4,'ANÁLISE DE DADOS'!$A:$AM,8,0),""))</f>
        <v>0</v>
      </c>
      <c r="K4" s="61" t="str">
        <f>IF(B4="","",IFERROR(VLOOKUP(B4,'ANÁLISE DE DADOS'!$A:$AM,9,0),""))</f>
        <v>jan-00</v>
      </c>
      <c r="L4" s="61" t="str">
        <f>IF(B4="","",IFERROR(VLOOKUP(B4,'ANÁLISE DE DADOS'!$A:$AM,10,0),""))</f>
        <v>1900</v>
      </c>
      <c r="M4" s="62">
        <f>IF(B4="","",IFERROR(VLOOKUP(B4,'ANÁLISE DE DADOS'!$A:$AM,11,0),""))</f>
        <v>0</v>
      </c>
      <c r="N4" s="61" t="str">
        <f>IF(B4="","",IFERROR(VLOOKUP(B4,'ANÁLISE DE DADOS'!$A:$AM,12,0),""))</f>
        <v>jan-00</v>
      </c>
      <c r="O4" s="61" t="str">
        <f>IF(B4="","",IFERROR(VLOOKUP(B4,'ANÁLISE DE DADOS'!$A:$AM,13,0),""))</f>
        <v>1900</v>
      </c>
      <c r="P4" s="63">
        <f>IF(B4="","",IFERROR(VLOOKUP(B4,'ANÁLISE DE DADOS'!$A:$AM,14,0),""))</f>
        <v>0</v>
      </c>
      <c r="Q4" s="61">
        <f>IF(B4="","",IFERROR(VLOOKUP(B4,'ANÁLISE DE DADOS'!$A:$AM,15,0),""))</f>
        <v>0</v>
      </c>
      <c r="R4" s="61">
        <f>IF(B4="","",IFERROR(VLOOKUP(B4,'ANÁLISE DE DADOS'!$A:$AM,16,0),""))</f>
        <v>0</v>
      </c>
      <c r="S4" s="61">
        <f>IF(B4="","",IFERROR(VLOOKUP(B4,'ANÁLISE DE DADOS'!$A:$AM,17,0),""))</f>
        <v>0</v>
      </c>
      <c r="T4" s="61">
        <f>IF(B4="","",IFERROR(VLOOKUP(B4,'ANÁLISE DE DADOS'!$A:$AM,18,0),""))</f>
        <v>0</v>
      </c>
      <c r="U4" s="61">
        <f>IF(B4="","",IFERROR(VLOOKUP(B4,'ANÁLISE DE DADOS'!$A:$AM,19,0),""))</f>
        <v>0</v>
      </c>
      <c r="V4" s="61">
        <f>IF(B4="","",IFERROR(VLOOKUP(B4,'ANÁLISE DE DADOS'!$A:$AM,20,0),""))</f>
        <v>0</v>
      </c>
      <c r="W4" s="61">
        <f>IF(B4="","",IFERROR(VLOOKUP(B4,'ANÁLISE DE DADOS'!$A:$AM,21,0),""))</f>
        <v>0</v>
      </c>
      <c r="X4" s="61">
        <f>IF(B4="","",IFERROR(VLOOKUP(B4,'ANÁLISE DE DADOS'!$A:$AM,22,0),""))</f>
        <v>0</v>
      </c>
      <c r="Y4" s="61">
        <f>IF(B4="","",IFERROR(VLOOKUP(B4,'ANÁLISE DE DADOS'!$A:$AM,23,0),""))</f>
        <v>0</v>
      </c>
      <c r="Z4" s="61">
        <f>IF(B4="","",IFERROR(VLOOKUP(B4,'ANÁLISE DE DADOS'!$A:$AM,24,0),""))</f>
        <v>0</v>
      </c>
      <c r="AA4" s="61">
        <f>IF(B4="","",IFERROR(VLOOKUP(B4,'ANÁLISE DE DADOS'!$A:$AM,25,0),""))</f>
        <v>0</v>
      </c>
      <c r="AB4" s="61">
        <f>IF(B4="","",IFERROR(VLOOKUP(B4,'ANÁLISE DE DADOS'!$A:$AM,26,0),""))</f>
        <v>0</v>
      </c>
      <c r="AC4" s="61">
        <f>IF(B4="","",IFERROR(VLOOKUP(B4,'ANÁLISE DE DADOS'!$A:$AM,27,0),""))</f>
        <v>0</v>
      </c>
      <c r="AD4" s="62">
        <f>IF(B4="","",IFERROR(VLOOKUP(B4,'ANÁLISE DE DADOS'!$A:$AM,28,0),""))</f>
        <v>0</v>
      </c>
      <c r="AE4" s="61" t="str">
        <f>IF(B4="","",IFERROR(VLOOKUP(B4,'ANÁLISE DE DADOS'!$A:$AM,29,0),""))</f>
        <v>jan-00</v>
      </c>
      <c r="AF4" s="61" t="str">
        <f>IF(B4="","",IFERROR(VLOOKUP(B4,'ANÁLISE DE DADOS'!$A:$AM,30,0),""))</f>
        <v>1900</v>
      </c>
      <c r="AG4" s="62">
        <f>IF(B4="","",IFERROR(VLOOKUP(B4,'ANÁLISE DE DADOS'!$A:$AM,31,0),""))</f>
        <v>0</v>
      </c>
      <c r="AH4" s="61" t="str">
        <f>IF(B4="","",IFERROR(VLOOKUP(B4,'ANÁLISE DE DADOS'!$A:$AM,32,0),""))</f>
        <v>jan-00</v>
      </c>
      <c r="AI4" s="61" t="str">
        <f>IF(B4="","",IFERROR(VLOOKUP(B4,'ANÁLISE DE DADOS'!$A:$AM,33,0),""))</f>
        <v>1900</v>
      </c>
      <c r="AJ4" s="61">
        <f>IF(B4="","",IFERROR(VLOOKUP(B4,'ANÁLISE DE DADOS'!$A:$AM,34,0),""))</f>
        <v>0</v>
      </c>
      <c r="AK4" s="63">
        <f>IF(B4="","",IFERROR(VLOOKUP(B4,'ANÁLISE DE DADOS'!$A:$AM,35,0),""))</f>
        <v>0</v>
      </c>
      <c r="AL4" s="63">
        <f>IF(B4="","",IFERROR(VLOOKUP(B4,'ANÁLISE DE DADOS'!$A:$AM,36,0),""))</f>
        <v>0</v>
      </c>
    </row>
    <row r="5" spans="2:38" x14ac:dyDescent="0.3">
      <c r="B5" s="30">
        <v>1</v>
      </c>
      <c r="C5" s="61">
        <f>IF(B5="","",IFERROR(VLOOKUP(B5,'ANÁLISE DE DADOS'!$A:$AM,1,0),""))</f>
        <v>1</v>
      </c>
      <c r="D5" s="61" t="str">
        <f>IF(B5="","",IFERROR(VLOOKUP(B5,'ANÁLISE DE DADOS'!$A:$AM,2,0),""))</f>
        <v>Matriz</v>
      </c>
      <c r="E5" s="61" t="str">
        <f>IF(B5="","",IFERROR(VLOOKUP(B5,'ANÁLISE DE DADOS'!$A:$AM,3,0),""))</f>
        <v>Alpha &amp; CIA</v>
      </c>
      <c r="F5" s="61" t="str">
        <f>IF(B5="","",IFERROR(VLOOKUP(B5,'ANÁLISE DE DADOS'!$A:$AM,4,0),""))</f>
        <v>Alpha &amp; CIA</v>
      </c>
      <c r="G5" s="62">
        <f>IF(B5="","",IFERROR(VLOOKUP(B5,'ANÁLISE DE DADOS'!$A:$AM,5,0),""))</f>
        <v>45658</v>
      </c>
      <c r="H5" s="62" t="str">
        <f>IF(B5="","",IFERROR(VLOOKUP(B5,'ANÁLISE DE DADOS'!$A:$AM,6,0),""))</f>
        <v>jan-25</v>
      </c>
      <c r="I5" s="62" t="str">
        <f>IF(B5="","",IFERROR(VLOOKUP(B5,'ANÁLISE DE DADOS'!$A:$AM,7,0),""))</f>
        <v>2025</v>
      </c>
      <c r="J5" s="62">
        <f>IF(B5="","",IFERROR(VLOOKUP(B5,'ANÁLISE DE DADOS'!$A:$AM,8,0),""))</f>
        <v>45690</v>
      </c>
      <c r="K5" s="61" t="str">
        <f>IF(B5="","",IFERROR(VLOOKUP(B5,'ANÁLISE DE DADOS'!$A:$AM,9,0),""))</f>
        <v>fev-25</v>
      </c>
      <c r="L5" s="61" t="str">
        <f>IF(B5="","",IFERROR(VLOOKUP(B5,'ANÁLISE DE DADOS'!$A:$AM,10,0),""))</f>
        <v>2025</v>
      </c>
      <c r="M5" s="62">
        <f>IF(B5="","",IFERROR(VLOOKUP(B5,'ANÁLISE DE DADOS'!$A:$AM,11,0),""))</f>
        <v>45737</v>
      </c>
      <c r="N5" s="61" t="str">
        <f>IF(B5="","",IFERROR(VLOOKUP(B5,'ANÁLISE DE DADOS'!$A:$AM,12,0),""))</f>
        <v>mar-25</v>
      </c>
      <c r="O5" s="61" t="str">
        <f>IF(B5="","",IFERROR(VLOOKUP(B5,'ANÁLISE DE DADOS'!$A:$AM,13,0),""))</f>
        <v>2025</v>
      </c>
      <c r="P5" s="63">
        <f>IF(B5="","",IFERROR(VLOOKUP(B5,'ANÁLISE DE DADOS'!$A:$AM,14,0),""))</f>
        <v>1000</v>
      </c>
      <c r="Q5" s="61" t="str">
        <f>IF(B5="","",IFERROR(VLOOKUP(B5,'ANÁLISE DE DADOS'!$A:$AM,15,0),""))</f>
        <v>João</v>
      </c>
      <c r="R5" s="61" t="str">
        <f>IF(B5="","",IFERROR(VLOOKUP(B5,'ANÁLISE DE DADOS'!$A:$AM,16,0),""))</f>
        <v>ANALISTA SIMONE</v>
      </c>
      <c r="S5" s="61" t="str">
        <f>IF(B5="","",IFERROR(VLOOKUP(B5,'ANÁLISE DE DADOS'!$A:$AM,17,0),""))</f>
        <v>NÃO</v>
      </c>
      <c r="T5" s="61" t="str">
        <f>IF(B5="","",IFERROR(VLOOKUP(B5,'ANÁLISE DE DADOS'!$A:$AM,18,0),""))</f>
        <v>Situação com comercial (aguardando análise comercial)</v>
      </c>
      <c r="U5" s="61" t="str">
        <f ca="1">IF(B5="","",IFERROR(VLOOKUP(B5,'ANÁLISE DE DADOS'!$A:$AM,19,0),""))</f>
        <v>Vencido</v>
      </c>
      <c r="V5" s="61">
        <f ca="1">IF(B5="","",IFERROR(VLOOKUP(B5,'ANÁLISE DE DADOS'!$A:$AM,20,0),""))</f>
        <v>105</v>
      </c>
      <c r="W5" s="61" t="str">
        <f ca="1">IF(B5="","",IFERROR(VLOOKUP(B5,'ANÁLISE DE DADOS'!$A:$AM,21,0),""))</f>
        <v>61+ dias</v>
      </c>
      <c r="X5" s="61" t="str">
        <f ca="1">IF(B5="","",IFERROR(VLOOKUP(B5,'ANÁLISE DE DADOS'!$A:$AM,22,0),""))</f>
        <v>Atraso Crítico</v>
      </c>
      <c r="Y5" s="61" t="str">
        <f>IF(B5="","",IFERROR(VLOOKUP(B5,'ANÁLISE DE DADOS'!$A:$AM,23,0),""))</f>
        <v>-</v>
      </c>
      <c r="Z5" s="61" t="str">
        <f>IF(B5="","",IFERROR(VLOOKUP(B5,'ANÁLISE DE DADOS'!$A:$AM,24,0),""))</f>
        <v>Sim</v>
      </c>
      <c r="AA5" s="61">
        <f>IF(B5="","",IFERROR(VLOOKUP(B5,'ANÁLISE DE DADOS'!$A:$AM,25,0),""))</f>
        <v>0</v>
      </c>
      <c r="AB5" s="61">
        <f>IF(B5="","",IFERROR(VLOOKUP(B5,'ANÁLISE DE DADOS'!$A:$AM,26,0),""))</f>
        <v>1</v>
      </c>
      <c r="AC5" s="61" t="str">
        <f>IF(B5="","",IFERROR(VLOOKUP(B5,'ANÁLISE DE DADOS'!$A:$AM,27,0),""))</f>
        <v>Sim</v>
      </c>
      <c r="AD5" s="62">
        <f>IF(B5="","",IFERROR(VLOOKUP(B5,'ANÁLISE DE DADOS'!$A:$AM,28,0),""))</f>
        <v>45740</v>
      </c>
      <c r="AE5" s="61" t="str">
        <f>IF(B5="","",IFERROR(VLOOKUP(B5,'ANÁLISE DE DADOS'!$A:$AM,29,0),""))</f>
        <v>mar-25</v>
      </c>
      <c r="AF5" s="61" t="str">
        <f>IF(B5="","",IFERROR(VLOOKUP(B5,'ANÁLISE DE DADOS'!$A:$AM,30,0),""))</f>
        <v>2025</v>
      </c>
      <c r="AG5" s="62">
        <f>IF(B5="","",IFERROR(VLOOKUP(B5,'ANÁLISE DE DADOS'!$A:$AM,31,0),""))</f>
        <v>45772</v>
      </c>
      <c r="AH5" s="61" t="str">
        <f>IF(B5="","",IFERROR(VLOOKUP(B5,'ANÁLISE DE DADOS'!$A:$AM,32,0),""))</f>
        <v>abr-25</v>
      </c>
      <c r="AI5" s="61" t="str">
        <f>IF(B5="","",IFERROR(VLOOKUP(B5,'ANÁLISE DE DADOS'!$A:$AM,33,0),""))</f>
        <v>2025</v>
      </c>
      <c r="AJ5" s="61" t="str">
        <f>IF(B5="","",IFERROR(VLOOKUP(B5,'ANÁLISE DE DADOS'!$A:$AM,34,0),""))</f>
        <v>Acompanhando</v>
      </c>
      <c r="AK5" s="63">
        <f ca="1">IF(B5="","",IFERROR(VLOOKUP(B5,'ANÁLISE DE DADOS'!$A:$AM,35,0),""))</f>
        <v>1000</v>
      </c>
      <c r="AL5" s="63" t="str">
        <f ca="1">IF(B5="","",IFERROR(VLOOKUP(B5,'ANÁLISE DE DADOS'!$A:$AM,36,0),""))</f>
        <v>0</v>
      </c>
    </row>
    <row r="6" spans="2:38" x14ac:dyDescent="0.3">
      <c r="B6" s="30">
        <v>2</v>
      </c>
      <c r="C6" s="61">
        <f>IF(B6="","",IFERROR(VLOOKUP(B6,'ANÁLISE DE DADOS'!$A:$AM,1,0),""))</f>
        <v>2</v>
      </c>
      <c r="D6" s="61" t="str">
        <f>IF(B6="","",IFERROR(VLOOKUP(B6,'ANÁLISE DE DADOS'!$A:$AM,2,0),""))</f>
        <v>Matriz</v>
      </c>
      <c r="E6" s="61" t="str">
        <f>IF(B6="","",IFERROR(VLOOKUP(B6,'ANÁLISE DE DADOS'!$A:$AM,3,0),""))</f>
        <v>Alpha &amp; CIA</v>
      </c>
      <c r="F6" s="61" t="str">
        <f>IF(B6="","",IFERROR(VLOOKUP(B6,'ANÁLISE DE DADOS'!$A:$AM,4,0),""))</f>
        <v>Beta</v>
      </c>
      <c r="G6" s="62">
        <f>IF(B6="","",IFERROR(VLOOKUP(B6,'ANÁLISE DE DADOS'!$A:$AM,5,0),""))</f>
        <v>45658</v>
      </c>
      <c r="H6" s="62" t="str">
        <f>IF(B6="","",IFERROR(VLOOKUP(B6,'ANÁLISE DE DADOS'!$A:$AM,6,0),""))</f>
        <v>jan-25</v>
      </c>
      <c r="I6" s="62" t="str">
        <f>IF(B6="","",IFERROR(VLOOKUP(B6,'ANÁLISE DE DADOS'!$A:$AM,7,0),""))</f>
        <v>2025</v>
      </c>
      <c r="J6" s="62">
        <f>IF(B6="","",IFERROR(VLOOKUP(B6,'ANÁLISE DE DADOS'!$A:$AM,8,0),""))</f>
        <v>45690</v>
      </c>
      <c r="K6" s="61" t="str">
        <f>IF(B6="","",IFERROR(VLOOKUP(B6,'ANÁLISE DE DADOS'!$A:$AM,9,0),""))</f>
        <v>fev-25</v>
      </c>
      <c r="L6" s="61" t="str">
        <f>IF(B6="","",IFERROR(VLOOKUP(B6,'ANÁLISE DE DADOS'!$A:$AM,10,0),""))</f>
        <v>2025</v>
      </c>
      <c r="M6" s="62">
        <f>IF(B6="","",IFERROR(VLOOKUP(B6,'ANÁLISE DE DADOS'!$A:$AM,11,0),""))</f>
        <v>45737</v>
      </c>
      <c r="N6" s="61" t="str">
        <f>IF(B6="","",IFERROR(VLOOKUP(B6,'ANÁLISE DE DADOS'!$A:$AM,12,0),""))</f>
        <v>mar-25</v>
      </c>
      <c r="O6" s="61" t="str">
        <f>IF(B6="","",IFERROR(VLOOKUP(B6,'ANÁLISE DE DADOS'!$A:$AM,13,0),""))</f>
        <v>2025</v>
      </c>
      <c r="P6" s="63">
        <f>IF(B6="","",IFERROR(VLOOKUP(B6,'ANÁLISE DE DADOS'!$A:$AM,14,0),""))</f>
        <v>1000</v>
      </c>
      <c r="Q6" s="61" t="str">
        <f>IF(B6="","",IFERROR(VLOOKUP(B6,'ANÁLISE DE DADOS'!$A:$AM,15,0),""))</f>
        <v>João</v>
      </c>
      <c r="R6" s="61" t="str">
        <f>IF(B6="","",IFERROR(VLOOKUP(B6,'ANÁLISE DE DADOS'!$A:$AM,16,0),""))</f>
        <v>ANALISTA SIMONE</v>
      </c>
      <c r="S6" s="61" t="str">
        <f>IF(B6="","",IFERROR(VLOOKUP(B6,'ANÁLISE DE DADOS'!$A:$AM,17,0),""))</f>
        <v>NÃO</v>
      </c>
      <c r="T6" s="61" t="str">
        <f>IF(B6="","",IFERROR(VLOOKUP(B6,'ANÁLISE DE DADOS'!$A:$AM,18,0),""))</f>
        <v>Aguardando aprovação de crédito</v>
      </c>
      <c r="U6" s="61" t="str">
        <f ca="1">IF(B6="","",IFERROR(VLOOKUP(B6,'ANÁLISE DE DADOS'!$A:$AM,19,0),""))</f>
        <v>Vencido</v>
      </c>
      <c r="V6" s="61">
        <f ca="1">IF(B6="","",IFERROR(VLOOKUP(B6,'ANÁLISE DE DADOS'!$A:$AM,20,0),""))</f>
        <v>105</v>
      </c>
      <c r="W6" s="61" t="str">
        <f ca="1">IF(B6="","",IFERROR(VLOOKUP(B6,'ANÁLISE DE DADOS'!$A:$AM,21,0),""))</f>
        <v>61+ dias</v>
      </c>
      <c r="X6" s="61" t="str">
        <f ca="1">IF(B6="","",IFERROR(VLOOKUP(B6,'ANÁLISE DE DADOS'!$A:$AM,22,0),""))</f>
        <v>Atraso Crítico</v>
      </c>
      <c r="Y6" s="61" t="str">
        <f>IF(B6="","",IFERROR(VLOOKUP(B6,'ANÁLISE DE DADOS'!$A:$AM,23,0),""))</f>
        <v>-</v>
      </c>
      <c r="Z6" s="61" t="str">
        <f>IF(B6="","",IFERROR(VLOOKUP(B6,'ANÁLISE DE DADOS'!$A:$AM,24,0),""))</f>
        <v>Sim</v>
      </c>
      <c r="AA6" s="61">
        <f>IF(B6="","",IFERROR(VLOOKUP(B6,'ANÁLISE DE DADOS'!$A:$AM,25,0),""))</f>
        <v>0</v>
      </c>
      <c r="AB6" s="61">
        <f>IF(B6="","",IFERROR(VLOOKUP(B6,'ANÁLISE DE DADOS'!$A:$AM,26,0),""))</f>
        <v>1</v>
      </c>
      <c r="AC6" s="61" t="str">
        <f>IF(B6="","",IFERROR(VLOOKUP(B6,'ANÁLISE DE DADOS'!$A:$AM,27,0),""))</f>
        <v>Sim</v>
      </c>
      <c r="AD6" s="62">
        <f>IF(B6="","",IFERROR(VLOOKUP(B6,'ANÁLISE DE DADOS'!$A:$AM,28,0),""))</f>
        <v>45740</v>
      </c>
      <c r="AE6" s="61" t="str">
        <f>IF(B6="","",IFERROR(VLOOKUP(B6,'ANÁLISE DE DADOS'!$A:$AM,29,0),""))</f>
        <v>mar-25</v>
      </c>
      <c r="AF6" s="61" t="str">
        <f>IF(B6="","",IFERROR(VLOOKUP(B6,'ANÁLISE DE DADOS'!$A:$AM,30,0),""))</f>
        <v>2025</v>
      </c>
      <c r="AG6" s="62">
        <f>IF(B6="","",IFERROR(VLOOKUP(B6,'ANÁLISE DE DADOS'!$A:$AM,31,0),""))</f>
        <v>45802</v>
      </c>
      <c r="AH6" s="61" t="str">
        <f>IF(B6="","",IFERROR(VLOOKUP(B6,'ANÁLISE DE DADOS'!$A:$AM,32,0),""))</f>
        <v>mai-25</v>
      </c>
      <c r="AI6" s="61" t="str">
        <f>IF(B6="","",IFERROR(VLOOKUP(B6,'ANÁLISE DE DADOS'!$A:$AM,33,0),""))</f>
        <v>2025</v>
      </c>
      <c r="AJ6" s="61" t="str">
        <f>IF(B6="","",IFERROR(VLOOKUP(B6,'ANÁLISE DE DADOS'!$A:$AM,34,0),""))</f>
        <v>Acompanhando</v>
      </c>
      <c r="AK6" s="63">
        <f ca="1">IF(B6="","",IFERROR(VLOOKUP(B6,'ANÁLISE DE DADOS'!$A:$AM,35,0),""))</f>
        <v>1000</v>
      </c>
      <c r="AL6" s="63" t="str">
        <f ca="1">IF(B6="","",IFERROR(VLOOKUP(B6,'ANÁLISE DE DADOS'!$A:$AM,36,0),""))</f>
        <v>0</v>
      </c>
    </row>
    <row r="7" spans="2:38" x14ac:dyDescent="0.3">
      <c r="B7" s="30">
        <v>3</v>
      </c>
      <c r="C7" s="61">
        <f>IF(B7="","",IFERROR(VLOOKUP(B7,'ANÁLISE DE DADOS'!$A:$AM,1,0),""))</f>
        <v>3</v>
      </c>
      <c r="D7" s="61" t="str">
        <f>IF(B7="","",IFERROR(VLOOKUP(B7,'ANÁLISE DE DADOS'!$A:$AM,2,0),""))</f>
        <v>Filial</v>
      </c>
      <c r="E7" s="61" t="str">
        <f>IF(B7="","",IFERROR(VLOOKUP(B7,'ANÁLISE DE DADOS'!$A:$AM,3,0),""))</f>
        <v>Alpha &amp; CIA</v>
      </c>
      <c r="F7" s="61" t="str">
        <f>IF(B7="","",IFERROR(VLOOKUP(B7,'ANÁLISE DE DADOS'!$A:$AM,4,0),""))</f>
        <v>Delta</v>
      </c>
      <c r="G7" s="62">
        <f>IF(B7="","",IFERROR(VLOOKUP(B7,'ANÁLISE DE DADOS'!$A:$AM,5,0),""))</f>
        <v>45659</v>
      </c>
      <c r="H7" s="62" t="str">
        <f>IF(B7="","",IFERROR(VLOOKUP(B7,'ANÁLISE DE DADOS'!$A:$AM,6,0),""))</f>
        <v>jan-25</v>
      </c>
      <c r="I7" s="62" t="str">
        <f>IF(B7="","",IFERROR(VLOOKUP(B7,'ANÁLISE DE DADOS'!$A:$AM,7,0),""))</f>
        <v>2025</v>
      </c>
      <c r="J7" s="62">
        <f>IF(B7="","",IFERROR(VLOOKUP(B7,'ANÁLISE DE DADOS'!$A:$AM,8,0),""))</f>
        <v>45690</v>
      </c>
      <c r="K7" s="61" t="str">
        <f>IF(B7="","",IFERROR(VLOOKUP(B7,'ANÁLISE DE DADOS'!$A:$AM,9,0),""))</f>
        <v>fev-25</v>
      </c>
      <c r="L7" s="61" t="str">
        <f>IF(B7="","",IFERROR(VLOOKUP(B7,'ANÁLISE DE DADOS'!$A:$AM,10,0),""))</f>
        <v>2025</v>
      </c>
      <c r="M7" s="62">
        <f>IF(B7="","",IFERROR(VLOOKUP(B7,'ANÁLISE DE DADOS'!$A:$AM,11,0),""))</f>
        <v>45737</v>
      </c>
      <c r="N7" s="61" t="str">
        <f>IF(B7="","",IFERROR(VLOOKUP(B7,'ANÁLISE DE DADOS'!$A:$AM,12,0),""))</f>
        <v>mar-25</v>
      </c>
      <c r="O7" s="61" t="str">
        <f>IF(B7="","",IFERROR(VLOOKUP(B7,'ANÁLISE DE DADOS'!$A:$AM,13,0),""))</f>
        <v>2025</v>
      </c>
      <c r="P7" s="63">
        <f>IF(B7="","",IFERROR(VLOOKUP(B7,'ANÁLISE DE DADOS'!$A:$AM,14,0),""))</f>
        <v>2500</v>
      </c>
      <c r="Q7" s="61" t="str">
        <f>IF(B7="","",IFERROR(VLOOKUP(B7,'ANÁLISE DE DADOS'!$A:$AM,15,0),""))</f>
        <v>Maria</v>
      </c>
      <c r="R7" s="61" t="str">
        <f>IF(B7="","",IFERROR(VLOOKUP(B7,'ANÁLISE DE DADOS'!$A:$AM,16,0),""))</f>
        <v>ANALISTA SIMONE</v>
      </c>
      <c r="S7" s="61" t="str">
        <f>IF(B7="","",IFERROR(VLOOKUP(B7,'ANÁLISE DE DADOS'!$A:$AM,17,0),""))</f>
        <v>NÃO</v>
      </c>
      <c r="T7" s="61" t="str">
        <f>IF(B7="","",IFERROR(VLOOKUP(B7,'ANÁLISE DE DADOS'!$A:$AM,18,0),""))</f>
        <v>Cliente não localizado</v>
      </c>
      <c r="U7" s="61" t="str">
        <f ca="1">IF(B7="","",IFERROR(VLOOKUP(B7,'ANÁLISE DE DADOS'!$A:$AM,19,0),""))</f>
        <v>Vencido</v>
      </c>
      <c r="V7" s="61">
        <f ca="1">IF(B7="","",IFERROR(VLOOKUP(B7,'ANÁLISE DE DADOS'!$A:$AM,20,0),""))</f>
        <v>105</v>
      </c>
      <c r="W7" s="61" t="str">
        <f ca="1">IF(B7="","",IFERROR(VLOOKUP(B7,'ANÁLISE DE DADOS'!$A:$AM,21,0),""))</f>
        <v>61+ dias</v>
      </c>
      <c r="X7" s="61" t="str">
        <f ca="1">IF(B7="","",IFERROR(VLOOKUP(B7,'ANÁLISE DE DADOS'!$A:$AM,22,0),""))</f>
        <v>Atraso Crítico</v>
      </c>
      <c r="Y7" s="61" t="str">
        <f>IF(B7="","",IFERROR(VLOOKUP(B7,'ANÁLISE DE DADOS'!$A:$AM,23,0),""))</f>
        <v>-</v>
      </c>
      <c r="Z7" s="61" t="str">
        <f>IF(B7="","",IFERROR(VLOOKUP(B7,'ANÁLISE DE DADOS'!$A:$AM,24,0),""))</f>
        <v>Sim</v>
      </c>
      <c r="AA7" s="61">
        <f>IF(B7="","",IFERROR(VLOOKUP(B7,'ANÁLISE DE DADOS'!$A:$AM,25,0),""))</f>
        <v>0</v>
      </c>
      <c r="AB7" s="61">
        <f>IF(B7="","",IFERROR(VLOOKUP(B7,'ANÁLISE DE DADOS'!$A:$AM,26,0),""))</f>
        <v>1</v>
      </c>
      <c r="AC7" s="61" t="str">
        <f>IF(B7="","",IFERROR(VLOOKUP(B7,'ANÁLISE DE DADOS'!$A:$AM,27,0),""))</f>
        <v>Sim</v>
      </c>
      <c r="AD7" s="62">
        <f>IF(B7="","",IFERROR(VLOOKUP(B7,'ANÁLISE DE DADOS'!$A:$AM,28,0),""))</f>
        <v>45740</v>
      </c>
      <c r="AE7" s="61" t="str">
        <f>IF(B7="","",IFERROR(VLOOKUP(B7,'ANÁLISE DE DADOS'!$A:$AM,29,0),""))</f>
        <v>mar-25</v>
      </c>
      <c r="AF7" s="61" t="str">
        <f>IF(B7="","",IFERROR(VLOOKUP(B7,'ANÁLISE DE DADOS'!$A:$AM,30,0),""))</f>
        <v>2025</v>
      </c>
      <c r="AG7" s="62">
        <f>IF(B7="","",IFERROR(VLOOKUP(B7,'ANÁLISE DE DADOS'!$A:$AM,31,0),""))</f>
        <v>45802</v>
      </c>
      <c r="AH7" s="61" t="str">
        <f>IF(B7="","",IFERROR(VLOOKUP(B7,'ANÁLISE DE DADOS'!$A:$AM,32,0),""))</f>
        <v>mai-25</v>
      </c>
      <c r="AI7" s="61" t="str">
        <f>IF(B7="","",IFERROR(VLOOKUP(B7,'ANÁLISE DE DADOS'!$A:$AM,33,0),""))</f>
        <v>2025</v>
      </c>
      <c r="AJ7" s="61" t="str">
        <f>IF(B7="","",IFERROR(VLOOKUP(B7,'ANÁLISE DE DADOS'!$A:$AM,34,0),""))</f>
        <v>Acompanhando</v>
      </c>
      <c r="AK7" s="63">
        <f ca="1">IF(B7="","",IFERROR(VLOOKUP(B7,'ANÁLISE DE DADOS'!$A:$AM,35,0),""))</f>
        <v>2500</v>
      </c>
      <c r="AL7" s="63" t="str">
        <f ca="1">IF(B7="","",IFERROR(VLOOKUP(B7,'ANÁLISE DE DADOS'!$A:$AM,36,0),""))</f>
        <v>0</v>
      </c>
    </row>
    <row r="8" spans="2:38" x14ac:dyDescent="0.3">
      <c r="B8" s="30">
        <v>4</v>
      </c>
      <c r="C8" s="61">
        <f>IF(B8="","",IFERROR(VLOOKUP(B8,'ANÁLISE DE DADOS'!$A:$AM,1,0),""))</f>
        <v>4</v>
      </c>
      <c r="D8" s="61" t="str">
        <f>IF(B8="","",IFERROR(VLOOKUP(B8,'ANÁLISE DE DADOS'!$A:$AM,2,0),""))</f>
        <v>Filial</v>
      </c>
      <c r="E8" s="61" t="str">
        <f>IF(B8="","",IFERROR(VLOOKUP(B8,'ANÁLISE DE DADOS'!$A:$AM,3,0),""))</f>
        <v>Alpha &amp; CIA</v>
      </c>
      <c r="F8" s="61" t="str">
        <f>IF(B8="","",IFERROR(VLOOKUP(B8,'ANÁLISE DE DADOS'!$A:$AM,4,0),""))</f>
        <v>Delta</v>
      </c>
      <c r="G8" s="62">
        <f>IF(B8="","",IFERROR(VLOOKUP(B8,'ANÁLISE DE DADOS'!$A:$AM,5,0),""))</f>
        <v>45659</v>
      </c>
      <c r="H8" s="62" t="str">
        <f>IF(B8="","",IFERROR(VLOOKUP(B8,'ANÁLISE DE DADOS'!$A:$AM,6,0),""))</f>
        <v>jan-25</v>
      </c>
      <c r="I8" s="62" t="str">
        <f>IF(B8="","",IFERROR(VLOOKUP(B8,'ANÁLISE DE DADOS'!$A:$AM,7,0),""))</f>
        <v>2025</v>
      </c>
      <c r="J8" s="62">
        <f>IF(B8="","",IFERROR(VLOOKUP(B8,'ANÁLISE DE DADOS'!$A:$AM,8,0),""))</f>
        <v>45690</v>
      </c>
      <c r="K8" s="61" t="str">
        <f>IF(B8="","",IFERROR(VLOOKUP(B8,'ANÁLISE DE DADOS'!$A:$AM,9,0),""))</f>
        <v>fev-25</v>
      </c>
      <c r="L8" s="61" t="str">
        <f>IF(B8="","",IFERROR(VLOOKUP(B8,'ANÁLISE DE DADOS'!$A:$AM,10,0),""))</f>
        <v>2025</v>
      </c>
      <c r="M8" s="62">
        <f>IF(B8="","",IFERROR(VLOOKUP(B8,'ANÁLISE DE DADOS'!$A:$AM,11,0),""))</f>
        <v>45737</v>
      </c>
      <c r="N8" s="61" t="str">
        <f>IF(B8="","",IFERROR(VLOOKUP(B8,'ANÁLISE DE DADOS'!$A:$AM,12,0),""))</f>
        <v>mar-25</v>
      </c>
      <c r="O8" s="61" t="str">
        <f>IF(B8="","",IFERROR(VLOOKUP(B8,'ANÁLISE DE DADOS'!$A:$AM,13,0),""))</f>
        <v>2025</v>
      </c>
      <c r="P8" s="63">
        <f>IF(B8="","",IFERROR(VLOOKUP(B8,'ANÁLISE DE DADOS'!$A:$AM,14,0),""))</f>
        <v>2500</v>
      </c>
      <c r="Q8" s="61" t="str">
        <f>IF(B8="","",IFERROR(VLOOKUP(B8,'ANÁLISE DE DADOS'!$A:$AM,15,0),""))</f>
        <v>Maria</v>
      </c>
      <c r="R8" s="61" t="str">
        <f>IF(B8="","",IFERROR(VLOOKUP(B8,'ANÁLISE DE DADOS'!$A:$AM,16,0),""))</f>
        <v>ANALISTA SIMONE</v>
      </c>
      <c r="S8" s="61" t="str">
        <f>IF(B8="","",IFERROR(VLOOKUP(B8,'ANÁLISE DE DADOS'!$A:$AM,17,0),""))</f>
        <v>NÃO</v>
      </c>
      <c r="T8" s="61" t="str">
        <f>IF(B8="","",IFERROR(VLOOKUP(B8,'ANÁLISE DE DADOS'!$A:$AM,18,0),""))</f>
        <v>Promessa de pagamento refeito</v>
      </c>
      <c r="U8" s="61" t="str">
        <f ca="1">IF(B8="","",IFERROR(VLOOKUP(B8,'ANÁLISE DE DADOS'!$A:$AM,19,0),""))</f>
        <v>Vencido</v>
      </c>
      <c r="V8" s="61">
        <f ca="1">IF(B8="","",IFERROR(VLOOKUP(B8,'ANÁLISE DE DADOS'!$A:$AM,20,0),""))</f>
        <v>105</v>
      </c>
      <c r="W8" s="61" t="str">
        <f ca="1">IF(B8="","",IFERROR(VLOOKUP(B8,'ANÁLISE DE DADOS'!$A:$AM,21,0),""))</f>
        <v>61+ dias</v>
      </c>
      <c r="X8" s="61" t="str">
        <f ca="1">IF(B8="","",IFERROR(VLOOKUP(B8,'ANÁLISE DE DADOS'!$A:$AM,22,0),""))</f>
        <v>Atraso Crítico</v>
      </c>
      <c r="Y8" s="61" t="str">
        <f>IF(B8="","",IFERROR(VLOOKUP(B8,'ANÁLISE DE DADOS'!$A:$AM,23,0),""))</f>
        <v>-</v>
      </c>
      <c r="Z8" s="61" t="str">
        <f>IF(B8="","",IFERROR(VLOOKUP(B8,'ANÁLISE DE DADOS'!$A:$AM,24,0),""))</f>
        <v>Sim</v>
      </c>
      <c r="AA8" s="61">
        <f>IF(B8="","",IFERROR(VLOOKUP(B8,'ANÁLISE DE DADOS'!$A:$AM,25,0),""))</f>
        <v>0</v>
      </c>
      <c r="AB8" s="61">
        <f>IF(B8="","",IFERROR(VLOOKUP(B8,'ANÁLISE DE DADOS'!$A:$AM,26,0),""))</f>
        <v>1</v>
      </c>
      <c r="AC8" s="61" t="str">
        <f>IF(B8="","",IFERROR(VLOOKUP(B8,'ANÁLISE DE DADOS'!$A:$AM,27,0),""))</f>
        <v>Sim</v>
      </c>
      <c r="AD8" s="62">
        <f>IF(B8="","",IFERROR(VLOOKUP(B8,'ANÁLISE DE DADOS'!$A:$AM,28,0),""))</f>
        <v>45740</v>
      </c>
      <c r="AE8" s="61" t="str">
        <f>IF(B8="","",IFERROR(VLOOKUP(B8,'ANÁLISE DE DADOS'!$A:$AM,29,0),""))</f>
        <v>mar-25</v>
      </c>
      <c r="AF8" s="61" t="str">
        <f>IF(B8="","",IFERROR(VLOOKUP(B8,'ANÁLISE DE DADOS'!$A:$AM,30,0),""))</f>
        <v>2025</v>
      </c>
      <c r="AG8" s="62">
        <f>IF(B8="","",IFERROR(VLOOKUP(B8,'ANÁLISE DE DADOS'!$A:$AM,31,0),""))</f>
        <v>45802</v>
      </c>
      <c r="AH8" s="61" t="str">
        <f>IF(B8="","",IFERROR(VLOOKUP(B8,'ANÁLISE DE DADOS'!$A:$AM,32,0),""))</f>
        <v>mai-25</v>
      </c>
      <c r="AI8" s="61" t="str">
        <f>IF(B8="","",IFERROR(VLOOKUP(B8,'ANÁLISE DE DADOS'!$A:$AM,33,0),""))</f>
        <v>2025</v>
      </c>
      <c r="AJ8" s="61" t="str">
        <f>IF(B8="","",IFERROR(VLOOKUP(B8,'ANÁLISE DE DADOS'!$A:$AM,34,0),""))</f>
        <v>Acompanhando</v>
      </c>
      <c r="AK8" s="63">
        <f ca="1">IF(B8="","",IFERROR(VLOOKUP(B8,'ANÁLISE DE DADOS'!$A:$AM,35,0),""))</f>
        <v>2500</v>
      </c>
      <c r="AL8" s="63" t="str">
        <f ca="1">IF(B8="","",IFERROR(VLOOKUP(B8,'ANÁLISE DE DADOS'!$A:$AM,36,0),""))</f>
        <v>0</v>
      </c>
    </row>
    <row r="9" spans="2:38" x14ac:dyDescent="0.3">
      <c r="B9" s="30">
        <v>5</v>
      </c>
      <c r="C9" s="61">
        <f>IF(B9="","",IFERROR(VLOOKUP(B9,'ANÁLISE DE DADOS'!$A:$AM,1,0),""))</f>
        <v>5</v>
      </c>
      <c r="D9" s="61" t="str">
        <f>IF(B9="","",IFERROR(VLOOKUP(B9,'ANÁLISE DE DADOS'!$A:$AM,2,0),""))</f>
        <v>Matriz</v>
      </c>
      <c r="E9" s="61" t="str">
        <f>IF(B9="","",IFERROR(VLOOKUP(B9,'ANÁLISE DE DADOS'!$A:$AM,3,0),""))</f>
        <v>Alpha &amp; CIA</v>
      </c>
      <c r="F9" s="61" t="str">
        <f>IF(B9="","",IFERROR(VLOOKUP(B9,'ANÁLISE DE DADOS'!$A:$AM,4,0),""))</f>
        <v>Theta</v>
      </c>
      <c r="G9" s="62">
        <f>IF(B9="","",IFERROR(VLOOKUP(B9,'ANÁLISE DE DADOS'!$A:$AM,5,0),""))</f>
        <v>45662</v>
      </c>
      <c r="H9" s="62" t="str">
        <f>IF(B9="","",IFERROR(VLOOKUP(B9,'ANÁLISE DE DADOS'!$A:$AM,6,0),""))</f>
        <v>jan-25</v>
      </c>
      <c r="I9" s="62" t="str">
        <f>IF(B9="","",IFERROR(VLOOKUP(B9,'ANÁLISE DE DADOS'!$A:$AM,7,0),""))</f>
        <v>2025</v>
      </c>
      <c r="J9" s="62">
        <f>IF(B9="","",IFERROR(VLOOKUP(B9,'ANÁLISE DE DADOS'!$A:$AM,8,0),""))</f>
        <v>45690</v>
      </c>
      <c r="K9" s="61" t="str">
        <f>IF(B9="","",IFERROR(VLOOKUP(B9,'ANÁLISE DE DADOS'!$A:$AM,9,0),""))</f>
        <v>fev-25</v>
      </c>
      <c r="L9" s="61" t="str">
        <f>IF(B9="","",IFERROR(VLOOKUP(B9,'ANÁLISE DE DADOS'!$A:$AM,10,0),""))</f>
        <v>2025</v>
      </c>
      <c r="M9" s="62">
        <f>IF(B9="","",IFERROR(VLOOKUP(B9,'ANÁLISE DE DADOS'!$A:$AM,11,0),""))</f>
        <v>45737</v>
      </c>
      <c r="N9" s="61" t="str">
        <f>IF(B9="","",IFERROR(VLOOKUP(B9,'ANÁLISE DE DADOS'!$A:$AM,12,0),""))</f>
        <v>mar-25</v>
      </c>
      <c r="O9" s="61" t="str">
        <f>IF(B9="","",IFERROR(VLOOKUP(B9,'ANÁLISE DE DADOS'!$A:$AM,13,0),""))</f>
        <v>2025</v>
      </c>
      <c r="P9" s="63">
        <f>IF(B9="","",IFERROR(VLOOKUP(B9,'ANÁLISE DE DADOS'!$A:$AM,14,0),""))</f>
        <v>3000</v>
      </c>
      <c r="Q9" s="61" t="str">
        <f>IF(B9="","",IFERROR(VLOOKUP(B9,'ANÁLISE DE DADOS'!$A:$AM,15,0),""))</f>
        <v>Carlos</v>
      </c>
      <c r="R9" s="61" t="str">
        <f>IF(B9="","",IFERROR(VLOOKUP(B9,'ANÁLISE DE DADOS'!$A:$AM,16,0),""))</f>
        <v>ANALISTA SIMONE</v>
      </c>
      <c r="S9" s="61" t="str">
        <f>IF(B9="","",IFERROR(VLOOKUP(B9,'ANÁLISE DE DADOS'!$A:$AM,17,0),""))</f>
        <v>NÃO</v>
      </c>
      <c r="T9" s="61" t="str">
        <f>IF(B9="","",IFERROR(VLOOKUP(B9,'ANÁLISE DE DADOS'!$A:$AM,18,0),""))</f>
        <v>Proposta de renegociação pendente</v>
      </c>
      <c r="U9" s="61" t="str">
        <f ca="1">IF(B9="","",IFERROR(VLOOKUP(B9,'ANÁLISE DE DADOS'!$A:$AM,19,0),""))</f>
        <v>Vencido</v>
      </c>
      <c r="V9" s="61">
        <f ca="1">IF(B9="","",IFERROR(VLOOKUP(B9,'ANÁLISE DE DADOS'!$A:$AM,20,0),""))</f>
        <v>105</v>
      </c>
      <c r="W9" s="61" t="str">
        <f ca="1">IF(B9="","",IFERROR(VLOOKUP(B9,'ANÁLISE DE DADOS'!$A:$AM,21,0),""))</f>
        <v>61+ dias</v>
      </c>
      <c r="X9" s="61" t="str">
        <f ca="1">IF(B9="","",IFERROR(VLOOKUP(B9,'ANÁLISE DE DADOS'!$A:$AM,22,0),""))</f>
        <v>Atraso Crítico</v>
      </c>
      <c r="Y9" s="61" t="str">
        <f>IF(B9="","",IFERROR(VLOOKUP(B9,'ANÁLISE DE DADOS'!$A:$AM,23,0),""))</f>
        <v>-</v>
      </c>
      <c r="Z9" s="61" t="str">
        <f>IF(B9="","",IFERROR(VLOOKUP(B9,'ANÁLISE DE DADOS'!$A:$AM,24,0),""))</f>
        <v>Sim</v>
      </c>
      <c r="AA9" s="61">
        <f>IF(B9="","",IFERROR(VLOOKUP(B9,'ANÁLISE DE DADOS'!$A:$AM,25,0),""))</f>
        <v>0</v>
      </c>
      <c r="AB9" s="61">
        <f>IF(B9="","",IFERROR(VLOOKUP(B9,'ANÁLISE DE DADOS'!$A:$AM,26,0),""))</f>
        <v>1</v>
      </c>
      <c r="AC9" s="61" t="str">
        <f>IF(B9="","",IFERROR(VLOOKUP(B9,'ANÁLISE DE DADOS'!$A:$AM,27,0),""))</f>
        <v>Sim</v>
      </c>
      <c r="AD9" s="62">
        <f>IF(B9="","",IFERROR(VLOOKUP(B9,'ANÁLISE DE DADOS'!$A:$AM,28,0),""))</f>
        <v>45740</v>
      </c>
      <c r="AE9" s="61" t="str">
        <f>IF(B9="","",IFERROR(VLOOKUP(B9,'ANÁLISE DE DADOS'!$A:$AM,29,0),""))</f>
        <v>mar-25</v>
      </c>
      <c r="AF9" s="61" t="str">
        <f>IF(B9="","",IFERROR(VLOOKUP(B9,'ANÁLISE DE DADOS'!$A:$AM,30,0),""))</f>
        <v>2025</v>
      </c>
      <c r="AG9" s="62">
        <f>IF(B9="","",IFERROR(VLOOKUP(B9,'ANÁLISE DE DADOS'!$A:$AM,31,0),""))</f>
        <v>45802</v>
      </c>
      <c r="AH9" s="61" t="str">
        <f>IF(B9="","",IFERROR(VLOOKUP(B9,'ANÁLISE DE DADOS'!$A:$AM,32,0),""))</f>
        <v>mai-25</v>
      </c>
      <c r="AI9" s="61" t="str">
        <f>IF(B9="","",IFERROR(VLOOKUP(B9,'ANÁLISE DE DADOS'!$A:$AM,33,0),""))</f>
        <v>2025</v>
      </c>
      <c r="AJ9" s="61" t="str">
        <f>IF(B9="","",IFERROR(VLOOKUP(B9,'ANÁLISE DE DADOS'!$A:$AM,34,0),""))</f>
        <v>Acompanhando</v>
      </c>
      <c r="AK9" s="63">
        <f ca="1">IF(B9="","",IFERROR(VLOOKUP(B9,'ANÁLISE DE DADOS'!$A:$AM,35,0),""))</f>
        <v>3000</v>
      </c>
      <c r="AL9" s="63" t="str">
        <f ca="1">IF(B9="","",IFERROR(VLOOKUP(B9,'ANÁLISE DE DADOS'!$A:$AM,36,0),""))</f>
        <v>0</v>
      </c>
    </row>
    <row r="10" spans="2:38" x14ac:dyDescent="0.3">
      <c r="B10" s="30">
        <v>6</v>
      </c>
      <c r="C10" s="61">
        <f>IF(B10="","",IFERROR(VLOOKUP(B10,'ANÁLISE DE DADOS'!$A:$AM,1,0),""))</f>
        <v>6</v>
      </c>
      <c r="D10" s="61" t="str">
        <f>IF(B10="","",IFERROR(VLOOKUP(B10,'ANÁLISE DE DADOS'!$A:$AM,2,0),""))</f>
        <v>Matriz</v>
      </c>
      <c r="E10" s="61" t="str">
        <f>IF(B10="","",IFERROR(VLOOKUP(B10,'ANÁLISE DE DADOS'!$A:$AM,3,0),""))</f>
        <v>Alpha &amp; CIA</v>
      </c>
      <c r="F10" s="61" t="str">
        <f>IF(B10="","",IFERROR(VLOOKUP(B10,'ANÁLISE DE DADOS'!$A:$AM,4,0),""))</f>
        <v>Zeta</v>
      </c>
      <c r="G10" s="62">
        <f>IF(B10="","",IFERROR(VLOOKUP(B10,'ANÁLISE DE DADOS'!$A:$AM,5,0),""))</f>
        <v>45662</v>
      </c>
      <c r="H10" s="62" t="str">
        <f>IF(B10="","",IFERROR(VLOOKUP(B10,'ANÁLISE DE DADOS'!$A:$AM,6,0),""))</f>
        <v>jan-25</v>
      </c>
      <c r="I10" s="62" t="str">
        <f>IF(B10="","",IFERROR(VLOOKUP(B10,'ANÁLISE DE DADOS'!$A:$AM,7,0),""))</f>
        <v>2025</v>
      </c>
      <c r="J10" s="62">
        <f>IF(B10="","",IFERROR(VLOOKUP(B10,'ANÁLISE DE DADOS'!$A:$AM,8,0),""))</f>
        <v>45690</v>
      </c>
      <c r="K10" s="61" t="str">
        <f>IF(B10="","",IFERROR(VLOOKUP(B10,'ANÁLISE DE DADOS'!$A:$AM,9,0),""))</f>
        <v>fev-25</v>
      </c>
      <c r="L10" s="61" t="str">
        <f>IF(B10="","",IFERROR(VLOOKUP(B10,'ANÁLISE DE DADOS'!$A:$AM,10,0),""))</f>
        <v>2025</v>
      </c>
      <c r="M10" s="62">
        <f>IF(B10="","",IFERROR(VLOOKUP(B10,'ANÁLISE DE DADOS'!$A:$AM,11,0),""))</f>
        <v>45737</v>
      </c>
      <c r="N10" s="61" t="str">
        <f>IF(B10="","",IFERROR(VLOOKUP(B10,'ANÁLISE DE DADOS'!$A:$AM,12,0),""))</f>
        <v>mar-25</v>
      </c>
      <c r="O10" s="61" t="str">
        <f>IF(B10="","",IFERROR(VLOOKUP(B10,'ANÁLISE DE DADOS'!$A:$AM,13,0),""))</f>
        <v>2025</v>
      </c>
      <c r="P10" s="63">
        <f>IF(B10="","",IFERROR(VLOOKUP(B10,'ANÁLISE DE DADOS'!$A:$AM,14,0),""))</f>
        <v>3000</v>
      </c>
      <c r="Q10" s="61" t="str">
        <f>IF(B10="","",IFERROR(VLOOKUP(B10,'ANÁLISE DE DADOS'!$A:$AM,15,0),""))</f>
        <v>Carlos</v>
      </c>
      <c r="R10" s="61" t="str">
        <f>IF(B10="","",IFERROR(VLOOKUP(B10,'ANÁLISE DE DADOS'!$A:$AM,16,0),""))</f>
        <v>ANALISTA SIMONE</v>
      </c>
      <c r="S10" s="61" t="str">
        <f>IF(B10="","",IFERROR(VLOOKUP(B10,'ANÁLISE DE DADOS'!$A:$AM,17,0),""))</f>
        <v>NÃO</v>
      </c>
      <c r="T10" s="61" t="str">
        <f>IF(B10="","",IFERROR(VLOOKUP(B10,'ANÁLISE DE DADOS'!$A:$AM,18,0),""))</f>
        <v>Bloqueio de sistema por inadimplência</v>
      </c>
      <c r="U10" s="61" t="str">
        <f ca="1">IF(B10="","",IFERROR(VLOOKUP(B10,'ANÁLISE DE DADOS'!$A:$AM,19,0),""))</f>
        <v>Vencido</v>
      </c>
      <c r="V10" s="61">
        <f ca="1">IF(B10="","",IFERROR(VLOOKUP(B10,'ANÁLISE DE DADOS'!$A:$AM,20,0),""))</f>
        <v>105</v>
      </c>
      <c r="W10" s="61" t="str">
        <f ca="1">IF(B10="","",IFERROR(VLOOKUP(B10,'ANÁLISE DE DADOS'!$A:$AM,21,0),""))</f>
        <v>61+ dias</v>
      </c>
      <c r="X10" s="61" t="str">
        <f ca="1">IF(B10="","",IFERROR(VLOOKUP(B10,'ANÁLISE DE DADOS'!$A:$AM,22,0),""))</f>
        <v>Atraso Crítico</v>
      </c>
      <c r="Y10" s="61" t="str">
        <f>IF(B10="","",IFERROR(VLOOKUP(B10,'ANÁLISE DE DADOS'!$A:$AM,23,0),""))</f>
        <v>-</v>
      </c>
      <c r="Z10" s="61" t="str">
        <f>IF(B10="","",IFERROR(VLOOKUP(B10,'ANÁLISE DE DADOS'!$A:$AM,24,0),""))</f>
        <v>Sim</v>
      </c>
      <c r="AA10" s="61">
        <f>IF(B10="","",IFERROR(VLOOKUP(B10,'ANÁLISE DE DADOS'!$A:$AM,25,0),""))</f>
        <v>0</v>
      </c>
      <c r="AB10" s="61">
        <f>IF(B10="","",IFERROR(VLOOKUP(B10,'ANÁLISE DE DADOS'!$A:$AM,26,0),""))</f>
        <v>1</v>
      </c>
      <c r="AC10" s="61" t="str">
        <f>IF(B10="","",IFERROR(VLOOKUP(B10,'ANÁLISE DE DADOS'!$A:$AM,27,0),""))</f>
        <v>Sim</v>
      </c>
      <c r="AD10" s="62">
        <f>IF(B10="","",IFERROR(VLOOKUP(B10,'ANÁLISE DE DADOS'!$A:$AM,28,0),""))</f>
        <v>45740</v>
      </c>
      <c r="AE10" s="61" t="str">
        <f>IF(B10="","",IFERROR(VLOOKUP(B10,'ANÁLISE DE DADOS'!$A:$AM,29,0),""))</f>
        <v>mar-25</v>
      </c>
      <c r="AF10" s="61" t="str">
        <f>IF(B10="","",IFERROR(VLOOKUP(B10,'ANÁLISE DE DADOS'!$A:$AM,30,0),""))</f>
        <v>2025</v>
      </c>
      <c r="AG10" s="62">
        <f>IF(B10="","",IFERROR(VLOOKUP(B10,'ANÁLISE DE DADOS'!$A:$AM,31,0),""))</f>
        <v>45802</v>
      </c>
      <c r="AH10" s="61" t="str">
        <f>IF(B10="","",IFERROR(VLOOKUP(B10,'ANÁLISE DE DADOS'!$A:$AM,32,0),""))</f>
        <v>mai-25</v>
      </c>
      <c r="AI10" s="61" t="str">
        <f>IF(B10="","",IFERROR(VLOOKUP(B10,'ANÁLISE DE DADOS'!$A:$AM,33,0),""))</f>
        <v>2025</v>
      </c>
      <c r="AJ10" s="61" t="str">
        <f>IF(B10="","",IFERROR(VLOOKUP(B10,'ANÁLISE DE DADOS'!$A:$AM,34,0),""))</f>
        <v>Acompanhando</v>
      </c>
      <c r="AK10" s="63">
        <f ca="1">IF(B10="","",IFERROR(VLOOKUP(B10,'ANÁLISE DE DADOS'!$A:$AM,35,0),""))</f>
        <v>3000</v>
      </c>
      <c r="AL10" s="63" t="str">
        <f ca="1">IF(B10="","",IFERROR(VLOOKUP(B10,'ANÁLISE DE DADOS'!$A:$AM,36,0),""))</f>
        <v>0</v>
      </c>
    </row>
    <row r="11" spans="2:38" x14ac:dyDescent="0.3">
      <c r="B11" s="30">
        <v>7</v>
      </c>
      <c r="C11" s="61">
        <f>IF(B11="","",IFERROR(VLOOKUP(B11,'ANÁLISE DE DADOS'!$A:$AM,1,0),""))</f>
        <v>7</v>
      </c>
      <c r="D11" s="61" t="str">
        <f>IF(B11="","",IFERROR(VLOOKUP(B11,'ANÁLISE DE DADOS'!$A:$AM,2,0),""))</f>
        <v>Filial</v>
      </c>
      <c r="E11" s="61">
        <f>IF(B11="","",IFERROR(VLOOKUP(B11,'ANÁLISE DE DADOS'!$A:$AM,3,0),""))</f>
        <v>0</v>
      </c>
      <c r="F11" s="61" t="str">
        <f>IF(B11="","",IFERROR(VLOOKUP(B11,'ANÁLISE DE DADOS'!$A:$AM,4,0),""))</f>
        <v>BemEstar</v>
      </c>
      <c r="G11" s="62">
        <f>IF(B11="","",IFERROR(VLOOKUP(B11,'ANÁLISE DE DADOS'!$A:$AM,5,0),""))</f>
        <v>45663</v>
      </c>
      <c r="H11" s="62" t="str">
        <f>IF(B11="","",IFERROR(VLOOKUP(B11,'ANÁLISE DE DADOS'!$A:$AM,6,0),""))</f>
        <v>jan-25</v>
      </c>
      <c r="I11" s="62" t="str">
        <f>IF(B11="","",IFERROR(VLOOKUP(B11,'ANÁLISE DE DADOS'!$A:$AM,7,0),""))</f>
        <v>2025</v>
      </c>
      <c r="J11" s="62">
        <f>IF(B11="","",IFERROR(VLOOKUP(B11,'ANÁLISE DE DADOS'!$A:$AM,8,0),""))</f>
        <v>45690</v>
      </c>
      <c r="K11" s="61" t="str">
        <f>IF(B11="","",IFERROR(VLOOKUP(B11,'ANÁLISE DE DADOS'!$A:$AM,9,0),""))</f>
        <v>fev-25</v>
      </c>
      <c r="L11" s="61" t="str">
        <f>IF(B11="","",IFERROR(VLOOKUP(B11,'ANÁLISE DE DADOS'!$A:$AM,10,0),""))</f>
        <v>2025</v>
      </c>
      <c r="M11" s="62">
        <f>IF(B11="","",IFERROR(VLOOKUP(B11,'ANÁLISE DE DADOS'!$A:$AM,11,0),""))</f>
        <v>45737</v>
      </c>
      <c r="N11" s="61" t="str">
        <f>IF(B11="","",IFERROR(VLOOKUP(B11,'ANÁLISE DE DADOS'!$A:$AM,12,0),""))</f>
        <v>mar-25</v>
      </c>
      <c r="O11" s="61" t="str">
        <f>IF(B11="","",IFERROR(VLOOKUP(B11,'ANÁLISE DE DADOS'!$A:$AM,13,0),""))</f>
        <v>2025</v>
      </c>
      <c r="P11" s="63">
        <f>IF(B11="","",IFERROR(VLOOKUP(B11,'ANÁLISE DE DADOS'!$A:$AM,14,0),""))</f>
        <v>1500</v>
      </c>
      <c r="Q11" s="61" t="str">
        <f>IF(B11="","",IFERROR(VLOOKUP(B11,'ANÁLISE DE DADOS'!$A:$AM,15,0),""))</f>
        <v>Ana</v>
      </c>
      <c r="R11" s="61" t="str">
        <f>IF(B11="","",IFERROR(VLOOKUP(B11,'ANÁLISE DE DADOS'!$A:$AM,16,0),""))</f>
        <v>ANALISTA SIMONE</v>
      </c>
      <c r="S11" s="61" t="str">
        <f>IF(B11="","",IFERROR(VLOOKUP(B11,'ANÁLISE DE DADOS'!$A:$AM,17,0),""))</f>
        <v>NÃO</v>
      </c>
      <c r="T11" s="61" t="str">
        <f>IF(B11="","",IFERROR(VLOOKUP(B11,'ANÁLISE DE DADOS'!$A:$AM,18,0),""))</f>
        <v>Acordo em andamento (aguardando pagamento)</v>
      </c>
      <c r="U11" s="61" t="str">
        <f ca="1">IF(B11="","",IFERROR(VLOOKUP(B11,'ANÁLISE DE DADOS'!$A:$AM,19,0),""))</f>
        <v>Vencido</v>
      </c>
      <c r="V11" s="61">
        <f ca="1">IF(B11="","",IFERROR(VLOOKUP(B11,'ANÁLISE DE DADOS'!$A:$AM,20,0),""))</f>
        <v>105</v>
      </c>
      <c r="W11" s="61" t="str">
        <f ca="1">IF(B11="","",IFERROR(VLOOKUP(B11,'ANÁLISE DE DADOS'!$A:$AM,21,0),""))</f>
        <v>61+ dias</v>
      </c>
      <c r="X11" s="61" t="str">
        <f ca="1">IF(B11="","",IFERROR(VLOOKUP(B11,'ANÁLISE DE DADOS'!$A:$AM,22,0),""))</f>
        <v>Atraso Crítico</v>
      </c>
      <c r="Y11" s="61" t="str">
        <f>IF(B11="","",IFERROR(VLOOKUP(B11,'ANÁLISE DE DADOS'!$A:$AM,23,0),""))</f>
        <v>-</v>
      </c>
      <c r="Z11" s="61" t="str">
        <f>IF(B11="","",IFERROR(VLOOKUP(B11,'ANÁLISE DE DADOS'!$A:$AM,24,0),""))</f>
        <v>Sim</v>
      </c>
      <c r="AA11" s="61">
        <f>IF(B11="","",IFERROR(VLOOKUP(B11,'ANÁLISE DE DADOS'!$A:$AM,25,0),""))</f>
        <v>0</v>
      </c>
      <c r="AB11" s="61">
        <f>IF(B11="","",IFERROR(VLOOKUP(B11,'ANÁLISE DE DADOS'!$A:$AM,26,0),""))</f>
        <v>1</v>
      </c>
      <c r="AC11" s="61" t="str">
        <f>IF(B11="","",IFERROR(VLOOKUP(B11,'ANÁLISE DE DADOS'!$A:$AM,27,0),""))</f>
        <v>Sim</v>
      </c>
      <c r="AD11" s="62">
        <f>IF(B11="","",IFERROR(VLOOKUP(B11,'ANÁLISE DE DADOS'!$A:$AM,28,0),""))</f>
        <v>45740</v>
      </c>
      <c r="AE11" s="61" t="str">
        <f>IF(B11="","",IFERROR(VLOOKUP(B11,'ANÁLISE DE DADOS'!$A:$AM,29,0),""))</f>
        <v>mar-25</v>
      </c>
      <c r="AF11" s="61" t="str">
        <f>IF(B11="","",IFERROR(VLOOKUP(B11,'ANÁLISE DE DADOS'!$A:$AM,30,0),""))</f>
        <v>2025</v>
      </c>
      <c r="AG11" s="62">
        <f>IF(B11="","",IFERROR(VLOOKUP(B11,'ANÁLISE DE DADOS'!$A:$AM,31,0),""))</f>
        <v>45802</v>
      </c>
      <c r="AH11" s="61" t="str">
        <f>IF(B11="","",IFERROR(VLOOKUP(B11,'ANÁLISE DE DADOS'!$A:$AM,32,0),""))</f>
        <v>mai-25</v>
      </c>
      <c r="AI11" s="61" t="str">
        <f>IF(B11="","",IFERROR(VLOOKUP(B11,'ANÁLISE DE DADOS'!$A:$AM,33,0),""))</f>
        <v>2025</v>
      </c>
      <c r="AJ11" s="61" t="str">
        <f>IF(B11="","",IFERROR(VLOOKUP(B11,'ANÁLISE DE DADOS'!$A:$AM,34,0),""))</f>
        <v>Acompanhando</v>
      </c>
      <c r="AK11" s="63">
        <f ca="1">IF(B11="","",IFERROR(VLOOKUP(B11,'ANÁLISE DE DADOS'!$A:$AM,35,0),""))</f>
        <v>1500</v>
      </c>
      <c r="AL11" s="63" t="str">
        <f ca="1">IF(B11="","",IFERROR(VLOOKUP(B11,'ANÁLISE DE DADOS'!$A:$AM,36,0),""))</f>
        <v>0</v>
      </c>
    </row>
    <row r="12" spans="2:38" x14ac:dyDescent="0.3">
      <c r="B12" s="30">
        <v>8</v>
      </c>
      <c r="C12" s="61">
        <f>IF(B12="","",IFERROR(VLOOKUP(B12,'ANÁLISE DE DADOS'!$A:$AM,1,0),""))</f>
        <v>8</v>
      </c>
      <c r="D12" s="61" t="str">
        <f>IF(B12="","",IFERROR(VLOOKUP(B12,'ANÁLISE DE DADOS'!$A:$AM,2,0),""))</f>
        <v>Filial</v>
      </c>
      <c r="E12" s="61">
        <f>IF(B12="","",IFERROR(VLOOKUP(B12,'ANÁLISE DE DADOS'!$A:$AM,3,0),""))</f>
        <v>0</v>
      </c>
      <c r="F12" s="61" t="str">
        <f>IF(B12="","",IFERROR(VLOOKUP(B12,'ANÁLISE DE DADOS'!$A:$AM,4,0),""))</f>
        <v>BemEstar</v>
      </c>
      <c r="G12" s="62">
        <f>IF(B12="","",IFERROR(VLOOKUP(B12,'ANÁLISE DE DADOS'!$A:$AM,5,0),""))</f>
        <v>45663</v>
      </c>
      <c r="H12" s="62" t="str">
        <f>IF(B12="","",IFERROR(VLOOKUP(B12,'ANÁLISE DE DADOS'!$A:$AM,6,0),""))</f>
        <v>jan-25</v>
      </c>
      <c r="I12" s="62" t="str">
        <f>IF(B12="","",IFERROR(VLOOKUP(B12,'ANÁLISE DE DADOS'!$A:$AM,7,0),""))</f>
        <v>2025</v>
      </c>
      <c r="J12" s="62">
        <f>IF(B12="","",IFERROR(VLOOKUP(B12,'ANÁLISE DE DADOS'!$A:$AM,8,0),""))</f>
        <v>45690</v>
      </c>
      <c r="K12" s="61" t="str">
        <f>IF(B12="","",IFERROR(VLOOKUP(B12,'ANÁLISE DE DADOS'!$A:$AM,9,0),""))</f>
        <v>fev-25</v>
      </c>
      <c r="L12" s="61" t="str">
        <f>IF(B12="","",IFERROR(VLOOKUP(B12,'ANÁLISE DE DADOS'!$A:$AM,10,0),""))</f>
        <v>2025</v>
      </c>
      <c r="M12" s="62">
        <f>IF(B12="","",IFERROR(VLOOKUP(B12,'ANÁLISE DE DADOS'!$A:$AM,11,0),""))</f>
        <v>45737</v>
      </c>
      <c r="N12" s="61" t="str">
        <f>IF(B12="","",IFERROR(VLOOKUP(B12,'ANÁLISE DE DADOS'!$A:$AM,12,0),""))</f>
        <v>mar-25</v>
      </c>
      <c r="O12" s="61" t="str">
        <f>IF(B12="","",IFERROR(VLOOKUP(B12,'ANÁLISE DE DADOS'!$A:$AM,13,0),""))</f>
        <v>2025</v>
      </c>
      <c r="P12" s="63">
        <f>IF(B12="","",IFERROR(VLOOKUP(B12,'ANÁLISE DE DADOS'!$A:$AM,14,0),""))</f>
        <v>1500</v>
      </c>
      <c r="Q12" s="61" t="str">
        <f>IF(B12="","",IFERROR(VLOOKUP(B12,'ANÁLISE DE DADOS'!$A:$AM,15,0),""))</f>
        <v>Ana</v>
      </c>
      <c r="R12" s="61" t="str">
        <f>IF(B12="","",IFERROR(VLOOKUP(B12,'ANÁLISE DE DADOS'!$A:$AM,16,0),""))</f>
        <v>ANALISTA SIMONE</v>
      </c>
      <c r="S12" s="61" t="str">
        <f>IF(B12="","",IFERROR(VLOOKUP(B12,'ANÁLISE DE DADOS'!$A:$AM,17,0),""))</f>
        <v>NÃO</v>
      </c>
      <c r="T12" s="61" t="str">
        <f>IF(B12="","",IFERROR(VLOOKUP(B12,'ANÁLISE DE DADOS'!$A:$AM,18,0),""))</f>
        <v>Negociação finalizada, pendente de pagamento</v>
      </c>
      <c r="U12" s="61" t="str">
        <f ca="1">IF(B12="","",IFERROR(VLOOKUP(B12,'ANÁLISE DE DADOS'!$A:$AM,19,0),""))</f>
        <v>Vencido</v>
      </c>
      <c r="V12" s="61">
        <f ca="1">IF(B12="","",IFERROR(VLOOKUP(B12,'ANÁLISE DE DADOS'!$A:$AM,20,0),""))</f>
        <v>105</v>
      </c>
      <c r="W12" s="61" t="str">
        <f ca="1">IF(B12="","",IFERROR(VLOOKUP(B12,'ANÁLISE DE DADOS'!$A:$AM,21,0),""))</f>
        <v>61+ dias</v>
      </c>
      <c r="X12" s="61" t="str">
        <f ca="1">IF(B12="","",IFERROR(VLOOKUP(B12,'ANÁLISE DE DADOS'!$A:$AM,22,0),""))</f>
        <v>Atraso Crítico</v>
      </c>
      <c r="Y12" s="61" t="str">
        <f>IF(B12="","",IFERROR(VLOOKUP(B12,'ANÁLISE DE DADOS'!$A:$AM,23,0),""))</f>
        <v>-</v>
      </c>
      <c r="Z12" s="61" t="str">
        <f>IF(B12="","",IFERROR(VLOOKUP(B12,'ANÁLISE DE DADOS'!$A:$AM,24,0),""))</f>
        <v>Sim</v>
      </c>
      <c r="AA12" s="61">
        <f>IF(B12="","",IFERROR(VLOOKUP(B12,'ANÁLISE DE DADOS'!$A:$AM,25,0),""))</f>
        <v>0</v>
      </c>
      <c r="AB12" s="61">
        <f>IF(B12="","",IFERROR(VLOOKUP(B12,'ANÁLISE DE DADOS'!$A:$AM,26,0),""))</f>
        <v>1</v>
      </c>
      <c r="AC12" s="61" t="str">
        <f>IF(B12="","",IFERROR(VLOOKUP(B12,'ANÁLISE DE DADOS'!$A:$AM,27,0),""))</f>
        <v>Sim</v>
      </c>
      <c r="AD12" s="62">
        <f>IF(B12="","",IFERROR(VLOOKUP(B12,'ANÁLISE DE DADOS'!$A:$AM,28,0),""))</f>
        <v>45740</v>
      </c>
      <c r="AE12" s="61" t="str">
        <f>IF(B12="","",IFERROR(VLOOKUP(B12,'ANÁLISE DE DADOS'!$A:$AM,29,0),""))</f>
        <v>mar-25</v>
      </c>
      <c r="AF12" s="61" t="str">
        <f>IF(B12="","",IFERROR(VLOOKUP(B12,'ANÁLISE DE DADOS'!$A:$AM,30,0),""))</f>
        <v>2025</v>
      </c>
      <c r="AG12" s="62">
        <f>IF(B12="","",IFERROR(VLOOKUP(B12,'ANÁLISE DE DADOS'!$A:$AM,31,0),""))</f>
        <v>45802</v>
      </c>
      <c r="AH12" s="61" t="str">
        <f>IF(B12="","",IFERROR(VLOOKUP(B12,'ANÁLISE DE DADOS'!$A:$AM,32,0),""))</f>
        <v>mai-25</v>
      </c>
      <c r="AI12" s="61" t="str">
        <f>IF(B12="","",IFERROR(VLOOKUP(B12,'ANÁLISE DE DADOS'!$A:$AM,33,0),""))</f>
        <v>2025</v>
      </c>
      <c r="AJ12" s="61" t="str">
        <f>IF(B12="","",IFERROR(VLOOKUP(B12,'ANÁLISE DE DADOS'!$A:$AM,34,0),""))</f>
        <v>Acompanhando</v>
      </c>
      <c r="AK12" s="63">
        <f ca="1">IF(B12="","",IFERROR(VLOOKUP(B12,'ANÁLISE DE DADOS'!$A:$AM,35,0),""))</f>
        <v>1500</v>
      </c>
      <c r="AL12" s="63" t="str">
        <f ca="1">IF(B12="","",IFERROR(VLOOKUP(B12,'ANÁLISE DE DADOS'!$A:$AM,36,0),""))</f>
        <v>0</v>
      </c>
    </row>
    <row r="13" spans="2:38" x14ac:dyDescent="0.3">
      <c r="B13" s="30">
        <v>9</v>
      </c>
      <c r="C13" s="61">
        <f>IF(B13="","",IFERROR(VLOOKUP(B13,'ANÁLISE DE DADOS'!$A:$AM,1,0),""))</f>
        <v>9</v>
      </c>
      <c r="D13" s="61" t="str">
        <f>IF(B13="","",IFERROR(VLOOKUP(B13,'ANÁLISE DE DADOS'!$A:$AM,2,0),""))</f>
        <v>Matriz</v>
      </c>
      <c r="E13" s="61">
        <f>IF(B13="","",IFERROR(VLOOKUP(B13,'ANÁLISE DE DADOS'!$A:$AM,3,0),""))</f>
        <v>0</v>
      </c>
      <c r="F13" s="61" t="str">
        <f>IF(B13="","",IFERROR(VLOOKUP(B13,'ANÁLISE DE DADOS'!$A:$AM,4,0),""))</f>
        <v>BemEstar</v>
      </c>
      <c r="G13" s="62">
        <f>IF(B13="","",IFERROR(VLOOKUP(B13,'ANÁLISE DE DADOS'!$A:$AM,5,0),""))</f>
        <v>45667</v>
      </c>
      <c r="H13" s="62" t="str">
        <f>IF(B13="","",IFERROR(VLOOKUP(B13,'ANÁLISE DE DADOS'!$A:$AM,6,0),""))</f>
        <v>jan-25</v>
      </c>
      <c r="I13" s="62" t="str">
        <f>IF(B13="","",IFERROR(VLOOKUP(B13,'ANÁLISE DE DADOS'!$A:$AM,7,0),""))</f>
        <v>2025</v>
      </c>
      <c r="J13" s="62">
        <f>IF(B13="","",IFERROR(VLOOKUP(B13,'ANÁLISE DE DADOS'!$A:$AM,8,0),""))</f>
        <v>45698</v>
      </c>
      <c r="K13" s="61" t="str">
        <f>IF(B13="","",IFERROR(VLOOKUP(B13,'ANÁLISE DE DADOS'!$A:$AM,9,0),""))</f>
        <v>fev-25</v>
      </c>
      <c r="L13" s="61" t="str">
        <f>IF(B13="","",IFERROR(VLOOKUP(B13,'ANÁLISE DE DADOS'!$A:$AM,10,0),""))</f>
        <v>2025</v>
      </c>
      <c r="M13" s="62">
        <f>IF(B13="","",IFERROR(VLOOKUP(B13,'ANÁLISE DE DADOS'!$A:$AM,11,0),""))</f>
        <v>45737</v>
      </c>
      <c r="N13" s="61" t="str">
        <f>IF(B13="","",IFERROR(VLOOKUP(B13,'ANÁLISE DE DADOS'!$A:$AM,12,0),""))</f>
        <v>mar-25</v>
      </c>
      <c r="O13" s="61" t="str">
        <f>IF(B13="","",IFERROR(VLOOKUP(B13,'ANÁLISE DE DADOS'!$A:$AM,13,0),""))</f>
        <v>2025</v>
      </c>
      <c r="P13" s="63">
        <f>IF(B13="","",IFERROR(VLOOKUP(B13,'ANÁLISE DE DADOS'!$A:$AM,14,0),""))</f>
        <v>2200</v>
      </c>
      <c r="Q13" s="61" t="str">
        <f>IF(B13="","",IFERROR(VLOOKUP(B13,'ANÁLISE DE DADOS'!$A:$AM,15,0),""))</f>
        <v>Beatriz</v>
      </c>
      <c r="R13" s="61" t="str">
        <f>IF(B13="","",IFERROR(VLOOKUP(B13,'ANÁLISE DE DADOS'!$A:$AM,16,0),""))</f>
        <v>ANALISTA SIMONE</v>
      </c>
      <c r="S13" s="61" t="str">
        <f>IF(B13="","",IFERROR(VLOOKUP(B13,'ANÁLISE DE DADOS'!$A:$AM,17,0),""))</f>
        <v>NÃO</v>
      </c>
      <c r="T13" s="61" t="str">
        <f>IF(B13="","",IFERROR(VLOOKUP(B13,'ANÁLISE DE DADOS'!$A:$AM,18,0),""))</f>
        <v>Cliente em processo de análise para reativação</v>
      </c>
      <c r="U13" s="61" t="str">
        <f ca="1">IF(B13="","",IFERROR(VLOOKUP(B13,'ANÁLISE DE DADOS'!$A:$AM,19,0),""))</f>
        <v>Vencido</v>
      </c>
      <c r="V13" s="61">
        <f ca="1">IF(B13="","",IFERROR(VLOOKUP(B13,'ANÁLISE DE DADOS'!$A:$AM,20,0),""))</f>
        <v>97</v>
      </c>
      <c r="W13" s="61" t="str">
        <f ca="1">IF(B13="","",IFERROR(VLOOKUP(B13,'ANÁLISE DE DADOS'!$A:$AM,21,0),""))</f>
        <v>61+ dias</v>
      </c>
      <c r="X13" s="61" t="str">
        <f ca="1">IF(B13="","",IFERROR(VLOOKUP(B13,'ANÁLISE DE DADOS'!$A:$AM,22,0),""))</f>
        <v>Atraso Crítico</v>
      </c>
      <c r="Y13" s="61" t="str">
        <f>IF(B13="","",IFERROR(VLOOKUP(B13,'ANÁLISE DE DADOS'!$A:$AM,23,0),""))</f>
        <v>-</v>
      </c>
      <c r="Z13" s="61" t="str">
        <f>IF(B13="","",IFERROR(VLOOKUP(B13,'ANÁLISE DE DADOS'!$A:$AM,24,0),""))</f>
        <v>Sim</v>
      </c>
      <c r="AA13" s="61">
        <f>IF(B13="","",IFERROR(VLOOKUP(B13,'ANÁLISE DE DADOS'!$A:$AM,25,0),""))</f>
        <v>0</v>
      </c>
      <c r="AB13" s="61">
        <f>IF(B13="","",IFERROR(VLOOKUP(B13,'ANÁLISE DE DADOS'!$A:$AM,26,0),""))</f>
        <v>1</v>
      </c>
      <c r="AC13" s="61" t="str">
        <f>IF(B13="","",IFERROR(VLOOKUP(B13,'ANÁLISE DE DADOS'!$A:$AM,27,0),""))</f>
        <v>Sim</v>
      </c>
      <c r="AD13" s="62">
        <f>IF(B13="","",IFERROR(VLOOKUP(B13,'ANÁLISE DE DADOS'!$A:$AM,28,0),""))</f>
        <v>45740</v>
      </c>
      <c r="AE13" s="61" t="str">
        <f>IF(B13="","",IFERROR(VLOOKUP(B13,'ANÁLISE DE DADOS'!$A:$AM,29,0),""))</f>
        <v>mar-25</v>
      </c>
      <c r="AF13" s="61" t="str">
        <f>IF(B13="","",IFERROR(VLOOKUP(B13,'ANÁLISE DE DADOS'!$A:$AM,30,0),""))</f>
        <v>2025</v>
      </c>
      <c r="AG13" s="62">
        <f>IF(B13="","",IFERROR(VLOOKUP(B13,'ANÁLISE DE DADOS'!$A:$AM,31,0),""))</f>
        <v>45802</v>
      </c>
      <c r="AH13" s="61" t="str">
        <f>IF(B13="","",IFERROR(VLOOKUP(B13,'ANÁLISE DE DADOS'!$A:$AM,32,0),""))</f>
        <v>mai-25</v>
      </c>
      <c r="AI13" s="61" t="str">
        <f>IF(B13="","",IFERROR(VLOOKUP(B13,'ANÁLISE DE DADOS'!$A:$AM,33,0),""))</f>
        <v>2025</v>
      </c>
      <c r="AJ13" s="61" t="str">
        <f>IF(B13="","",IFERROR(VLOOKUP(B13,'ANÁLISE DE DADOS'!$A:$AM,34,0),""))</f>
        <v>Acompanhando</v>
      </c>
      <c r="AK13" s="63">
        <f ca="1">IF(B13="","",IFERROR(VLOOKUP(B13,'ANÁLISE DE DADOS'!$A:$AM,35,0),""))</f>
        <v>2200</v>
      </c>
      <c r="AL13" s="63" t="str">
        <f ca="1">IF(B13="","",IFERROR(VLOOKUP(B13,'ANÁLISE DE DADOS'!$A:$AM,36,0),""))</f>
        <v>0</v>
      </c>
    </row>
    <row r="14" spans="2:38" x14ac:dyDescent="0.3">
      <c r="B14" s="30">
        <v>10</v>
      </c>
      <c r="C14" s="61">
        <f>IF(B14="","",IFERROR(VLOOKUP(B14,'ANÁLISE DE DADOS'!$A:$AM,1,0),""))</f>
        <v>10</v>
      </c>
      <c r="D14" s="61" t="str">
        <f>IF(B14="","",IFERROR(VLOOKUP(B14,'ANÁLISE DE DADOS'!$A:$AM,2,0),""))</f>
        <v>Matriz</v>
      </c>
      <c r="E14" s="61">
        <f>IF(B14="","",IFERROR(VLOOKUP(B14,'ANÁLISE DE DADOS'!$A:$AM,3,0),""))</f>
        <v>0</v>
      </c>
      <c r="F14" s="61" t="str">
        <f>IF(B14="","",IFERROR(VLOOKUP(B14,'ANÁLISE DE DADOS'!$A:$AM,4,0),""))</f>
        <v>BemEstar</v>
      </c>
      <c r="G14" s="62">
        <f>IF(B14="","",IFERROR(VLOOKUP(B14,'ANÁLISE DE DADOS'!$A:$AM,5,0),""))</f>
        <v>45667</v>
      </c>
      <c r="H14" s="62" t="str">
        <f>IF(B14="","",IFERROR(VLOOKUP(B14,'ANÁLISE DE DADOS'!$A:$AM,6,0),""))</f>
        <v>jan-25</v>
      </c>
      <c r="I14" s="62" t="str">
        <f>IF(B14="","",IFERROR(VLOOKUP(B14,'ANÁLISE DE DADOS'!$A:$AM,7,0),""))</f>
        <v>2025</v>
      </c>
      <c r="J14" s="62">
        <f>IF(B14="","",IFERROR(VLOOKUP(B14,'ANÁLISE DE DADOS'!$A:$AM,8,0),""))</f>
        <v>45699</v>
      </c>
      <c r="K14" s="61" t="str">
        <f>IF(B14="","",IFERROR(VLOOKUP(B14,'ANÁLISE DE DADOS'!$A:$AM,9,0),""))</f>
        <v>fev-25</v>
      </c>
      <c r="L14" s="61" t="str">
        <f>IF(B14="","",IFERROR(VLOOKUP(B14,'ANÁLISE DE DADOS'!$A:$AM,10,0),""))</f>
        <v>2025</v>
      </c>
      <c r="M14" s="62">
        <f>IF(B14="","",IFERROR(VLOOKUP(B14,'ANÁLISE DE DADOS'!$A:$AM,11,0),""))</f>
        <v>45737</v>
      </c>
      <c r="N14" s="61" t="str">
        <f>IF(B14="","",IFERROR(VLOOKUP(B14,'ANÁLISE DE DADOS'!$A:$AM,12,0),""))</f>
        <v>mar-25</v>
      </c>
      <c r="O14" s="61" t="str">
        <f>IF(B14="","",IFERROR(VLOOKUP(B14,'ANÁLISE DE DADOS'!$A:$AM,13,0),""))</f>
        <v>2025</v>
      </c>
      <c r="P14" s="63">
        <f>IF(B14="","",IFERROR(VLOOKUP(B14,'ANÁLISE DE DADOS'!$A:$AM,14,0),""))</f>
        <v>2200</v>
      </c>
      <c r="Q14" s="61" t="str">
        <f>IF(B14="","",IFERROR(VLOOKUP(B14,'ANÁLISE DE DADOS'!$A:$AM,15,0),""))</f>
        <v>Beatriz</v>
      </c>
      <c r="R14" s="61" t="str">
        <f>IF(B14="","",IFERROR(VLOOKUP(B14,'ANÁLISE DE DADOS'!$A:$AM,16,0),""))</f>
        <v>ANALISTA SIMONE</v>
      </c>
      <c r="S14" s="61" t="str">
        <f>IF(B14="","",IFERROR(VLOOKUP(B14,'ANÁLISE DE DADOS'!$A:$AM,17,0),""))</f>
        <v>NÃO</v>
      </c>
      <c r="T14" s="61" t="str">
        <f>IF(B14="","",IFERROR(VLOOKUP(B14,'ANÁLISE DE DADOS'!$A:$AM,18,0),""))</f>
        <v>Acordo cumprido parcialmente</v>
      </c>
      <c r="U14" s="61" t="str">
        <f ca="1">IF(B14="","",IFERROR(VLOOKUP(B14,'ANÁLISE DE DADOS'!$A:$AM,19,0),""))</f>
        <v>Vencido</v>
      </c>
      <c r="V14" s="61">
        <f ca="1">IF(B14="","",IFERROR(VLOOKUP(B14,'ANÁLISE DE DADOS'!$A:$AM,20,0),""))</f>
        <v>96</v>
      </c>
      <c r="W14" s="61" t="str">
        <f ca="1">IF(B14="","",IFERROR(VLOOKUP(B14,'ANÁLISE DE DADOS'!$A:$AM,21,0),""))</f>
        <v>61+ dias</v>
      </c>
      <c r="X14" s="61" t="str">
        <f ca="1">IF(B14="","",IFERROR(VLOOKUP(B14,'ANÁLISE DE DADOS'!$A:$AM,22,0),""))</f>
        <v>Atraso Crítico</v>
      </c>
      <c r="Y14" s="61" t="str">
        <f>IF(B14="","",IFERROR(VLOOKUP(B14,'ANÁLISE DE DADOS'!$A:$AM,23,0),""))</f>
        <v>-</v>
      </c>
      <c r="Z14" s="61" t="str">
        <f>IF(B14="","",IFERROR(VLOOKUP(B14,'ANÁLISE DE DADOS'!$A:$AM,24,0),""))</f>
        <v>Sim</v>
      </c>
      <c r="AA14" s="61">
        <f>IF(B14="","",IFERROR(VLOOKUP(B14,'ANÁLISE DE DADOS'!$A:$AM,25,0),""))</f>
        <v>0</v>
      </c>
      <c r="AB14" s="61">
        <f>IF(B14="","",IFERROR(VLOOKUP(B14,'ANÁLISE DE DADOS'!$A:$AM,26,0),""))</f>
        <v>1</v>
      </c>
      <c r="AC14" s="61" t="str">
        <f>IF(B14="","",IFERROR(VLOOKUP(B14,'ANÁLISE DE DADOS'!$A:$AM,27,0),""))</f>
        <v>Sim</v>
      </c>
      <c r="AD14" s="62">
        <f>IF(B14="","",IFERROR(VLOOKUP(B14,'ANÁLISE DE DADOS'!$A:$AM,28,0),""))</f>
        <v>45740</v>
      </c>
      <c r="AE14" s="61" t="str">
        <f>IF(B14="","",IFERROR(VLOOKUP(B14,'ANÁLISE DE DADOS'!$A:$AM,29,0),""))</f>
        <v>mar-25</v>
      </c>
      <c r="AF14" s="61" t="str">
        <f>IF(B14="","",IFERROR(VLOOKUP(B14,'ANÁLISE DE DADOS'!$A:$AM,30,0),""))</f>
        <v>2025</v>
      </c>
      <c r="AG14" s="62">
        <f>IF(B14="","",IFERROR(VLOOKUP(B14,'ANÁLISE DE DADOS'!$A:$AM,31,0),""))</f>
        <v>45802</v>
      </c>
      <c r="AH14" s="61" t="str">
        <f>IF(B14="","",IFERROR(VLOOKUP(B14,'ANÁLISE DE DADOS'!$A:$AM,32,0),""))</f>
        <v>mai-25</v>
      </c>
      <c r="AI14" s="61" t="str">
        <f>IF(B14="","",IFERROR(VLOOKUP(B14,'ANÁLISE DE DADOS'!$A:$AM,33,0),""))</f>
        <v>2025</v>
      </c>
      <c r="AJ14" s="61" t="str">
        <f>IF(B14="","",IFERROR(VLOOKUP(B14,'ANÁLISE DE DADOS'!$A:$AM,34,0),""))</f>
        <v>Acompanhando</v>
      </c>
      <c r="AK14" s="63">
        <f ca="1">IF(B14="","",IFERROR(VLOOKUP(B14,'ANÁLISE DE DADOS'!$A:$AM,35,0),""))</f>
        <v>2200</v>
      </c>
      <c r="AL14" s="63" t="str">
        <f ca="1">IF(B14="","",IFERROR(VLOOKUP(B14,'ANÁLISE DE DADOS'!$A:$AM,36,0),""))</f>
        <v>0</v>
      </c>
    </row>
    <row r="15" spans="2:38" x14ac:dyDescent="0.3">
      <c r="B15" s="30">
        <v>11</v>
      </c>
      <c r="C15" s="61">
        <f>IF(B15="","",IFERROR(VLOOKUP(B15,'ANÁLISE DE DADOS'!$A:$AM,1,0),""))</f>
        <v>11</v>
      </c>
      <c r="D15" s="61" t="str">
        <f>IF(B15="","",IFERROR(VLOOKUP(B15,'ANÁLISE DE DADOS'!$A:$AM,2,0),""))</f>
        <v>Filial</v>
      </c>
      <c r="E15" s="61">
        <f>IF(B15="","",IFERROR(VLOOKUP(B15,'ANÁLISE DE DADOS'!$A:$AM,3,0),""))</f>
        <v>0</v>
      </c>
      <c r="F15" s="61" t="str">
        <f>IF(B15="","",IFERROR(VLOOKUP(B15,'ANÁLISE DE DADOS'!$A:$AM,4,0),""))</f>
        <v>BemEstar</v>
      </c>
      <c r="G15" s="62">
        <f>IF(B15="","",IFERROR(VLOOKUP(B15,'ANÁLISE DE DADOS'!$A:$AM,5,0),""))</f>
        <v>45669</v>
      </c>
      <c r="H15" s="62" t="str">
        <f>IF(B15="","",IFERROR(VLOOKUP(B15,'ANÁLISE DE DADOS'!$A:$AM,6,0),""))</f>
        <v>jan-25</v>
      </c>
      <c r="I15" s="62" t="str">
        <f>IF(B15="","",IFERROR(VLOOKUP(B15,'ANÁLISE DE DADOS'!$A:$AM,7,0),""))</f>
        <v>2025</v>
      </c>
      <c r="J15" s="62">
        <f>IF(B15="","",IFERROR(VLOOKUP(B15,'ANÁLISE DE DADOS'!$A:$AM,8,0),""))</f>
        <v>45700</v>
      </c>
      <c r="K15" s="61" t="str">
        <f>IF(B15="","",IFERROR(VLOOKUP(B15,'ANÁLISE DE DADOS'!$A:$AM,9,0),""))</f>
        <v>fev-25</v>
      </c>
      <c r="L15" s="61" t="str">
        <f>IF(B15="","",IFERROR(VLOOKUP(B15,'ANÁLISE DE DADOS'!$A:$AM,10,0),""))</f>
        <v>2025</v>
      </c>
      <c r="M15" s="62">
        <f>IF(B15="","",IFERROR(VLOOKUP(B15,'ANÁLISE DE DADOS'!$A:$AM,11,0),""))</f>
        <v>45701</v>
      </c>
      <c r="N15" s="61" t="str">
        <f>IF(B15="","",IFERROR(VLOOKUP(B15,'ANÁLISE DE DADOS'!$A:$AM,12,0),""))</f>
        <v>fev-25</v>
      </c>
      <c r="O15" s="61" t="str">
        <f>IF(B15="","",IFERROR(VLOOKUP(B15,'ANÁLISE DE DADOS'!$A:$AM,13,0),""))</f>
        <v>2025</v>
      </c>
      <c r="P15" s="63">
        <f>IF(B15="","",IFERROR(VLOOKUP(B15,'ANÁLISE DE DADOS'!$A:$AM,14,0),""))</f>
        <v>1000</v>
      </c>
      <c r="Q15" s="61" t="str">
        <f>IF(B15="","",IFERROR(VLOOKUP(B15,'ANÁLISE DE DADOS'!$A:$AM,15,0),""))</f>
        <v>Lucas</v>
      </c>
      <c r="R15" s="61" t="str">
        <f>IF(B15="","",IFERROR(VLOOKUP(B15,'ANÁLISE DE DADOS'!$A:$AM,16,0),""))</f>
        <v>ANALISTA SIMONE</v>
      </c>
      <c r="S15" s="61" t="str">
        <f>IF(B15="","",IFERROR(VLOOKUP(B15,'ANÁLISE DE DADOS'!$A:$AM,17,0),""))</f>
        <v>NÃO</v>
      </c>
      <c r="T15" s="61" t="str">
        <f>IF(B15="","",IFERROR(VLOOKUP(B15,'ANÁLISE DE DADOS'!$A:$AM,18,0),""))</f>
        <v>Aguardando liberação do financeiro</v>
      </c>
      <c r="U15" s="61" t="str">
        <f ca="1">IF(B15="","",IFERROR(VLOOKUP(B15,'ANÁLISE DE DADOS'!$A:$AM,19,0),""))</f>
        <v>Vencido</v>
      </c>
      <c r="V15" s="61">
        <f ca="1">IF(B15="","",IFERROR(VLOOKUP(B15,'ANÁLISE DE DADOS'!$A:$AM,20,0),""))</f>
        <v>95</v>
      </c>
      <c r="W15" s="61" t="str">
        <f ca="1">IF(B15="","",IFERROR(VLOOKUP(B15,'ANÁLISE DE DADOS'!$A:$AM,21,0),""))</f>
        <v>61+ dias</v>
      </c>
      <c r="X15" s="61" t="str">
        <f ca="1">IF(B15="","",IFERROR(VLOOKUP(B15,'ANÁLISE DE DADOS'!$A:$AM,22,0),""))</f>
        <v>Atraso Crítico</v>
      </c>
      <c r="Y15" s="61" t="str">
        <f>IF(B15="","",IFERROR(VLOOKUP(B15,'ANÁLISE DE DADOS'!$A:$AM,23,0),""))</f>
        <v>-</v>
      </c>
      <c r="Z15" s="61" t="str">
        <f>IF(B15="","",IFERROR(VLOOKUP(B15,'ANÁLISE DE DADOS'!$A:$AM,24,0),""))</f>
        <v>Sim</v>
      </c>
      <c r="AA15" s="61">
        <f>IF(B15="","",IFERROR(VLOOKUP(B15,'ANÁLISE DE DADOS'!$A:$AM,25,0),""))</f>
        <v>0</v>
      </c>
      <c r="AB15" s="61">
        <f>IF(B15="","",IFERROR(VLOOKUP(B15,'ANÁLISE DE DADOS'!$A:$AM,26,0),""))</f>
        <v>1</v>
      </c>
      <c r="AC15" s="61" t="str">
        <f>IF(B15="","",IFERROR(VLOOKUP(B15,'ANÁLISE DE DADOS'!$A:$AM,27,0),""))</f>
        <v>Sim</v>
      </c>
      <c r="AD15" s="62">
        <f>IF(B15="","",IFERROR(VLOOKUP(B15,'ANÁLISE DE DADOS'!$A:$AM,28,0),""))</f>
        <v>45740</v>
      </c>
      <c r="AE15" s="61" t="str">
        <f>IF(B15="","",IFERROR(VLOOKUP(B15,'ANÁLISE DE DADOS'!$A:$AM,29,0),""))</f>
        <v>mar-25</v>
      </c>
      <c r="AF15" s="61" t="str">
        <f>IF(B15="","",IFERROR(VLOOKUP(B15,'ANÁLISE DE DADOS'!$A:$AM,30,0),""))</f>
        <v>2025</v>
      </c>
      <c r="AG15" s="62">
        <f>IF(B15="","",IFERROR(VLOOKUP(B15,'ANÁLISE DE DADOS'!$A:$AM,31,0),""))</f>
        <v>45802</v>
      </c>
      <c r="AH15" s="61" t="str">
        <f>IF(B15="","",IFERROR(VLOOKUP(B15,'ANÁLISE DE DADOS'!$A:$AM,32,0),""))</f>
        <v>mai-25</v>
      </c>
      <c r="AI15" s="61" t="str">
        <f>IF(B15="","",IFERROR(VLOOKUP(B15,'ANÁLISE DE DADOS'!$A:$AM,33,0),""))</f>
        <v>2025</v>
      </c>
      <c r="AJ15" s="61" t="str">
        <f>IF(B15="","",IFERROR(VLOOKUP(B15,'ANÁLISE DE DADOS'!$A:$AM,34,0),""))</f>
        <v>Acompanhando</v>
      </c>
      <c r="AK15" s="63">
        <f ca="1">IF(B15="","",IFERROR(VLOOKUP(B15,'ANÁLISE DE DADOS'!$A:$AM,35,0),""))</f>
        <v>1000</v>
      </c>
      <c r="AL15" s="63" t="str">
        <f ca="1">IF(B15="","",IFERROR(VLOOKUP(B15,'ANÁLISE DE DADOS'!$A:$AM,36,0),""))</f>
        <v>0</v>
      </c>
    </row>
    <row r="16" spans="2:38" x14ac:dyDescent="0.3">
      <c r="B16" s="30">
        <v>12</v>
      </c>
      <c r="C16" s="61">
        <f>IF(B16="","",IFERROR(VLOOKUP(B16,'ANÁLISE DE DADOS'!$A:$AM,1,0),""))</f>
        <v>12</v>
      </c>
      <c r="D16" s="61" t="str">
        <f>IF(B16="","",IFERROR(VLOOKUP(B16,'ANÁLISE DE DADOS'!$A:$AM,2,0),""))</f>
        <v>Filial</v>
      </c>
      <c r="E16" s="61">
        <f>IF(B16="","",IFERROR(VLOOKUP(B16,'ANÁLISE DE DADOS'!$A:$AM,3,0),""))</f>
        <v>0</v>
      </c>
      <c r="F16" s="61" t="str">
        <f>IF(B16="","",IFERROR(VLOOKUP(B16,'ANÁLISE DE DADOS'!$A:$AM,4,0),""))</f>
        <v>MundoInovador</v>
      </c>
      <c r="G16" s="62">
        <f>IF(B16="","",IFERROR(VLOOKUP(B16,'ANÁLISE DE DADOS'!$A:$AM,5,0),""))</f>
        <v>45669</v>
      </c>
      <c r="H16" s="62" t="str">
        <f>IF(B16="","",IFERROR(VLOOKUP(B16,'ANÁLISE DE DADOS'!$A:$AM,6,0),""))</f>
        <v>jan-25</v>
      </c>
      <c r="I16" s="62" t="str">
        <f>IF(B16="","",IFERROR(VLOOKUP(B16,'ANÁLISE DE DADOS'!$A:$AM,7,0),""))</f>
        <v>2025</v>
      </c>
      <c r="J16" s="62">
        <f>IF(B16="","",IFERROR(VLOOKUP(B16,'ANÁLISE DE DADOS'!$A:$AM,8,0),""))</f>
        <v>45701</v>
      </c>
      <c r="K16" s="61" t="str">
        <f>IF(B16="","",IFERROR(VLOOKUP(B16,'ANÁLISE DE DADOS'!$A:$AM,9,0),""))</f>
        <v>fev-25</v>
      </c>
      <c r="L16" s="61" t="str">
        <f>IF(B16="","",IFERROR(VLOOKUP(B16,'ANÁLISE DE DADOS'!$A:$AM,10,0),""))</f>
        <v>2025</v>
      </c>
      <c r="M16" s="62">
        <f>IF(B16="","",IFERROR(VLOOKUP(B16,'ANÁLISE DE DADOS'!$A:$AM,11,0),""))</f>
        <v>45737</v>
      </c>
      <c r="N16" s="61" t="str">
        <f>IF(B16="","",IFERROR(VLOOKUP(B16,'ANÁLISE DE DADOS'!$A:$AM,12,0),""))</f>
        <v>mar-25</v>
      </c>
      <c r="O16" s="61" t="str">
        <f>IF(B16="","",IFERROR(VLOOKUP(B16,'ANÁLISE DE DADOS'!$A:$AM,13,0),""))</f>
        <v>2025</v>
      </c>
      <c r="P16" s="63">
        <f>IF(B16="","",IFERROR(VLOOKUP(B16,'ANÁLISE DE DADOS'!$A:$AM,14,0),""))</f>
        <v>1000</v>
      </c>
      <c r="Q16" s="61" t="str">
        <f>IF(B16="","",IFERROR(VLOOKUP(B16,'ANÁLISE DE DADOS'!$A:$AM,15,0),""))</f>
        <v>Lucas</v>
      </c>
      <c r="R16" s="61" t="str">
        <f>IF(B16="","",IFERROR(VLOOKUP(B16,'ANÁLISE DE DADOS'!$A:$AM,16,0),""))</f>
        <v>ANALISTA SIMONE</v>
      </c>
      <c r="S16" s="61" t="str">
        <f>IF(B16="","",IFERROR(VLOOKUP(B16,'ANÁLISE DE DADOS'!$A:$AM,17,0),""))</f>
        <v>NÃO</v>
      </c>
      <c r="T16" s="61" t="str">
        <f>IF(B16="","",IFERROR(VLOOKUP(B16,'ANÁLISE DE DADOS'!$A:$AM,18,0),""))</f>
        <v>Pagamento em processo (aguardando confirmação bancária)</v>
      </c>
      <c r="U16" s="61" t="str">
        <f ca="1">IF(B16="","",IFERROR(VLOOKUP(B16,'ANÁLISE DE DADOS'!$A:$AM,19,0),""))</f>
        <v>Vencido</v>
      </c>
      <c r="V16" s="61">
        <f ca="1">IF(B16="","",IFERROR(VLOOKUP(B16,'ANÁLISE DE DADOS'!$A:$AM,20,0),""))</f>
        <v>94</v>
      </c>
      <c r="W16" s="61" t="str">
        <f ca="1">IF(B16="","",IFERROR(VLOOKUP(B16,'ANÁLISE DE DADOS'!$A:$AM,21,0),""))</f>
        <v>61+ dias</v>
      </c>
      <c r="X16" s="61" t="str">
        <f ca="1">IF(B16="","",IFERROR(VLOOKUP(B16,'ANÁLISE DE DADOS'!$A:$AM,22,0),""))</f>
        <v>Atraso Crítico</v>
      </c>
      <c r="Y16" s="61" t="str">
        <f>IF(B16="","",IFERROR(VLOOKUP(B16,'ANÁLISE DE DADOS'!$A:$AM,23,0),""))</f>
        <v>-</v>
      </c>
      <c r="Z16" s="61" t="str">
        <f>IF(B16="","",IFERROR(VLOOKUP(B16,'ANÁLISE DE DADOS'!$A:$AM,24,0),""))</f>
        <v>Sim</v>
      </c>
      <c r="AA16" s="61">
        <f>IF(B16="","",IFERROR(VLOOKUP(B16,'ANÁLISE DE DADOS'!$A:$AM,25,0),""))</f>
        <v>0</v>
      </c>
      <c r="AB16" s="61">
        <f>IF(B16="","",IFERROR(VLOOKUP(B16,'ANÁLISE DE DADOS'!$A:$AM,26,0),""))</f>
        <v>1</v>
      </c>
      <c r="AC16" s="61" t="str">
        <f>IF(B16="","",IFERROR(VLOOKUP(B16,'ANÁLISE DE DADOS'!$A:$AM,27,0),""))</f>
        <v>Sim</v>
      </c>
      <c r="AD16" s="62">
        <f>IF(B16="","",IFERROR(VLOOKUP(B16,'ANÁLISE DE DADOS'!$A:$AM,28,0),""))</f>
        <v>45740</v>
      </c>
      <c r="AE16" s="61" t="str">
        <f>IF(B16="","",IFERROR(VLOOKUP(B16,'ANÁLISE DE DADOS'!$A:$AM,29,0),""))</f>
        <v>mar-25</v>
      </c>
      <c r="AF16" s="61" t="str">
        <f>IF(B16="","",IFERROR(VLOOKUP(B16,'ANÁLISE DE DADOS'!$A:$AM,30,0),""))</f>
        <v>2025</v>
      </c>
      <c r="AG16" s="62">
        <f>IF(B16="","",IFERROR(VLOOKUP(B16,'ANÁLISE DE DADOS'!$A:$AM,31,0),""))</f>
        <v>45802</v>
      </c>
      <c r="AH16" s="61" t="str">
        <f>IF(B16="","",IFERROR(VLOOKUP(B16,'ANÁLISE DE DADOS'!$A:$AM,32,0),""))</f>
        <v>mai-25</v>
      </c>
      <c r="AI16" s="61" t="str">
        <f>IF(B16="","",IFERROR(VLOOKUP(B16,'ANÁLISE DE DADOS'!$A:$AM,33,0),""))</f>
        <v>2025</v>
      </c>
      <c r="AJ16" s="61" t="str">
        <f>IF(B16="","",IFERROR(VLOOKUP(B16,'ANÁLISE DE DADOS'!$A:$AM,34,0),""))</f>
        <v>Acompanhando</v>
      </c>
      <c r="AK16" s="63">
        <f ca="1">IF(B16="","",IFERROR(VLOOKUP(B16,'ANÁLISE DE DADOS'!$A:$AM,35,0),""))</f>
        <v>1000</v>
      </c>
      <c r="AL16" s="63" t="str">
        <f ca="1">IF(B16="","",IFERROR(VLOOKUP(B16,'ANÁLISE DE DADOS'!$A:$AM,36,0),""))</f>
        <v>0</v>
      </c>
    </row>
    <row r="17" spans="2:38" x14ac:dyDescent="0.3">
      <c r="B17" s="30">
        <v>13</v>
      </c>
      <c r="C17" s="61">
        <f>IF(B17="","",IFERROR(VLOOKUP(B17,'ANÁLISE DE DADOS'!$A:$AM,1,0),""))</f>
        <v>13</v>
      </c>
      <c r="D17" s="61" t="str">
        <f>IF(B17="","",IFERROR(VLOOKUP(B17,'ANÁLISE DE DADOS'!$A:$AM,2,0),""))</f>
        <v>Matriz</v>
      </c>
      <c r="E17" s="61" t="str">
        <f>IF(B17="","",IFERROR(VLOOKUP(B17,'ANÁLISE DE DADOS'!$A:$AM,3,0),""))</f>
        <v>Alpha &amp; CIA</v>
      </c>
      <c r="F17" s="61" t="str">
        <f>IF(B17="","",IFERROR(VLOOKUP(B17,'ANÁLISE DE DADOS'!$A:$AM,4,0),""))</f>
        <v>Alpha &amp; CIA</v>
      </c>
      <c r="G17" s="62">
        <f>IF(B17="","",IFERROR(VLOOKUP(B17,'ANÁLISE DE DADOS'!$A:$AM,5,0),""))</f>
        <v>45672</v>
      </c>
      <c r="H17" s="62" t="str">
        <f>IF(B17="","",IFERROR(VLOOKUP(B17,'ANÁLISE DE DADOS'!$A:$AM,6,0),""))</f>
        <v>jan-25</v>
      </c>
      <c r="I17" s="62" t="str">
        <f>IF(B17="","",IFERROR(VLOOKUP(B17,'ANÁLISE DE DADOS'!$A:$AM,7,0),""))</f>
        <v>2025</v>
      </c>
      <c r="J17" s="62">
        <f>IF(B17="","",IFERROR(VLOOKUP(B17,'ANÁLISE DE DADOS'!$A:$AM,8,0),""))</f>
        <v>45702</v>
      </c>
      <c r="K17" s="61" t="str">
        <f>IF(B17="","",IFERROR(VLOOKUP(B17,'ANÁLISE DE DADOS'!$A:$AM,9,0),""))</f>
        <v>fev-25</v>
      </c>
      <c r="L17" s="61" t="str">
        <f>IF(B17="","",IFERROR(VLOOKUP(B17,'ANÁLISE DE DADOS'!$A:$AM,10,0),""))</f>
        <v>2025</v>
      </c>
      <c r="M17" s="62">
        <f>IF(B17="","",IFERROR(VLOOKUP(B17,'ANÁLISE DE DADOS'!$A:$AM,11,0),""))</f>
        <v>45737</v>
      </c>
      <c r="N17" s="61" t="str">
        <f>IF(B17="","",IFERROR(VLOOKUP(B17,'ANÁLISE DE DADOS'!$A:$AM,12,0),""))</f>
        <v>mar-25</v>
      </c>
      <c r="O17" s="61" t="str">
        <f>IF(B17="","",IFERROR(VLOOKUP(B17,'ANÁLISE DE DADOS'!$A:$AM,13,0),""))</f>
        <v>2025</v>
      </c>
      <c r="P17" s="63">
        <f>IF(B17="","",IFERROR(VLOOKUP(B17,'ANÁLISE DE DADOS'!$A:$AM,14,0),""))</f>
        <v>1500</v>
      </c>
      <c r="Q17" s="61" t="str">
        <f>IF(B17="","",IFERROR(VLOOKUP(B17,'ANÁLISE DE DADOS'!$A:$AM,15,0),""))</f>
        <v>Carla</v>
      </c>
      <c r="R17" s="61" t="str">
        <f>IF(B17="","",IFERROR(VLOOKUP(B17,'ANÁLISE DE DADOS'!$A:$AM,16,0),""))</f>
        <v>ANALISTA SIMONE</v>
      </c>
      <c r="S17" s="61" t="str">
        <f>IF(B17="","",IFERROR(VLOOKUP(B17,'ANÁLISE DE DADOS'!$A:$AM,17,0),""))</f>
        <v>NÃO</v>
      </c>
      <c r="T17" s="61" t="str">
        <f>IF(B17="","",IFERROR(VLOOKUP(B17,'ANÁLISE DE DADOS'!$A:$AM,18,0),""))</f>
        <v>Cliente em inadimplência sem previsão de pagamento</v>
      </c>
      <c r="U17" s="61" t="str">
        <f ca="1">IF(B17="","",IFERROR(VLOOKUP(B17,'ANÁLISE DE DADOS'!$A:$AM,19,0),""))</f>
        <v>Vencido</v>
      </c>
      <c r="V17" s="61">
        <f ca="1">IF(B17="","",IFERROR(VLOOKUP(B17,'ANÁLISE DE DADOS'!$A:$AM,20,0),""))</f>
        <v>93</v>
      </c>
      <c r="W17" s="61" t="str">
        <f ca="1">IF(B17="","",IFERROR(VLOOKUP(B17,'ANÁLISE DE DADOS'!$A:$AM,21,0),""))</f>
        <v>61+ dias</v>
      </c>
      <c r="X17" s="61" t="str">
        <f ca="1">IF(B17="","",IFERROR(VLOOKUP(B17,'ANÁLISE DE DADOS'!$A:$AM,22,0),""))</f>
        <v>Atraso Crítico</v>
      </c>
      <c r="Y17" s="61" t="str">
        <f>IF(B17="","",IFERROR(VLOOKUP(B17,'ANÁLISE DE DADOS'!$A:$AM,23,0),""))</f>
        <v>-</v>
      </c>
      <c r="Z17" s="61" t="str">
        <f>IF(B17="","",IFERROR(VLOOKUP(B17,'ANÁLISE DE DADOS'!$A:$AM,24,0),""))</f>
        <v>Sim</v>
      </c>
      <c r="AA17" s="61">
        <f>IF(B17="","",IFERROR(VLOOKUP(B17,'ANÁLISE DE DADOS'!$A:$AM,25,0),""))</f>
        <v>0</v>
      </c>
      <c r="AB17" s="61">
        <f>IF(B17="","",IFERROR(VLOOKUP(B17,'ANÁLISE DE DADOS'!$A:$AM,26,0),""))</f>
        <v>1</v>
      </c>
      <c r="AC17" s="61" t="str">
        <f>IF(B17="","",IFERROR(VLOOKUP(B17,'ANÁLISE DE DADOS'!$A:$AM,27,0),""))</f>
        <v>Sim</v>
      </c>
      <c r="AD17" s="62">
        <f>IF(B17="","",IFERROR(VLOOKUP(B17,'ANÁLISE DE DADOS'!$A:$AM,28,0),""))</f>
        <v>45740</v>
      </c>
      <c r="AE17" s="61" t="str">
        <f>IF(B17="","",IFERROR(VLOOKUP(B17,'ANÁLISE DE DADOS'!$A:$AM,29,0),""))</f>
        <v>mar-25</v>
      </c>
      <c r="AF17" s="61" t="str">
        <f>IF(B17="","",IFERROR(VLOOKUP(B17,'ANÁLISE DE DADOS'!$A:$AM,30,0),""))</f>
        <v>2025</v>
      </c>
      <c r="AG17" s="62">
        <f>IF(B17="","",IFERROR(VLOOKUP(B17,'ANÁLISE DE DADOS'!$A:$AM,31,0),""))</f>
        <v>45802</v>
      </c>
      <c r="AH17" s="61" t="str">
        <f>IF(B17="","",IFERROR(VLOOKUP(B17,'ANÁLISE DE DADOS'!$A:$AM,32,0),""))</f>
        <v>mai-25</v>
      </c>
      <c r="AI17" s="61" t="str">
        <f>IF(B17="","",IFERROR(VLOOKUP(B17,'ANÁLISE DE DADOS'!$A:$AM,33,0),""))</f>
        <v>2025</v>
      </c>
      <c r="AJ17" s="61" t="str">
        <f>IF(B17="","",IFERROR(VLOOKUP(B17,'ANÁLISE DE DADOS'!$A:$AM,34,0),""))</f>
        <v>Acompanhando</v>
      </c>
      <c r="AK17" s="63">
        <f ca="1">IF(B17="","",IFERROR(VLOOKUP(B17,'ANÁLISE DE DADOS'!$A:$AM,35,0),""))</f>
        <v>1500</v>
      </c>
      <c r="AL17" s="63" t="str">
        <f ca="1">IF(B17="","",IFERROR(VLOOKUP(B17,'ANÁLISE DE DADOS'!$A:$AM,36,0),""))</f>
        <v>0</v>
      </c>
    </row>
    <row r="18" spans="2:38" x14ac:dyDescent="0.3">
      <c r="B18" s="30">
        <v>14</v>
      </c>
      <c r="C18" s="61">
        <f>IF(B18="","",IFERROR(VLOOKUP(B18,'ANÁLISE DE DADOS'!$A:$AM,1,0),""))</f>
        <v>14</v>
      </c>
      <c r="D18" s="61" t="str">
        <f>IF(B18="","",IFERROR(VLOOKUP(B18,'ANÁLISE DE DADOS'!$A:$AM,2,0),""))</f>
        <v>Matriz</v>
      </c>
      <c r="E18" s="61">
        <f>IF(B18="","",IFERROR(VLOOKUP(B18,'ANÁLISE DE DADOS'!$A:$AM,3,0),""))</f>
        <v>0</v>
      </c>
      <c r="F18" s="61" t="str">
        <f>IF(B18="","",IFERROR(VLOOKUP(B18,'ANÁLISE DE DADOS'!$A:$AM,4,0),""))</f>
        <v>MundoInovador</v>
      </c>
      <c r="G18" s="62">
        <f>IF(B18="","",IFERROR(VLOOKUP(B18,'ANÁLISE DE DADOS'!$A:$AM,5,0),""))</f>
        <v>45672</v>
      </c>
      <c r="H18" s="62" t="str">
        <f>IF(B18="","",IFERROR(VLOOKUP(B18,'ANÁLISE DE DADOS'!$A:$AM,6,0),""))</f>
        <v>jan-25</v>
      </c>
      <c r="I18" s="62" t="str">
        <f>IF(B18="","",IFERROR(VLOOKUP(B18,'ANÁLISE DE DADOS'!$A:$AM,7,0),""))</f>
        <v>2025</v>
      </c>
      <c r="J18" s="62">
        <f>IF(B18="","",IFERROR(VLOOKUP(B18,'ANÁLISE DE DADOS'!$A:$AM,8,0),""))</f>
        <v>45703</v>
      </c>
      <c r="K18" s="61" t="str">
        <f>IF(B18="","",IFERROR(VLOOKUP(B18,'ANÁLISE DE DADOS'!$A:$AM,9,0),""))</f>
        <v>fev-25</v>
      </c>
      <c r="L18" s="61" t="str">
        <f>IF(B18="","",IFERROR(VLOOKUP(B18,'ANÁLISE DE DADOS'!$A:$AM,10,0),""))</f>
        <v>2025</v>
      </c>
      <c r="M18" s="62">
        <f>IF(B18="","",IFERROR(VLOOKUP(B18,'ANÁLISE DE DADOS'!$A:$AM,11,0),""))</f>
        <v>45737</v>
      </c>
      <c r="N18" s="61" t="str">
        <f>IF(B18="","",IFERROR(VLOOKUP(B18,'ANÁLISE DE DADOS'!$A:$AM,12,0),""))</f>
        <v>mar-25</v>
      </c>
      <c r="O18" s="61" t="str">
        <f>IF(B18="","",IFERROR(VLOOKUP(B18,'ANÁLISE DE DADOS'!$A:$AM,13,0),""))</f>
        <v>2025</v>
      </c>
      <c r="P18" s="63">
        <f>IF(B18="","",IFERROR(VLOOKUP(B18,'ANÁLISE DE DADOS'!$A:$AM,14,0),""))</f>
        <v>1500</v>
      </c>
      <c r="Q18" s="61" t="str">
        <f>IF(B18="","",IFERROR(VLOOKUP(B18,'ANÁLISE DE DADOS'!$A:$AM,15,0),""))</f>
        <v>Carla</v>
      </c>
      <c r="R18" s="61" t="str">
        <f>IF(B18="","",IFERROR(VLOOKUP(B18,'ANÁLISE DE DADOS'!$A:$AM,16,0),""))</f>
        <v>ANALISTA SIMONE</v>
      </c>
      <c r="S18" s="61" t="str">
        <f>IF(B18="","",IFERROR(VLOOKUP(B18,'ANÁLISE DE DADOS'!$A:$AM,17,0),""))</f>
        <v>NÃO</v>
      </c>
      <c r="T18" s="61" t="str">
        <f>IF(B18="","",IFERROR(VLOOKUP(B18,'ANÁLISE DE DADOS'!$A:$AM,18,0),""))</f>
        <v>Pagamento em processo (aguardando confirmação bancária)</v>
      </c>
      <c r="U18" s="61" t="str">
        <f ca="1">IF(B18="","",IFERROR(VLOOKUP(B18,'ANÁLISE DE DADOS'!$A:$AM,19,0),""))</f>
        <v>Vencido</v>
      </c>
      <c r="V18" s="61">
        <f ca="1">IF(B18="","",IFERROR(VLOOKUP(B18,'ANÁLISE DE DADOS'!$A:$AM,20,0),""))</f>
        <v>92</v>
      </c>
      <c r="W18" s="61" t="str">
        <f ca="1">IF(B18="","",IFERROR(VLOOKUP(B18,'ANÁLISE DE DADOS'!$A:$AM,21,0),""))</f>
        <v>61+ dias</v>
      </c>
      <c r="X18" s="61" t="str">
        <f ca="1">IF(B18="","",IFERROR(VLOOKUP(B18,'ANÁLISE DE DADOS'!$A:$AM,22,0),""))</f>
        <v>Atraso Crítico</v>
      </c>
      <c r="Y18" s="61" t="str">
        <f>IF(B18="","",IFERROR(VLOOKUP(B18,'ANÁLISE DE DADOS'!$A:$AM,23,0),""))</f>
        <v>-</v>
      </c>
      <c r="Z18" s="61" t="str">
        <f>IF(B18="","",IFERROR(VLOOKUP(B18,'ANÁLISE DE DADOS'!$A:$AM,24,0),""))</f>
        <v>Sim</v>
      </c>
      <c r="AA18" s="61">
        <f>IF(B18="","",IFERROR(VLOOKUP(B18,'ANÁLISE DE DADOS'!$A:$AM,25,0),""))</f>
        <v>0</v>
      </c>
      <c r="AB18" s="61">
        <f>IF(B18="","",IFERROR(VLOOKUP(B18,'ANÁLISE DE DADOS'!$A:$AM,26,0),""))</f>
        <v>1</v>
      </c>
      <c r="AC18" s="61" t="str">
        <f>IF(B18="","",IFERROR(VLOOKUP(B18,'ANÁLISE DE DADOS'!$A:$AM,27,0),""))</f>
        <v>Sim</v>
      </c>
      <c r="AD18" s="62">
        <f>IF(B18="","",IFERROR(VLOOKUP(B18,'ANÁLISE DE DADOS'!$A:$AM,28,0),""))</f>
        <v>45740</v>
      </c>
      <c r="AE18" s="61" t="str">
        <f>IF(B18="","",IFERROR(VLOOKUP(B18,'ANÁLISE DE DADOS'!$A:$AM,29,0),""))</f>
        <v>mar-25</v>
      </c>
      <c r="AF18" s="61" t="str">
        <f>IF(B18="","",IFERROR(VLOOKUP(B18,'ANÁLISE DE DADOS'!$A:$AM,30,0),""))</f>
        <v>2025</v>
      </c>
      <c r="AG18" s="62">
        <f>IF(B18="","",IFERROR(VLOOKUP(B18,'ANÁLISE DE DADOS'!$A:$AM,31,0),""))</f>
        <v>45802</v>
      </c>
      <c r="AH18" s="61" t="str">
        <f>IF(B18="","",IFERROR(VLOOKUP(B18,'ANÁLISE DE DADOS'!$A:$AM,32,0),""))</f>
        <v>mai-25</v>
      </c>
      <c r="AI18" s="61" t="str">
        <f>IF(B18="","",IFERROR(VLOOKUP(B18,'ANÁLISE DE DADOS'!$A:$AM,33,0),""))</f>
        <v>2025</v>
      </c>
      <c r="AJ18" s="61" t="str">
        <f>IF(B18="","",IFERROR(VLOOKUP(B18,'ANÁLISE DE DADOS'!$A:$AM,34,0),""))</f>
        <v>Acompanhando</v>
      </c>
      <c r="AK18" s="63">
        <f ca="1">IF(B18="","",IFERROR(VLOOKUP(B18,'ANÁLISE DE DADOS'!$A:$AM,35,0),""))</f>
        <v>1500</v>
      </c>
      <c r="AL18" s="63" t="str">
        <f ca="1">IF(B18="","",IFERROR(VLOOKUP(B18,'ANÁLISE DE DADOS'!$A:$AM,36,0),""))</f>
        <v>0</v>
      </c>
    </row>
    <row r="19" spans="2:38" x14ac:dyDescent="0.3">
      <c r="B19" s="30">
        <v>15</v>
      </c>
      <c r="C19" s="61">
        <f>IF(B19="","",IFERROR(VLOOKUP(B19,'ANÁLISE DE DADOS'!$A:$AM,1,0),""))</f>
        <v>15</v>
      </c>
      <c r="D19" s="61" t="str">
        <f>IF(B19="","",IFERROR(VLOOKUP(B19,'ANÁLISE DE DADOS'!$A:$AM,2,0),""))</f>
        <v>Filial</v>
      </c>
      <c r="E19" s="61" t="str">
        <f>IF(B19="","",IFERROR(VLOOKUP(B19,'ANÁLISE DE DADOS'!$A:$AM,3,0),""))</f>
        <v>Alpha &amp; CIA</v>
      </c>
      <c r="F19" s="61" t="str">
        <f>IF(B19="","",IFERROR(VLOOKUP(B19,'ANÁLISE DE DADOS'!$A:$AM,4,0),""))</f>
        <v>Alpha &amp; CIA</v>
      </c>
      <c r="G19" s="62">
        <f>IF(B19="","",IFERROR(VLOOKUP(B19,'ANÁLISE DE DADOS'!$A:$AM,5,0),""))</f>
        <v>45675</v>
      </c>
      <c r="H19" s="62" t="str">
        <f>IF(B19="","",IFERROR(VLOOKUP(B19,'ANÁLISE DE DADOS'!$A:$AM,6,0),""))</f>
        <v>jan-25</v>
      </c>
      <c r="I19" s="62" t="str">
        <f>IF(B19="","",IFERROR(VLOOKUP(B19,'ANÁLISE DE DADOS'!$A:$AM,7,0),""))</f>
        <v>2025</v>
      </c>
      <c r="J19" s="62">
        <f>IF(B19="","",IFERROR(VLOOKUP(B19,'ANÁLISE DE DADOS'!$A:$AM,8,0),""))</f>
        <v>45704</v>
      </c>
      <c r="K19" s="61" t="str">
        <f>IF(B19="","",IFERROR(VLOOKUP(B19,'ANÁLISE DE DADOS'!$A:$AM,9,0),""))</f>
        <v>fev-25</v>
      </c>
      <c r="L19" s="61" t="str">
        <f>IF(B19="","",IFERROR(VLOOKUP(B19,'ANÁLISE DE DADOS'!$A:$AM,10,0),""))</f>
        <v>2025</v>
      </c>
      <c r="M19" s="62">
        <f>IF(B19="","",IFERROR(VLOOKUP(B19,'ANÁLISE DE DADOS'!$A:$AM,11,0),""))</f>
        <v>45737</v>
      </c>
      <c r="N19" s="61" t="str">
        <f>IF(B19="","",IFERROR(VLOOKUP(B19,'ANÁLISE DE DADOS'!$A:$AM,12,0),""))</f>
        <v>mar-25</v>
      </c>
      <c r="O19" s="61" t="str">
        <f>IF(B19="","",IFERROR(VLOOKUP(B19,'ANÁLISE DE DADOS'!$A:$AM,13,0),""))</f>
        <v>2025</v>
      </c>
      <c r="P19" s="63">
        <f>IF(B19="","",IFERROR(VLOOKUP(B19,'ANÁLISE DE DADOS'!$A:$AM,14,0),""))</f>
        <v>3000</v>
      </c>
      <c r="Q19" s="61" t="str">
        <f>IF(B19="","",IFERROR(VLOOKUP(B19,'ANÁLISE DE DADOS'!$A:$AM,15,0),""))</f>
        <v>Roberto</v>
      </c>
      <c r="R19" s="61" t="str">
        <f>IF(B19="","",IFERROR(VLOOKUP(B19,'ANÁLISE DE DADOS'!$A:$AM,16,0),""))</f>
        <v>ANALISTA SIMONE</v>
      </c>
      <c r="S19" s="61" t="str">
        <f>IF(B19="","",IFERROR(VLOOKUP(B19,'ANÁLISE DE DADOS'!$A:$AM,17,0),""))</f>
        <v>NÃO</v>
      </c>
      <c r="T19" s="61" t="str">
        <f>IF(B19="","",IFERROR(VLOOKUP(B19,'ANÁLISE DE DADOS'!$A:$AM,18,0),""))</f>
        <v>Situação jurídica em andamento (em processo judicial)</v>
      </c>
      <c r="U19" s="61" t="str">
        <f ca="1">IF(B19="","",IFERROR(VLOOKUP(B19,'ANÁLISE DE DADOS'!$A:$AM,19,0),""))</f>
        <v>Vencido</v>
      </c>
      <c r="V19" s="61">
        <f ca="1">IF(B19="","",IFERROR(VLOOKUP(B19,'ANÁLISE DE DADOS'!$A:$AM,20,0),""))</f>
        <v>91</v>
      </c>
      <c r="W19" s="61" t="str">
        <f ca="1">IF(B19="","",IFERROR(VLOOKUP(B19,'ANÁLISE DE DADOS'!$A:$AM,21,0),""))</f>
        <v>61+ dias</v>
      </c>
      <c r="X19" s="61" t="str">
        <f ca="1">IF(B19="","",IFERROR(VLOOKUP(B19,'ANÁLISE DE DADOS'!$A:$AM,22,0),""))</f>
        <v>Atraso Crítico</v>
      </c>
      <c r="Y19" s="61" t="str">
        <f>IF(B19="","",IFERROR(VLOOKUP(B19,'ANÁLISE DE DADOS'!$A:$AM,23,0),""))</f>
        <v>-</v>
      </c>
      <c r="Z19" s="61" t="str">
        <f>IF(B19="","",IFERROR(VLOOKUP(B19,'ANÁLISE DE DADOS'!$A:$AM,24,0),""))</f>
        <v>Sim</v>
      </c>
      <c r="AA19" s="61">
        <f>IF(B19="","",IFERROR(VLOOKUP(B19,'ANÁLISE DE DADOS'!$A:$AM,25,0),""))</f>
        <v>0</v>
      </c>
      <c r="AB19" s="61">
        <f>IF(B19="","",IFERROR(VLOOKUP(B19,'ANÁLISE DE DADOS'!$A:$AM,26,0),""))</f>
        <v>1</v>
      </c>
      <c r="AC19" s="61" t="str">
        <f>IF(B19="","",IFERROR(VLOOKUP(B19,'ANÁLISE DE DADOS'!$A:$AM,27,0),""))</f>
        <v>Sim</v>
      </c>
      <c r="AD19" s="62">
        <f>IF(B19="","",IFERROR(VLOOKUP(B19,'ANÁLISE DE DADOS'!$A:$AM,28,0),""))</f>
        <v>45740</v>
      </c>
      <c r="AE19" s="61" t="str">
        <f>IF(B19="","",IFERROR(VLOOKUP(B19,'ANÁLISE DE DADOS'!$A:$AM,29,0),""))</f>
        <v>mar-25</v>
      </c>
      <c r="AF19" s="61" t="str">
        <f>IF(B19="","",IFERROR(VLOOKUP(B19,'ANÁLISE DE DADOS'!$A:$AM,30,0),""))</f>
        <v>2025</v>
      </c>
      <c r="AG19" s="62">
        <f>IF(B19="","",IFERROR(VLOOKUP(B19,'ANÁLISE DE DADOS'!$A:$AM,31,0),""))</f>
        <v>45802</v>
      </c>
      <c r="AH19" s="61" t="str">
        <f>IF(B19="","",IFERROR(VLOOKUP(B19,'ANÁLISE DE DADOS'!$A:$AM,32,0),""))</f>
        <v>mai-25</v>
      </c>
      <c r="AI19" s="61" t="str">
        <f>IF(B19="","",IFERROR(VLOOKUP(B19,'ANÁLISE DE DADOS'!$A:$AM,33,0),""))</f>
        <v>2025</v>
      </c>
      <c r="AJ19" s="61" t="str">
        <f>IF(B19="","",IFERROR(VLOOKUP(B19,'ANÁLISE DE DADOS'!$A:$AM,34,0),""))</f>
        <v>Acompanhando</v>
      </c>
      <c r="AK19" s="63">
        <f ca="1">IF(B19="","",IFERROR(VLOOKUP(B19,'ANÁLISE DE DADOS'!$A:$AM,35,0),""))</f>
        <v>3000</v>
      </c>
      <c r="AL19" s="63" t="str">
        <f ca="1">IF(B19="","",IFERROR(VLOOKUP(B19,'ANÁLISE DE DADOS'!$A:$AM,36,0),""))</f>
        <v>0</v>
      </c>
    </row>
    <row r="20" spans="2:38" x14ac:dyDescent="0.3">
      <c r="B20" s="30">
        <v>16</v>
      </c>
      <c r="C20" s="61">
        <f>IF(B20="","",IFERROR(VLOOKUP(B20,'ANÁLISE DE DADOS'!$A:$AM,1,0),""))</f>
        <v>16</v>
      </c>
      <c r="D20" s="61" t="str">
        <f>IF(B20="","",IFERROR(VLOOKUP(B20,'ANÁLISE DE DADOS'!$A:$AM,2,0),""))</f>
        <v>Filial</v>
      </c>
      <c r="E20" s="61">
        <f>IF(B20="","",IFERROR(VLOOKUP(B20,'ANÁLISE DE DADOS'!$A:$AM,3,0),""))</f>
        <v>0</v>
      </c>
      <c r="F20" s="61" t="str">
        <f>IF(B20="","",IFERROR(VLOOKUP(B20,'ANÁLISE DE DADOS'!$A:$AM,4,0),""))</f>
        <v>MundoInovador</v>
      </c>
      <c r="G20" s="62">
        <f>IF(B20="","",IFERROR(VLOOKUP(B20,'ANÁLISE DE DADOS'!$A:$AM,5,0),""))</f>
        <v>45675</v>
      </c>
      <c r="H20" s="62" t="str">
        <f>IF(B20="","",IFERROR(VLOOKUP(B20,'ANÁLISE DE DADOS'!$A:$AM,6,0),""))</f>
        <v>jan-25</v>
      </c>
      <c r="I20" s="62" t="str">
        <f>IF(B20="","",IFERROR(VLOOKUP(B20,'ANÁLISE DE DADOS'!$A:$AM,7,0),""))</f>
        <v>2025</v>
      </c>
      <c r="J20" s="62">
        <f>IF(B20="","",IFERROR(VLOOKUP(B20,'ANÁLISE DE DADOS'!$A:$AM,8,0),""))</f>
        <v>45705</v>
      </c>
      <c r="K20" s="61" t="str">
        <f>IF(B20="","",IFERROR(VLOOKUP(B20,'ANÁLISE DE DADOS'!$A:$AM,9,0),""))</f>
        <v>fev-25</v>
      </c>
      <c r="L20" s="61" t="str">
        <f>IF(B20="","",IFERROR(VLOOKUP(B20,'ANÁLISE DE DADOS'!$A:$AM,10,0),""))</f>
        <v>2025</v>
      </c>
      <c r="M20" s="62">
        <f>IF(B20="","",IFERROR(VLOOKUP(B20,'ANÁLISE DE DADOS'!$A:$AM,11,0),""))</f>
        <v>45737</v>
      </c>
      <c r="N20" s="61" t="str">
        <f>IF(B20="","",IFERROR(VLOOKUP(B20,'ANÁLISE DE DADOS'!$A:$AM,12,0),""))</f>
        <v>mar-25</v>
      </c>
      <c r="O20" s="61" t="str">
        <f>IF(B20="","",IFERROR(VLOOKUP(B20,'ANÁLISE DE DADOS'!$A:$AM,13,0),""))</f>
        <v>2025</v>
      </c>
      <c r="P20" s="63">
        <f>IF(B20="","",IFERROR(VLOOKUP(B20,'ANÁLISE DE DADOS'!$A:$AM,14,0),""))</f>
        <v>3000</v>
      </c>
      <c r="Q20" s="61" t="str">
        <f>IF(B20="","",IFERROR(VLOOKUP(B20,'ANÁLISE DE DADOS'!$A:$AM,15,0),""))</f>
        <v>Roberto</v>
      </c>
      <c r="R20" s="61" t="str">
        <f>IF(B20="","",IFERROR(VLOOKUP(B20,'ANÁLISE DE DADOS'!$A:$AM,16,0),""))</f>
        <v>ANALISTA SIMONE</v>
      </c>
      <c r="S20" s="61" t="str">
        <f>IF(B20="","",IFERROR(VLOOKUP(B20,'ANÁLISE DE DADOS'!$A:$AM,17,0),""))</f>
        <v>NÃO</v>
      </c>
      <c r="T20" s="61" t="str">
        <f>IF(B20="","",IFERROR(VLOOKUP(B20,'ANÁLISE DE DADOS'!$A:$AM,18,0),""))</f>
        <v>Cancelamento de cobrança solicitado</v>
      </c>
      <c r="U20" s="61" t="str">
        <f ca="1">IF(B20="","",IFERROR(VLOOKUP(B20,'ANÁLISE DE DADOS'!$A:$AM,19,0),""))</f>
        <v>Vencido</v>
      </c>
      <c r="V20" s="61">
        <f ca="1">IF(B20="","",IFERROR(VLOOKUP(B20,'ANÁLISE DE DADOS'!$A:$AM,20,0),""))</f>
        <v>90</v>
      </c>
      <c r="W20" s="61" t="str">
        <f ca="1">IF(B20="","",IFERROR(VLOOKUP(B20,'ANÁLISE DE DADOS'!$A:$AM,21,0),""))</f>
        <v>61+ dias</v>
      </c>
      <c r="X20" s="61" t="str">
        <f ca="1">IF(B20="","",IFERROR(VLOOKUP(B20,'ANÁLISE DE DADOS'!$A:$AM,22,0),""))</f>
        <v>Atraso Crítico</v>
      </c>
      <c r="Y20" s="61" t="str">
        <f>IF(B20="","",IFERROR(VLOOKUP(B20,'ANÁLISE DE DADOS'!$A:$AM,23,0),""))</f>
        <v>-</v>
      </c>
      <c r="Z20" s="61" t="str">
        <f>IF(B20="","",IFERROR(VLOOKUP(B20,'ANÁLISE DE DADOS'!$A:$AM,24,0),""))</f>
        <v>Sim</v>
      </c>
      <c r="AA20" s="61">
        <f>IF(B20="","",IFERROR(VLOOKUP(B20,'ANÁLISE DE DADOS'!$A:$AM,25,0),""))</f>
        <v>0</v>
      </c>
      <c r="AB20" s="61">
        <f>IF(B20="","",IFERROR(VLOOKUP(B20,'ANÁLISE DE DADOS'!$A:$AM,26,0),""))</f>
        <v>1</v>
      </c>
      <c r="AC20" s="61" t="str">
        <f>IF(B20="","",IFERROR(VLOOKUP(B20,'ANÁLISE DE DADOS'!$A:$AM,27,0),""))</f>
        <v>Sim</v>
      </c>
      <c r="AD20" s="62">
        <f>IF(B20="","",IFERROR(VLOOKUP(B20,'ANÁLISE DE DADOS'!$A:$AM,28,0),""))</f>
        <v>45740</v>
      </c>
      <c r="AE20" s="61" t="str">
        <f>IF(B20="","",IFERROR(VLOOKUP(B20,'ANÁLISE DE DADOS'!$A:$AM,29,0),""))</f>
        <v>mar-25</v>
      </c>
      <c r="AF20" s="61" t="str">
        <f>IF(B20="","",IFERROR(VLOOKUP(B20,'ANÁLISE DE DADOS'!$A:$AM,30,0),""))</f>
        <v>2025</v>
      </c>
      <c r="AG20" s="62">
        <f>IF(B20="","",IFERROR(VLOOKUP(B20,'ANÁLISE DE DADOS'!$A:$AM,31,0),""))</f>
        <v>45802</v>
      </c>
      <c r="AH20" s="61" t="str">
        <f>IF(B20="","",IFERROR(VLOOKUP(B20,'ANÁLISE DE DADOS'!$A:$AM,32,0),""))</f>
        <v>mai-25</v>
      </c>
      <c r="AI20" s="61" t="str">
        <f>IF(B20="","",IFERROR(VLOOKUP(B20,'ANÁLISE DE DADOS'!$A:$AM,33,0),""))</f>
        <v>2025</v>
      </c>
      <c r="AJ20" s="61" t="str">
        <f>IF(B20="","",IFERROR(VLOOKUP(B20,'ANÁLISE DE DADOS'!$A:$AM,34,0),""))</f>
        <v>Acompanhando</v>
      </c>
      <c r="AK20" s="63">
        <f ca="1">IF(B20="","",IFERROR(VLOOKUP(B20,'ANÁLISE DE DADOS'!$A:$AM,35,0),""))</f>
        <v>3000</v>
      </c>
      <c r="AL20" s="63" t="str">
        <f ca="1">IF(B20="","",IFERROR(VLOOKUP(B20,'ANÁLISE DE DADOS'!$A:$AM,36,0),""))</f>
        <v>0</v>
      </c>
    </row>
    <row r="21" spans="2:38" x14ac:dyDescent="0.3">
      <c r="B21" s="30">
        <v>17</v>
      </c>
      <c r="C21" s="61">
        <f>IF(B21="","",IFERROR(VLOOKUP(B21,'ANÁLISE DE DADOS'!$A:$AM,1,0),""))</f>
        <v>17</v>
      </c>
      <c r="D21" s="61" t="str">
        <f>IF(B21="","",IFERROR(VLOOKUP(B21,'ANÁLISE DE DADOS'!$A:$AM,2,0),""))</f>
        <v>Matriz</v>
      </c>
      <c r="E21" s="61" t="str">
        <f>IF(B21="","",IFERROR(VLOOKUP(B21,'ANÁLISE DE DADOS'!$A:$AM,3,0),""))</f>
        <v>Alpha &amp; CIA</v>
      </c>
      <c r="F21" s="61" t="str">
        <f>IF(B21="","",IFERROR(VLOOKUP(B21,'ANÁLISE DE DADOS'!$A:$AM,4,0),""))</f>
        <v>Alpha &amp; CIA</v>
      </c>
      <c r="G21" s="62">
        <f>IF(B21="","",IFERROR(VLOOKUP(B21,'ANÁLISE DE DADOS'!$A:$AM,5,0),""))</f>
        <v>45677</v>
      </c>
      <c r="H21" s="62" t="str">
        <f>IF(B21="","",IFERROR(VLOOKUP(B21,'ANÁLISE DE DADOS'!$A:$AM,6,0),""))</f>
        <v>jan-25</v>
      </c>
      <c r="I21" s="62" t="str">
        <f>IF(B21="","",IFERROR(VLOOKUP(B21,'ANÁLISE DE DADOS'!$A:$AM,7,0),""))</f>
        <v>2025</v>
      </c>
      <c r="J21" s="62">
        <f>IF(B21="","",IFERROR(VLOOKUP(B21,'ANÁLISE DE DADOS'!$A:$AM,8,0),""))</f>
        <v>45706</v>
      </c>
      <c r="K21" s="61" t="str">
        <f>IF(B21="","",IFERROR(VLOOKUP(B21,'ANÁLISE DE DADOS'!$A:$AM,9,0),""))</f>
        <v>fev-25</v>
      </c>
      <c r="L21" s="61" t="str">
        <f>IF(B21="","",IFERROR(VLOOKUP(B21,'ANÁLISE DE DADOS'!$A:$AM,10,0),""))</f>
        <v>2025</v>
      </c>
      <c r="M21" s="62">
        <f>IF(B21="","",IFERROR(VLOOKUP(B21,'ANÁLISE DE DADOS'!$A:$AM,11,0),""))</f>
        <v>45737</v>
      </c>
      <c r="N21" s="61" t="str">
        <f>IF(B21="","",IFERROR(VLOOKUP(B21,'ANÁLISE DE DADOS'!$A:$AM,12,0),""))</f>
        <v>mar-25</v>
      </c>
      <c r="O21" s="61" t="str">
        <f>IF(B21="","",IFERROR(VLOOKUP(B21,'ANÁLISE DE DADOS'!$A:$AM,13,0),""))</f>
        <v>2025</v>
      </c>
      <c r="P21" s="63">
        <f>IF(B21="","",IFERROR(VLOOKUP(B21,'ANÁLISE DE DADOS'!$A:$AM,14,0),""))</f>
        <v>2800</v>
      </c>
      <c r="Q21" s="61" t="str">
        <f>IF(B21="","",IFERROR(VLOOKUP(B21,'ANÁLISE DE DADOS'!$A:$AM,15,0),""))</f>
        <v>Juliana</v>
      </c>
      <c r="R21" s="61" t="str">
        <f>IF(B21="","",IFERROR(VLOOKUP(B21,'ANÁLISE DE DADOS'!$A:$AM,16,0),""))</f>
        <v>ANALISTA SIMONE</v>
      </c>
      <c r="S21" s="61" t="str">
        <f>IF(B21="","",IFERROR(VLOOKUP(B21,'ANÁLISE DE DADOS'!$A:$AM,17,0),""))</f>
        <v>NÃO</v>
      </c>
      <c r="T21" s="61" t="str">
        <f>IF(B21="","",IFERROR(VLOOKUP(B21,'ANÁLISE DE DADOS'!$A:$AM,18,0),""))</f>
        <v>Cliente alegando dificuldades financeiras</v>
      </c>
      <c r="U21" s="61" t="str">
        <f ca="1">IF(B21="","",IFERROR(VLOOKUP(B21,'ANÁLISE DE DADOS'!$A:$AM,19,0),""))</f>
        <v>Vencido</v>
      </c>
      <c r="V21" s="61">
        <f ca="1">IF(B21="","",IFERROR(VLOOKUP(B21,'ANÁLISE DE DADOS'!$A:$AM,20,0),""))</f>
        <v>89</v>
      </c>
      <c r="W21" s="61" t="str">
        <f ca="1">IF(B21="","",IFERROR(VLOOKUP(B21,'ANÁLISE DE DADOS'!$A:$AM,21,0),""))</f>
        <v>61+ dias</v>
      </c>
      <c r="X21" s="61" t="str">
        <f ca="1">IF(B21="","",IFERROR(VLOOKUP(B21,'ANÁLISE DE DADOS'!$A:$AM,22,0),""))</f>
        <v>Atraso Crítico</v>
      </c>
      <c r="Y21" s="61" t="str">
        <f>IF(B21="","",IFERROR(VLOOKUP(B21,'ANÁLISE DE DADOS'!$A:$AM,23,0),""))</f>
        <v>-</v>
      </c>
      <c r="Z21" s="61" t="str">
        <f>IF(B21="","",IFERROR(VLOOKUP(B21,'ANÁLISE DE DADOS'!$A:$AM,24,0),""))</f>
        <v>Sim</v>
      </c>
      <c r="AA21" s="61">
        <f>IF(B21="","",IFERROR(VLOOKUP(B21,'ANÁLISE DE DADOS'!$A:$AM,25,0),""))</f>
        <v>0</v>
      </c>
      <c r="AB21" s="61">
        <f>IF(B21="","",IFERROR(VLOOKUP(B21,'ANÁLISE DE DADOS'!$A:$AM,26,0),""))</f>
        <v>1</v>
      </c>
      <c r="AC21" s="61" t="str">
        <f>IF(B21="","",IFERROR(VLOOKUP(B21,'ANÁLISE DE DADOS'!$A:$AM,27,0),""))</f>
        <v>Sim</v>
      </c>
      <c r="AD21" s="62">
        <f>IF(B21="","",IFERROR(VLOOKUP(B21,'ANÁLISE DE DADOS'!$A:$AM,28,0),""))</f>
        <v>45740</v>
      </c>
      <c r="AE21" s="61" t="str">
        <f>IF(B21="","",IFERROR(VLOOKUP(B21,'ANÁLISE DE DADOS'!$A:$AM,29,0),""))</f>
        <v>mar-25</v>
      </c>
      <c r="AF21" s="61" t="str">
        <f>IF(B21="","",IFERROR(VLOOKUP(B21,'ANÁLISE DE DADOS'!$A:$AM,30,0),""))</f>
        <v>2025</v>
      </c>
      <c r="AG21" s="62">
        <f>IF(B21="","",IFERROR(VLOOKUP(B21,'ANÁLISE DE DADOS'!$A:$AM,31,0),""))</f>
        <v>45802</v>
      </c>
      <c r="AH21" s="61" t="str">
        <f>IF(B21="","",IFERROR(VLOOKUP(B21,'ANÁLISE DE DADOS'!$A:$AM,32,0),""))</f>
        <v>mai-25</v>
      </c>
      <c r="AI21" s="61" t="str">
        <f>IF(B21="","",IFERROR(VLOOKUP(B21,'ANÁLISE DE DADOS'!$A:$AM,33,0),""))</f>
        <v>2025</v>
      </c>
      <c r="AJ21" s="61" t="str">
        <f>IF(B21="","",IFERROR(VLOOKUP(B21,'ANÁLISE DE DADOS'!$A:$AM,34,0),""))</f>
        <v>Acompanhando</v>
      </c>
      <c r="AK21" s="63">
        <f ca="1">IF(B21="","",IFERROR(VLOOKUP(B21,'ANÁLISE DE DADOS'!$A:$AM,35,0),""))</f>
        <v>2800</v>
      </c>
      <c r="AL21" s="63" t="str">
        <f ca="1">IF(B21="","",IFERROR(VLOOKUP(B21,'ANÁLISE DE DADOS'!$A:$AM,36,0),""))</f>
        <v>0</v>
      </c>
    </row>
    <row r="22" spans="2:38" x14ac:dyDescent="0.3">
      <c r="B22" s="30">
        <v>18</v>
      </c>
      <c r="C22" s="61">
        <f>IF(B22="","",IFERROR(VLOOKUP(B22,'ANÁLISE DE DADOS'!$A:$AM,1,0),""))</f>
        <v>18</v>
      </c>
      <c r="D22" s="61" t="str">
        <f>IF(B22="","",IFERROR(VLOOKUP(B22,'ANÁLISE DE DADOS'!$A:$AM,2,0),""))</f>
        <v>Matriz</v>
      </c>
      <c r="E22" s="61">
        <f>IF(B22="","",IFERROR(VLOOKUP(B22,'ANÁLISE DE DADOS'!$A:$AM,3,0),""))</f>
        <v>0</v>
      </c>
      <c r="F22" s="61" t="str">
        <f>IF(B22="","",IFERROR(VLOOKUP(B22,'ANÁLISE DE DADOS'!$A:$AM,4,0),""))</f>
        <v>MundoInovador</v>
      </c>
      <c r="G22" s="62">
        <f>IF(B22="","",IFERROR(VLOOKUP(B22,'ANÁLISE DE DADOS'!$A:$AM,5,0),""))</f>
        <v>45677</v>
      </c>
      <c r="H22" s="62" t="str">
        <f>IF(B22="","",IFERROR(VLOOKUP(B22,'ANÁLISE DE DADOS'!$A:$AM,6,0),""))</f>
        <v>jan-25</v>
      </c>
      <c r="I22" s="62" t="str">
        <f>IF(B22="","",IFERROR(VLOOKUP(B22,'ANÁLISE DE DADOS'!$A:$AM,7,0),""))</f>
        <v>2025</v>
      </c>
      <c r="J22" s="62">
        <f>IF(B22="","",IFERROR(VLOOKUP(B22,'ANÁLISE DE DADOS'!$A:$AM,8,0),""))</f>
        <v>45707</v>
      </c>
      <c r="K22" s="61" t="str">
        <f>IF(B22="","",IFERROR(VLOOKUP(B22,'ANÁLISE DE DADOS'!$A:$AM,9,0),""))</f>
        <v>fev-25</v>
      </c>
      <c r="L22" s="61" t="str">
        <f>IF(B22="","",IFERROR(VLOOKUP(B22,'ANÁLISE DE DADOS'!$A:$AM,10,0),""))</f>
        <v>2025</v>
      </c>
      <c r="M22" s="62">
        <f>IF(B22="","",IFERROR(VLOOKUP(B22,'ANÁLISE DE DADOS'!$A:$AM,11,0),""))</f>
        <v>45737</v>
      </c>
      <c r="N22" s="61" t="str">
        <f>IF(B22="","",IFERROR(VLOOKUP(B22,'ANÁLISE DE DADOS'!$A:$AM,12,0),""))</f>
        <v>mar-25</v>
      </c>
      <c r="O22" s="61" t="str">
        <f>IF(B22="","",IFERROR(VLOOKUP(B22,'ANÁLISE DE DADOS'!$A:$AM,13,0),""))</f>
        <v>2025</v>
      </c>
      <c r="P22" s="63">
        <f>IF(B22="","",IFERROR(VLOOKUP(B22,'ANÁLISE DE DADOS'!$A:$AM,14,0),""))</f>
        <v>2800</v>
      </c>
      <c r="Q22" s="61" t="str">
        <f>IF(B22="","",IFERROR(VLOOKUP(B22,'ANÁLISE DE DADOS'!$A:$AM,15,0),""))</f>
        <v>Juliana</v>
      </c>
      <c r="R22" s="61" t="str">
        <f>IF(B22="","",IFERROR(VLOOKUP(B22,'ANÁLISE DE DADOS'!$A:$AM,16,0),""))</f>
        <v>ANALISTA SIMONE</v>
      </c>
      <c r="S22" s="61" t="str">
        <f>IF(B22="","",IFERROR(VLOOKUP(B22,'ANÁLISE DE DADOS'!$A:$AM,17,0),""))</f>
        <v>NÃO</v>
      </c>
      <c r="T22" s="61" t="str">
        <f>IF(B22="","",IFERROR(VLOOKUP(B22,'ANÁLISE DE DADOS'!$A:$AM,18,0),""))</f>
        <v>Aguardando resolução interna da empresa</v>
      </c>
      <c r="U22" s="61" t="str">
        <f ca="1">IF(B22="","",IFERROR(VLOOKUP(B22,'ANÁLISE DE DADOS'!$A:$AM,19,0),""))</f>
        <v>Vencido</v>
      </c>
      <c r="V22" s="61">
        <f ca="1">IF(B22="","",IFERROR(VLOOKUP(B22,'ANÁLISE DE DADOS'!$A:$AM,20,0),""))</f>
        <v>88</v>
      </c>
      <c r="W22" s="61" t="str">
        <f ca="1">IF(B22="","",IFERROR(VLOOKUP(B22,'ANÁLISE DE DADOS'!$A:$AM,21,0),""))</f>
        <v>61+ dias</v>
      </c>
      <c r="X22" s="61" t="str">
        <f ca="1">IF(B22="","",IFERROR(VLOOKUP(B22,'ANÁLISE DE DADOS'!$A:$AM,22,0),""))</f>
        <v>Atraso Crítico</v>
      </c>
      <c r="Y22" s="61" t="str">
        <f>IF(B22="","",IFERROR(VLOOKUP(B22,'ANÁLISE DE DADOS'!$A:$AM,23,0),""))</f>
        <v>-</v>
      </c>
      <c r="Z22" s="61" t="str">
        <f>IF(B22="","",IFERROR(VLOOKUP(B22,'ANÁLISE DE DADOS'!$A:$AM,24,0),""))</f>
        <v>Sim</v>
      </c>
      <c r="AA22" s="61">
        <f>IF(B22="","",IFERROR(VLOOKUP(B22,'ANÁLISE DE DADOS'!$A:$AM,25,0),""))</f>
        <v>0</v>
      </c>
      <c r="AB22" s="61">
        <f>IF(B22="","",IFERROR(VLOOKUP(B22,'ANÁLISE DE DADOS'!$A:$AM,26,0),""))</f>
        <v>1</v>
      </c>
      <c r="AC22" s="61" t="str">
        <f>IF(B22="","",IFERROR(VLOOKUP(B22,'ANÁLISE DE DADOS'!$A:$AM,27,0),""))</f>
        <v>Sim</v>
      </c>
      <c r="AD22" s="62">
        <f>IF(B22="","",IFERROR(VLOOKUP(B22,'ANÁLISE DE DADOS'!$A:$AM,28,0),""))</f>
        <v>45740</v>
      </c>
      <c r="AE22" s="61" t="str">
        <f>IF(B22="","",IFERROR(VLOOKUP(B22,'ANÁLISE DE DADOS'!$A:$AM,29,0),""))</f>
        <v>mar-25</v>
      </c>
      <c r="AF22" s="61" t="str">
        <f>IF(B22="","",IFERROR(VLOOKUP(B22,'ANÁLISE DE DADOS'!$A:$AM,30,0),""))</f>
        <v>2025</v>
      </c>
      <c r="AG22" s="62">
        <f>IF(B22="","",IFERROR(VLOOKUP(B22,'ANÁLISE DE DADOS'!$A:$AM,31,0),""))</f>
        <v>45802</v>
      </c>
      <c r="AH22" s="61" t="str">
        <f>IF(B22="","",IFERROR(VLOOKUP(B22,'ANÁLISE DE DADOS'!$A:$AM,32,0),""))</f>
        <v>mai-25</v>
      </c>
      <c r="AI22" s="61" t="str">
        <f>IF(B22="","",IFERROR(VLOOKUP(B22,'ANÁLISE DE DADOS'!$A:$AM,33,0),""))</f>
        <v>2025</v>
      </c>
      <c r="AJ22" s="61" t="str">
        <f>IF(B22="","",IFERROR(VLOOKUP(B22,'ANÁLISE DE DADOS'!$A:$AM,34,0),""))</f>
        <v>Acompanhando</v>
      </c>
      <c r="AK22" s="63">
        <f ca="1">IF(B22="","",IFERROR(VLOOKUP(B22,'ANÁLISE DE DADOS'!$A:$AM,35,0),""))</f>
        <v>2800</v>
      </c>
      <c r="AL22" s="63" t="str">
        <f ca="1">IF(B22="","",IFERROR(VLOOKUP(B22,'ANÁLISE DE DADOS'!$A:$AM,36,0),""))</f>
        <v>0</v>
      </c>
    </row>
    <row r="23" spans="2:38" x14ac:dyDescent="0.3">
      <c r="B23" s="30">
        <v>19</v>
      </c>
      <c r="C23" s="61">
        <f>IF(B23="","",IFERROR(VLOOKUP(B23,'ANÁLISE DE DADOS'!$A:$AM,1,0),""))</f>
        <v>19</v>
      </c>
      <c r="D23" s="61" t="str">
        <f>IF(B23="","",IFERROR(VLOOKUP(B23,'ANÁLISE DE DADOS'!$A:$AM,2,0),""))</f>
        <v>Filial</v>
      </c>
      <c r="E23" s="61" t="str">
        <f>IF(B23="","",IFERROR(VLOOKUP(B23,'ANÁLISE DE DADOS'!$A:$AM,3,0),""))</f>
        <v>Alpha &amp; CIA</v>
      </c>
      <c r="F23" s="61" t="str">
        <f>IF(B23="","",IFERROR(VLOOKUP(B23,'ANÁLISE DE DADOS'!$A:$AM,4,0),""))</f>
        <v>Alpha &amp; CIA</v>
      </c>
      <c r="G23" s="62">
        <f>IF(B23="","",IFERROR(VLOOKUP(B23,'ANÁLISE DE DADOS'!$A:$AM,5,0),""))</f>
        <v>45682</v>
      </c>
      <c r="H23" s="62" t="str">
        <f>IF(B23="","",IFERROR(VLOOKUP(B23,'ANÁLISE DE DADOS'!$A:$AM,6,0),""))</f>
        <v>jan-25</v>
      </c>
      <c r="I23" s="62" t="str">
        <f>IF(B23="","",IFERROR(VLOOKUP(B23,'ANÁLISE DE DADOS'!$A:$AM,7,0),""))</f>
        <v>2025</v>
      </c>
      <c r="J23" s="62">
        <f>IF(B23="","",IFERROR(VLOOKUP(B23,'ANÁLISE DE DADOS'!$A:$AM,8,0),""))</f>
        <v>45708</v>
      </c>
      <c r="K23" s="61" t="str">
        <f>IF(B23="","",IFERROR(VLOOKUP(B23,'ANÁLISE DE DADOS'!$A:$AM,9,0),""))</f>
        <v>fev-25</v>
      </c>
      <c r="L23" s="61" t="str">
        <f>IF(B23="","",IFERROR(VLOOKUP(B23,'ANÁLISE DE DADOS'!$A:$AM,10,0),""))</f>
        <v>2025</v>
      </c>
      <c r="M23" s="62">
        <f>IF(B23="","",IFERROR(VLOOKUP(B23,'ANÁLISE DE DADOS'!$A:$AM,11,0),""))</f>
        <v>45737</v>
      </c>
      <c r="N23" s="61" t="str">
        <f>IF(B23="","",IFERROR(VLOOKUP(B23,'ANÁLISE DE DADOS'!$A:$AM,12,0),""))</f>
        <v>mar-25</v>
      </c>
      <c r="O23" s="61" t="str">
        <f>IF(B23="","",IFERROR(VLOOKUP(B23,'ANÁLISE DE DADOS'!$A:$AM,13,0),""))</f>
        <v>2025</v>
      </c>
      <c r="P23" s="63">
        <f>IF(B23="","",IFERROR(VLOOKUP(B23,'ANÁLISE DE DADOS'!$A:$AM,14,0),""))</f>
        <v>1200</v>
      </c>
      <c r="Q23" s="61" t="str">
        <f>IF(B23="","",IFERROR(VLOOKUP(B23,'ANÁLISE DE DADOS'!$A:$AM,15,0),""))</f>
        <v>Gustavo</v>
      </c>
      <c r="R23" s="61" t="str">
        <f>IF(B23="","",IFERROR(VLOOKUP(B23,'ANÁLISE DE DADOS'!$A:$AM,16,0),""))</f>
        <v>ANALISTA SIMONE</v>
      </c>
      <c r="S23" s="61" t="str">
        <f>IF(B23="","",IFERROR(VLOOKUP(B23,'ANÁLISE DE DADOS'!$A:$AM,17,0),""))</f>
        <v>NÃO</v>
      </c>
      <c r="T23" s="61" t="str">
        <f>IF(B23="","",IFERROR(VLOOKUP(B23,'ANÁLISE DE DADOS'!$A:$AM,18,0),""))</f>
        <v>Promessa de pagamento não cumprida</v>
      </c>
      <c r="U23" s="61" t="str">
        <f ca="1">IF(B23="","",IFERROR(VLOOKUP(B23,'ANÁLISE DE DADOS'!$A:$AM,19,0),""))</f>
        <v>Vencido</v>
      </c>
      <c r="V23" s="61">
        <f ca="1">IF(B23="","",IFERROR(VLOOKUP(B23,'ANÁLISE DE DADOS'!$A:$AM,20,0),""))</f>
        <v>87</v>
      </c>
      <c r="W23" s="61" t="str">
        <f ca="1">IF(B23="","",IFERROR(VLOOKUP(B23,'ANÁLISE DE DADOS'!$A:$AM,21,0),""))</f>
        <v>61+ dias</v>
      </c>
      <c r="X23" s="61" t="str">
        <f ca="1">IF(B23="","",IFERROR(VLOOKUP(B23,'ANÁLISE DE DADOS'!$A:$AM,22,0),""))</f>
        <v>Atraso Crítico</v>
      </c>
      <c r="Y23" s="61" t="str">
        <f>IF(B23="","",IFERROR(VLOOKUP(B23,'ANÁLISE DE DADOS'!$A:$AM,23,0),""))</f>
        <v>-</v>
      </c>
      <c r="Z23" s="61" t="str">
        <f>IF(B23="","",IFERROR(VLOOKUP(B23,'ANÁLISE DE DADOS'!$A:$AM,24,0),""))</f>
        <v>Sim</v>
      </c>
      <c r="AA23" s="61">
        <f>IF(B23="","",IFERROR(VLOOKUP(B23,'ANÁLISE DE DADOS'!$A:$AM,25,0),""))</f>
        <v>0</v>
      </c>
      <c r="AB23" s="61">
        <f>IF(B23="","",IFERROR(VLOOKUP(B23,'ANÁLISE DE DADOS'!$A:$AM,26,0),""))</f>
        <v>1</v>
      </c>
      <c r="AC23" s="61" t="str">
        <f>IF(B23="","",IFERROR(VLOOKUP(B23,'ANÁLISE DE DADOS'!$A:$AM,27,0),""))</f>
        <v>Sim</v>
      </c>
      <c r="AD23" s="62">
        <f>IF(B23="","",IFERROR(VLOOKUP(B23,'ANÁLISE DE DADOS'!$A:$AM,28,0),""))</f>
        <v>45740</v>
      </c>
      <c r="AE23" s="61" t="str">
        <f>IF(B23="","",IFERROR(VLOOKUP(B23,'ANÁLISE DE DADOS'!$A:$AM,29,0),""))</f>
        <v>mar-25</v>
      </c>
      <c r="AF23" s="61" t="str">
        <f>IF(B23="","",IFERROR(VLOOKUP(B23,'ANÁLISE DE DADOS'!$A:$AM,30,0),""))</f>
        <v>2025</v>
      </c>
      <c r="AG23" s="62">
        <f>IF(B23="","",IFERROR(VLOOKUP(B23,'ANÁLISE DE DADOS'!$A:$AM,31,0),""))</f>
        <v>45802</v>
      </c>
      <c r="AH23" s="61" t="str">
        <f>IF(B23="","",IFERROR(VLOOKUP(B23,'ANÁLISE DE DADOS'!$A:$AM,32,0),""))</f>
        <v>mai-25</v>
      </c>
      <c r="AI23" s="61" t="str">
        <f>IF(B23="","",IFERROR(VLOOKUP(B23,'ANÁLISE DE DADOS'!$A:$AM,33,0),""))</f>
        <v>2025</v>
      </c>
      <c r="AJ23" s="61" t="str">
        <f>IF(B23="","",IFERROR(VLOOKUP(B23,'ANÁLISE DE DADOS'!$A:$AM,34,0),""))</f>
        <v>Acompanhando</v>
      </c>
      <c r="AK23" s="63">
        <f ca="1">IF(B23="","",IFERROR(VLOOKUP(B23,'ANÁLISE DE DADOS'!$A:$AM,35,0),""))</f>
        <v>1200</v>
      </c>
      <c r="AL23" s="63" t="str">
        <f ca="1">IF(B23="","",IFERROR(VLOOKUP(B23,'ANÁLISE DE DADOS'!$A:$AM,36,0),""))</f>
        <v>0</v>
      </c>
    </row>
    <row r="24" spans="2:38" x14ac:dyDescent="0.3">
      <c r="B24" s="30">
        <v>20</v>
      </c>
      <c r="C24" s="61">
        <f>IF(B24="","",IFERROR(VLOOKUP(B24,'ANÁLISE DE DADOS'!$A:$AM,1,0),""))</f>
        <v>20</v>
      </c>
      <c r="D24" s="61" t="str">
        <f>IF(B24="","",IFERROR(VLOOKUP(B24,'ANÁLISE DE DADOS'!$A:$AM,2,0),""))</f>
        <v>Filial</v>
      </c>
      <c r="E24" s="61">
        <f>IF(B24="","",IFERROR(VLOOKUP(B24,'ANÁLISE DE DADOS'!$A:$AM,3,0),""))</f>
        <v>0</v>
      </c>
      <c r="F24" s="61" t="str">
        <f>IF(B24="","",IFERROR(VLOOKUP(B24,'ANÁLISE DE DADOS'!$A:$AM,4,0),""))</f>
        <v>MundoInovador</v>
      </c>
      <c r="G24" s="62">
        <f>IF(B24="","",IFERROR(VLOOKUP(B24,'ANÁLISE DE DADOS'!$A:$AM,5,0),""))</f>
        <v>45682</v>
      </c>
      <c r="H24" s="62" t="str">
        <f>IF(B24="","",IFERROR(VLOOKUP(B24,'ANÁLISE DE DADOS'!$A:$AM,6,0),""))</f>
        <v>jan-25</v>
      </c>
      <c r="I24" s="62" t="str">
        <f>IF(B24="","",IFERROR(VLOOKUP(B24,'ANÁLISE DE DADOS'!$A:$AM,7,0),""))</f>
        <v>2025</v>
      </c>
      <c r="J24" s="62">
        <f>IF(B24="","",IFERROR(VLOOKUP(B24,'ANÁLISE DE DADOS'!$A:$AM,8,0),""))</f>
        <v>45709</v>
      </c>
      <c r="K24" s="61" t="str">
        <f>IF(B24="","",IFERROR(VLOOKUP(B24,'ANÁLISE DE DADOS'!$A:$AM,9,0),""))</f>
        <v>fev-25</v>
      </c>
      <c r="L24" s="61" t="str">
        <f>IF(B24="","",IFERROR(VLOOKUP(B24,'ANÁLISE DE DADOS'!$A:$AM,10,0),""))</f>
        <v>2025</v>
      </c>
      <c r="M24" s="62">
        <f>IF(B24="","",IFERROR(VLOOKUP(B24,'ANÁLISE DE DADOS'!$A:$AM,11,0),""))</f>
        <v>45709</v>
      </c>
      <c r="N24" s="61" t="str">
        <f>IF(B24="","",IFERROR(VLOOKUP(B24,'ANÁLISE DE DADOS'!$A:$AM,12,0),""))</f>
        <v>fev-25</v>
      </c>
      <c r="O24" s="61" t="str">
        <f>IF(B24="","",IFERROR(VLOOKUP(B24,'ANÁLISE DE DADOS'!$A:$AM,13,0),""))</f>
        <v>2025</v>
      </c>
      <c r="P24" s="63">
        <f>IF(B24="","",IFERROR(VLOOKUP(B24,'ANÁLISE DE DADOS'!$A:$AM,14,0),""))</f>
        <v>1200</v>
      </c>
      <c r="Q24" s="61" t="str">
        <f>IF(B24="","",IFERROR(VLOOKUP(B24,'ANÁLISE DE DADOS'!$A:$AM,15,0),""))</f>
        <v>Gustavo</v>
      </c>
      <c r="R24" s="61" t="str">
        <f>IF(B24="","",IFERROR(VLOOKUP(B24,'ANÁLISE DE DADOS'!$A:$AM,16,0),""))</f>
        <v>ANALISTA SIMONE</v>
      </c>
      <c r="S24" s="61" t="str">
        <f>IF(B24="","",IFERROR(VLOOKUP(B24,'ANÁLISE DE DADOS'!$A:$AM,17,0),""))</f>
        <v>NÃO</v>
      </c>
      <c r="T24" s="61" t="str">
        <f>IF(B24="","",IFERROR(VLOOKUP(B24,'ANÁLISE DE DADOS'!$A:$AM,18,0),""))</f>
        <v>Situação com comercial (aguardando análise comercial)</v>
      </c>
      <c r="U24" s="61" t="str">
        <f ca="1">IF(B24="","",IFERROR(VLOOKUP(B24,'ANÁLISE DE DADOS'!$A:$AM,19,0),""))</f>
        <v>Vencido</v>
      </c>
      <c r="V24" s="61">
        <f ca="1">IF(B24="","",IFERROR(VLOOKUP(B24,'ANÁLISE DE DADOS'!$A:$AM,20,0),""))</f>
        <v>86</v>
      </c>
      <c r="W24" s="61" t="str">
        <f ca="1">IF(B24="","",IFERROR(VLOOKUP(B24,'ANÁLISE DE DADOS'!$A:$AM,21,0),""))</f>
        <v>61+ dias</v>
      </c>
      <c r="X24" s="61" t="str">
        <f ca="1">IF(B24="","",IFERROR(VLOOKUP(B24,'ANÁLISE DE DADOS'!$A:$AM,22,0),""))</f>
        <v>Atraso Crítico</v>
      </c>
      <c r="Y24" s="61" t="str">
        <f>IF(B24="","",IFERROR(VLOOKUP(B24,'ANÁLISE DE DADOS'!$A:$AM,23,0),""))</f>
        <v>-</v>
      </c>
      <c r="Z24" s="61" t="str">
        <f>IF(B24="","",IFERROR(VLOOKUP(B24,'ANÁLISE DE DADOS'!$A:$AM,24,0),""))</f>
        <v>Sim</v>
      </c>
      <c r="AA24" s="61">
        <f>IF(B24="","",IFERROR(VLOOKUP(B24,'ANÁLISE DE DADOS'!$A:$AM,25,0),""))</f>
        <v>0</v>
      </c>
      <c r="AB24" s="61">
        <f>IF(B24="","",IFERROR(VLOOKUP(B24,'ANÁLISE DE DADOS'!$A:$AM,26,0),""))</f>
        <v>1</v>
      </c>
      <c r="AC24" s="61" t="str">
        <f>IF(B24="","",IFERROR(VLOOKUP(B24,'ANÁLISE DE DADOS'!$A:$AM,27,0),""))</f>
        <v>Sim</v>
      </c>
      <c r="AD24" s="62">
        <f>IF(B24="","",IFERROR(VLOOKUP(B24,'ANÁLISE DE DADOS'!$A:$AM,28,0),""))</f>
        <v>45740</v>
      </c>
      <c r="AE24" s="61" t="str">
        <f>IF(B24="","",IFERROR(VLOOKUP(B24,'ANÁLISE DE DADOS'!$A:$AM,29,0),""))</f>
        <v>mar-25</v>
      </c>
      <c r="AF24" s="61" t="str">
        <f>IF(B24="","",IFERROR(VLOOKUP(B24,'ANÁLISE DE DADOS'!$A:$AM,30,0),""))</f>
        <v>2025</v>
      </c>
      <c r="AG24" s="62">
        <f>IF(B24="","",IFERROR(VLOOKUP(B24,'ANÁLISE DE DADOS'!$A:$AM,31,0),""))</f>
        <v>45802</v>
      </c>
      <c r="AH24" s="61" t="str">
        <f>IF(B24="","",IFERROR(VLOOKUP(B24,'ANÁLISE DE DADOS'!$A:$AM,32,0),""))</f>
        <v>mai-25</v>
      </c>
      <c r="AI24" s="61" t="str">
        <f>IF(B24="","",IFERROR(VLOOKUP(B24,'ANÁLISE DE DADOS'!$A:$AM,33,0),""))</f>
        <v>2025</v>
      </c>
      <c r="AJ24" s="61" t="str">
        <f>IF(B24="","",IFERROR(VLOOKUP(B24,'ANÁLISE DE DADOS'!$A:$AM,34,0),""))</f>
        <v>Acompanhando</v>
      </c>
      <c r="AK24" s="63">
        <f ca="1">IF(B24="","",IFERROR(VLOOKUP(B24,'ANÁLISE DE DADOS'!$A:$AM,35,0),""))</f>
        <v>1200</v>
      </c>
      <c r="AL24" s="63" t="str">
        <f ca="1">IF(B24="","",IFERROR(VLOOKUP(B24,'ANÁLISE DE DADOS'!$A:$AM,36,0),""))</f>
        <v>0</v>
      </c>
    </row>
    <row r="25" spans="2:38" x14ac:dyDescent="0.3">
      <c r="B25" s="30">
        <v>21</v>
      </c>
      <c r="C25" s="61">
        <f>IF(B25="","",IFERROR(VLOOKUP(B25,'ANÁLISE DE DADOS'!$A:$AM,1,0),""))</f>
        <v>21</v>
      </c>
      <c r="D25" s="61" t="str">
        <f>IF(B25="","",IFERROR(VLOOKUP(B25,'ANÁLISE DE DADOS'!$A:$AM,2,0),""))</f>
        <v>Matriz</v>
      </c>
      <c r="E25" s="61" t="str">
        <f>IF(B25="","",IFERROR(VLOOKUP(B25,'ANÁLISE DE DADOS'!$A:$AM,3,0),""))</f>
        <v>Gamma &amp; CIA</v>
      </c>
      <c r="F25" s="61" t="str">
        <f>IF(B25="","",IFERROR(VLOOKUP(B25,'ANÁLISE DE DADOS'!$A:$AM,4,0),""))</f>
        <v>Gamma &amp; CIA</v>
      </c>
      <c r="G25" s="62">
        <f>IF(B25="","",IFERROR(VLOOKUP(B25,'ANÁLISE DE DADOS'!$A:$AM,5,0),""))</f>
        <v>45689</v>
      </c>
      <c r="H25" s="62" t="str">
        <f>IF(B25="","",IFERROR(VLOOKUP(B25,'ANÁLISE DE DADOS'!$A:$AM,6,0),""))</f>
        <v>fev-25</v>
      </c>
      <c r="I25" s="62" t="str">
        <f>IF(B25="","",IFERROR(VLOOKUP(B25,'ANÁLISE DE DADOS'!$A:$AM,7,0),""))</f>
        <v>2025</v>
      </c>
      <c r="J25" s="62">
        <f>IF(B25="","",IFERROR(VLOOKUP(B25,'ANÁLISE DE DADOS'!$A:$AM,8,0),""))</f>
        <v>45708</v>
      </c>
      <c r="K25" s="61" t="str">
        <f>IF(B25="","",IFERROR(VLOOKUP(B25,'ANÁLISE DE DADOS'!$A:$AM,9,0),""))</f>
        <v>fev-25</v>
      </c>
      <c r="L25" s="61" t="str">
        <f>IF(B25="","",IFERROR(VLOOKUP(B25,'ANÁLISE DE DADOS'!$A:$AM,10,0),""))</f>
        <v>2025</v>
      </c>
      <c r="M25" s="62">
        <f>IF(B25="","",IFERROR(VLOOKUP(B25,'ANÁLISE DE DADOS'!$A:$AM,11,0),""))</f>
        <v>45708</v>
      </c>
      <c r="N25" s="61" t="str">
        <f>IF(B25="","",IFERROR(VLOOKUP(B25,'ANÁLISE DE DADOS'!$A:$AM,12,0),""))</f>
        <v>fev-25</v>
      </c>
      <c r="O25" s="61" t="str">
        <f>IF(B25="","",IFERROR(VLOOKUP(B25,'ANÁLISE DE DADOS'!$A:$AM,13,0),""))</f>
        <v>2025</v>
      </c>
      <c r="P25" s="63">
        <f>IF(B25="","",IFERROR(VLOOKUP(B25,'ANÁLISE DE DADOS'!$A:$AM,14,0),""))</f>
        <v>2500</v>
      </c>
      <c r="Q25" s="61" t="str">
        <f>IF(B25="","",IFERROR(VLOOKUP(B25,'ANÁLISE DE DADOS'!$A:$AM,15,0),""))</f>
        <v>Fernanda</v>
      </c>
      <c r="R25" s="61" t="str">
        <f>IF(B25="","",IFERROR(VLOOKUP(B25,'ANÁLISE DE DADOS'!$A:$AM,16,0),""))</f>
        <v>ANALISTA SIMONE</v>
      </c>
      <c r="S25" s="61" t="str">
        <f>IF(B25="","",IFERROR(VLOOKUP(B25,'ANÁLISE DE DADOS'!$A:$AM,17,0),""))</f>
        <v>NÃO</v>
      </c>
      <c r="T25" s="61" t="str">
        <f>IF(B25="","",IFERROR(VLOOKUP(B25,'ANÁLISE DE DADOS'!$A:$AM,18,0),""))</f>
        <v>Acordo de pagamento pendente</v>
      </c>
      <c r="U25" s="61" t="str">
        <f ca="1">IF(B25="","",IFERROR(VLOOKUP(B25,'ANÁLISE DE DADOS'!$A:$AM,19,0),""))</f>
        <v>Vencido</v>
      </c>
      <c r="V25" s="61">
        <f ca="1">IF(B25="","",IFERROR(VLOOKUP(B25,'ANÁLISE DE DADOS'!$A:$AM,20,0),""))</f>
        <v>87</v>
      </c>
      <c r="W25" s="61" t="str">
        <f ca="1">IF(B25="","",IFERROR(VLOOKUP(B25,'ANÁLISE DE DADOS'!$A:$AM,21,0),""))</f>
        <v>61+ dias</v>
      </c>
      <c r="X25" s="61" t="str">
        <f ca="1">IF(B25="","",IFERROR(VLOOKUP(B25,'ANÁLISE DE DADOS'!$A:$AM,22,0),""))</f>
        <v>Atraso Crítico</v>
      </c>
      <c r="Y25" s="61" t="str">
        <f>IF(B25="","",IFERROR(VLOOKUP(B25,'ANÁLISE DE DADOS'!$A:$AM,23,0),""))</f>
        <v>-</v>
      </c>
      <c r="Z25" s="61" t="str">
        <f>IF(B25="","",IFERROR(VLOOKUP(B25,'ANÁLISE DE DADOS'!$A:$AM,24,0),""))</f>
        <v>Sim</v>
      </c>
      <c r="AA25" s="61">
        <f>IF(B25="","",IFERROR(VLOOKUP(B25,'ANÁLISE DE DADOS'!$A:$AM,25,0),""))</f>
        <v>0</v>
      </c>
      <c r="AB25" s="61">
        <f>IF(B25="","",IFERROR(VLOOKUP(B25,'ANÁLISE DE DADOS'!$A:$AM,26,0),""))</f>
        <v>1</v>
      </c>
      <c r="AC25" s="61" t="str">
        <f>IF(B25="","",IFERROR(VLOOKUP(B25,'ANÁLISE DE DADOS'!$A:$AM,27,0),""))</f>
        <v>Sim</v>
      </c>
      <c r="AD25" s="62">
        <f>IF(B25="","",IFERROR(VLOOKUP(B25,'ANÁLISE DE DADOS'!$A:$AM,28,0),""))</f>
        <v>45740</v>
      </c>
      <c r="AE25" s="61" t="str">
        <f>IF(B25="","",IFERROR(VLOOKUP(B25,'ANÁLISE DE DADOS'!$A:$AM,29,0),""))</f>
        <v>mar-25</v>
      </c>
      <c r="AF25" s="61" t="str">
        <f>IF(B25="","",IFERROR(VLOOKUP(B25,'ANÁLISE DE DADOS'!$A:$AM,30,0),""))</f>
        <v>2025</v>
      </c>
      <c r="AG25" s="62">
        <f>IF(B25="","",IFERROR(VLOOKUP(B25,'ANÁLISE DE DADOS'!$A:$AM,31,0),""))</f>
        <v>45802</v>
      </c>
      <c r="AH25" s="61" t="str">
        <f>IF(B25="","",IFERROR(VLOOKUP(B25,'ANÁLISE DE DADOS'!$A:$AM,32,0),""))</f>
        <v>mai-25</v>
      </c>
      <c r="AI25" s="61" t="str">
        <f>IF(B25="","",IFERROR(VLOOKUP(B25,'ANÁLISE DE DADOS'!$A:$AM,33,0),""))</f>
        <v>2025</v>
      </c>
      <c r="AJ25" s="61" t="str">
        <f>IF(B25="","",IFERROR(VLOOKUP(B25,'ANÁLISE DE DADOS'!$A:$AM,34,0),""))</f>
        <v>Acompanhando</v>
      </c>
      <c r="AK25" s="63">
        <f ca="1">IF(B25="","",IFERROR(VLOOKUP(B25,'ANÁLISE DE DADOS'!$A:$AM,35,0),""))</f>
        <v>2500</v>
      </c>
      <c r="AL25" s="63" t="str">
        <f ca="1">IF(B25="","",IFERROR(VLOOKUP(B25,'ANÁLISE DE DADOS'!$A:$AM,36,0),""))</f>
        <v>0</v>
      </c>
    </row>
    <row r="26" spans="2:38" x14ac:dyDescent="0.3">
      <c r="B26" s="30">
        <v>22</v>
      </c>
      <c r="C26" s="61">
        <f>IF(B26="","",IFERROR(VLOOKUP(B26,'ANÁLISE DE DADOS'!$A:$AM,1,0),""))</f>
        <v>22</v>
      </c>
      <c r="D26" s="61" t="str">
        <f>IF(B26="","",IFERROR(VLOOKUP(B26,'ANÁLISE DE DADOS'!$A:$AM,2,0),""))</f>
        <v>Matriz</v>
      </c>
      <c r="E26" s="61">
        <f>IF(B26="","",IFERROR(VLOOKUP(B26,'ANÁLISE DE DADOS'!$A:$AM,3,0),""))</f>
        <v>0</v>
      </c>
      <c r="F26" s="61" t="str">
        <f>IF(B26="","",IFERROR(VLOOKUP(B26,'ANÁLISE DE DADOS'!$A:$AM,4,0),""))</f>
        <v>MundoInovador</v>
      </c>
      <c r="G26" s="62">
        <f>IF(B26="","",IFERROR(VLOOKUP(B26,'ANÁLISE DE DADOS'!$A:$AM,5,0),""))</f>
        <v>45689</v>
      </c>
      <c r="H26" s="62" t="str">
        <f>IF(B26="","",IFERROR(VLOOKUP(B26,'ANÁLISE DE DADOS'!$A:$AM,6,0),""))</f>
        <v>fev-25</v>
      </c>
      <c r="I26" s="62" t="str">
        <f>IF(B26="","",IFERROR(VLOOKUP(B26,'ANÁLISE DE DADOS'!$A:$AM,7,0),""))</f>
        <v>2025</v>
      </c>
      <c r="J26" s="62">
        <f>IF(B26="","",IFERROR(VLOOKUP(B26,'ANÁLISE DE DADOS'!$A:$AM,8,0),""))</f>
        <v>45709</v>
      </c>
      <c r="K26" s="61" t="str">
        <f>IF(B26="","",IFERROR(VLOOKUP(B26,'ANÁLISE DE DADOS'!$A:$AM,9,0),""))</f>
        <v>fev-25</v>
      </c>
      <c r="L26" s="61" t="str">
        <f>IF(B26="","",IFERROR(VLOOKUP(B26,'ANÁLISE DE DADOS'!$A:$AM,10,0),""))</f>
        <v>2025</v>
      </c>
      <c r="M26" s="62">
        <f>IF(B26="","",IFERROR(VLOOKUP(B26,'ANÁLISE DE DADOS'!$A:$AM,11,0),""))</f>
        <v>45709</v>
      </c>
      <c r="N26" s="61" t="str">
        <f>IF(B26="","",IFERROR(VLOOKUP(B26,'ANÁLISE DE DADOS'!$A:$AM,12,0),""))</f>
        <v>fev-25</v>
      </c>
      <c r="O26" s="61" t="str">
        <f>IF(B26="","",IFERROR(VLOOKUP(B26,'ANÁLISE DE DADOS'!$A:$AM,13,0),""))</f>
        <v>2025</v>
      </c>
      <c r="P26" s="63">
        <f>IF(B26="","",IFERROR(VLOOKUP(B26,'ANÁLISE DE DADOS'!$A:$AM,14,0),""))</f>
        <v>2500</v>
      </c>
      <c r="Q26" s="61" t="str">
        <f>IF(B26="","",IFERROR(VLOOKUP(B26,'ANÁLISE DE DADOS'!$A:$AM,15,0),""))</f>
        <v>Fernanda</v>
      </c>
      <c r="R26" s="61" t="str">
        <f>IF(B26="","",IFERROR(VLOOKUP(B26,'ANÁLISE DE DADOS'!$A:$AM,16,0),""))</f>
        <v>ANALISTA SIMONE</v>
      </c>
      <c r="S26" s="61" t="str">
        <f>IF(B26="","",IFERROR(VLOOKUP(B26,'ANÁLISE DE DADOS'!$A:$AM,17,0),""))</f>
        <v>NÃO</v>
      </c>
      <c r="T26" s="61" t="str">
        <f>IF(B26="","",IFERROR(VLOOKUP(B26,'ANÁLISE DE DADOS'!$A:$AM,18,0),""))</f>
        <v>Aguardando aprovação de crédito</v>
      </c>
      <c r="U26" s="61" t="str">
        <f ca="1">IF(B26="","",IFERROR(VLOOKUP(B26,'ANÁLISE DE DADOS'!$A:$AM,19,0),""))</f>
        <v>Vencido</v>
      </c>
      <c r="V26" s="61">
        <f ca="1">IF(B26="","",IFERROR(VLOOKUP(B26,'ANÁLISE DE DADOS'!$A:$AM,20,0),""))</f>
        <v>86</v>
      </c>
      <c r="W26" s="61" t="str">
        <f ca="1">IF(B26="","",IFERROR(VLOOKUP(B26,'ANÁLISE DE DADOS'!$A:$AM,21,0),""))</f>
        <v>61+ dias</v>
      </c>
      <c r="X26" s="61" t="str">
        <f ca="1">IF(B26="","",IFERROR(VLOOKUP(B26,'ANÁLISE DE DADOS'!$A:$AM,22,0),""))</f>
        <v>Atraso Crítico</v>
      </c>
      <c r="Y26" s="61" t="str">
        <f>IF(B26="","",IFERROR(VLOOKUP(B26,'ANÁLISE DE DADOS'!$A:$AM,23,0),""))</f>
        <v>-</v>
      </c>
      <c r="Z26" s="61" t="str">
        <f>IF(B26="","",IFERROR(VLOOKUP(B26,'ANÁLISE DE DADOS'!$A:$AM,24,0),""))</f>
        <v>Sim</v>
      </c>
      <c r="AA26" s="61">
        <f>IF(B26="","",IFERROR(VLOOKUP(B26,'ANÁLISE DE DADOS'!$A:$AM,25,0),""))</f>
        <v>0</v>
      </c>
      <c r="AB26" s="61">
        <f>IF(B26="","",IFERROR(VLOOKUP(B26,'ANÁLISE DE DADOS'!$A:$AM,26,0),""))</f>
        <v>1</v>
      </c>
      <c r="AC26" s="61" t="str">
        <f>IF(B26="","",IFERROR(VLOOKUP(B26,'ANÁLISE DE DADOS'!$A:$AM,27,0),""))</f>
        <v>Sim</v>
      </c>
      <c r="AD26" s="62">
        <f>IF(B26="","",IFERROR(VLOOKUP(B26,'ANÁLISE DE DADOS'!$A:$AM,28,0),""))</f>
        <v>45740</v>
      </c>
      <c r="AE26" s="61" t="str">
        <f>IF(B26="","",IFERROR(VLOOKUP(B26,'ANÁLISE DE DADOS'!$A:$AM,29,0),""))</f>
        <v>mar-25</v>
      </c>
      <c r="AF26" s="61" t="str">
        <f>IF(B26="","",IFERROR(VLOOKUP(B26,'ANÁLISE DE DADOS'!$A:$AM,30,0),""))</f>
        <v>2025</v>
      </c>
      <c r="AG26" s="62">
        <f>IF(B26="","",IFERROR(VLOOKUP(B26,'ANÁLISE DE DADOS'!$A:$AM,31,0),""))</f>
        <v>45802</v>
      </c>
      <c r="AH26" s="61" t="str">
        <f>IF(B26="","",IFERROR(VLOOKUP(B26,'ANÁLISE DE DADOS'!$A:$AM,32,0),""))</f>
        <v>mai-25</v>
      </c>
      <c r="AI26" s="61" t="str">
        <f>IF(B26="","",IFERROR(VLOOKUP(B26,'ANÁLISE DE DADOS'!$A:$AM,33,0),""))</f>
        <v>2025</v>
      </c>
      <c r="AJ26" s="61" t="str">
        <f>IF(B26="","",IFERROR(VLOOKUP(B26,'ANÁLISE DE DADOS'!$A:$AM,34,0),""))</f>
        <v>Acompanhando</v>
      </c>
      <c r="AK26" s="63">
        <f ca="1">IF(B26="","",IFERROR(VLOOKUP(B26,'ANÁLISE DE DADOS'!$A:$AM,35,0),""))</f>
        <v>2500</v>
      </c>
      <c r="AL26" s="63" t="str">
        <f ca="1">IF(B26="","",IFERROR(VLOOKUP(B26,'ANÁLISE DE DADOS'!$A:$AM,36,0),""))</f>
        <v>0</v>
      </c>
    </row>
    <row r="27" spans="2:38" x14ac:dyDescent="0.3">
      <c r="B27" s="30">
        <v>23</v>
      </c>
      <c r="C27" s="61">
        <f>IF(B27="","",IFERROR(VLOOKUP(B27,'ANÁLISE DE DADOS'!$A:$AM,1,0),""))</f>
        <v>23</v>
      </c>
      <c r="D27" s="61" t="str">
        <f>IF(B27="","",IFERROR(VLOOKUP(B27,'ANÁLISE DE DADOS'!$A:$AM,2,0),""))</f>
        <v>Filial</v>
      </c>
      <c r="E27" s="61" t="str">
        <f>IF(B27="","",IFERROR(VLOOKUP(B27,'ANÁLISE DE DADOS'!$A:$AM,3,0),""))</f>
        <v>Gamma &amp; CIA</v>
      </c>
      <c r="F27" s="61" t="str">
        <f>IF(B27="","",IFERROR(VLOOKUP(B27,'ANÁLISE DE DADOS'!$A:$AM,4,0),""))</f>
        <v>Gamma &amp; CIA</v>
      </c>
      <c r="G27" s="62">
        <f>IF(B27="","",IFERROR(VLOOKUP(B27,'ANÁLISE DE DADOS'!$A:$AM,5,0),""))</f>
        <v>45690</v>
      </c>
      <c r="H27" s="62" t="str">
        <f>IF(B27="","",IFERROR(VLOOKUP(B27,'ANÁLISE DE DADOS'!$A:$AM,6,0),""))</f>
        <v>fev-25</v>
      </c>
      <c r="I27" s="62" t="str">
        <f>IF(B27="","",IFERROR(VLOOKUP(B27,'ANÁLISE DE DADOS'!$A:$AM,7,0),""))</f>
        <v>2025</v>
      </c>
      <c r="J27" s="62">
        <f>IF(B27="","",IFERROR(VLOOKUP(B27,'ANÁLISE DE DADOS'!$A:$AM,8,0),""))</f>
        <v>45710</v>
      </c>
      <c r="K27" s="61" t="str">
        <f>IF(B27="","",IFERROR(VLOOKUP(B27,'ANÁLISE DE DADOS'!$A:$AM,9,0),""))</f>
        <v>fev-25</v>
      </c>
      <c r="L27" s="61" t="str">
        <f>IF(B27="","",IFERROR(VLOOKUP(B27,'ANÁLISE DE DADOS'!$A:$AM,10,0),""))</f>
        <v>2025</v>
      </c>
      <c r="M27" s="62">
        <f>IF(B27="","",IFERROR(VLOOKUP(B27,'ANÁLISE DE DADOS'!$A:$AM,11,0),""))</f>
        <v>45710</v>
      </c>
      <c r="N27" s="61" t="str">
        <f>IF(B27="","",IFERROR(VLOOKUP(B27,'ANÁLISE DE DADOS'!$A:$AM,12,0),""))</f>
        <v>fev-25</v>
      </c>
      <c r="O27" s="61" t="str">
        <f>IF(B27="","",IFERROR(VLOOKUP(B27,'ANÁLISE DE DADOS'!$A:$AM,13,0),""))</f>
        <v>2025</v>
      </c>
      <c r="P27" s="63">
        <f>IF(B27="","",IFERROR(VLOOKUP(B27,'ANÁLISE DE DADOS'!$A:$AM,14,0),""))</f>
        <v>3000</v>
      </c>
      <c r="Q27" s="61" t="str">
        <f>IF(B27="","",IFERROR(VLOOKUP(B27,'ANÁLISE DE DADOS'!$A:$AM,15,0),""))</f>
        <v>Felipe</v>
      </c>
      <c r="R27" s="61" t="str">
        <f>IF(B27="","",IFERROR(VLOOKUP(B27,'ANÁLISE DE DADOS'!$A:$AM,16,0),""))</f>
        <v>ANALISTA SIMONE</v>
      </c>
      <c r="S27" s="61" t="str">
        <f>IF(B27="","",IFERROR(VLOOKUP(B27,'ANÁLISE DE DADOS'!$A:$AM,17,0),""))</f>
        <v>NÃO</v>
      </c>
      <c r="T27" s="61" t="str">
        <f>IF(B27="","",IFERROR(VLOOKUP(B27,'ANÁLISE DE DADOS'!$A:$AM,18,0),""))</f>
        <v>Cliente não localizado</v>
      </c>
      <c r="U27" s="61" t="str">
        <f ca="1">IF(B27="","",IFERROR(VLOOKUP(B27,'ANÁLISE DE DADOS'!$A:$AM,19,0),""))</f>
        <v>Vencido</v>
      </c>
      <c r="V27" s="61">
        <f ca="1">IF(B27="","",IFERROR(VLOOKUP(B27,'ANÁLISE DE DADOS'!$A:$AM,20,0),""))</f>
        <v>85</v>
      </c>
      <c r="W27" s="61" t="str">
        <f ca="1">IF(B27="","",IFERROR(VLOOKUP(B27,'ANÁLISE DE DADOS'!$A:$AM,21,0),""))</f>
        <v>61+ dias</v>
      </c>
      <c r="X27" s="61" t="str">
        <f ca="1">IF(B27="","",IFERROR(VLOOKUP(B27,'ANÁLISE DE DADOS'!$A:$AM,22,0),""))</f>
        <v>Atraso Crítico</v>
      </c>
      <c r="Y27" s="61" t="str">
        <f>IF(B27="","",IFERROR(VLOOKUP(B27,'ANÁLISE DE DADOS'!$A:$AM,23,0),""))</f>
        <v>-</v>
      </c>
      <c r="Z27" s="61" t="str">
        <f>IF(B27="","",IFERROR(VLOOKUP(B27,'ANÁLISE DE DADOS'!$A:$AM,24,0),""))</f>
        <v>Sim</v>
      </c>
      <c r="AA27" s="61">
        <f>IF(B27="","",IFERROR(VLOOKUP(B27,'ANÁLISE DE DADOS'!$A:$AM,25,0),""))</f>
        <v>0</v>
      </c>
      <c r="AB27" s="61">
        <f>IF(B27="","",IFERROR(VLOOKUP(B27,'ANÁLISE DE DADOS'!$A:$AM,26,0),""))</f>
        <v>1</v>
      </c>
      <c r="AC27" s="61" t="str">
        <f>IF(B27="","",IFERROR(VLOOKUP(B27,'ANÁLISE DE DADOS'!$A:$AM,27,0),""))</f>
        <v>Sim</v>
      </c>
      <c r="AD27" s="62">
        <f>IF(B27="","",IFERROR(VLOOKUP(B27,'ANÁLISE DE DADOS'!$A:$AM,28,0),""))</f>
        <v>45740</v>
      </c>
      <c r="AE27" s="61" t="str">
        <f>IF(B27="","",IFERROR(VLOOKUP(B27,'ANÁLISE DE DADOS'!$A:$AM,29,0),""))</f>
        <v>mar-25</v>
      </c>
      <c r="AF27" s="61" t="str">
        <f>IF(B27="","",IFERROR(VLOOKUP(B27,'ANÁLISE DE DADOS'!$A:$AM,30,0),""))</f>
        <v>2025</v>
      </c>
      <c r="AG27" s="62">
        <f>IF(B27="","",IFERROR(VLOOKUP(B27,'ANÁLISE DE DADOS'!$A:$AM,31,0),""))</f>
        <v>45740</v>
      </c>
      <c r="AH27" s="61" t="str">
        <f>IF(B27="","",IFERROR(VLOOKUP(B27,'ANÁLISE DE DADOS'!$A:$AM,32,0),""))</f>
        <v>mar-25</v>
      </c>
      <c r="AI27" s="61" t="str">
        <f>IF(B27="","",IFERROR(VLOOKUP(B27,'ANÁLISE DE DADOS'!$A:$AM,33,0),""))</f>
        <v>2025</v>
      </c>
      <c r="AJ27" s="61" t="str">
        <f>IF(B27="","",IFERROR(VLOOKUP(B27,'ANÁLISE DE DADOS'!$A:$AM,34,0),""))</f>
        <v>Acompanhando</v>
      </c>
      <c r="AK27" s="63">
        <f ca="1">IF(B27="","",IFERROR(VLOOKUP(B27,'ANÁLISE DE DADOS'!$A:$AM,35,0),""))</f>
        <v>3000</v>
      </c>
      <c r="AL27" s="63" t="str">
        <f ca="1">IF(B27="","",IFERROR(VLOOKUP(B27,'ANÁLISE DE DADOS'!$A:$AM,36,0),""))</f>
        <v>0</v>
      </c>
    </row>
    <row r="28" spans="2:38" x14ac:dyDescent="0.3">
      <c r="B28" s="30">
        <v>24</v>
      </c>
      <c r="C28" s="61">
        <f>IF(B28="","",IFERROR(VLOOKUP(B28,'ANÁLISE DE DADOS'!$A:$AM,1,0),""))</f>
        <v>24</v>
      </c>
      <c r="D28" s="61" t="str">
        <f>IF(B28="","",IFERROR(VLOOKUP(B28,'ANÁLISE DE DADOS'!$A:$AM,2,0),""))</f>
        <v>Filial</v>
      </c>
      <c r="E28" s="61">
        <f>IF(B28="","",IFERROR(VLOOKUP(B28,'ANÁLISE DE DADOS'!$A:$AM,3,0),""))</f>
        <v>0</v>
      </c>
      <c r="F28" s="61" t="str">
        <f>IF(B28="","",IFERROR(VLOOKUP(B28,'ANÁLISE DE DADOS'!$A:$AM,4,0),""))</f>
        <v>MundoInovador</v>
      </c>
      <c r="G28" s="62">
        <f>IF(B28="","",IFERROR(VLOOKUP(B28,'ANÁLISE DE DADOS'!$A:$AM,5,0),""))</f>
        <v>45690</v>
      </c>
      <c r="H28" s="62" t="str">
        <f>IF(B28="","",IFERROR(VLOOKUP(B28,'ANÁLISE DE DADOS'!$A:$AM,6,0),""))</f>
        <v>fev-25</v>
      </c>
      <c r="I28" s="62" t="str">
        <f>IF(B28="","",IFERROR(VLOOKUP(B28,'ANÁLISE DE DADOS'!$A:$AM,7,0),""))</f>
        <v>2025</v>
      </c>
      <c r="J28" s="62">
        <f>IF(B28="","",IFERROR(VLOOKUP(B28,'ANÁLISE DE DADOS'!$A:$AM,8,0),""))</f>
        <v>45711</v>
      </c>
      <c r="K28" s="61" t="str">
        <f>IF(B28="","",IFERROR(VLOOKUP(B28,'ANÁLISE DE DADOS'!$A:$AM,9,0),""))</f>
        <v>fev-25</v>
      </c>
      <c r="L28" s="61" t="str">
        <f>IF(B28="","",IFERROR(VLOOKUP(B28,'ANÁLISE DE DADOS'!$A:$AM,10,0),""))</f>
        <v>2025</v>
      </c>
      <c r="M28" s="62">
        <f>IF(B28="","",IFERROR(VLOOKUP(B28,'ANÁLISE DE DADOS'!$A:$AM,11,0),""))</f>
        <v>45711</v>
      </c>
      <c r="N28" s="61" t="str">
        <f>IF(B28="","",IFERROR(VLOOKUP(B28,'ANÁLISE DE DADOS'!$A:$AM,12,0),""))</f>
        <v>fev-25</v>
      </c>
      <c r="O28" s="61" t="str">
        <f>IF(B28="","",IFERROR(VLOOKUP(B28,'ANÁLISE DE DADOS'!$A:$AM,13,0),""))</f>
        <v>2025</v>
      </c>
      <c r="P28" s="63">
        <f>IF(B28="","",IFERROR(VLOOKUP(B28,'ANÁLISE DE DADOS'!$A:$AM,14,0),""))</f>
        <v>3000</v>
      </c>
      <c r="Q28" s="61" t="str">
        <f>IF(B28="","",IFERROR(VLOOKUP(B28,'ANÁLISE DE DADOS'!$A:$AM,15,0),""))</f>
        <v>Felipe</v>
      </c>
      <c r="R28" s="61" t="str">
        <f>IF(B28="","",IFERROR(VLOOKUP(B28,'ANÁLISE DE DADOS'!$A:$AM,16,0),""))</f>
        <v>ANALISTA GUSTAVO</v>
      </c>
      <c r="S28" s="61" t="str">
        <f>IF(B28="","",IFERROR(VLOOKUP(B28,'ANÁLISE DE DADOS'!$A:$AM,17,0),""))</f>
        <v>NÃO</v>
      </c>
      <c r="T28" s="61" t="str">
        <f>IF(B28="","",IFERROR(VLOOKUP(B28,'ANÁLISE DE DADOS'!$A:$AM,18,0),""))</f>
        <v>Promessa de pagamento refeito</v>
      </c>
      <c r="U28" s="61" t="str">
        <f ca="1">IF(B28="","",IFERROR(VLOOKUP(B28,'ANÁLISE DE DADOS'!$A:$AM,19,0),""))</f>
        <v>Vencido</v>
      </c>
      <c r="V28" s="61">
        <f ca="1">IF(B28="","",IFERROR(VLOOKUP(B28,'ANÁLISE DE DADOS'!$A:$AM,20,0),""))</f>
        <v>84</v>
      </c>
      <c r="W28" s="61" t="str">
        <f ca="1">IF(B28="","",IFERROR(VLOOKUP(B28,'ANÁLISE DE DADOS'!$A:$AM,21,0),""))</f>
        <v>61+ dias</v>
      </c>
      <c r="X28" s="61" t="str">
        <f ca="1">IF(B28="","",IFERROR(VLOOKUP(B28,'ANÁLISE DE DADOS'!$A:$AM,22,0),""))</f>
        <v>Atraso Crítico</v>
      </c>
      <c r="Y28" s="61" t="str">
        <f>IF(B28="","",IFERROR(VLOOKUP(B28,'ANÁLISE DE DADOS'!$A:$AM,23,0),""))</f>
        <v>-</v>
      </c>
      <c r="Z28" s="61" t="str">
        <f>IF(B28="","",IFERROR(VLOOKUP(B28,'ANÁLISE DE DADOS'!$A:$AM,24,0),""))</f>
        <v>Sim</v>
      </c>
      <c r="AA28" s="61">
        <f>IF(B28="","",IFERROR(VLOOKUP(B28,'ANÁLISE DE DADOS'!$A:$AM,25,0),""))</f>
        <v>0</v>
      </c>
      <c r="AB28" s="61">
        <f>IF(B28="","",IFERROR(VLOOKUP(B28,'ANÁLISE DE DADOS'!$A:$AM,26,0),""))</f>
        <v>1</v>
      </c>
      <c r="AC28" s="61" t="str">
        <f>IF(B28="","",IFERROR(VLOOKUP(B28,'ANÁLISE DE DADOS'!$A:$AM,27,0),""))</f>
        <v>Sim</v>
      </c>
      <c r="AD28" s="62">
        <f>IF(B28="","",IFERROR(VLOOKUP(B28,'ANÁLISE DE DADOS'!$A:$AM,28,0),""))</f>
        <v>45740</v>
      </c>
      <c r="AE28" s="61" t="str">
        <f>IF(B28="","",IFERROR(VLOOKUP(B28,'ANÁLISE DE DADOS'!$A:$AM,29,0),""))</f>
        <v>mar-25</v>
      </c>
      <c r="AF28" s="61" t="str">
        <f>IF(B28="","",IFERROR(VLOOKUP(B28,'ANÁLISE DE DADOS'!$A:$AM,30,0),""))</f>
        <v>2025</v>
      </c>
      <c r="AG28" s="62">
        <f>IF(B28="","",IFERROR(VLOOKUP(B28,'ANÁLISE DE DADOS'!$A:$AM,31,0),""))</f>
        <v>45740</v>
      </c>
      <c r="AH28" s="61" t="str">
        <f>IF(B28="","",IFERROR(VLOOKUP(B28,'ANÁLISE DE DADOS'!$A:$AM,32,0),""))</f>
        <v>mar-25</v>
      </c>
      <c r="AI28" s="61" t="str">
        <f>IF(B28="","",IFERROR(VLOOKUP(B28,'ANÁLISE DE DADOS'!$A:$AM,33,0),""))</f>
        <v>2025</v>
      </c>
      <c r="AJ28" s="61" t="str">
        <f>IF(B28="","",IFERROR(VLOOKUP(B28,'ANÁLISE DE DADOS'!$A:$AM,34,0),""))</f>
        <v>Acompanhando</v>
      </c>
      <c r="AK28" s="63">
        <f ca="1">IF(B28="","",IFERROR(VLOOKUP(B28,'ANÁLISE DE DADOS'!$A:$AM,35,0),""))</f>
        <v>3000</v>
      </c>
      <c r="AL28" s="63" t="str">
        <f ca="1">IF(B28="","",IFERROR(VLOOKUP(B28,'ANÁLISE DE DADOS'!$A:$AM,36,0),""))</f>
        <v>0</v>
      </c>
    </row>
    <row r="29" spans="2:38" x14ac:dyDescent="0.3">
      <c r="B29" s="30">
        <v>25</v>
      </c>
      <c r="C29" s="61">
        <f>IF(B29="","",IFERROR(VLOOKUP(B29,'ANÁLISE DE DADOS'!$A:$AM,1,0),""))</f>
        <v>25</v>
      </c>
      <c r="D29" s="61" t="str">
        <f>IF(B29="","",IFERROR(VLOOKUP(B29,'ANÁLISE DE DADOS'!$A:$AM,2,0),""))</f>
        <v>Matriz</v>
      </c>
      <c r="E29" s="61" t="str">
        <f>IF(B29="","",IFERROR(VLOOKUP(B29,'ANÁLISE DE DADOS'!$A:$AM,3,0),""))</f>
        <v>Gamma &amp; CIA</v>
      </c>
      <c r="F29" s="61" t="str">
        <f>IF(B29="","",IFERROR(VLOOKUP(B29,'ANÁLISE DE DADOS'!$A:$AM,4,0),""))</f>
        <v>Gamma &amp; CIA</v>
      </c>
      <c r="G29" s="62">
        <f>IF(B29="","",IFERROR(VLOOKUP(B29,'ANÁLISE DE DADOS'!$A:$AM,5,0),""))</f>
        <v>45693</v>
      </c>
      <c r="H29" s="62" t="str">
        <f>IF(B29="","",IFERROR(VLOOKUP(B29,'ANÁLISE DE DADOS'!$A:$AM,6,0),""))</f>
        <v>fev-25</v>
      </c>
      <c r="I29" s="62" t="str">
        <f>IF(B29="","",IFERROR(VLOOKUP(B29,'ANÁLISE DE DADOS'!$A:$AM,7,0),""))</f>
        <v>2025</v>
      </c>
      <c r="J29" s="62">
        <f>IF(B29="","",IFERROR(VLOOKUP(B29,'ANÁLISE DE DADOS'!$A:$AM,8,0),""))</f>
        <v>45712</v>
      </c>
      <c r="K29" s="61" t="str">
        <f>IF(B29="","",IFERROR(VLOOKUP(B29,'ANÁLISE DE DADOS'!$A:$AM,9,0),""))</f>
        <v>fev-25</v>
      </c>
      <c r="L29" s="61" t="str">
        <f>IF(B29="","",IFERROR(VLOOKUP(B29,'ANÁLISE DE DADOS'!$A:$AM,10,0),""))</f>
        <v>2025</v>
      </c>
      <c r="M29" s="62">
        <f>IF(B29="","",IFERROR(VLOOKUP(B29,'ANÁLISE DE DADOS'!$A:$AM,11,0),""))</f>
        <v>45712</v>
      </c>
      <c r="N29" s="61" t="str">
        <f>IF(B29="","",IFERROR(VLOOKUP(B29,'ANÁLISE DE DADOS'!$A:$AM,12,0),""))</f>
        <v>fev-25</v>
      </c>
      <c r="O29" s="61" t="str">
        <f>IF(B29="","",IFERROR(VLOOKUP(B29,'ANÁLISE DE DADOS'!$A:$AM,13,0),""))</f>
        <v>2025</v>
      </c>
      <c r="P29" s="63">
        <f>IF(B29="","",IFERROR(VLOOKUP(B29,'ANÁLISE DE DADOS'!$A:$AM,14,0),""))</f>
        <v>1200</v>
      </c>
      <c r="Q29" s="61" t="str">
        <f>IF(B29="","",IFERROR(VLOOKUP(B29,'ANÁLISE DE DADOS'!$A:$AM,15,0),""))</f>
        <v>Camila</v>
      </c>
      <c r="R29" s="61" t="str">
        <f>IF(B29="","",IFERROR(VLOOKUP(B29,'ANÁLISE DE DADOS'!$A:$AM,16,0),""))</f>
        <v>ANALISTA GUSTAVO</v>
      </c>
      <c r="S29" s="61" t="str">
        <f>IF(B29="","",IFERROR(VLOOKUP(B29,'ANÁLISE DE DADOS'!$A:$AM,17,0),""))</f>
        <v>NÃO</v>
      </c>
      <c r="T29" s="61" t="str">
        <f>IF(B29="","",IFERROR(VLOOKUP(B29,'ANÁLISE DE DADOS'!$A:$AM,18,0),""))</f>
        <v>Proposta de renegociação pendente</v>
      </c>
      <c r="U29" s="61" t="str">
        <f ca="1">IF(B29="","",IFERROR(VLOOKUP(B29,'ANÁLISE DE DADOS'!$A:$AM,19,0),""))</f>
        <v>Vencido</v>
      </c>
      <c r="V29" s="61">
        <f ca="1">IF(B29="","",IFERROR(VLOOKUP(B29,'ANÁLISE DE DADOS'!$A:$AM,20,0),""))</f>
        <v>83</v>
      </c>
      <c r="W29" s="61" t="str">
        <f ca="1">IF(B29="","",IFERROR(VLOOKUP(B29,'ANÁLISE DE DADOS'!$A:$AM,21,0),""))</f>
        <v>61+ dias</v>
      </c>
      <c r="X29" s="61" t="str">
        <f ca="1">IF(B29="","",IFERROR(VLOOKUP(B29,'ANÁLISE DE DADOS'!$A:$AM,22,0),""))</f>
        <v>Atraso Crítico</v>
      </c>
      <c r="Y29" s="61" t="str">
        <f>IF(B29="","",IFERROR(VLOOKUP(B29,'ANÁLISE DE DADOS'!$A:$AM,23,0),""))</f>
        <v>-</v>
      </c>
      <c r="Z29" s="61" t="str">
        <f>IF(B29="","",IFERROR(VLOOKUP(B29,'ANÁLISE DE DADOS'!$A:$AM,24,0),""))</f>
        <v>Sim</v>
      </c>
      <c r="AA29" s="61">
        <f>IF(B29="","",IFERROR(VLOOKUP(B29,'ANÁLISE DE DADOS'!$A:$AM,25,0),""))</f>
        <v>0</v>
      </c>
      <c r="AB29" s="61">
        <f>IF(B29="","",IFERROR(VLOOKUP(B29,'ANÁLISE DE DADOS'!$A:$AM,26,0),""))</f>
        <v>1</v>
      </c>
      <c r="AC29" s="61" t="str">
        <f>IF(B29="","",IFERROR(VLOOKUP(B29,'ANÁLISE DE DADOS'!$A:$AM,27,0),""))</f>
        <v>Sim</v>
      </c>
      <c r="AD29" s="62">
        <f>IF(B29="","",IFERROR(VLOOKUP(B29,'ANÁLISE DE DADOS'!$A:$AM,28,0),""))</f>
        <v>45740</v>
      </c>
      <c r="AE29" s="61" t="str">
        <f>IF(B29="","",IFERROR(VLOOKUP(B29,'ANÁLISE DE DADOS'!$A:$AM,29,0),""))</f>
        <v>mar-25</v>
      </c>
      <c r="AF29" s="61" t="str">
        <f>IF(B29="","",IFERROR(VLOOKUP(B29,'ANÁLISE DE DADOS'!$A:$AM,30,0),""))</f>
        <v>2025</v>
      </c>
      <c r="AG29" s="62">
        <f>IF(B29="","",IFERROR(VLOOKUP(B29,'ANÁLISE DE DADOS'!$A:$AM,31,0),""))</f>
        <v>45740</v>
      </c>
      <c r="AH29" s="61" t="str">
        <f>IF(B29="","",IFERROR(VLOOKUP(B29,'ANÁLISE DE DADOS'!$A:$AM,32,0),""))</f>
        <v>mar-25</v>
      </c>
      <c r="AI29" s="61" t="str">
        <f>IF(B29="","",IFERROR(VLOOKUP(B29,'ANÁLISE DE DADOS'!$A:$AM,33,0),""))</f>
        <v>2025</v>
      </c>
      <c r="AJ29" s="61" t="str">
        <f>IF(B29="","",IFERROR(VLOOKUP(B29,'ANÁLISE DE DADOS'!$A:$AM,34,0),""))</f>
        <v>Acompanhando</v>
      </c>
      <c r="AK29" s="63">
        <f ca="1">IF(B29="","",IFERROR(VLOOKUP(B29,'ANÁLISE DE DADOS'!$A:$AM,35,0),""))</f>
        <v>1200</v>
      </c>
      <c r="AL29" s="63" t="str">
        <f ca="1">IF(B29="","",IFERROR(VLOOKUP(B29,'ANÁLISE DE DADOS'!$A:$AM,36,0),""))</f>
        <v>0</v>
      </c>
    </row>
    <row r="30" spans="2:38" x14ac:dyDescent="0.3">
      <c r="B30" s="30">
        <v>26</v>
      </c>
      <c r="C30" s="61">
        <f>IF(B30="","",IFERROR(VLOOKUP(B30,'ANÁLISE DE DADOS'!$A:$AM,1,0),""))</f>
        <v>26</v>
      </c>
      <c r="D30" s="61" t="str">
        <f>IF(B30="","",IFERROR(VLOOKUP(B30,'ANÁLISE DE DADOS'!$A:$AM,2,0),""))</f>
        <v>Matriz</v>
      </c>
      <c r="E30" s="61">
        <f>IF(B30="","",IFERROR(VLOOKUP(B30,'ANÁLISE DE DADOS'!$A:$AM,3,0),""))</f>
        <v>0</v>
      </c>
      <c r="F30" s="61" t="str">
        <f>IF(B30="","",IFERROR(VLOOKUP(B30,'ANÁLISE DE DADOS'!$A:$AM,4,0),""))</f>
        <v>MundoInovador</v>
      </c>
      <c r="G30" s="62">
        <f>IF(B30="","",IFERROR(VLOOKUP(B30,'ANÁLISE DE DADOS'!$A:$AM,5,0),""))</f>
        <v>45693</v>
      </c>
      <c r="H30" s="62" t="str">
        <f>IF(B30="","",IFERROR(VLOOKUP(B30,'ANÁLISE DE DADOS'!$A:$AM,6,0),""))</f>
        <v>fev-25</v>
      </c>
      <c r="I30" s="62" t="str">
        <f>IF(B30="","",IFERROR(VLOOKUP(B30,'ANÁLISE DE DADOS'!$A:$AM,7,0),""))</f>
        <v>2025</v>
      </c>
      <c r="J30" s="62">
        <f>IF(B30="","",IFERROR(VLOOKUP(B30,'ANÁLISE DE DADOS'!$A:$AM,8,0),""))</f>
        <v>45713</v>
      </c>
      <c r="K30" s="61" t="str">
        <f>IF(B30="","",IFERROR(VLOOKUP(B30,'ANÁLISE DE DADOS'!$A:$AM,9,0),""))</f>
        <v>fev-25</v>
      </c>
      <c r="L30" s="61" t="str">
        <f>IF(B30="","",IFERROR(VLOOKUP(B30,'ANÁLISE DE DADOS'!$A:$AM,10,0),""))</f>
        <v>2025</v>
      </c>
      <c r="M30" s="62">
        <f>IF(B30="","",IFERROR(VLOOKUP(B30,'ANÁLISE DE DADOS'!$A:$AM,11,0),""))</f>
        <v>45713</v>
      </c>
      <c r="N30" s="61" t="str">
        <f>IF(B30="","",IFERROR(VLOOKUP(B30,'ANÁLISE DE DADOS'!$A:$AM,12,0),""))</f>
        <v>fev-25</v>
      </c>
      <c r="O30" s="61" t="str">
        <f>IF(B30="","",IFERROR(VLOOKUP(B30,'ANÁLISE DE DADOS'!$A:$AM,13,0),""))</f>
        <v>2025</v>
      </c>
      <c r="P30" s="63">
        <f>IF(B30="","",IFERROR(VLOOKUP(B30,'ANÁLISE DE DADOS'!$A:$AM,14,0),""))</f>
        <v>1200</v>
      </c>
      <c r="Q30" s="61" t="str">
        <f>IF(B30="","",IFERROR(VLOOKUP(B30,'ANÁLISE DE DADOS'!$A:$AM,15,0),""))</f>
        <v>Camila</v>
      </c>
      <c r="R30" s="61" t="str">
        <f>IF(B30="","",IFERROR(VLOOKUP(B30,'ANÁLISE DE DADOS'!$A:$AM,16,0),""))</f>
        <v>ANALISTA GUSTAVO</v>
      </c>
      <c r="S30" s="61" t="str">
        <f>IF(B30="","",IFERROR(VLOOKUP(B30,'ANÁLISE DE DADOS'!$A:$AM,17,0),""))</f>
        <v>NÃO</v>
      </c>
      <c r="T30" s="61" t="str">
        <f>IF(B30="","",IFERROR(VLOOKUP(B30,'ANÁLISE DE DADOS'!$A:$AM,18,0),""))</f>
        <v>Bloqueio de sistema por inadimplência</v>
      </c>
      <c r="U30" s="61" t="str">
        <f ca="1">IF(B30="","",IFERROR(VLOOKUP(B30,'ANÁLISE DE DADOS'!$A:$AM,19,0),""))</f>
        <v>Vencido</v>
      </c>
      <c r="V30" s="61">
        <f ca="1">IF(B30="","",IFERROR(VLOOKUP(B30,'ANÁLISE DE DADOS'!$A:$AM,20,0),""))</f>
        <v>82</v>
      </c>
      <c r="W30" s="61" t="str">
        <f ca="1">IF(B30="","",IFERROR(VLOOKUP(B30,'ANÁLISE DE DADOS'!$A:$AM,21,0),""))</f>
        <v>61+ dias</v>
      </c>
      <c r="X30" s="61" t="str">
        <f ca="1">IF(B30="","",IFERROR(VLOOKUP(B30,'ANÁLISE DE DADOS'!$A:$AM,22,0),""))</f>
        <v>Atraso Crítico</v>
      </c>
      <c r="Y30" s="61" t="str">
        <f>IF(B30="","",IFERROR(VLOOKUP(B30,'ANÁLISE DE DADOS'!$A:$AM,23,0),""))</f>
        <v>-</v>
      </c>
      <c r="Z30" s="61" t="str">
        <f>IF(B30="","",IFERROR(VLOOKUP(B30,'ANÁLISE DE DADOS'!$A:$AM,24,0),""))</f>
        <v>Sim</v>
      </c>
      <c r="AA30" s="61">
        <f>IF(B30="","",IFERROR(VLOOKUP(B30,'ANÁLISE DE DADOS'!$A:$AM,25,0),""))</f>
        <v>0</v>
      </c>
      <c r="AB30" s="61">
        <f>IF(B30="","",IFERROR(VLOOKUP(B30,'ANÁLISE DE DADOS'!$A:$AM,26,0),""))</f>
        <v>1</v>
      </c>
      <c r="AC30" s="61" t="str">
        <f>IF(B30="","",IFERROR(VLOOKUP(B30,'ANÁLISE DE DADOS'!$A:$AM,27,0),""))</f>
        <v>Sim</v>
      </c>
      <c r="AD30" s="62">
        <f>IF(B30="","",IFERROR(VLOOKUP(B30,'ANÁLISE DE DADOS'!$A:$AM,28,0),""))</f>
        <v>45740</v>
      </c>
      <c r="AE30" s="61" t="str">
        <f>IF(B30="","",IFERROR(VLOOKUP(B30,'ANÁLISE DE DADOS'!$A:$AM,29,0),""))</f>
        <v>mar-25</v>
      </c>
      <c r="AF30" s="61" t="str">
        <f>IF(B30="","",IFERROR(VLOOKUP(B30,'ANÁLISE DE DADOS'!$A:$AM,30,0),""))</f>
        <v>2025</v>
      </c>
      <c r="AG30" s="62">
        <f>IF(B30="","",IFERROR(VLOOKUP(B30,'ANÁLISE DE DADOS'!$A:$AM,31,0),""))</f>
        <v>45740</v>
      </c>
      <c r="AH30" s="61" t="str">
        <f>IF(B30="","",IFERROR(VLOOKUP(B30,'ANÁLISE DE DADOS'!$A:$AM,32,0),""))</f>
        <v>mar-25</v>
      </c>
      <c r="AI30" s="61" t="str">
        <f>IF(B30="","",IFERROR(VLOOKUP(B30,'ANÁLISE DE DADOS'!$A:$AM,33,0),""))</f>
        <v>2025</v>
      </c>
      <c r="AJ30" s="61" t="str">
        <f>IF(B30="","",IFERROR(VLOOKUP(B30,'ANÁLISE DE DADOS'!$A:$AM,34,0),""))</f>
        <v>Acompanhando</v>
      </c>
      <c r="AK30" s="63">
        <f ca="1">IF(B30="","",IFERROR(VLOOKUP(B30,'ANÁLISE DE DADOS'!$A:$AM,35,0),""))</f>
        <v>1200</v>
      </c>
      <c r="AL30" s="63" t="str">
        <f ca="1">IF(B30="","",IFERROR(VLOOKUP(B30,'ANÁLISE DE DADOS'!$A:$AM,36,0),""))</f>
        <v>0</v>
      </c>
    </row>
    <row r="31" spans="2:38" x14ac:dyDescent="0.3">
      <c r="B31" s="30">
        <v>27</v>
      </c>
      <c r="C31" s="61">
        <f>IF(B31="","",IFERROR(VLOOKUP(B31,'ANÁLISE DE DADOS'!$A:$AM,1,0),""))</f>
        <v>27</v>
      </c>
      <c r="D31" s="61" t="str">
        <f>IF(B31="","",IFERROR(VLOOKUP(B31,'ANÁLISE DE DADOS'!$A:$AM,2,0),""))</f>
        <v>Filial</v>
      </c>
      <c r="E31" s="61" t="str">
        <f>IF(B31="","",IFERROR(VLOOKUP(B31,'ANÁLISE DE DADOS'!$A:$AM,3,0),""))</f>
        <v>Gamma &amp; CIA</v>
      </c>
      <c r="F31" s="61" t="str">
        <f>IF(B31="","",IFERROR(VLOOKUP(B31,'ANÁLISE DE DADOS'!$A:$AM,4,0),""))</f>
        <v>Gamma &amp; CIA</v>
      </c>
      <c r="G31" s="62">
        <f>IF(B31="","",IFERROR(VLOOKUP(B31,'ANÁLISE DE DADOS'!$A:$AM,5,0),""))</f>
        <v>45694</v>
      </c>
      <c r="H31" s="62" t="str">
        <f>IF(B31="","",IFERROR(VLOOKUP(B31,'ANÁLISE DE DADOS'!$A:$AM,6,0),""))</f>
        <v>fev-25</v>
      </c>
      <c r="I31" s="62" t="str">
        <f>IF(B31="","",IFERROR(VLOOKUP(B31,'ANÁLISE DE DADOS'!$A:$AM,7,0),""))</f>
        <v>2025</v>
      </c>
      <c r="J31" s="62">
        <f>IF(B31="","",IFERROR(VLOOKUP(B31,'ANÁLISE DE DADOS'!$A:$AM,8,0),""))</f>
        <v>45714</v>
      </c>
      <c r="K31" s="61" t="str">
        <f>IF(B31="","",IFERROR(VLOOKUP(B31,'ANÁLISE DE DADOS'!$A:$AM,9,0),""))</f>
        <v>fev-25</v>
      </c>
      <c r="L31" s="61" t="str">
        <f>IF(B31="","",IFERROR(VLOOKUP(B31,'ANÁLISE DE DADOS'!$A:$AM,10,0),""))</f>
        <v>2025</v>
      </c>
      <c r="M31" s="62">
        <f>IF(B31="","",IFERROR(VLOOKUP(B31,'ANÁLISE DE DADOS'!$A:$AM,11,0),""))</f>
        <v>45714</v>
      </c>
      <c r="N31" s="61" t="str">
        <f>IF(B31="","",IFERROR(VLOOKUP(B31,'ANÁLISE DE DADOS'!$A:$AM,12,0),""))</f>
        <v>fev-25</v>
      </c>
      <c r="O31" s="61" t="str">
        <f>IF(B31="","",IFERROR(VLOOKUP(B31,'ANÁLISE DE DADOS'!$A:$AM,13,0),""))</f>
        <v>2025</v>
      </c>
      <c r="P31" s="63">
        <f>IF(B31="","",IFERROR(VLOOKUP(B31,'ANÁLISE DE DADOS'!$A:$AM,14,0),""))</f>
        <v>2000</v>
      </c>
      <c r="Q31" s="61" t="str">
        <f>IF(B31="","",IFERROR(VLOOKUP(B31,'ANÁLISE DE DADOS'!$A:$AM,15,0),""))</f>
        <v>Patrícia</v>
      </c>
      <c r="R31" s="61" t="str">
        <f>IF(B31="","",IFERROR(VLOOKUP(B31,'ANÁLISE DE DADOS'!$A:$AM,16,0),""))</f>
        <v>ANALISTA GUSTAVO</v>
      </c>
      <c r="S31" s="61" t="str">
        <f>IF(B31="","",IFERROR(VLOOKUP(B31,'ANÁLISE DE DADOS'!$A:$AM,17,0),""))</f>
        <v>NÃO</v>
      </c>
      <c r="T31" s="61" t="str">
        <f>IF(B31="","",IFERROR(VLOOKUP(B31,'ANÁLISE DE DADOS'!$A:$AM,18,0),""))</f>
        <v>Acordo em andamento (aguardando pagamento)</v>
      </c>
      <c r="U31" s="61" t="str">
        <f ca="1">IF(B31="","",IFERROR(VLOOKUP(B31,'ANÁLISE DE DADOS'!$A:$AM,19,0),""))</f>
        <v>Vencido</v>
      </c>
      <c r="V31" s="61">
        <f ca="1">IF(B31="","",IFERROR(VLOOKUP(B31,'ANÁLISE DE DADOS'!$A:$AM,20,0),""))</f>
        <v>81</v>
      </c>
      <c r="W31" s="61" t="str">
        <f ca="1">IF(B31="","",IFERROR(VLOOKUP(B31,'ANÁLISE DE DADOS'!$A:$AM,21,0),""))</f>
        <v>61+ dias</v>
      </c>
      <c r="X31" s="61" t="str">
        <f ca="1">IF(B31="","",IFERROR(VLOOKUP(B31,'ANÁLISE DE DADOS'!$A:$AM,22,0),""))</f>
        <v>Atraso Crítico</v>
      </c>
      <c r="Y31" s="61" t="str">
        <f>IF(B31="","",IFERROR(VLOOKUP(B31,'ANÁLISE DE DADOS'!$A:$AM,23,0),""))</f>
        <v>-</v>
      </c>
      <c r="Z31" s="61" t="str">
        <f>IF(B31="","",IFERROR(VLOOKUP(B31,'ANÁLISE DE DADOS'!$A:$AM,24,0),""))</f>
        <v>Sim</v>
      </c>
      <c r="AA31" s="61">
        <f>IF(B31="","",IFERROR(VLOOKUP(B31,'ANÁLISE DE DADOS'!$A:$AM,25,0),""))</f>
        <v>0</v>
      </c>
      <c r="AB31" s="61">
        <f>IF(B31="","",IFERROR(VLOOKUP(B31,'ANÁLISE DE DADOS'!$A:$AM,26,0),""))</f>
        <v>1</v>
      </c>
      <c r="AC31" s="61" t="str">
        <f>IF(B31="","",IFERROR(VLOOKUP(B31,'ANÁLISE DE DADOS'!$A:$AM,27,0),""))</f>
        <v>Sim</v>
      </c>
      <c r="AD31" s="62">
        <f>IF(B31="","",IFERROR(VLOOKUP(B31,'ANÁLISE DE DADOS'!$A:$AM,28,0),""))</f>
        <v>45740</v>
      </c>
      <c r="AE31" s="61" t="str">
        <f>IF(B31="","",IFERROR(VLOOKUP(B31,'ANÁLISE DE DADOS'!$A:$AM,29,0),""))</f>
        <v>mar-25</v>
      </c>
      <c r="AF31" s="61" t="str">
        <f>IF(B31="","",IFERROR(VLOOKUP(B31,'ANÁLISE DE DADOS'!$A:$AM,30,0),""))</f>
        <v>2025</v>
      </c>
      <c r="AG31" s="62">
        <f>IF(B31="","",IFERROR(VLOOKUP(B31,'ANÁLISE DE DADOS'!$A:$AM,31,0),""))</f>
        <v>45740</v>
      </c>
      <c r="AH31" s="61" t="str">
        <f>IF(B31="","",IFERROR(VLOOKUP(B31,'ANÁLISE DE DADOS'!$A:$AM,32,0),""))</f>
        <v>mar-25</v>
      </c>
      <c r="AI31" s="61" t="str">
        <f>IF(B31="","",IFERROR(VLOOKUP(B31,'ANÁLISE DE DADOS'!$A:$AM,33,0),""))</f>
        <v>2025</v>
      </c>
      <c r="AJ31" s="61" t="str">
        <f>IF(B31="","",IFERROR(VLOOKUP(B31,'ANÁLISE DE DADOS'!$A:$AM,34,0),""))</f>
        <v>Acompanhando</v>
      </c>
      <c r="AK31" s="63">
        <f ca="1">IF(B31="","",IFERROR(VLOOKUP(B31,'ANÁLISE DE DADOS'!$A:$AM,35,0),""))</f>
        <v>2000</v>
      </c>
      <c r="AL31" s="63" t="str">
        <f ca="1">IF(B31="","",IFERROR(VLOOKUP(B31,'ANÁLISE DE DADOS'!$A:$AM,36,0),""))</f>
        <v>0</v>
      </c>
    </row>
    <row r="32" spans="2:38" x14ac:dyDescent="0.3">
      <c r="B32" s="30">
        <v>28</v>
      </c>
      <c r="C32" s="61">
        <f>IF(B32="","",IFERROR(VLOOKUP(B32,'ANÁLISE DE DADOS'!$A:$AM,1,0),""))</f>
        <v>28</v>
      </c>
      <c r="D32" s="61" t="str">
        <f>IF(B32="","",IFERROR(VLOOKUP(B32,'ANÁLISE DE DADOS'!$A:$AM,2,0),""))</f>
        <v>Filial</v>
      </c>
      <c r="E32" s="61">
        <f>IF(B32="","",IFERROR(VLOOKUP(B32,'ANÁLISE DE DADOS'!$A:$AM,3,0),""))</f>
        <v>0</v>
      </c>
      <c r="F32" s="61" t="str">
        <f>IF(B32="","",IFERROR(VLOOKUP(B32,'ANÁLISE DE DADOS'!$A:$AM,4,0),""))</f>
        <v>MundoInovador</v>
      </c>
      <c r="G32" s="62">
        <f>IF(B32="","",IFERROR(VLOOKUP(B32,'ANÁLISE DE DADOS'!$A:$AM,5,0),""))</f>
        <v>45694</v>
      </c>
      <c r="H32" s="62" t="str">
        <f>IF(B32="","",IFERROR(VLOOKUP(B32,'ANÁLISE DE DADOS'!$A:$AM,6,0),""))</f>
        <v>fev-25</v>
      </c>
      <c r="I32" s="62" t="str">
        <f>IF(B32="","",IFERROR(VLOOKUP(B32,'ANÁLISE DE DADOS'!$A:$AM,7,0),""))</f>
        <v>2025</v>
      </c>
      <c r="J32" s="62">
        <f>IF(B32="","",IFERROR(VLOOKUP(B32,'ANÁLISE DE DADOS'!$A:$AM,8,0),""))</f>
        <v>45715</v>
      </c>
      <c r="K32" s="61" t="str">
        <f>IF(B32="","",IFERROR(VLOOKUP(B32,'ANÁLISE DE DADOS'!$A:$AM,9,0),""))</f>
        <v>fev-25</v>
      </c>
      <c r="L32" s="61" t="str">
        <f>IF(B32="","",IFERROR(VLOOKUP(B32,'ANÁLISE DE DADOS'!$A:$AM,10,0),""))</f>
        <v>2025</v>
      </c>
      <c r="M32" s="62">
        <f>IF(B32="","",IFERROR(VLOOKUP(B32,'ANÁLISE DE DADOS'!$A:$AM,11,0),""))</f>
        <v>45715</v>
      </c>
      <c r="N32" s="61" t="str">
        <f>IF(B32="","",IFERROR(VLOOKUP(B32,'ANÁLISE DE DADOS'!$A:$AM,12,0),""))</f>
        <v>fev-25</v>
      </c>
      <c r="O32" s="61" t="str">
        <f>IF(B32="","",IFERROR(VLOOKUP(B32,'ANÁLISE DE DADOS'!$A:$AM,13,0),""))</f>
        <v>2025</v>
      </c>
      <c r="P32" s="63">
        <f>IF(B32="","",IFERROR(VLOOKUP(B32,'ANÁLISE DE DADOS'!$A:$AM,14,0),""))</f>
        <v>2000</v>
      </c>
      <c r="Q32" s="61" t="str">
        <f>IF(B32="","",IFERROR(VLOOKUP(B32,'ANÁLISE DE DADOS'!$A:$AM,15,0),""))</f>
        <v>Patrícia</v>
      </c>
      <c r="R32" s="61" t="str">
        <f>IF(B32="","",IFERROR(VLOOKUP(B32,'ANÁLISE DE DADOS'!$A:$AM,16,0),""))</f>
        <v>ANALISTA GUSTAVO</v>
      </c>
      <c r="S32" s="61" t="str">
        <f>IF(B32="","",IFERROR(VLOOKUP(B32,'ANÁLISE DE DADOS'!$A:$AM,17,0),""))</f>
        <v>NÃO</v>
      </c>
      <c r="T32" s="61" t="str">
        <f>IF(B32="","",IFERROR(VLOOKUP(B32,'ANÁLISE DE DADOS'!$A:$AM,18,0),""))</f>
        <v>Negociação finalizada, pendente de pagamento</v>
      </c>
      <c r="U32" s="61" t="str">
        <f ca="1">IF(B32="","",IFERROR(VLOOKUP(B32,'ANÁLISE DE DADOS'!$A:$AM,19,0),""))</f>
        <v>Vencido</v>
      </c>
      <c r="V32" s="61">
        <f ca="1">IF(B32="","",IFERROR(VLOOKUP(B32,'ANÁLISE DE DADOS'!$A:$AM,20,0),""))</f>
        <v>80</v>
      </c>
      <c r="W32" s="61" t="str">
        <f ca="1">IF(B32="","",IFERROR(VLOOKUP(B32,'ANÁLISE DE DADOS'!$A:$AM,21,0),""))</f>
        <v>61+ dias</v>
      </c>
      <c r="X32" s="61" t="str">
        <f ca="1">IF(B32="","",IFERROR(VLOOKUP(B32,'ANÁLISE DE DADOS'!$A:$AM,22,0),""))</f>
        <v>Atraso Crítico</v>
      </c>
      <c r="Y32" s="61" t="str">
        <f>IF(B32="","",IFERROR(VLOOKUP(B32,'ANÁLISE DE DADOS'!$A:$AM,23,0),""))</f>
        <v>-</v>
      </c>
      <c r="Z32" s="61" t="str">
        <f>IF(B32="","",IFERROR(VLOOKUP(B32,'ANÁLISE DE DADOS'!$A:$AM,24,0),""))</f>
        <v>Sim</v>
      </c>
      <c r="AA32" s="61">
        <f>IF(B32="","",IFERROR(VLOOKUP(B32,'ANÁLISE DE DADOS'!$A:$AM,25,0),""))</f>
        <v>0</v>
      </c>
      <c r="AB32" s="61">
        <f>IF(B32="","",IFERROR(VLOOKUP(B32,'ANÁLISE DE DADOS'!$A:$AM,26,0),""))</f>
        <v>1</v>
      </c>
      <c r="AC32" s="61" t="str">
        <f>IF(B32="","",IFERROR(VLOOKUP(B32,'ANÁLISE DE DADOS'!$A:$AM,27,0),""))</f>
        <v>Sim</v>
      </c>
      <c r="AD32" s="62">
        <f>IF(B32="","",IFERROR(VLOOKUP(B32,'ANÁLISE DE DADOS'!$A:$AM,28,0),""))</f>
        <v>45740</v>
      </c>
      <c r="AE32" s="61" t="str">
        <f>IF(B32="","",IFERROR(VLOOKUP(B32,'ANÁLISE DE DADOS'!$A:$AM,29,0),""))</f>
        <v>mar-25</v>
      </c>
      <c r="AF32" s="61" t="str">
        <f>IF(B32="","",IFERROR(VLOOKUP(B32,'ANÁLISE DE DADOS'!$A:$AM,30,0),""))</f>
        <v>2025</v>
      </c>
      <c r="AG32" s="62">
        <f>IF(B32="","",IFERROR(VLOOKUP(B32,'ANÁLISE DE DADOS'!$A:$AM,31,0),""))</f>
        <v>45740</v>
      </c>
      <c r="AH32" s="61" t="str">
        <f>IF(B32="","",IFERROR(VLOOKUP(B32,'ANÁLISE DE DADOS'!$A:$AM,32,0),""))</f>
        <v>mar-25</v>
      </c>
      <c r="AI32" s="61" t="str">
        <f>IF(B32="","",IFERROR(VLOOKUP(B32,'ANÁLISE DE DADOS'!$A:$AM,33,0),""))</f>
        <v>2025</v>
      </c>
      <c r="AJ32" s="61" t="str">
        <f>IF(B32="","",IFERROR(VLOOKUP(B32,'ANÁLISE DE DADOS'!$A:$AM,34,0),""))</f>
        <v>Acompanhando</v>
      </c>
      <c r="AK32" s="63">
        <f ca="1">IF(B32="","",IFERROR(VLOOKUP(B32,'ANÁLISE DE DADOS'!$A:$AM,35,0),""))</f>
        <v>2000</v>
      </c>
      <c r="AL32" s="63" t="str">
        <f ca="1">IF(B32="","",IFERROR(VLOOKUP(B32,'ANÁLISE DE DADOS'!$A:$AM,36,0),""))</f>
        <v>0</v>
      </c>
    </row>
    <row r="33" spans="2:38" x14ac:dyDescent="0.3">
      <c r="B33" s="30">
        <v>29</v>
      </c>
      <c r="C33" s="61">
        <f>IF(B33="","",IFERROR(VLOOKUP(B33,'ANÁLISE DE DADOS'!$A:$AM,1,0),""))</f>
        <v>29</v>
      </c>
      <c r="D33" s="61" t="str">
        <f>IF(B33="","",IFERROR(VLOOKUP(B33,'ANÁLISE DE DADOS'!$A:$AM,2,0),""))</f>
        <v>Matriz</v>
      </c>
      <c r="E33" s="61" t="str">
        <f>IF(B33="","",IFERROR(VLOOKUP(B33,'ANÁLISE DE DADOS'!$A:$AM,3,0),""))</f>
        <v>Gamma &amp; CIA</v>
      </c>
      <c r="F33" s="61" t="str">
        <f>IF(B33="","",IFERROR(VLOOKUP(B33,'ANÁLISE DE DADOS'!$A:$AM,4,0),""))</f>
        <v>Gamma &amp; CIA</v>
      </c>
      <c r="G33" s="62">
        <f>IF(B33="","",IFERROR(VLOOKUP(B33,'ANÁLISE DE DADOS'!$A:$AM,5,0),""))</f>
        <v>45698</v>
      </c>
      <c r="H33" s="62" t="str">
        <f>IF(B33="","",IFERROR(VLOOKUP(B33,'ANÁLISE DE DADOS'!$A:$AM,6,0),""))</f>
        <v>fev-25</v>
      </c>
      <c r="I33" s="62" t="str">
        <f>IF(B33="","",IFERROR(VLOOKUP(B33,'ANÁLISE DE DADOS'!$A:$AM,7,0),""))</f>
        <v>2025</v>
      </c>
      <c r="J33" s="62">
        <f>IF(B33="","",IFERROR(VLOOKUP(B33,'ANÁLISE DE DADOS'!$A:$AM,8,0),""))</f>
        <v>45715</v>
      </c>
      <c r="K33" s="61" t="str">
        <f>IF(B33="","",IFERROR(VLOOKUP(B33,'ANÁLISE DE DADOS'!$A:$AM,9,0),""))</f>
        <v>fev-25</v>
      </c>
      <c r="L33" s="61" t="str">
        <f>IF(B33="","",IFERROR(VLOOKUP(B33,'ANÁLISE DE DADOS'!$A:$AM,10,0),""))</f>
        <v>2025</v>
      </c>
      <c r="M33" s="62">
        <f>IF(B33="","",IFERROR(VLOOKUP(B33,'ANÁLISE DE DADOS'!$A:$AM,11,0),""))</f>
        <v>45715</v>
      </c>
      <c r="N33" s="61" t="str">
        <f>IF(B33="","",IFERROR(VLOOKUP(B33,'ANÁLISE DE DADOS'!$A:$AM,12,0),""))</f>
        <v>fev-25</v>
      </c>
      <c r="O33" s="61" t="str">
        <f>IF(B33="","",IFERROR(VLOOKUP(B33,'ANÁLISE DE DADOS'!$A:$AM,13,0),""))</f>
        <v>2025</v>
      </c>
      <c r="P33" s="63">
        <f>IF(B33="","",IFERROR(VLOOKUP(B33,'ANÁLISE DE DADOS'!$A:$AM,14,0),""))</f>
        <v>3200</v>
      </c>
      <c r="Q33" s="61" t="str">
        <f>IF(B33="","",IFERROR(VLOOKUP(B33,'ANÁLISE DE DADOS'!$A:$AM,15,0),""))</f>
        <v>Tiago</v>
      </c>
      <c r="R33" s="61" t="str">
        <f>IF(B33="","",IFERROR(VLOOKUP(B33,'ANÁLISE DE DADOS'!$A:$AM,16,0),""))</f>
        <v>ANALISTA GUSTAVO</v>
      </c>
      <c r="S33" s="61" t="str">
        <f>IF(B33="","",IFERROR(VLOOKUP(B33,'ANÁLISE DE DADOS'!$A:$AM,17,0),""))</f>
        <v>NÃO</v>
      </c>
      <c r="T33" s="61" t="str">
        <f>IF(B33="","",IFERROR(VLOOKUP(B33,'ANÁLISE DE DADOS'!$A:$AM,18,0),""))</f>
        <v>Cliente em processo de análise para reativação</v>
      </c>
      <c r="U33" s="61" t="str">
        <f ca="1">IF(B33="","",IFERROR(VLOOKUP(B33,'ANÁLISE DE DADOS'!$A:$AM,19,0),""))</f>
        <v>Vencido</v>
      </c>
      <c r="V33" s="61">
        <f ca="1">IF(B33="","",IFERROR(VLOOKUP(B33,'ANÁLISE DE DADOS'!$A:$AM,20,0),""))</f>
        <v>80</v>
      </c>
      <c r="W33" s="61" t="str">
        <f ca="1">IF(B33="","",IFERROR(VLOOKUP(B33,'ANÁLISE DE DADOS'!$A:$AM,21,0),""))</f>
        <v>61+ dias</v>
      </c>
      <c r="X33" s="61" t="str">
        <f ca="1">IF(B33="","",IFERROR(VLOOKUP(B33,'ANÁLISE DE DADOS'!$A:$AM,22,0),""))</f>
        <v>Atraso Crítico</v>
      </c>
      <c r="Y33" s="61" t="str">
        <f>IF(B33="","",IFERROR(VLOOKUP(B33,'ANÁLISE DE DADOS'!$A:$AM,23,0),""))</f>
        <v>-</v>
      </c>
      <c r="Z33" s="61" t="str">
        <f>IF(B33="","",IFERROR(VLOOKUP(B33,'ANÁLISE DE DADOS'!$A:$AM,24,0),""))</f>
        <v>Sim</v>
      </c>
      <c r="AA33" s="61">
        <f>IF(B33="","",IFERROR(VLOOKUP(B33,'ANÁLISE DE DADOS'!$A:$AM,25,0),""))</f>
        <v>0</v>
      </c>
      <c r="AB33" s="61">
        <f>IF(B33="","",IFERROR(VLOOKUP(B33,'ANÁLISE DE DADOS'!$A:$AM,26,0),""))</f>
        <v>1</v>
      </c>
      <c r="AC33" s="61" t="str">
        <f>IF(B33="","",IFERROR(VLOOKUP(B33,'ANÁLISE DE DADOS'!$A:$AM,27,0),""))</f>
        <v>Sim</v>
      </c>
      <c r="AD33" s="62">
        <f>IF(B33="","",IFERROR(VLOOKUP(B33,'ANÁLISE DE DADOS'!$A:$AM,28,0),""))</f>
        <v>45740</v>
      </c>
      <c r="AE33" s="61" t="str">
        <f>IF(B33="","",IFERROR(VLOOKUP(B33,'ANÁLISE DE DADOS'!$A:$AM,29,0),""))</f>
        <v>mar-25</v>
      </c>
      <c r="AF33" s="61" t="str">
        <f>IF(B33="","",IFERROR(VLOOKUP(B33,'ANÁLISE DE DADOS'!$A:$AM,30,0),""))</f>
        <v>2025</v>
      </c>
      <c r="AG33" s="62">
        <f>IF(B33="","",IFERROR(VLOOKUP(B33,'ANÁLISE DE DADOS'!$A:$AM,31,0),""))</f>
        <v>45740</v>
      </c>
      <c r="AH33" s="61" t="str">
        <f>IF(B33="","",IFERROR(VLOOKUP(B33,'ANÁLISE DE DADOS'!$A:$AM,32,0),""))</f>
        <v>mar-25</v>
      </c>
      <c r="AI33" s="61" t="str">
        <f>IF(B33="","",IFERROR(VLOOKUP(B33,'ANÁLISE DE DADOS'!$A:$AM,33,0),""))</f>
        <v>2025</v>
      </c>
      <c r="AJ33" s="61" t="str">
        <f>IF(B33="","",IFERROR(VLOOKUP(B33,'ANÁLISE DE DADOS'!$A:$AM,34,0),""))</f>
        <v>Acompanhando</v>
      </c>
      <c r="AK33" s="63">
        <f ca="1">IF(B33="","",IFERROR(VLOOKUP(B33,'ANÁLISE DE DADOS'!$A:$AM,35,0),""))</f>
        <v>3200</v>
      </c>
      <c r="AL33" s="63" t="str">
        <f ca="1">IF(B33="","",IFERROR(VLOOKUP(B33,'ANÁLISE DE DADOS'!$A:$AM,36,0),""))</f>
        <v>0</v>
      </c>
    </row>
    <row r="34" spans="2:38" x14ac:dyDescent="0.3">
      <c r="B34" s="30">
        <v>30</v>
      </c>
      <c r="C34" s="61">
        <f>IF(B34="","",IFERROR(VLOOKUP(B34,'ANÁLISE DE DADOS'!$A:$AM,1,0),""))</f>
        <v>30</v>
      </c>
      <c r="D34" s="61" t="str">
        <f>IF(B34="","",IFERROR(VLOOKUP(B34,'ANÁLISE DE DADOS'!$A:$AM,2,0),""))</f>
        <v>Matriz</v>
      </c>
      <c r="E34" s="61">
        <f>IF(B34="","",IFERROR(VLOOKUP(B34,'ANÁLISE DE DADOS'!$A:$AM,3,0),""))</f>
        <v>0</v>
      </c>
      <c r="F34" s="61" t="str">
        <f>IF(B34="","",IFERROR(VLOOKUP(B34,'ANÁLISE DE DADOS'!$A:$AM,4,0),""))</f>
        <v>SoftLink</v>
      </c>
      <c r="G34" s="62">
        <f>IF(B34="","",IFERROR(VLOOKUP(B34,'ANÁLISE DE DADOS'!$A:$AM,5,0),""))</f>
        <v>45698</v>
      </c>
      <c r="H34" s="62" t="str">
        <f>IF(B34="","",IFERROR(VLOOKUP(B34,'ANÁLISE DE DADOS'!$A:$AM,6,0),""))</f>
        <v>fev-25</v>
      </c>
      <c r="I34" s="62" t="str">
        <f>IF(B34="","",IFERROR(VLOOKUP(B34,'ANÁLISE DE DADOS'!$A:$AM,7,0),""))</f>
        <v>2025</v>
      </c>
      <c r="J34" s="62">
        <f>IF(B34="","",IFERROR(VLOOKUP(B34,'ANÁLISE DE DADOS'!$A:$AM,8,0),""))</f>
        <v>45715</v>
      </c>
      <c r="K34" s="61" t="str">
        <f>IF(B34="","",IFERROR(VLOOKUP(B34,'ANÁLISE DE DADOS'!$A:$AM,9,0),""))</f>
        <v>fev-25</v>
      </c>
      <c r="L34" s="61" t="str">
        <f>IF(B34="","",IFERROR(VLOOKUP(B34,'ANÁLISE DE DADOS'!$A:$AM,10,0),""))</f>
        <v>2025</v>
      </c>
      <c r="M34" s="62">
        <f>IF(B34="","",IFERROR(VLOOKUP(B34,'ANÁLISE DE DADOS'!$A:$AM,11,0),""))</f>
        <v>45715</v>
      </c>
      <c r="N34" s="61" t="str">
        <f>IF(B34="","",IFERROR(VLOOKUP(B34,'ANÁLISE DE DADOS'!$A:$AM,12,0),""))</f>
        <v>fev-25</v>
      </c>
      <c r="O34" s="61" t="str">
        <f>IF(B34="","",IFERROR(VLOOKUP(B34,'ANÁLISE DE DADOS'!$A:$AM,13,0),""))</f>
        <v>2025</v>
      </c>
      <c r="P34" s="63">
        <f>IF(B34="","",IFERROR(VLOOKUP(B34,'ANÁLISE DE DADOS'!$A:$AM,14,0),""))</f>
        <v>3200</v>
      </c>
      <c r="Q34" s="61" t="str">
        <f>IF(B34="","",IFERROR(VLOOKUP(B34,'ANÁLISE DE DADOS'!$A:$AM,15,0),""))</f>
        <v>Tiago</v>
      </c>
      <c r="R34" s="61" t="str">
        <f>IF(B34="","",IFERROR(VLOOKUP(B34,'ANÁLISE DE DADOS'!$A:$AM,16,0),""))</f>
        <v>ANALISTA GUSTAVO</v>
      </c>
      <c r="S34" s="61" t="str">
        <f>IF(B34="","",IFERROR(VLOOKUP(B34,'ANÁLISE DE DADOS'!$A:$AM,17,0),""))</f>
        <v>NÃO</v>
      </c>
      <c r="T34" s="61" t="str">
        <f>IF(B34="","",IFERROR(VLOOKUP(B34,'ANÁLISE DE DADOS'!$A:$AM,18,0),""))</f>
        <v>Acordo cumprido parcialmente</v>
      </c>
      <c r="U34" s="61" t="str">
        <f ca="1">IF(B34="","",IFERROR(VLOOKUP(B34,'ANÁLISE DE DADOS'!$A:$AM,19,0),""))</f>
        <v>Vencido</v>
      </c>
      <c r="V34" s="61">
        <f ca="1">IF(B34="","",IFERROR(VLOOKUP(B34,'ANÁLISE DE DADOS'!$A:$AM,20,0),""))</f>
        <v>80</v>
      </c>
      <c r="W34" s="61" t="str">
        <f ca="1">IF(B34="","",IFERROR(VLOOKUP(B34,'ANÁLISE DE DADOS'!$A:$AM,21,0),""))</f>
        <v>61+ dias</v>
      </c>
      <c r="X34" s="61" t="str">
        <f ca="1">IF(B34="","",IFERROR(VLOOKUP(B34,'ANÁLISE DE DADOS'!$A:$AM,22,0),""))</f>
        <v>Atraso Crítico</v>
      </c>
      <c r="Y34" s="61" t="str">
        <f>IF(B34="","",IFERROR(VLOOKUP(B34,'ANÁLISE DE DADOS'!$A:$AM,23,0),""))</f>
        <v>-</v>
      </c>
      <c r="Z34" s="61" t="str">
        <f>IF(B34="","",IFERROR(VLOOKUP(B34,'ANÁLISE DE DADOS'!$A:$AM,24,0),""))</f>
        <v>Sim</v>
      </c>
      <c r="AA34" s="61">
        <f>IF(B34="","",IFERROR(VLOOKUP(B34,'ANÁLISE DE DADOS'!$A:$AM,25,0),""))</f>
        <v>0</v>
      </c>
      <c r="AB34" s="61">
        <f>IF(B34="","",IFERROR(VLOOKUP(B34,'ANÁLISE DE DADOS'!$A:$AM,26,0),""))</f>
        <v>1</v>
      </c>
      <c r="AC34" s="61" t="str">
        <f>IF(B34="","",IFERROR(VLOOKUP(B34,'ANÁLISE DE DADOS'!$A:$AM,27,0),""))</f>
        <v>Sim</v>
      </c>
      <c r="AD34" s="62">
        <f>IF(B34="","",IFERROR(VLOOKUP(B34,'ANÁLISE DE DADOS'!$A:$AM,28,0),""))</f>
        <v>45740</v>
      </c>
      <c r="AE34" s="61" t="str">
        <f>IF(B34="","",IFERROR(VLOOKUP(B34,'ANÁLISE DE DADOS'!$A:$AM,29,0),""))</f>
        <v>mar-25</v>
      </c>
      <c r="AF34" s="61" t="str">
        <f>IF(B34="","",IFERROR(VLOOKUP(B34,'ANÁLISE DE DADOS'!$A:$AM,30,0),""))</f>
        <v>2025</v>
      </c>
      <c r="AG34" s="62">
        <f>IF(B34="","",IFERROR(VLOOKUP(B34,'ANÁLISE DE DADOS'!$A:$AM,31,0),""))</f>
        <v>45740</v>
      </c>
      <c r="AH34" s="61" t="str">
        <f>IF(B34="","",IFERROR(VLOOKUP(B34,'ANÁLISE DE DADOS'!$A:$AM,32,0),""))</f>
        <v>mar-25</v>
      </c>
      <c r="AI34" s="61" t="str">
        <f>IF(B34="","",IFERROR(VLOOKUP(B34,'ANÁLISE DE DADOS'!$A:$AM,33,0),""))</f>
        <v>2025</v>
      </c>
      <c r="AJ34" s="61" t="str">
        <f>IF(B34="","",IFERROR(VLOOKUP(B34,'ANÁLISE DE DADOS'!$A:$AM,34,0),""))</f>
        <v>Acompanhando</v>
      </c>
      <c r="AK34" s="63">
        <f ca="1">IF(B34="","",IFERROR(VLOOKUP(B34,'ANÁLISE DE DADOS'!$A:$AM,35,0),""))</f>
        <v>3200</v>
      </c>
      <c r="AL34" s="63" t="str">
        <f ca="1">IF(B34="","",IFERROR(VLOOKUP(B34,'ANÁLISE DE DADOS'!$A:$AM,36,0),""))</f>
        <v>0</v>
      </c>
    </row>
    <row r="35" spans="2:38" x14ac:dyDescent="0.3">
      <c r="B35" s="30">
        <v>31</v>
      </c>
      <c r="C35" s="61">
        <f>IF(B35="","",IFERROR(VLOOKUP(B35,'ANÁLISE DE DADOS'!$A:$AM,1,0),""))</f>
        <v>31</v>
      </c>
      <c r="D35" s="61" t="str">
        <f>IF(B35="","",IFERROR(VLOOKUP(B35,'ANÁLISE DE DADOS'!$A:$AM,2,0),""))</f>
        <v>Filial</v>
      </c>
      <c r="E35" s="61" t="str">
        <f>IF(B35="","",IFERROR(VLOOKUP(B35,'ANÁLISE DE DADOS'!$A:$AM,3,0),""))</f>
        <v>Gamma &amp; CIA</v>
      </c>
      <c r="F35" s="61" t="str">
        <f>IF(B35="","",IFERROR(VLOOKUP(B35,'ANÁLISE DE DADOS'!$A:$AM,4,0),""))</f>
        <v>Gamma &amp; CIA</v>
      </c>
      <c r="G35" s="62">
        <f>IF(B35="","",IFERROR(VLOOKUP(B35,'ANÁLISE DE DADOS'!$A:$AM,5,0),""))</f>
        <v>45700</v>
      </c>
      <c r="H35" s="62" t="str">
        <f>IF(B35="","",IFERROR(VLOOKUP(B35,'ANÁLISE DE DADOS'!$A:$AM,6,0),""))</f>
        <v>fev-25</v>
      </c>
      <c r="I35" s="62" t="str">
        <f>IF(B35="","",IFERROR(VLOOKUP(B35,'ANÁLISE DE DADOS'!$A:$AM,7,0),""))</f>
        <v>2025</v>
      </c>
      <c r="J35" s="62">
        <f>IF(B35="","",IFERROR(VLOOKUP(B35,'ANÁLISE DE DADOS'!$A:$AM,8,0),""))</f>
        <v>45715</v>
      </c>
      <c r="K35" s="61" t="str">
        <f>IF(B35="","",IFERROR(VLOOKUP(B35,'ANÁLISE DE DADOS'!$A:$AM,9,0),""))</f>
        <v>fev-25</v>
      </c>
      <c r="L35" s="61" t="str">
        <f>IF(B35="","",IFERROR(VLOOKUP(B35,'ANÁLISE DE DADOS'!$A:$AM,10,0),""))</f>
        <v>2025</v>
      </c>
      <c r="M35" s="62">
        <f>IF(B35="","",IFERROR(VLOOKUP(B35,'ANÁLISE DE DADOS'!$A:$AM,11,0),""))</f>
        <v>45715</v>
      </c>
      <c r="N35" s="61" t="str">
        <f>IF(B35="","",IFERROR(VLOOKUP(B35,'ANÁLISE DE DADOS'!$A:$AM,12,0),""))</f>
        <v>fev-25</v>
      </c>
      <c r="O35" s="61" t="str">
        <f>IF(B35="","",IFERROR(VLOOKUP(B35,'ANÁLISE DE DADOS'!$A:$AM,13,0),""))</f>
        <v>2025</v>
      </c>
      <c r="P35" s="63">
        <f>IF(B35="","",IFERROR(VLOOKUP(B35,'ANÁLISE DE DADOS'!$A:$AM,14,0),""))</f>
        <v>1500</v>
      </c>
      <c r="Q35" s="61" t="str">
        <f>IF(B35="","",IFERROR(VLOOKUP(B35,'ANÁLISE DE DADOS'!$A:$AM,15,0),""))</f>
        <v>André</v>
      </c>
      <c r="R35" s="61" t="str">
        <f>IF(B35="","",IFERROR(VLOOKUP(B35,'ANÁLISE DE DADOS'!$A:$AM,16,0),""))</f>
        <v>ANALISTA GUSTAVO</v>
      </c>
      <c r="S35" s="61" t="str">
        <f>IF(B35="","",IFERROR(VLOOKUP(B35,'ANÁLISE DE DADOS'!$A:$AM,17,0),""))</f>
        <v>NÃO</v>
      </c>
      <c r="T35" s="61" t="str">
        <f>IF(B35="","",IFERROR(VLOOKUP(B35,'ANÁLISE DE DADOS'!$A:$AM,18,0),""))</f>
        <v>Aguardando liberação do financeiro</v>
      </c>
      <c r="U35" s="61" t="str">
        <f ca="1">IF(B35="","",IFERROR(VLOOKUP(B35,'ANÁLISE DE DADOS'!$A:$AM,19,0),""))</f>
        <v>Vencido</v>
      </c>
      <c r="V35" s="61">
        <f ca="1">IF(B35="","",IFERROR(VLOOKUP(B35,'ANÁLISE DE DADOS'!$A:$AM,20,0),""))</f>
        <v>80</v>
      </c>
      <c r="W35" s="61" t="str">
        <f ca="1">IF(B35="","",IFERROR(VLOOKUP(B35,'ANÁLISE DE DADOS'!$A:$AM,21,0),""))</f>
        <v>61+ dias</v>
      </c>
      <c r="X35" s="61" t="str">
        <f ca="1">IF(B35="","",IFERROR(VLOOKUP(B35,'ANÁLISE DE DADOS'!$A:$AM,22,0),""))</f>
        <v>Atraso Crítico</v>
      </c>
      <c r="Y35" s="61" t="str">
        <f>IF(B35="","",IFERROR(VLOOKUP(B35,'ANÁLISE DE DADOS'!$A:$AM,23,0),""))</f>
        <v>-</v>
      </c>
      <c r="Z35" s="61" t="str">
        <f>IF(B35="","",IFERROR(VLOOKUP(B35,'ANÁLISE DE DADOS'!$A:$AM,24,0),""))</f>
        <v>Sim</v>
      </c>
      <c r="AA35" s="61">
        <f>IF(B35="","",IFERROR(VLOOKUP(B35,'ANÁLISE DE DADOS'!$A:$AM,25,0),""))</f>
        <v>0</v>
      </c>
      <c r="AB35" s="61">
        <f>IF(B35="","",IFERROR(VLOOKUP(B35,'ANÁLISE DE DADOS'!$A:$AM,26,0),""))</f>
        <v>1</v>
      </c>
      <c r="AC35" s="61" t="str">
        <f>IF(B35="","",IFERROR(VLOOKUP(B35,'ANÁLISE DE DADOS'!$A:$AM,27,0),""))</f>
        <v>Sim</v>
      </c>
      <c r="AD35" s="62">
        <f>IF(B35="","",IFERROR(VLOOKUP(B35,'ANÁLISE DE DADOS'!$A:$AM,28,0),""))</f>
        <v>45740</v>
      </c>
      <c r="AE35" s="61" t="str">
        <f>IF(B35="","",IFERROR(VLOOKUP(B35,'ANÁLISE DE DADOS'!$A:$AM,29,0),""))</f>
        <v>mar-25</v>
      </c>
      <c r="AF35" s="61" t="str">
        <f>IF(B35="","",IFERROR(VLOOKUP(B35,'ANÁLISE DE DADOS'!$A:$AM,30,0),""))</f>
        <v>2025</v>
      </c>
      <c r="AG35" s="62">
        <f>IF(B35="","",IFERROR(VLOOKUP(B35,'ANÁLISE DE DADOS'!$A:$AM,31,0),""))</f>
        <v>45740</v>
      </c>
      <c r="AH35" s="61" t="str">
        <f>IF(B35="","",IFERROR(VLOOKUP(B35,'ANÁLISE DE DADOS'!$A:$AM,32,0),""))</f>
        <v>mar-25</v>
      </c>
      <c r="AI35" s="61" t="str">
        <f>IF(B35="","",IFERROR(VLOOKUP(B35,'ANÁLISE DE DADOS'!$A:$AM,33,0),""))</f>
        <v>2025</v>
      </c>
      <c r="AJ35" s="61" t="str">
        <f>IF(B35="","",IFERROR(VLOOKUP(B35,'ANÁLISE DE DADOS'!$A:$AM,34,0),""))</f>
        <v>Acompanhando</v>
      </c>
      <c r="AK35" s="63">
        <f ca="1">IF(B35="","",IFERROR(VLOOKUP(B35,'ANÁLISE DE DADOS'!$A:$AM,35,0),""))</f>
        <v>1500</v>
      </c>
      <c r="AL35" s="63" t="str">
        <f ca="1">IF(B35="","",IFERROR(VLOOKUP(B35,'ANÁLISE DE DADOS'!$A:$AM,36,0),""))</f>
        <v>0</v>
      </c>
    </row>
    <row r="36" spans="2:38" x14ac:dyDescent="0.3">
      <c r="B36" s="30">
        <v>32</v>
      </c>
      <c r="C36" s="61">
        <f>IF(B36="","",IFERROR(VLOOKUP(B36,'ANÁLISE DE DADOS'!$A:$AM,1,0),""))</f>
        <v>32</v>
      </c>
      <c r="D36" s="61" t="str">
        <f>IF(B36="","",IFERROR(VLOOKUP(B36,'ANÁLISE DE DADOS'!$A:$AM,2,0),""))</f>
        <v>Filial</v>
      </c>
      <c r="E36" s="61">
        <f>IF(B36="","",IFERROR(VLOOKUP(B36,'ANÁLISE DE DADOS'!$A:$AM,3,0),""))</f>
        <v>0</v>
      </c>
      <c r="F36" s="61" t="str">
        <f>IF(B36="","",IFERROR(VLOOKUP(B36,'ANÁLISE DE DADOS'!$A:$AM,4,0),""))</f>
        <v>SoftLink</v>
      </c>
      <c r="G36" s="62">
        <f>IF(B36="","",IFERROR(VLOOKUP(B36,'ANÁLISE DE DADOS'!$A:$AM,5,0),""))</f>
        <v>45700</v>
      </c>
      <c r="H36" s="62" t="str">
        <f>IF(B36="","",IFERROR(VLOOKUP(B36,'ANÁLISE DE DADOS'!$A:$AM,6,0),""))</f>
        <v>fev-25</v>
      </c>
      <c r="I36" s="62" t="str">
        <f>IF(B36="","",IFERROR(VLOOKUP(B36,'ANÁLISE DE DADOS'!$A:$AM,7,0),""))</f>
        <v>2025</v>
      </c>
      <c r="J36" s="62">
        <f>IF(B36="","",IFERROR(VLOOKUP(B36,'ANÁLISE DE DADOS'!$A:$AM,8,0),""))</f>
        <v>45715</v>
      </c>
      <c r="K36" s="61" t="str">
        <f>IF(B36="","",IFERROR(VLOOKUP(B36,'ANÁLISE DE DADOS'!$A:$AM,9,0),""))</f>
        <v>fev-25</v>
      </c>
      <c r="L36" s="61" t="str">
        <f>IF(B36="","",IFERROR(VLOOKUP(B36,'ANÁLISE DE DADOS'!$A:$AM,10,0),""))</f>
        <v>2025</v>
      </c>
      <c r="M36" s="62">
        <f>IF(B36="","",IFERROR(VLOOKUP(B36,'ANÁLISE DE DADOS'!$A:$AM,11,0),""))</f>
        <v>45715</v>
      </c>
      <c r="N36" s="61" t="str">
        <f>IF(B36="","",IFERROR(VLOOKUP(B36,'ANÁLISE DE DADOS'!$A:$AM,12,0),""))</f>
        <v>fev-25</v>
      </c>
      <c r="O36" s="61" t="str">
        <f>IF(B36="","",IFERROR(VLOOKUP(B36,'ANÁLISE DE DADOS'!$A:$AM,13,0),""))</f>
        <v>2025</v>
      </c>
      <c r="P36" s="63">
        <f>IF(B36="","",IFERROR(VLOOKUP(B36,'ANÁLISE DE DADOS'!$A:$AM,14,0),""))</f>
        <v>1500</v>
      </c>
      <c r="Q36" s="61" t="str">
        <f>IF(B36="","",IFERROR(VLOOKUP(B36,'ANÁLISE DE DADOS'!$A:$AM,15,0),""))</f>
        <v>André</v>
      </c>
      <c r="R36" s="61" t="str">
        <f>IF(B36="","",IFERROR(VLOOKUP(B36,'ANÁLISE DE DADOS'!$A:$AM,16,0),""))</f>
        <v>ANALISTA GUSTAVO</v>
      </c>
      <c r="S36" s="61" t="str">
        <f>IF(B36="","",IFERROR(VLOOKUP(B36,'ANÁLISE DE DADOS'!$A:$AM,17,0),""))</f>
        <v>NÃO</v>
      </c>
      <c r="T36" s="61" t="str">
        <f>IF(B36="","",IFERROR(VLOOKUP(B36,'ANÁLISE DE DADOS'!$A:$AM,18,0),""))</f>
        <v>Pagamento em processo (aguardando confirmação bancária)</v>
      </c>
      <c r="U36" s="61" t="str">
        <f ca="1">IF(B36="","",IFERROR(VLOOKUP(B36,'ANÁLISE DE DADOS'!$A:$AM,19,0),""))</f>
        <v>Vencido</v>
      </c>
      <c r="V36" s="61">
        <f ca="1">IF(B36="","",IFERROR(VLOOKUP(B36,'ANÁLISE DE DADOS'!$A:$AM,20,0),""))</f>
        <v>80</v>
      </c>
      <c r="W36" s="61" t="str">
        <f ca="1">IF(B36="","",IFERROR(VLOOKUP(B36,'ANÁLISE DE DADOS'!$A:$AM,21,0),""))</f>
        <v>61+ dias</v>
      </c>
      <c r="X36" s="61" t="str">
        <f ca="1">IF(B36="","",IFERROR(VLOOKUP(B36,'ANÁLISE DE DADOS'!$A:$AM,22,0),""))</f>
        <v>Atraso Crítico</v>
      </c>
      <c r="Y36" s="61" t="str">
        <f>IF(B36="","",IFERROR(VLOOKUP(B36,'ANÁLISE DE DADOS'!$A:$AM,23,0),""))</f>
        <v>-</v>
      </c>
      <c r="Z36" s="61" t="str">
        <f>IF(B36="","",IFERROR(VLOOKUP(B36,'ANÁLISE DE DADOS'!$A:$AM,24,0),""))</f>
        <v>Sim</v>
      </c>
      <c r="AA36" s="61">
        <f>IF(B36="","",IFERROR(VLOOKUP(B36,'ANÁLISE DE DADOS'!$A:$AM,25,0),""))</f>
        <v>0</v>
      </c>
      <c r="AB36" s="61">
        <f>IF(B36="","",IFERROR(VLOOKUP(B36,'ANÁLISE DE DADOS'!$A:$AM,26,0),""))</f>
        <v>1</v>
      </c>
      <c r="AC36" s="61" t="str">
        <f>IF(B36="","",IFERROR(VLOOKUP(B36,'ANÁLISE DE DADOS'!$A:$AM,27,0),""))</f>
        <v>Sim</v>
      </c>
      <c r="AD36" s="62">
        <f>IF(B36="","",IFERROR(VLOOKUP(B36,'ANÁLISE DE DADOS'!$A:$AM,28,0),""))</f>
        <v>45740</v>
      </c>
      <c r="AE36" s="61" t="str">
        <f>IF(B36="","",IFERROR(VLOOKUP(B36,'ANÁLISE DE DADOS'!$A:$AM,29,0),""))</f>
        <v>mar-25</v>
      </c>
      <c r="AF36" s="61" t="str">
        <f>IF(B36="","",IFERROR(VLOOKUP(B36,'ANÁLISE DE DADOS'!$A:$AM,30,0),""))</f>
        <v>2025</v>
      </c>
      <c r="AG36" s="62">
        <f>IF(B36="","",IFERROR(VLOOKUP(B36,'ANÁLISE DE DADOS'!$A:$AM,31,0),""))</f>
        <v>45740</v>
      </c>
      <c r="AH36" s="61" t="str">
        <f>IF(B36="","",IFERROR(VLOOKUP(B36,'ANÁLISE DE DADOS'!$A:$AM,32,0),""))</f>
        <v>mar-25</v>
      </c>
      <c r="AI36" s="61" t="str">
        <f>IF(B36="","",IFERROR(VLOOKUP(B36,'ANÁLISE DE DADOS'!$A:$AM,33,0),""))</f>
        <v>2025</v>
      </c>
      <c r="AJ36" s="61" t="str">
        <f>IF(B36="","",IFERROR(VLOOKUP(B36,'ANÁLISE DE DADOS'!$A:$AM,34,0),""))</f>
        <v>Acompanhando</v>
      </c>
      <c r="AK36" s="63">
        <f ca="1">IF(B36="","",IFERROR(VLOOKUP(B36,'ANÁLISE DE DADOS'!$A:$AM,35,0),""))</f>
        <v>1500</v>
      </c>
      <c r="AL36" s="63" t="str">
        <f ca="1">IF(B36="","",IFERROR(VLOOKUP(B36,'ANÁLISE DE DADOS'!$A:$AM,36,0),""))</f>
        <v>0</v>
      </c>
    </row>
    <row r="37" spans="2:38" x14ac:dyDescent="0.3">
      <c r="B37" s="30">
        <v>33</v>
      </c>
      <c r="C37" s="61">
        <f>IF(B37="","",IFERROR(VLOOKUP(B37,'ANÁLISE DE DADOS'!$A:$AM,1,0),""))</f>
        <v>33</v>
      </c>
      <c r="D37" s="61" t="str">
        <f>IF(B37="","",IFERROR(VLOOKUP(B37,'ANÁLISE DE DADOS'!$A:$AM,2,0),""))</f>
        <v>Matriz</v>
      </c>
      <c r="E37" s="61" t="str">
        <f>IF(B37="","",IFERROR(VLOOKUP(B37,'ANÁLISE DE DADOS'!$A:$AM,3,0),""))</f>
        <v>Gamma &amp; CIA</v>
      </c>
      <c r="F37" s="61" t="str">
        <f>IF(B37="","",IFERROR(VLOOKUP(B37,'ANÁLISE DE DADOS'!$A:$AM,4,0),""))</f>
        <v>Gamma &amp; CIA</v>
      </c>
      <c r="G37" s="62">
        <f>IF(B37="","",IFERROR(VLOOKUP(B37,'ANÁLISE DE DADOS'!$A:$AM,5,0),""))</f>
        <v>45337</v>
      </c>
      <c r="H37" s="62" t="str">
        <f>IF(B37="","",IFERROR(VLOOKUP(B37,'ANÁLISE DE DADOS'!$A:$AM,6,0),""))</f>
        <v>fev-24</v>
      </c>
      <c r="I37" s="62" t="str">
        <f>IF(B37="","",IFERROR(VLOOKUP(B37,'ANÁLISE DE DADOS'!$A:$AM,7,0),""))</f>
        <v>2024</v>
      </c>
      <c r="J37" s="62" t="str">
        <f>IF(B37="","",IFERROR(VLOOKUP(B37,'ANÁLISE DE DADOS'!$A:$AM,8,0),""))</f>
        <v xml:space="preserve"> </v>
      </c>
      <c r="K37" s="61" t="str">
        <f>IF(B37="","",IFERROR(VLOOKUP(B37,'ANÁLISE DE DADOS'!$A:$AM,9,0),""))</f>
        <v xml:space="preserve"> </v>
      </c>
      <c r="L37" s="61" t="str">
        <f>IF(B37="","",IFERROR(VLOOKUP(B37,'ANÁLISE DE DADOS'!$A:$AM,10,0),""))</f>
        <v xml:space="preserve"> </v>
      </c>
      <c r="M37" s="62">
        <f>IF(B37="","",IFERROR(VLOOKUP(B37,'ANÁLISE DE DADOS'!$A:$AM,11,0),""))</f>
        <v>45339</v>
      </c>
      <c r="N37" s="61" t="str">
        <f>IF(B37="","",IFERROR(VLOOKUP(B37,'ANÁLISE DE DADOS'!$A:$AM,12,0),""))</f>
        <v>fev-24</v>
      </c>
      <c r="O37" s="61" t="str">
        <f>IF(B37="","",IFERROR(VLOOKUP(B37,'ANÁLISE DE DADOS'!$A:$AM,13,0),""))</f>
        <v>2024</v>
      </c>
      <c r="P37" s="63">
        <f>IF(B37="","",IFERROR(VLOOKUP(B37,'ANÁLISE DE DADOS'!$A:$AM,14,0),""))</f>
        <v>2000</v>
      </c>
      <c r="Q37" s="61" t="str">
        <f>IF(B37="","",IFERROR(VLOOKUP(B37,'ANÁLISE DE DADOS'!$A:$AM,15,0),""))</f>
        <v>Luana</v>
      </c>
      <c r="R37" s="61" t="str">
        <f>IF(B37="","",IFERROR(VLOOKUP(B37,'ANÁLISE DE DADOS'!$A:$AM,16,0),""))</f>
        <v>ANALISTA GUSTAVO</v>
      </c>
      <c r="S37" s="61" t="str">
        <f>IF(B37="","",IFERROR(VLOOKUP(B37,'ANÁLISE DE DADOS'!$A:$AM,17,0),""))</f>
        <v>NÃO</v>
      </c>
      <c r="T37" s="61" t="str">
        <f>IF(B37="","",IFERROR(VLOOKUP(B37,'ANÁLISE DE DADOS'!$A:$AM,18,0),""))</f>
        <v>Cliente em inadimplência sem previsão de pagamento</v>
      </c>
      <c r="U37" s="61" t="str">
        <f ca="1">IF(B37="","",IFERROR(VLOOKUP(B37,'ANÁLISE DE DADOS'!$A:$AM,19,0),""))</f>
        <v>A Vencer</v>
      </c>
      <c r="V37" s="61" t="str">
        <f ca="1">IF(B37="","",IFERROR(VLOOKUP(B37,'ANÁLISE DE DADOS'!$A:$AM,20,0),""))</f>
        <v/>
      </c>
      <c r="W37" s="61" t="str">
        <f ca="1">IF(B37="","",IFERROR(VLOOKUP(B37,'ANÁLISE DE DADOS'!$A:$AM,21,0),""))</f>
        <v/>
      </c>
      <c r="X37" s="61" t="str">
        <f ca="1">IF(B37="","",IFERROR(VLOOKUP(B37,'ANÁLISE DE DADOS'!$A:$AM,22,0),""))</f>
        <v/>
      </c>
      <c r="Y37" s="61" t="str">
        <f>IF(B37="","",IFERROR(VLOOKUP(B37,'ANÁLISE DE DADOS'!$A:$AM,23,0),""))</f>
        <v>-</v>
      </c>
      <c r="Z37" s="61" t="str">
        <f>IF(B37="","",IFERROR(VLOOKUP(B37,'ANÁLISE DE DADOS'!$A:$AM,24,0),""))</f>
        <v>Sim</v>
      </c>
      <c r="AA37" s="61">
        <f>IF(B37="","",IFERROR(VLOOKUP(B37,'ANÁLISE DE DADOS'!$A:$AM,25,0),""))</f>
        <v>0</v>
      </c>
      <c r="AB37" s="61">
        <f>IF(B37="","",IFERROR(VLOOKUP(B37,'ANÁLISE DE DADOS'!$A:$AM,26,0),""))</f>
        <v>1</v>
      </c>
      <c r="AC37" s="61" t="str">
        <f>IF(B37="","",IFERROR(VLOOKUP(B37,'ANÁLISE DE DADOS'!$A:$AM,27,0),""))</f>
        <v>Sim</v>
      </c>
      <c r="AD37" s="62">
        <f>IF(B37="","",IFERROR(VLOOKUP(B37,'ANÁLISE DE DADOS'!$A:$AM,28,0),""))</f>
        <v>45740</v>
      </c>
      <c r="AE37" s="61" t="str">
        <f>IF(B37="","",IFERROR(VLOOKUP(B37,'ANÁLISE DE DADOS'!$A:$AM,29,0),""))</f>
        <v>mar-25</v>
      </c>
      <c r="AF37" s="61" t="str">
        <f>IF(B37="","",IFERROR(VLOOKUP(B37,'ANÁLISE DE DADOS'!$A:$AM,30,0),""))</f>
        <v>2025</v>
      </c>
      <c r="AG37" s="62">
        <f>IF(B37="","",IFERROR(VLOOKUP(B37,'ANÁLISE DE DADOS'!$A:$AM,31,0),""))</f>
        <v>45772</v>
      </c>
      <c r="AH37" s="61" t="str">
        <f>IF(B37="","",IFERROR(VLOOKUP(B37,'ANÁLISE DE DADOS'!$A:$AM,32,0),""))</f>
        <v>abr-25</v>
      </c>
      <c r="AI37" s="61" t="str">
        <f>IF(B37="","",IFERROR(VLOOKUP(B37,'ANÁLISE DE DADOS'!$A:$AM,33,0),""))</f>
        <v>2025</v>
      </c>
      <c r="AJ37" s="61" t="str">
        <f>IF(B37="","",IFERROR(VLOOKUP(B37,'ANÁLISE DE DADOS'!$A:$AM,34,0),""))</f>
        <v>Acompanhando</v>
      </c>
      <c r="AK37" s="63" t="str">
        <f ca="1">IF(B37="","",IFERROR(VLOOKUP(B37,'ANÁLISE DE DADOS'!$A:$AM,35,0),""))</f>
        <v>0</v>
      </c>
      <c r="AL37" s="63">
        <f ca="1">IF(B37="","",IFERROR(VLOOKUP(B37,'ANÁLISE DE DADOS'!$A:$AM,36,0),""))</f>
        <v>2000</v>
      </c>
    </row>
    <row r="38" spans="2:38" x14ac:dyDescent="0.3">
      <c r="B38" s="30">
        <v>34</v>
      </c>
      <c r="C38" s="61">
        <f>IF(B38="","",IFERROR(VLOOKUP(B38,'ANÁLISE DE DADOS'!$A:$AM,1,0),""))</f>
        <v>34</v>
      </c>
      <c r="D38" s="61" t="str">
        <f>IF(B38="","",IFERROR(VLOOKUP(B38,'ANÁLISE DE DADOS'!$A:$AM,2,0),""))</f>
        <v>Matriz</v>
      </c>
      <c r="E38" s="61">
        <f>IF(B38="","",IFERROR(VLOOKUP(B38,'ANÁLISE DE DADOS'!$A:$AM,3,0),""))</f>
        <v>0</v>
      </c>
      <c r="F38" s="61" t="str">
        <f>IF(B38="","",IFERROR(VLOOKUP(B38,'ANÁLISE DE DADOS'!$A:$AM,4,0),""))</f>
        <v>BemEstar</v>
      </c>
      <c r="G38" s="62">
        <f>IF(B38="","",IFERROR(VLOOKUP(B38,'ANÁLISE DE DADOS'!$A:$AM,5,0),""))</f>
        <v>45658</v>
      </c>
      <c r="H38" s="62" t="str">
        <f>IF(B38="","",IFERROR(VLOOKUP(B38,'ANÁLISE DE DADOS'!$A:$AM,6,0),""))</f>
        <v>jan-25</v>
      </c>
      <c r="I38" s="62" t="str">
        <f>IF(B38="","",IFERROR(VLOOKUP(B38,'ANÁLISE DE DADOS'!$A:$AM,7,0),""))</f>
        <v>2025</v>
      </c>
      <c r="J38" s="62">
        <f>IF(B38="","",IFERROR(VLOOKUP(B38,'ANÁLISE DE DADOS'!$A:$AM,8,0),""))</f>
        <v>45689</v>
      </c>
      <c r="K38" s="61" t="str">
        <f>IF(B38="","",IFERROR(VLOOKUP(B38,'ANÁLISE DE DADOS'!$A:$AM,9,0),""))</f>
        <v>fev-25</v>
      </c>
      <c r="L38" s="61" t="str">
        <f>IF(B38="","",IFERROR(VLOOKUP(B38,'ANÁLISE DE DADOS'!$A:$AM,10,0),""))</f>
        <v>2025</v>
      </c>
      <c r="M38" s="62">
        <f>IF(B38="","",IFERROR(VLOOKUP(B38,'ANÁLISE DE DADOS'!$A:$AM,11,0),""))</f>
        <v>45737</v>
      </c>
      <c r="N38" s="61" t="str">
        <f>IF(B38="","",IFERROR(VLOOKUP(B38,'ANÁLISE DE DADOS'!$A:$AM,12,0),""))</f>
        <v>mar-25</v>
      </c>
      <c r="O38" s="61" t="str">
        <f>IF(B38="","",IFERROR(VLOOKUP(B38,'ANÁLISE DE DADOS'!$A:$AM,13,0),""))</f>
        <v>2025</v>
      </c>
      <c r="P38" s="63">
        <f>IF(B38="","",IFERROR(VLOOKUP(B38,'ANÁLISE DE DADOS'!$A:$AM,14,0),""))</f>
        <v>2000</v>
      </c>
      <c r="Q38" s="61" t="str">
        <f>IF(B38="","",IFERROR(VLOOKUP(B38,'ANÁLISE DE DADOS'!$A:$AM,15,0),""))</f>
        <v>Luana</v>
      </c>
      <c r="R38" s="61" t="str">
        <f>IF(B38="","",IFERROR(VLOOKUP(B38,'ANÁLISE DE DADOS'!$A:$AM,16,0),""))</f>
        <v>ANALISTA GUSTAVO</v>
      </c>
      <c r="S38" s="61" t="str">
        <f>IF(B38="","",IFERROR(VLOOKUP(B38,'ANÁLISE DE DADOS'!$A:$AM,17,0),""))</f>
        <v>NÃO</v>
      </c>
      <c r="T38" s="61" t="str">
        <f>IF(B38="","",IFERROR(VLOOKUP(B38,'ANÁLISE DE DADOS'!$A:$AM,18,0),""))</f>
        <v>Pagamento em processo (aguardando confirmação bancária)</v>
      </c>
      <c r="U38" s="61" t="str">
        <f ca="1">IF(B38="","",IFERROR(VLOOKUP(B38,'ANÁLISE DE DADOS'!$A:$AM,19,0),""))</f>
        <v>Vencido</v>
      </c>
      <c r="V38" s="61">
        <f ca="1">IF(B38="","",IFERROR(VLOOKUP(B38,'ANÁLISE DE DADOS'!$A:$AM,20,0),""))</f>
        <v>106</v>
      </c>
      <c r="W38" s="61" t="str">
        <f ca="1">IF(B38="","",IFERROR(VLOOKUP(B38,'ANÁLISE DE DADOS'!$A:$AM,21,0),""))</f>
        <v>61+ dias</v>
      </c>
      <c r="X38" s="61" t="str">
        <f ca="1">IF(B38="","",IFERROR(VLOOKUP(B38,'ANÁLISE DE DADOS'!$A:$AM,22,0),""))</f>
        <v>Atraso Crítico</v>
      </c>
      <c r="Y38" s="61" t="str">
        <f>IF(B38="","",IFERROR(VLOOKUP(B38,'ANÁLISE DE DADOS'!$A:$AM,23,0),""))</f>
        <v>-</v>
      </c>
      <c r="Z38" s="61" t="str">
        <f>IF(B38="","",IFERROR(VLOOKUP(B38,'ANÁLISE DE DADOS'!$A:$AM,24,0),""))</f>
        <v>Sim</v>
      </c>
      <c r="AA38" s="61">
        <f>IF(B38="","",IFERROR(VLOOKUP(B38,'ANÁLISE DE DADOS'!$A:$AM,25,0),""))</f>
        <v>0</v>
      </c>
      <c r="AB38" s="61">
        <f>IF(B38="","",IFERROR(VLOOKUP(B38,'ANÁLISE DE DADOS'!$A:$AM,26,0),""))</f>
        <v>1</v>
      </c>
      <c r="AC38" s="61" t="str">
        <f>IF(B38="","",IFERROR(VLOOKUP(B38,'ANÁLISE DE DADOS'!$A:$AM,27,0),""))</f>
        <v>Sim</v>
      </c>
      <c r="AD38" s="62">
        <f>IF(B38="","",IFERROR(VLOOKUP(B38,'ANÁLISE DE DADOS'!$A:$AM,28,0),""))</f>
        <v>45740</v>
      </c>
      <c r="AE38" s="61" t="str">
        <f>IF(B38="","",IFERROR(VLOOKUP(B38,'ANÁLISE DE DADOS'!$A:$AM,29,0),""))</f>
        <v>mar-25</v>
      </c>
      <c r="AF38" s="61" t="str">
        <f>IF(B38="","",IFERROR(VLOOKUP(B38,'ANÁLISE DE DADOS'!$A:$AM,30,0),""))</f>
        <v>2025</v>
      </c>
      <c r="AG38" s="62">
        <f>IF(B38="","",IFERROR(VLOOKUP(B38,'ANÁLISE DE DADOS'!$A:$AM,31,0),""))</f>
        <v>45772</v>
      </c>
      <c r="AH38" s="61" t="str">
        <f>IF(B38="","",IFERROR(VLOOKUP(B38,'ANÁLISE DE DADOS'!$A:$AM,32,0),""))</f>
        <v>abr-25</v>
      </c>
      <c r="AI38" s="61" t="str">
        <f>IF(B38="","",IFERROR(VLOOKUP(B38,'ANÁLISE DE DADOS'!$A:$AM,33,0),""))</f>
        <v>2025</v>
      </c>
      <c r="AJ38" s="61" t="str">
        <f>IF(B38="","",IFERROR(VLOOKUP(B38,'ANÁLISE DE DADOS'!$A:$AM,34,0),""))</f>
        <v>Acompanhando</v>
      </c>
      <c r="AK38" s="63">
        <f ca="1">IF(B38="","",IFERROR(VLOOKUP(B38,'ANÁLISE DE DADOS'!$A:$AM,35,0),""))</f>
        <v>2000</v>
      </c>
      <c r="AL38" s="63" t="str">
        <f ca="1">IF(B38="","",IFERROR(VLOOKUP(B38,'ANÁLISE DE DADOS'!$A:$AM,36,0),""))</f>
        <v>0</v>
      </c>
    </row>
    <row r="39" spans="2:38" x14ac:dyDescent="0.3">
      <c r="B39" s="30">
        <v>35</v>
      </c>
      <c r="C39" s="61">
        <f>IF(B39="","",IFERROR(VLOOKUP(B39,'ANÁLISE DE DADOS'!$A:$AM,1,0),""))</f>
        <v>35</v>
      </c>
      <c r="D39" s="61" t="str">
        <f>IF(B39="","",IFERROR(VLOOKUP(B39,'ANÁLISE DE DADOS'!$A:$AM,2,0),""))</f>
        <v>Filial</v>
      </c>
      <c r="E39" s="61" t="str">
        <f>IF(B39="","",IFERROR(VLOOKUP(B39,'ANÁLISE DE DADOS'!$A:$AM,3,0),""))</f>
        <v>Gamma &amp; CIA</v>
      </c>
      <c r="F39" s="61" t="str">
        <f>IF(B39="","",IFERROR(VLOOKUP(B39,'ANÁLISE DE DADOS'!$A:$AM,4,0),""))</f>
        <v>Gamma &amp; CIA</v>
      </c>
      <c r="G39" s="62">
        <f>IF(B39="","",IFERROR(VLOOKUP(B39,'ANÁLISE DE DADOS'!$A:$AM,5,0),""))</f>
        <v>45706</v>
      </c>
      <c r="H39" s="62" t="str">
        <f>IF(B39="","",IFERROR(VLOOKUP(B39,'ANÁLISE DE DADOS'!$A:$AM,6,0),""))</f>
        <v>fev-25</v>
      </c>
      <c r="I39" s="62" t="str">
        <f>IF(B39="","",IFERROR(VLOOKUP(B39,'ANÁLISE DE DADOS'!$A:$AM,7,0),""))</f>
        <v>2025</v>
      </c>
      <c r="J39" s="62">
        <f>IF(B39="","",IFERROR(VLOOKUP(B39,'ANÁLISE DE DADOS'!$A:$AM,8,0),""))</f>
        <v>45715</v>
      </c>
      <c r="K39" s="61" t="str">
        <f>IF(B39="","",IFERROR(VLOOKUP(B39,'ANÁLISE DE DADOS'!$A:$AM,9,0),""))</f>
        <v>fev-25</v>
      </c>
      <c r="L39" s="61" t="str">
        <f>IF(B39="","",IFERROR(VLOOKUP(B39,'ANÁLISE DE DADOS'!$A:$AM,10,0),""))</f>
        <v>2025</v>
      </c>
      <c r="M39" s="62">
        <f>IF(B39="","",IFERROR(VLOOKUP(B39,'ANÁLISE DE DADOS'!$A:$AM,11,0),""))</f>
        <v>45715</v>
      </c>
      <c r="N39" s="61" t="str">
        <f>IF(B39="","",IFERROR(VLOOKUP(B39,'ANÁLISE DE DADOS'!$A:$AM,12,0),""))</f>
        <v>fev-25</v>
      </c>
      <c r="O39" s="61" t="str">
        <f>IF(B39="","",IFERROR(VLOOKUP(B39,'ANÁLISE DE DADOS'!$A:$AM,13,0),""))</f>
        <v>2025</v>
      </c>
      <c r="P39" s="63">
        <f>IF(B39="","",IFERROR(VLOOKUP(B39,'ANÁLISE DE DADOS'!$A:$AM,14,0),""))</f>
        <v>1000</v>
      </c>
      <c r="Q39" s="61" t="str">
        <f>IF(B39="","",IFERROR(VLOOKUP(B39,'ANÁLISE DE DADOS'!$A:$AM,15,0),""))</f>
        <v>Pedro</v>
      </c>
      <c r="R39" s="61" t="str">
        <f>IF(B39="","",IFERROR(VLOOKUP(B39,'ANÁLISE DE DADOS'!$A:$AM,16,0),""))</f>
        <v>ANALISTA GUSTAVO</v>
      </c>
      <c r="S39" s="61" t="str">
        <f>IF(B39="","",IFERROR(VLOOKUP(B39,'ANÁLISE DE DADOS'!$A:$AM,17,0),""))</f>
        <v>NÃO</v>
      </c>
      <c r="T39" s="61" t="str">
        <f>IF(B39="","",IFERROR(VLOOKUP(B39,'ANÁLISE DE DADOS'!$A:$AM,18,0),""))</f>
        <v>Situação jurídica em andamento (em processo judicial)</v>
      </c>
      <c r="U39" s="61" t="str">
        <f ca="1">IF(B39="","",IFERROR(VLOOKUP(B39,'ANÁLISE DE DADOS'!$A:$AM,19,0),""))</f>
        <v>Vencido</v>
      </c>
      <c r="V39" s="61">
        <f ca="1">IF(B39="","",IFERROR(VLOOKUP(B39,'ANÁLISE DE DADOS'!$A:$AM,20,0),""))</f>
        <v>80</v>
      </c>
      <c r="W39" s="61" t="str">
        <f ca="1">IF(B39="","",IFERROR(VLOOKUP(B39,'ANÁLISE DE DADOS'!$A:$AM,21,0),""))</f>
        <v>61+ dias</v>
      </c>
      <c r="X39" s="61" t="str">
        <f ca="1">IF(B39="","",IFERROR(VLOOKUP(B39,'ANÁLISE DE DADOS'!$A:$AM,22,0),""))</f>
        <v>Atraso Crítico</v>
      </c>
      <c r="Y39" s="61" t="str">
        <f>IF(B39="","",IFERROR(VLOOKUP(B39,'ANÁLISE DE DADOS'!$A:$AM,23,0),""))</f>
        <v>-</v>
      </c>
      <c r="Z39" s="61" t="str">
        <f>IF(B39="","",IFERROR(VLOOKUP(B39,'ANÁLISE DE DADOS'!$A:$AM,24,0),""))</f>
        <v>Sim</v>
      </c>
      <c r="AA39" s="61">
        <f>IF(B39="","",IFERROR(VLOOKUP(B39,'ANÁLISE DE DADOS'!$A:$AM,25,0),""))</f>
        <v>0</v>
      </c>
      <c r="AB39" s="61">
        <f>IF(B39="","",IFERROR(VLOOKUP(B39,'ANÁLISE DE DADOS'!$A:$AM,26,0),""))</f>
        <v>1</v>
      </c>
      <c r="AC39" s="61" t="str">
        <f>IF(B39="","",IFERROR(VLOOKUP(B39,'ANÁLISE DE DADOS'!$A:$AM,27,0),""))</f>
        <v>Sim</v>
      </c>
      <c r="AD39" s="62">
        <f>IF(B39="","",IFERROR(VLOOKUP(B39,'ANÁLISE DE DADOS'!$A:$AM,28,0),""))</f>
        <v>45740</v>
      </c>
      <c r="AE39" s="61" t="str">
        <f>IF(B39="","",IFERROR(VLOOKUP(B39,'ANÁLISE DE DADOS'!$A:$AM,29,0),""))</f>
        <v>mar-25</v>
      </c>
      <c r="AF39" s="61" t="str">
        <f>IF(B39="","",IFERROR(VLOOKUP(B39,'ANÁLISE DE DADOS'!$A:$AM,30,0),""))</f>
        <v>2025</v>
      </c>
      <c r="AG39" s="62">
        <f>IF(B39="","",IFERROR(VLOOKUP(B39,'ANÁLISE DE DADOS'!$A:$AM,31,0),""))</f>
        <v>45740</v>
      </c>
      <c r="AH39" s="61" t="str">
        <f>IF(B39="","",IFERROR(VLOOKUP(B39,'ANÁLISE DE DADOS'!$A:$AM,32,0),""))</f>
        <v>mar-25</v>
      </c>
      <c r="AI39" s="61" t="str">
        <f>IF(B39="","",IFERROR(VLOOKUP(B39,'ANÁLISE DE DADOS'!$A:$AM,33,0),""))</f>
        <v>2025</v>
      </c>
      <c r="AJ39" s="61" t="str">
        <f>IF(B39="","",IFERROR(VLOOKUP(B39,'ANÁLISE DE DADOS'!$A:$AM,34,0),""))</f>
        <v>Acompanhando</v>
      </c>
      <c r="AK39" s="63">
        <f ca="1">IF(B39="","",IFERROR(VLOOKUP(B39,'ANÁLISE DE DADOS'!$A:$AM,35,0),""))</f>
        <v>1000</v>
      </c>
      <c r="AL39" s="63" t="str">
        <f ca="1">IF(B39="","",IFERROR(VLOOKUP(B39,'ANÁLISE DE DADOS'!$A:$AM,36,0),""))</f>
        <v>0</v>
      </c>
    </row>
    <row r="40" spans="2:38" x14ac:dyDescent="0.3">
      <c r="B40" s="30">
        <v>36</v>
      </c>
      <c r="C40" s="61">
        <f>IF(B40="","",IFERROR(VLOOKUP(B40,'ANÁLISE DE DADOS'!$A:$AM,1,0),""))</f>
        <v>36</v>
      </c>
      <c r="D40" s="61" t="str">
        <f>IF(B40="","",IFERROR(VLOOKUP(B40,'ANÁLISE DE DADOS'!$A:$AM,2,0),""))</f>
        <v>Filial</v>
      </c>
      <c r="E40" s="61">
        <f>IF(B40="","",IFERROR(VLOOKUP(B40,'ANÁLISE DE DADOS'!$A:$AM,3,0),""))</f>
        <v>0</v>
      </c>
      <c r="F40" s="61" t="str">
        <f>IF(B40="","",IFERROR(VLOOKUP(B40,'ANÁLISE DE DADOS'!$A:$AM,4,0),""))</f>
        <v>SoftLink</v>
      </c>
      <c r="G40" s="62">
        <f>IF(B40="","",IFERROR(VLOOKUP(B40,'ANÁLISE DE DADOS'!$A:$AM,5,0),""))</f>
        <v>45706</v>
      </c>
      <c r="H40" s="62" t="str">
        <f>IF(B40="","",IFERROR(VLOOKUP(B40,'ANÁLISE DE DADOS'!$A:$AM,6,0),""))</f>
        <v>fev-25</v>
      </c>
      <c r="I40" s="62" t="str">
        <f>IF(B40="","",IFERROR(VLOOKUP(B40,'ANÁLISE DE DADOS'!$A:$AM,7,0),""))</f>
        <v>2025</v>
      </c>
      <c r="J40" s="62">
        <f>IF(B40="","",IFERROR(VLOOKUP(B40,'ANÁLISE DE DADOS'!$A:$AM,8,0),""))</f>
        <v>45715</v>
      </c>
      <c r="K40" s="61" t="str">
        <f>IF(B40="","",IFERROR(VLOOKUP(B40,'ANÁLISE DE DADOS'!$A:$AM,9,0),""))</f>
        <v>fev-25</v>
      </c>
      <c r="L40" s="61" t="str">
        <f>IF(B40="","",IFERROR(VLOOKUP(B40,'ANÁLISE DE DADOS'!$A:$AM,10,0),""))</f>
        <v>2025</v>
      </c>
      <c r="M40" s="62">
        <f>IF(B40="","",IFERROR(VLOOKUP(B40,'ANÁLISE DE DADOS'!$A:$AM,11,0),""))</f>
        <v>45715</v>
      </c>
      <c r="N40" s="61" t="str">
        <f>IF(B40="","",IFERROR(VLOOKUP(B40,'ANÁLISE DE DADOS'!$A:$AM,12,0),""))</f>
        <v>fev-25</v>
      </c>
      <c r="O40" s="61" t="str">
        <f>IF(B40="","",IFERROR(VLOOKUP(B40,'ANÁLISE DE DADOS'!$A:$AM,13,0),""))</f>
        <v>2025</v>
      </c>
      <c r="P40" s="63">
        <f>IF(B40="","",IFERROR(VLOOKUP(B40,'ANÁLISE DE DADOS'!$A:$AM,14,0),""))</f>
        <v>1000</v>
      </c>
      <c r="Q40" s="61" t="str">
        <f>IF(B40="","",IFERROR(VLOOKUP(B40,'ANÁLISE DE DADOS'!$A:$AM,15,0),""))</f>
        <v>Pedro</v>
      </c>
      <c r="R40" s="61" t="str">
        <f>IF(B40="","",IFERROR(VLOOKUP(B40,'ANÁLISE DE DADOS'!$A:$AM,16,0),""))</f>
        <v>ANALISTA GUSTAVO</v>
      </c>
      <c r="S40" s="61" t="str">
        <f>IF(B40="","",IFERROR(VLOOKUP(B40,'ANÁLISE DE DADOS'!$A:$AM,17,0),""))</f>
        <v>NÃO</v>
      </c>
      <c r="T40" s="61" t="str">
        <f>IF(B40="","",IFERROR(VLOOKUP(B40,'ANÁLISE DE DADOS'!$A:$AM,18,0),""))</f>
        <v>Cancelamento de cobrança solicitado</v>
      </c>
      <c r="U40" s="61" t="str">
        <f ca="1">IF(B40="","",IFERROR(VLOOKUP(B40,'ANÁLISE DE DADOS'!$A:$AM,19,0),""))</f>
        <v>Vencido</v>
      </c>
      <c r="V40" s="61">
        <f ca="1">IF(B40="","",IFERROR(VLOOKUP(B40,'ANÁLISE DE DADOS'!$A:$AM,20,0),""))</f>
        <v>80</v>
      </c>
      <c r="W40" s="61" t="str">
        <f ca="1">IF(B40="","",IFERROR(VLOOKUP(B40,'ANÁLISE DE DADOS'!$A:$AM,21,0),""))</f>
        <v>61+ dias</v>
      </c>
      <c r="X40" s="61" t="str">
        <f ca="1">IF(B40="","",IFERROR(VLOOKUP(B40,'ANÁLISE DE DADOS'!$A:$AM,22,0),""))</f>
        <v>Atraso Crítico</v>
      </c>
      <c r="Y40" s="61" t="str">
        <f>IF(B40="","",IFERROR(VLOOKUP(B40,'ANÁLISE DE DADOS'!$A:$AM,23,0),""))</f>
        <v>-</v>
      </c>
      <c r="Z40" s="61" t="str">
        <f>IF(B40="","",IFERROR(VLOOKUP(B40,'ANÁLISE DE DADOS'!$A:$AM,24,0),""))</f>
        <v>Sim</v>
      </c>
      <c r="AA40" s="61">
        <f>IF(B40="","",IFERROR(VLOOKUP(B40,'ANÁLISE DE DADOS'!$A:$AM,25,0),""))</f>
        <v>0</v>
      </c>
      <c r="AB40" s="61">
        <f>IF(B40="","",IFERROR(VLOOKUP(B40,'ANÁLISE DE DADOS'!$A:$AM,26,0),""))</f>
        <v>1</v>
      </c>
      <c r="AC40" s="61" t="str">
        <f>IF(B40="","",IFERROR(VLOOKUP(B40,'ANÁLISE DE DADOS'!$A:$AM,27,0),""))</f>
        <v>Sim</v>
      </c>
      <c r="AD40" s="62">
        <f>IF(B40="","",IFERROR(VLOOKUP(B40,'ANÁLISE DE DADOS'!$A:$AM,28,0),""))</f>
        <v>45740</v>
      </c>
      <c r="AE40" s="61" t="str">
        <f>IF(B40="","",IFERROR(VLOOKUP(B40,'ANÁLISE DE DADOS'!$A:$AM,29,0),""))</f>
        <v>mar-25</v>
      </c>
      <c r="AF40" s="61" t="str">
        <f>IF(B40="","",IFERROR(VLOOKUP(B40,'ANÁLISE DE DADOS'!$A:$AM,30,0),""))</f>
        <v>2025</v>
      </c>
      <c r="AG40" s="62">
        <f>IF(B40="","",IFERROR(VLOOKUP(B40,'ANÁLISE DE DADOS'!$A:$AM,31,0),""))</f>
        <v>45740</v>
      </c>
      <c r="AH40" s="61" t="str">
        <f>IF(B40="","",IFERROR(VLOOKUP(B40,'ANÁLISE DE DADOS'!$A:$AM,32,0),""))</f>
        <v>mar-25</v>
      </c>
      <c r="AI40" s="61" t="str">
        <f>IF(B40="","",IFERROR(VLOOKUP(B40,'ANÁLISE DE DADOS'!$A:$AM,33,0),""))</f>
        <v>2025</v>
      </c>
      <c r="AJ40" s="61" t="str">
        <f>IF(B40="","",IFERROR(VLOOKUP(B40,'ANÁLISE DE DADOS'!$A:$AM,34,0),""))</f>
        <v>Acompanhando</v>
      </c>
      <c r="AK40" s="63">
        <f ca="1">IF(B40="","",IFERROR(VLOOKUP(B40,'ANÁLISE DE DADOS'!$A:$AM,35,0),""))</f>
        <v>1000</v>
      </c>
      <c r="AL40" s="63" t="str">
        <f ca="1">IF(B40="","",IFERROR(VLOOKUP(B40,'ANÁLISE DE DADOS'!$A:$AM,36,0),""))</f>
        <v>0</v>
      </c>
    </row>
    <row r="41" spans="2:38" x14ac:dyDescent="0.3">
      <c r="B41" s="30">
        <v>37</v>
      </c>
      <c r="C41" s="61">
        <f>IF(B41="","",IFERROR(VLOOKUP(B41,'ANÁLISE DE DADOS'!$A:$AM,1,0),""))</f>
        <v>37</v>
      </c>
      <c r="D41" s="61" t="str">
        <f>IF(B41="","",IFERROR(VLOOKUP(B41,'ANÁLISE DE DADOS'!$A:$AM,2,0),""))</f>
        <v>Matriz</v>
      </c>
      <c r="E41" s="61" t="str">
        <f>IF(B41="","",IFERROR(VLOOKUP(B41,'ANÁLISE DE DADOS'!$A:$AM,3,0),""))</f>
        <v>Gamma &amp; CIA</v>
      </c>
      <c r="F41" s="61" t="str">
        <f>IF(B41="","",IFERROR(VLOOKUP(B41,'ANÁLISE DE DADOS'!$A:$AM,4,0),""))</f>
        <v>Gamma &amp; CIA</v>
      </c>
      <c r="G41" s="62">
        <f>IF(B41="","",IFERROR(VLOOKUP(B41,'ANÁLISE DE DADOS'!$A:$AM,5,0),""))</f>
        <v>45708</v>
      </c>
      <c r="H41" s="62" t="str">
        <f>IF(B41="","",IFERROR(VLOOKUP(B41,'ANÁLISE DE DADOS'!$A:$AM,6,0),""))</f>
        <v>fev-25</v>
      </c>
      <c r="I41" s="62" t="str">
        <f>IF(B41="","",IFERROR(VLOOKUP(B41,'ANÁLISE DE DADOS'!$A:$AM,7,0),""))</f>
        <v>2025</v>
      </c>
      <c r="J41" s="62">
        <f>IF(B41="","",IFERROR(VLOOKUP(B41,'ANÁLISE DE DADOS'!$A:$AM,8,0),""))</f>
        <v>45715</v>
      </c>
      <c r="K41" s="61" t="str">
        <f>IF(B41="","",IFERROR(VLOOKUP(B41,'ANÁLISE DE DADOS'!$A:$AM,9,0),""))</f>
        <v>fev-25</v>
      </c>
      <c r="L41" s="61" t="str">
        <f>IF(B41="","",IFERROR(VLOOKUP(B41,'ANÁLISE DE DADOS'!$A:$AM,10,0),""))</f>
        <v>2025</v>
      </c>
      <c r="M41" s="62">
        <f>IF(B41="","",IFERROR(VLOOKUP(B41,'ANÁLISE DE DADOS'!$A:$AM,11,0),""))</f>
        <v>45715</v>
      </c>
      <c r="N41" s="61" t="str">
        <f>IF(B41="","",IFERROR(VLOOKUP(B41,'ANÁLISE DE DADOS'!$A:$AM,12,0),""))</f>
        <v>fev-25</v>
      </c>
      <c r="O41" s="61" t="str">
        <f>IF(B41="","",IFERROR(VLOOKUP(B41,'ANÁLISE DE DADOS'!$A:$AM,13,0),""))</f>
        <v>2025</v>
      </c>
      <c r="P41" s="63">
        <f>IF(B41="","",IFERROR(VLOOKUP(B41,'ANÁLISE DE DADOS'!$A:$AM,14,0),""))</f>
        <v>1800</v>
      </c>
      <c r="Q41" s="61" t="str">
        <f>IF(B41="","",IFERROR(VLOOKUP(B41,'ANÁLISE DE DADOS'!$A:$AM,15,0),""))</f>
        <v>Sabrina</v>
      </c>
      <c r="R41" s="61" t="str">
        <f>IF(B41="","",IFERROR(VLOOKUP(B41,'ANÁLISE DE DADOS'!$A:$AM,16,0),""))</f>
        <v>ANALISTA GUSTAVO</v>
      </c>
      <c r="S41" s="61" t="str">
        <f>IF(B41="","",IFERROR(VLOOKUP(B41,'ANÁLISE DE DADOS'!$A:$AM,17,0),""))</f>
        <v>NÃO</v>
      </c>
      <c r="T41" s="61" t="str">
        <f>IF(B41="","",IFERROR(VLOOKUP(B41,'ANÁLISE DE DADOS'!$A:$AM,18,0),""))</f>
        <v>Cliente alegando dificuldades financeiras</v>
      </c>
      <c r="U41" s="61" t="str">
        <f ca="1">IF(B41="","",IFERROR(VLOOKUP(B41,'ANÁLISE DE DADOS'!$A:$AM,19,0),""))</f>
        <v>Vencido</v>
      </c>
      <c r="V41" s="61">
        <f ca="1">IF(B41="","",IFERROR(VLOOKUP(B41,'ANÁLISE DE DADOS'!$A:$AM,20,0),""))</f>
        <v>80</v>
      </c>
      <c r="W41" s="61" t="str">
        <f ca="1">IF(B41="","",IFERROR(VLOOKUP(B41,'ANÁLISE DE DADOS'!$A:$AM,21,0),""))</f>
        <v>61+ dias</v>
      </c>
      <c r="X41" s="61" t="str">
        <f ca="1">IF(B41="","",IFERROR(VLOOKUP(B41,'ANÁLISE DE DADOS'!$A:$AM,22,0),""))</f>
        <v>Atraso Crítico</v>
      </c>
      <c r="Y41" s="61" t="str">
        <f>IF(B41="","",IFERROR(VLOOKUP(B41,'ANÁLISE DE DADOS'!$A:$AM,23,0),""))</f>
        <v>-</v>
      </c>
      <c r="Z41" s="61" t="str">
        <f>IF(B41="","",IFERROR(VLOOKUP(B41,'ANÁLISE DE DADOS'!$A:$AM,24,0),""))</f>
        <v>Sim</v>
      </c>
      <c r="AA41" s="61">
        <f>IF(B41="","",IFERROR(VLOOKUP(B41,'ANÁLISE DE DADOS'!$A:$AM,25,0),""))</f>
        <v>0</v>
      </c>
      <c r="AB41" s="61">
        <f>IF(B41="","",IFERROR(VLOOKUP(B41,'ANÁLISE DE DADOS'!$A:$AM,26,0),""))</f>
        <v>1</v>
      </c>
      <c r="AC41" s="61" t="str">
        <f>IF(B41="","",IFERROR(VLOOKUP(B41,'ANÁLISE DE DADOS'!$A:$AM,27,0),""))</f>
        <v>Sim</v>
      </c>
      <c r="AD41" s="62">
        <f>IF(B41="","",IFERROR(VLOOKUP(B41,'ANÁLISE DE DADOS'!$A:$AM,28,0),""))</f>
        <v>45740</v>
      </c>
      <c r="AE41" s="61" t="str">
        <f>IF(B41="","",IFERROR(VLOOKUP(B41,'ANÁLISE DE DADOS'!$A:$AM,29,0),""))</f>
        <v>mar-25</v>
      </c>
      <c r="AF41" s="61" t="str">
        <f>IF(B41="","",IFERROR(VLOOKUP(B41,'ANÁLISE DE DADOS'!$A:$AM,30,0),""))</f>
        <v>2025</v>
      </c>
      <c r="AG41" s="62">
        <f>IF(B41="","",IFERROR(VLOOKUP(B41,'ANÁLISE DE DADOS'!$A:$AM,31,0),""))</f>
        <v>45740</v>
      </c>
      <c r="AH41" s="61" t="str">
        <f>IF(B41="","",IFERROR(VLOOKUP(B41,'ANÁLISE DE DADOS'!$A:$AM,32,0),""))</f>
        <v>mar-25</v>
      </c>
      <c r="AI41" s="61" t="str">
        <f>IF(B41="","",IFERROR(VLOOKUP(B41,'ANÁLISE DE DADOS'!$A:$AM,33,0),""))</f>
        <v>2025</v>
      </c>
      <c r="AJ41" s="61" t="str">
        <f>IF(B41="","",IFERROR(VLOOKUP(B41,'ANÁLISE DE DADOS'!$A:$AM,34,0),""))</f>
        <v>Acompanhando</v>
      </c>
      <c r="AK41" s="63">
        <f ca="1">IF(B41="","",IFERROR(VLOOKUP(B41,'ANÁLISE DE DADOS'!$A:$AM,35,0),""))</f>
        <v>1800</v>
      </c>
      <c r="AL41" s="63" t="str">
        <f ca="1">IF(B41="","",IFERROR(VLOOKUP(B41,'ANÁLISE DE DADOS'!$A:$AM,36,0),""))</f>
        <v>0</v>
      </c>
    </row>
    <row r="42" spans="2:38" x14ac:dyDescent="0.3">
      <c r="B42" s="30">
        <v>38</v>
      </c>
      <c r="C42" s="61">
        <f>IF(B42="","",IFERROR(VLOOKUP(B42,'ANÁLISE DE DADOS'!$A:$AM,1,0),""))</f>
        <v>38</v>
      </c>
      <c r="D42" s="61" t="str">
        <f>IF(B42="","",IFERROR(VLOOKUP(B42,'ANÁLISE DE DADOS'!$A:$AM,2,0),""))</f>
        <v>Matriz</v>
      </c>
      <c r="E42" s="61">
        <f>IF(B42="","",IFERROR(VLOOKUP(B42,'ANÁLISE DE DADOS'!$A:$AM,3,0),""))</f>
        <v>0</v>
      </c>
      <c r="F42" s="61" t="str">
        <f>IF(B42="","",IFERROR(VLOOKUP(B42,'ANÁLISE DE DADOS'!$A:$AM,4,0),""))</f>
        <v>SoftLink</v>
      </c>
      <c r="G42" s="62">
        <f>IF(B42="","",IFERROR(VLOOKUP(B42,'ANÁLISE DE DADOS'!$A:$AM,5,0),""))</f>
        <v>45708</v>
      </c>
      <c r="H42" s="62" t="str">
        <f>IF(B42="","",IFERROR(VLOOKUP(B42,'ANÁLISE DE DADOS'!$A:$AM,6,0),""))</f>
        <v>fev-25</v>
      </c>
      <c r="I42" s="62" t="str">
        <f>IF(B42="","",IFERROR(VLOOKUP(B42,'ANÁLISE DE DADOS'!$A:$AM,7,0),""))</f>
        <v>2025</v>
      </c>
      <c r="J42" s="62">
        <f>IF(B42="","",IFERROR(VLOOKUP(B42,'ANÁLISE DE DADOS'!$A:$AM,8,0),""))</f>
        <v>45715</v>
      </c>
      <c r="K42" s="61" t="str">
        <f>IF(B42="","",IFERROR(VLOOKUP(B42,'ANÁLISE DE DADOS'!$A:$AM,9,0),""))</f>
        <v>fev-25</v>
      </c>
      <c r="L42" s="61" t="str">
        <f>IF(B42="","",IFERROR(VLOOKUP(B42,'ANÁLISE DE DADOS'!$A:$AM,10,0),""))</f>
        <v>2025</v>
      </c>
      <c r="M42" s="62">
        <f>IF(B42="","",IFERROR(VLOOKUP(B42,'ANÁLISE DE DADOS'!$A:$AM,11,0),""))</f>
        <v>45715</v>
      </c>
      <c r="N42" s="61" t="str">
        <f>IF(B42="","",IFERROR(VLOOKUP(B42,'ANÁLISE DE DADOS'!$A:$AM,12,0),""))</f>
        <v>fev-25</v>
      </c>
      <c r="O42" s="61" t="str">
        <f>IF(B42="","",IFERROR(VLOOKUP(B42,'ANÁLISE DE DADOS'!$A:$AM,13,0),""))</f>
        <v>2025</v>
      </c>
      <c r="P42" s="63">
        <f>IF(B42="","",IFERROR(VLOOKUP(B42,'ANÁLISE DE DADOS'!$A:$AM,14,0),""))</f>
        <v>1800</v>
      </c>
      <c r="Q42" s="61" t="str">
        <f>IF(B42="","",IFERROR(VLOOKUP(B42,'ANÁLISE DE DADOS'!$A:$AM,15,0),""))</f>
        <v>Sabrina</v>
      </c>
      <c r="R42" s="61" t="str">
        <f>IF(B42="","",IFERROR(VLOOKUP(B42,'ANÁLISE DE DADOS'!$A:$AM,16,0),""))</f>
        <v>ANALISTA GUSTAVO</v>
      </c>
      <c r="S42" s="61" t="str">
        <f>IF(B42="","",IFERROR(VLOOKUP(B42,'ANÁLISE DE DADOS'!$A:$AM,17,0),""))</f>
        <v>NÃO</v>
      </c>
      <c r="T42" s="61" t="str">
        <f>IF(B42="","",IFERROR(VLOOKUP(B42,'ANÁLISE DE DADOS'!$A:$AM,18,0),""))</f>
        <v>Aguardando resolução interna da empresa</v>
      </c>
      <c r="U42" s="61" t="str">
        <f ca="1">IF(B42="","",IFERROR(VLOOKUP(B42,'ANÁLISE DE DADOS'!$A:$AM,19,0),""))</f>
        <v>Vencido</v>
      </c>
      <c r="V42" s="61">
        <f ca="1">IF(B42="","",IFERROR(VLOOKUP(B42,'ANÁLISE DE DADOS'!$A:$AM,20,0),""))</f>
        <v>80</v>
      </c>
      <c r="W42" s="61" t="str">
        <f ca="1">IF(B42="","",IFERROR(VLOOKUP(B42,'ANÁLISE DE DADOS'!$A:$AM,21,0),""))</f>
        <v>61+ dias</v>
      </c>
      <c r="X42" s="61" t="str">
        <f ca="1">IF(B42="","",IFERROR(VLOOKUP(B42,'ANÁLISE DE DADOS'!$A:$AM,22,0),""))</f>
        <v>Atraso Crítico</v>
      </c>
      <c r="Y42" s="61" t="str">
        <f>IF(B42="","",IFERROR(VLOOKUP(B42,'ANÁLISE DE DADOS'!$A:$AM,23,0),""))</f>
        <v>-</v>
      </c>
      <c r="Z42" s="61" t="str">
        <f>IF(B42="","",IFERROR(VLOOKUP(B42,'ANÁLISE DE DADOS'!$A:$AM,24,0),""))</f>
        <v>Sim</v>
      </c>
      <c r="AA42" s="61">
        <f>IF(B42="","",IFERROR(VLOOKUP(B42,'ANÁLISE DE DADOS'!$A:$AM,25,0),""))</f>
        <v>0</v>
      </c>
      <c r="AB42" s="61">
        <f>IF(B42="","",IFERROR(VLOOKUP(B42,'ANÁLISE DE DADOS'!$A:$AM,26,0),""))</f>
        <v>1</v>
      </c>
      <c r="AC42" s="61" t="str">
        <f>IF(B42="","",IFERROR(VLOOKUP(B42,'ANÁLISE DE DADOS'!$A:$AM,27,0),""))</f>
        <v>Sim</v>
      </c>
      <c r="AD42" s="62">
        <f>IF(B42="","",IFERROR(VLOOKUP(B42,'ANÁLISE DE DADOS'!$A:$AM,28,0),""))</f>
        <v>45740</v>
      </c>
      <c r="AE42" s="61" t="str">
        <f>IF(B42="","",IFERROR(VLOOKUP(B42,'ANÁLISE DE DADOS'!$A:$AM,29,0),""))</f>
        <v>mar-25</v>
      </c>
      <c r="AF42" s="61" t="str">
        <f>IF(B42="","",IFERROR(VLOOKUP(B42,'ANÁLISE DE DADOS'!$A:$AM,30,0),""))</f>
        <v>2025</v>
      </c>
      <c r="AG42" s="62">
        <f>IF(B42="","",IFERROR(VLOOKUP(B42,'ANÁLISE DE DADOS'!$A:$AM,31,0),""))</f>
        <v>45740</v>
      </c>
      <c r="AH42" s="61" t="str">
        <f>IF(B42="","",IFERROR(VLOOKUP(B42,'ANÁLISE DE DADOS'!$A:$AM,32,0),""))</f>
        <v>mar-25</v>
      </c>
      <c r="AI42" s="61" t="str">
        <f>IF(B42="","",IFERROR(VLOOKUP(B42,'ANÁLISE DE DADOS'!$A:$AM,33,0),""))</f>
        <v>2025</v>
      </c>
      <c r="AJ42" s="61" t="str">
        <f>IF(B42="","",IFERROR(VLOOKUP(B42,'ANÁLISE DE DADOS'!$A:$AM,34,0),""))</f>
        <v>Acompanhando</v>
      </c>
      <c r="AK42" s="63">
        <f ca="1">IF(B42="","",IFERROR(VLOOKUP(B42,'ANÁLISE DE DADOS'!$A:$AM,35,0),""))</f>
        <v>1800</v>
      </c>
      <c r="AL42" s="63" t="str">
        <f ca="1">IF(B42="","",IFERROR(VLOOKUP(B42,'ANÁLISE DE DADOS'!$A:$AM,36,0),""))</f>
        <v>0</v>
      </c>
    </row>
    <row r="43" spans="2:38" x14ac:dyDescent="0.3">
      <c r="B43" s="30">
        <v>39</v>
      </c>
      <c r="C43" s="61">
        <f>IF(B43="","",IFERROR(VLOOKUP(B43,'ANÁLISE DE DADOS'!$A:$AM,1,0),""))</f>
        <v>39</v>
      </c>
      <c r="D43" s="61" t="str">
        <f>IF(B43="","",IFERROR(VLOOKUP(B43,'ANÁLISE DE DADOS'!$A:$AM,2,0),""))</f>
        <v>Filial</v>
      </c>
      <c r="E43" s="61" t="str">
        <f>IF(B43="","",IFERROR(VLOOKUP(B43,'ANÁLISE DE DADOS'!$A:$AM,3,0),""))</f>
        <v>Gamma &amp; CIA</v>
      </c>
      <c r="F43" s="61" t="str">
        <f>IF(B43="","",IFERROR(VLOOKUP(B43,'ANÁLISE DE DADOS'!$A:$AM,4,0),""))</f>
        <v>Gamma &amp; CIA</v>
      </c>
      <c r="G43" s="62">
        <f>IF(B43="","",IFERROR(VLOOKUP(B43,'ANÁLISE DE DADOS'!$A:$AM,5,0),""))</f>
        <v>45713</v>
      </c>
      <c r="H43" s="62" t="str">
        <f>IF(B43="","",IFERROR(VLOOKUP(B43,'ANÁLISE DE DADOS'!$A:$AM,6,0),""))</f>
        <v>fev-25</v>
      </c>
      <c r="I43" s="62" t="str">
        <f>IF(B43="","",IFERROR(VLOOKUP(B43,'ANÁLISE DE DADOS'!$A:$AM,7,0),""))</f>
        <v>2025</v>
      </c>
      <c r="J43" s="62">
        <f>IF(B43="","",IFERROR(VLOOKUP(B43,'ANÁLISE DE DADOS'!$A:$AM,8,0),""))</f>
        <v>45715</v>
      </c>
      <c r="K43" s="61" t="str">
        <f>IF(B43="","",IFERROR(VLOOKUP(B43,'ANÁLISE DE DADOS'!$A:$AM,9,0),""))</f>
        <v>fev-25</v>
      </c>
      <c r="L43" s="61" t="str">
        <f>IF(B43="","",IFERROR(VLOOKUP(B43,'ANÁLISE DE DADOS'!$A:$AM,10,0),""))</f>
        <v>2025</v>
      </c>
      <c r="M43" s="62">
        <f>IF(B43="","",IFERROR(VLOOKUP(B43,'ANÁLISE DE DADOS'!$A:$AM,11,0),""))</f>
        <v>45715</v>
      </c>
      <c r="N43" s="61" t="str">
        <f>IF(B43="","",IFERROR(VLOOKUP(B43,'ANÁLISE DE DADOS'!$A:$AM,12,0),""))</f>
        <v>fev-25</v>
      </c>
      <c r="O43" s="61" t="str">
        <f>IF(B43="","",IFERROR(VLOOKUP(B43,'ANÁLISE DE DADOS'!$A:$AM,13,0),""))</f>
        <v>2025</v>
      </c>
      <c r="P43" s="63">
        <f>IF(B43="","",IFERROR(VLOOKUP(B43,'ANÁLISE DE DADOS'!$A:$AM,14,0),""))</f>
        <v>2500</v>
      </c>
      <c r="Q43" s="61" t="str">
        <f>IF(B43="","",IFERROR(VLOOKUP(B43,'ANÁLISE DE DADOS'!$A:$AM,15,0),""))</f>
        <v>Marcos</v>
      </c>
      <c r="R43" s="61" t="str">
        <f>IF(B43="","",IFERROR(VLOOKUP(B43,'ANÁLISE DE DADOS'!$A:$AM,16,0),""))</f>
        <v>ANALISTA GUSTAVO</v>
      </c>
      <c r="S43" s="61" t="str">
        <f>IF(B43="","",IFERROR(VLOOKUP(B43,'ANÁLISE DE DADOS'!$A:$AM,17,0),""))</f>
        <v>NÃO</v>
      </c>
      <c r="T43" s="61" t="str">
        <f>IF(B43="","",IFERROR(VLOOKUP(B43,'ANÁLISE DE DADOS'!$A:$AM,18,0),""))</f>
        <v>Promessa de pagamento não cumprida</v>
      </c>
      <c r="U43" s="61" t="str">
        <f ca="1">IF(B43="","",IFERROR(VLOOKUP(B43,'ANÁLISE DE DADOS'!$A:$AM,19,0),""))</f>
        <v>Vencido</v>
      </c>
      <c r="V43" s="61">
        <f ca="1">IF(B43="","",IFERROR(VLOOKUP(B43,'ANÁLISE DE DADOS'!$A:$AM,20,0),""))</f>
        <v>80</v>
      </c>
      <c r="W43" s="61" t="str">
        <f ca="1">IF(B43="","",IFERROR(VLOOKUP(B43,'ANÁLISE DE DADOS'!$A:$AM,21,0),""))</f>
        <v>61+ dias</v>
      </c>
      <c r="X43" s="61" t="str">
        <f ca="1">IF(B43="","",IFERROR(VLOOKUP(B43,'ANÁLISE DE DADOS'!$A:$AM,22,0),""))</f>
        <v>Atraso Crítico</v>
      </c>
      <c r="Y43" s="61" t="str">
        <f>IF(B43="","",IFERROR(VLOOKUP(B43,'ANÁLISE DE DADOS'!$A:$AM,23,0),""))</f>
        <v>-</v>
      </c>
      <c r="Z43" s="61" t="str">
        <f>IF(B43="","",IFERROR(VLOOKUP(B43,'ANÁLISE DE DADOS'!$A:$AM,24,0),""))</f>
        <v>Sim</v>
      </c>
      <c r="AA43" s="61">
        <f>IF(B43="","",IFERROR(VLOOKUP(B43,'ANÁLISE DE DADOS'!$A:$AM,25,0),""))</f>
        <v>0</v>
      </c>
      <c r="AB43" s="61">
        <f>IF(B43="","",IFERROR(VLOOKUP(B43,'ANÁLISE DE DADOS'!$A:$AM,26,0),""))</f>
        <v>1</v>
      </c>
      <c r="AC43" s="61" t="str">
        <f>IF(B43="","",IFERROR(VLOOKUP(B43,'ANÁLISE DE DADOS'!$A:$AM,27,0),""))</f>
        <v>Sim</v>
      </c>
      <c r="AD43" s="62">
        <f>IF(B43="","",IFERROR(VLOOKUP(B43,'ANÁLISE DE DADOS'!$A:$AM,28,0),""))</f>
        <v>45740</v>
      </c>
      <c r="AE43" s="61" t="str">
        <f>IF(B43="","",IFERROR(VLOOKUP(B43,'ANÁLISE DE DADOS'!$A:$AM,29,0),""))</f>
        <v>mar-25</v>
      </c>
      <c r="AF43" s="61" t="str">
        <f>IF(B43="","",IFERROR(VLOOKUP(B43,'ANÁLISE DE DADOS'!$A:$AM,30,0),""))</f>
        <v>2025</v>
      </c>
      <c r="AG43" s="62">
        <f>IF(B43="","",IFERROR(VLOOKUP(B43,'ANÁLISE DE DADOS'!$A:$AM,31,0),""))</f>
        <v>45740</v>
      </c>
      <c r="AH43" s="61" t="str">
        <f>IF(B43="","",IFERROR(VLOOKUP(B43,'ANÁLISE DE DADOS'!$A:$AM,32,0),""))</f>
        <v>mar-25</v>
      </c>
      <c r="AI43" s="61" t="str">
        <f>IF(B43="","",IFERROR(VLOOKUP(B43,'ANÁLISE DE DADOS'!$A:$AM,33,0),""))</f>
        <v>2025</v>
      </c>
      <c r="AJ43" s="61" t="str">
        <f>IF(B43="","",IFERROR(VLOOKUP(B43,'ANÁLISE DE DADOS'!$A:$AM,34,0),""))</f>
        <v>Acompanhando</v>
      </c>
      <c r="AK43" s="63">
        <f ca="1">IF(B43="","",IFERROR(VLOOKUP(B43,'ANÁLISE DE DADOS'!$A:$AM,35,0),""))</f>
        <v>2500</v>
      </c>
      <c r="AL43" s="63" t="str">
        <f ca="1">IF(B43="","",IFERROR(VLOOKUP(B43,'ANÁLISE DE DADOS'!$A:$AM,36,0),""))</f>
        <v>0</v>
      </c>
    </row>
    <row r="44" spans="2:38" x14ac:dyDescent="0.3">
      <c r="B44" s="30">
        <v>40</v>
      </c>
      <c r="C44" s="61">
        <f>IF(B44="","",IFERROR(VLOOKUP(B44,'ANÁLISE DE DADOS'!$A:$AM,1,0),""))</f>
        <v>40</v>
      </c>
      <c r="D44" s="61" t="str">
        <f>IF(B44="","",IFERROR(VLOOKUP(B44,'ANÁLISE DE DADOS'!$A:$AM,2,0),""))</f>
        <v>Filial</v>
      </c>
      <c r="E44" s="61">
        <f>IF(B44="","",IFERROR(VLOOKUP(B44,'ANÁLISE DE DADOS'!$A:$AM,3,0),""))</f>
        <v>0</v>
      </c>
      <c r="F44" s="61" t="str">
        <f>IF(B44="","",IFERROR(VLOOKUP(B44,'ANÁLISE DE DADOS'!$A:$AM,4,0),""))</f>
        <v>SoftLink</v>
      </c>
      <c r="G44" s="62">
        <f>IF(B44="","",IFERROR(VLOOKUP(B44,'ANÁLISE DE DADOS'!$A:$AM,5,0),""))</f>
        <v>45713</v>
      </c>
      <c r="H44" s="62" t="str">
        <f>IF(B44="","",IFERROR(VLOOKUP(B44,'ANÁLISE DE DADOS'!$A:$AM,6,0),""))</f>
        <v>fev-25</v>
      </c>
      <c r="I44" s="62" t="str">
        <f>IF(B44="","",IFERROR(VLOOKUP(B44,'ANÁLISE DE DADOS'!$A:$AM,7,0),""))</f>
        <v>2025</v>
      </c>
      <c r="J44" s="62">
        <f>IF(B44="","",IFERROR(VLOOKUP(B44,'ANÁLISE DE DADOS'!$A:$AM,8,0),""))</f>
        <v>45715</v>
      </c>
      <c r="K44" s="61" t="str">
        <f>IF(B44="","",IFERROR(VLOOKUP(B44,'ANÁLISE DE DADOS'!$A:$AM,9,0),""))</f>
        <v>fev-25</v>
      </c>
      <c r="L44" s="61" t="str">
        <f>IF(B44="","",IFERROR(VLOOKUP(B44,'ANÁLISE DE DADOS'!$A:$AM,10,0),""))</f>
        <v>2025</v>
      </c>
      <c r="M44" s="62">
        <f>IF(B44="","",IFERROR(VLOOKUP(B44,'ANÁLISE DE DADOS'!$A:$AM,11,0),""))</f>
        <v>45715</v>
      </c>
      <c r="N44" s="61" t="str">
        <f>IF(B44="","",IFERROR(VLOOKUP(B44,'ANÁLISE DE DADOS'!$A:$AM,12,0),""))</f>
        <v>fev-25</v>
      </c>
      <c r="O44" s="61" t="str">
        <f>IF(B44="","",IFERROR(VLOOKUP(B44,'ANÁLISE DE DADOS'!$A:$AM,13,0),""))</f>
        <v>2025</v>
      </c>
      <c r="P44" s="63">
        <f>IF(B44="","",IFERROR(VLOOKUP(B44,'ANÁLISE DE DADOS'!$A:$AM,14,0),""))</f>
        <v>2500</v>
      </c>
      <c r="Q44" s="61" t="str">
        <f>IF(B44="","",IFERROR(VLOOKUP(B44,'ANÁLISE DE DADOS'!$A:$AM,15,0),""))</f>
        <v>Marcos</v>
      </c>
      <c r="R44" s="61" t="str">
        <f>IF(B44="","",IFERROR(VLOOKUP(B44,'ANÁLISE DE DADOS'!$A:$AM,16,0),""))</f>
        <v>ANALISTA GUSTAVO</v>
      </c>
      <c r="S44" s="61" t="str">
        <f>IF(B44="","",IFERROR(VLOOKUP(B44,'ANÁLISE DE DADOS'!$A:$AM,17,0),""))</f>
        <v>NÃO</v>
      </c>
      <c r="T44" s="61" t="str">
        <f>IF(B44="","",IFERROR(VLOOKUP(B44,'ANÁLISE DE DADOS'!$A:$AM,18,0),""))</f>
        <v>Acordo de pagamento pendente</v>
      </c>
      <c r="U44" s="61" t="str">
        <f ca="1">IF(B44="","",IFERROR(VLOOKUP(B44,'ANÁLISE DE DADOS'!$A:$AM,19,0),""))</f>
        <v>Vencido</v>
      </c>
      <c r="V44" s="61">
        <f ca="1">IF(B44="","",IFERROR(VLOOKUP(B44,'ANÁLISE DE DADOS'!$A:$AM,20,0),""))</f>
        <v>80</v>
      </c>
      <c r="W44" s="61" t="str">
        <f ca="1">IF(B44="","",IFERROR(VLOOKUP(B44,'ANÁLISE DE DADOS'!$A:$AM,21,0),""))</f>
        <v>61+ dias</v>
      </c>
      <c r="X44" s="61" t="str">
        <f ca="1">IF(B44="","",IFERROR(VLOOKUP(B44,'ANÁLISE DE DADOS'!$A:$AM,22,0),""))</f>
        <v>Atraso Crítico</v>
      </c>
      <c r="Y44" s="61" t="str">
        <f>IF(B44="","",IFERROR(VLOOKUP(B44,'ANÁLISE DE DADOS'!$A:$AM,23,0),""))</f>
        <v>-</v>
      </c>
      <c r="Z44" s="61" t="str">
        <f>IF(B44="","",IFERROR(VLOOKUP(B44,'ANÁLISE DE DADOS'!$A:$AM,24,0),""))</f>
        <v>Sim</v>
      </c>
      <c r="AA44" s="61">
        <f>IF(B44="","",IFERROR(VLOOKUP(B44,'ANÁLISE DE DADOS'!$A:$AM,25,0),""))</f>
        <v>0</v>
      </c>
      <c r="AB44" s="61">
        <f>IF(B44="","",IFERROR(VLOOKUP(B44,'ANÁLISE DE DADOS'!$A:$AM,26,0),""))</f>
        <v>1</v>
      </c>
      <c r="AC44" s="61" t="str">
        <f>IF(B44="","",IFERROR(VLOOKUP(B44,'ANÁLISE DE DADOS'!$A:$AM,27,0),""))</f>
        <v>Sim</v>
      </c>
      <c r="AD44" s="62">
        <f>IF(B44="","",IFERROR(VLOOKUP(B44,'ANÁLISE DE DADOS'!$A:$AM,28,0),""))</f>
        <v>45740</v>
      </c>
      <c r="AE44" s="61" t="str">
        <f>IF(B44="","",IFERROR(VLOOKUP(B44,'ANÁLISE DE DADOS'!$A:$AM,29,0),""))</f>
        <v>mar-25</v>
      </c>
      <c r="AF44" s="61" t="str">
        <f>IF(B44="","",IFERROR(VLOOKUP(B44,'ANÁLISE DE DADOS'!$A:$AM,30,0),""))</f>
        <v>2025</v>
      </c>
      <c r="AG44" s="62">
        <f>IF(B44="","",IFERROR(VLOOKUP(B44,'ANÁLISE DE DADOS'!$A:$AM,31,0),""))</f>
        <v>45740</v>
      </c>
      <c r="AH44" s="61" t="str">
        <f>IF(B44="","",IFERROR(VLOOKUP(B44,'ANÁLISE DE DADOS'!$A:$AM,32,0),""))</f>
        <v>mar-25</v>
      </c>
      <c r="AI44" s="61" t="str">
        <f>IF(B44="","",IFERROR(VLOOKUP(B44,'ANÁLISE DE DADOS'!$A:$AM,33,0),""))</f>
        <v>2025</v>
      </c>
      <c r="AJ44" s="61" t="str">
        <f>IF(B44="","",IFERROR(VLOOKUP(B44,'ANÁLISE DE DADOS'!$A:$AM,34,0),""))</f>
        <v>Acompanhando</v>
      </c>
      <c r="AK44" s="63">
        <f ca="1">IF(B44="","",IFERROR(VLOOKUP(B44,'ANÁLISE DE DADOS'!$A:$AM,35,0),""))</f>
        <v>2500</v>
      </c>
      <c r="AL44" s="63" t="str">
        <f ca="1">IF(B44="","",IFERROR(VLOOKUP(B44,'ANÁLISE DE DADOS'!$A:$AM,36,0),""))</f>
        <v>0</v>
      </c>
    </row>
    <row r="45" spans="2:38" x14ac:dyDescent="0.3">
      <c r="B45" s="30">
        <v>41</v>
      </c>
      <c r="C45" s="61">
        <f>IF(B45="","",IFERROR(VLOOKUP(B45,'ANÁLISE DE DADOS'!$A:$AM,1,0),""))</f>
        <v>41</v>
      </c>
      <c r="D45" s="61" t="str">
        <f>IF(B45="","",IFERROR(VLOOKUP(B45,'ANÁLISE DE DADOS'!$A:$AM,2,0),""))</f>
        <v>Matriz</v>
      </c>
      <c r="E45" s="61">
        <f>IF(B45="","",IFERROR(VLOOKUP(B45,'ANÁLISE DE DADOS'!$A:$AM,3,0),""))</f>
        <v>0</v>
      </c>
      <c r="F45" s="61" t="str">
        <f>IF(B45="","",IFERROR(VLOOKUP(B45,'ANÁLISE DE DADOS'!$A:$AM,4,0),""))</f>
        <v>SoftLink</v>
      </c>
      <c r="G45" s="62">
        <f>IF(B45="","",IFERROR(VLOOKUP(B45,'ANÁLISE DE DADOS'!$A:$AM,5,0),""))</f>
        <v>45714</v>
      </c>
      <c r="H45" s="62" t="str">
        <f>IF(B45="","",IFERROR(VLOOKUP(B45,'ANÁLISE DE DADOS'!$A:$AM,6,0),""))</f>
        <v>fev-25</v>
      </c>
      <c r="I45" s="62" t="str">
        <f>IF(B45="","",IFERROR(VLOOKUP(B45,'ANÁLISE DE DADOS'!$A:$AM,7,0),""))</f>
        <v>2025</v>
      </c>
      <c r="J45" s="62">
        <f>IF(B45="","",IFERROR(VLOOKUP(B45,'ANÁLISE DE DADOS'!$A:$AM,8,0),""))</f>
        <v>45715</v>
      </c>
      <c r="K45" s="61" t="str">
        <f>IF(B45="","",IFERROR(VLOOKUP(B45,'ANÁLISE DE DADOS'!$A:$AM,9,0),""))</f>
        <v>fev-25</v>
      </c>
      <c r="L45" s="61" t="str">
        <f>IF(B45="","",IFERROR(VLOOKUP(B45,'ANÁLISE DE DADOS'!$A:$AM,10,0),""))</f>
        <v>2025</v>
      </c>
      <c r="M45" s="62">
        <f>IF(B45="","",IFERROR(VLOOKUP(B45,'ANÁLISE DE DADOS'!$A:$AM,11,0),""))</f>
        <v>45715</v>
      </c>
      <c r="N45" s="61" t="str">
        <f>IF(B45="","",IFERROR(VLOOKUP(B45,'ANÁLISE DE DADOS'!$A:$AM,12,0),""))</f>
        <v>fev-25</v>
      </c>
      <c r="O45" s="61" t="str">
        <f>IF(B45="","",IFERROR(VLOOKUP(B45,'ANÁLISE DE DADOS'!$A:$AM,13,0),""))</f>
        <v>2025</v>
      </c>
      <c r="P45" s="63">
        <f>IF(B45="","",IFERROR(VLOOKUP(B45,'ANÁLISE DE DADOS'!$A:$AM,14,0),""))</f>
        <v>1400</v>
      </c>
      <c r="Q45" s="61" t="str">
        <f>IF(B45="","",IFERROR(VLOOKUP(B45,'ANÁLISE DE DADOS'!$A:$AM,15,0),""))</f>
        <v>João</v>
      </c>
      <c r="R45" s="61" t="str">
        <f>IF(B45="","",IFERROR(VLOOKUP(B45,'ANÁLISE DE DADOS'!$A:$AM,16,0),""))</f>
        <v>ANALISTA GUSTAVO</v>
      </c>
      <c r="S45" s="61" t="str">
        <f>IF(B45="","",IFERROR(VLOOKUP(B45,'ANÁLISE DE DADOS'!$A:$AM,17,0),""))</f>
        <v>NÃO</v>
      </c>
      <c r="T45" s="61" t="str">
        <f>IF(B45="","",IFERROR(VLOOKUP(B45,'ANÁLISE DE DADOS'!$A:$AM,18,0),""))</f>
        <v>Situação com comercial (aguardando análise comercial)</v>
      </c>
      <c r="U45" s="61" t="str">
        <f ca="1">IF(B45="","",IFERROR(VLOOKUP(B45,'ANÁLISE DE DADOS'!$A:$AM,19,0),""))</f>
        <v>Vencido</v>
      </c>
      <c r="V45" s="61">
        <f ca="1">IF(B45="","",IFERROR(VLOOKUP(B45,'ANÁLISE DE DADOS'!$A:$AM,20,0),""))</f>
        <v>80</v>
      </c>
      <c r="W45" s="61" t="str">
        <f ca="1">IF(B45="","",IFERROR(VLOOKUP(B45,'ANÁLISE DE DADOS'!$A:$AM,21,0),""))</f>
        <v>61+ dias</v>
      </c>
      <c r="X45" s="61" t="str">
        <f ca="1">IF(B45="","",IFERROR(VLOOKUP(B45,'ANÁLISE DE DADOS'!$A:$AM,22,0),""))</f>
        <v>Atraso Crítico</v>
      </c>
      <c r="Y45" s="61" t="str">
        <f>IF(B45="","",IFERROR(VLOOKUP(B45,'ANÁLISE DE DADOS'!$A:$AM,23,0),""))</f>
        <v>-</v>
      </c>
      <c r="Z45" s="61" t="str">
        <f>IF(B45="","",IFERROR(VLOOKUP(B45,'ANÁLISE DE DADOS'!$A:$AM,24,0),""))</f>
        <v>Sim</v>
      </c>
      <c r="AA45" s="61">
        <f>IF(B45="","",IFERROR(VLOOKUP(B45,'ANÁLISE DE DADOS'!$A:$AM,25,0),""))</f>
        <v>0</v>
      </c>
      <c r="AB45" s="61">
        <f>IF(B45="","",IFERROR(VLOOKUP(B45,'ANÁLISE DE DADOS'!$A:$AM,26,0),""))</f>
        <v>1</v>
      </c>
      <c r="AC45" s="61" t="str">
        <f>IF(B45="","",IFERROR(VLOOKUP(B45,'ANÁLISE DE DADOS'!$A:$AM,27,0),""))</f>
        <v>Sim</v>
      </c>
      <c r="AD45" s="62">
        <f>IF(B45="","",IFERROR(VLOOKUP(B45,'ANÁLISE DE DADOS'!$A:$AM,28,0),""))</f>
        <v>45740</v>
      </c>
      <c r="AE45" s="61" t="str">
        <f>IF(B45="","",IFERROR(VLOOKUP(B45,'ANÁLISE DE DADOS'!$A:$AM,29,0),""))</f>
        <v>mar-25</v>
      </c>
      <c r="AF45" s="61" t="str">
        <f>IF(B45="","",IFERROR(VLOOKUP(B45,'ANÁLISE DE DADOS'!$A:$AM,30,0),""))</f>
        <v>2025</v>
      </c>
      <c r="AG45" s="62">
        <f>IF(B45="","",IFERROR(VLOOKUP(B45,'ANÁLISE DE DADOS'!$A:$AM,31,0),""))</f>
        <v>45740</v>
      </c>
      <c r="AH45" s="61" t="str">
        <f>IF(B45="","",IFERROR(VLOOKUP(B45,'ANÁLISE DE DADOS'!$A:$AM,32,0),""))</f>
        <v>mar-25</v>
      </c>
      <c r="AI45" s="61" t="str">
        <f>IF(B45="","",IFERROR(VLOOKUP(B45,'ANÁLISE DE DADOS'!$A:$AM,33,0),""))</f>
        <v>2025</v>
      </c>
      <c r="AJ45" s="61" t="str">
        <f>IF(B45="","",IFERROR(VLOOKUP(B45,'ANÁLISE DE DADOS'!$A:$AM,34,0),""))</f>
        <v>Acompanhando</v>
      </c>
      <c r="AK45" s="63">
        <f ca="1">IF(B45="","",IFERROR(VLOOKUP(B45,'ANÁLISE DE DADOS'!$A:$AM,35,0),""))</f>
        <v>1400</v>
      </c>
      <c r="AL45" s="63" t="str">
        <f ca="1">IF(B45="","",IFERROR(VLOOKUP(B45,'ANÁLISE DE DADOS'!$A:$AM,36,0),""))</f>
        <v>0</v>
      </c>
    </row>
    <row r="46" spans="2:38" x14ac:dyDescent="0.3">
      <c r="B46" s="30">
        <v>42</v>
      </c>
      <c r="C46" s="61">
        <f>IF(B46="","",IFERROR(VLOOKUP(B46,'ANÁLISE DE DADOS'!$A:$AM,1,0),""))</f>
        <v>42</v>
      </c>
      <c r="D46" s="61" t="str">
        <f>IF(B46="","",IFERROR(VLOOKUP(B46,'ANÁLISE DE DADOS'!$A:$AM,2,0),""))</f>
        <v>Filial</v>
      </c>
      <c r="E46" s="61">
        <f>IF(B46="","",IFERROR(VLOOKUP(B46,'ANÁLISE DE DADOS'!$A:$AM,3,0),""))</f>
        <v>0</v>
      </c>
      <c r="F46" s="61" t="str">
        <f>IF(B46="","",IFERROR(VLOOKUP(B46,'ANÁLISE DE DADOS'!$A:$AM,4,0),""))</f>
        <v>GlobalTech</v>
      </c>
      <c r="G46" s="62">
        <f>IF(B46="","",IFERROR(VLOOKUP(B46,'ANÁLISE DE DADOS'!$A:$AM,5,0),""))</f>
        <v>45716</v>
      </c>
      <c r="H46" s="62" t="str">
        <f>IF(B46="","",IFERROR(VLOOKUP(B46,'ANÁLISE DE DADOS'!$A:$AM,6,0),""))</f>
        <v>fev-25</v>
      </c>
      <c r="I46" s="62" t="str">
        <f>IF(B46="","",IFERROR(VLOOKUP(B46,'ANÁLISE DE DADOS'!$A:$AM,7,0),""))</f>
        <v>2025</v>
      </c>
      <c r="J46" s="62">
        <f>IF(B46="","",IFERROR(VLOOKUP(B46,'ANÁLISE DE DADOS'!$A:$AM,8,0),""))</f>
        <v>45744</v>
      </c>
      <c r="K46" s="61" t="str">
        <f>IF(B46="","",IFERROR(VLOOKUP(B46,'ANÁLISE DE DADOS'!$A:$AM,9,0),""))</f>
        <v>mar-25</v>
      </c>
      <c r="L46" s="61" t="str">
        <f>IF(B46="","",IFERROR(VLOOKUP(B46,'ANÁLISE DE DADOS'!$A:$AM,10,0),""))</f>
        <v>2025</v>
      </c>
      <c r="M46" s="62">
        <f>IF(B46="","",IFERROR(VLOOKUP(B46,'ANÁLISE DE DADOS'!$A:$AM,11,0),""))</f>
        <v>45744</v>
      </c>
      <c r="N46" s="61" t="str">
        <f>IF(B46="","",IFERROR(VLOOKUP(B46,'ANÁLISE DE DADOS'!$A:$AM,12,0),""))</f>
        <v>mar-25</v>
      </c>
      <c r="O46" s="61" t="str">
        <f>IF(B46="","",IFERROR(VLOOKUP(B46,'ANÁLISE DE DADOS'!$A:$AM,13,0),""))</f>
        <v>2025</v>
      </c>
      <c r="P46" s="63">
        <f>IF(B46="","",IFERROR(VLOOKUP(B46,'ANÁLISE DE DADOS'!$A:$AM,14,0),""))</f>
        <v>2300</v>
      </c>
      <c r="Q46" s="61" t="str">
        <f>IF(B46="","",IFERROR(VLOOKUP(B46,'ANÁLISE DE DADOS'!$A:$AM,15,0),""))</f>
        <v>Maria</v>
      </c>
      <c r="R46" s="61" t="str">
        <f>IF(B46="","",IFERROR(VLOOKUP(B46,'ANÁLISE DE DADOS'!$A:$AM,16,0),""))</f>
        <v>ANALISTA GUSTAVO</v>
      </c>
      <c r="S46" s="61" t="str">
        <f>IF(B46="","",IFERROR(VLOOKUP(B46,'ANÁLISE DE DADOS'!$A:$AM,17,0),""))</f>
        <v>NÃO</v>
      </c>
      <c r="T46" s="61" t="str">
        <f>IF(B46="","",IFERROR(VLOOKUP(B46,'ANÁLISE DE DADOS'!$A:$AM,18,0),""))</f>
        <v>Acordo em andamento (aguardando pagamento)</v>
      </c>
      <c r="U46" s="61" t="str">
        <f ca="1">IF(B46="","",IFERROR(VLOOKUP(B46,'ANÁLISE DE DADOS'!$A:$AM,19,0),""))</f>
        <v>Vencido</v>
      </c>
      <c r="V46" s="61">
        <f ca="1">IF(B46="","",IFERROR(VLOOKUP(B46,'ANÁLISE DE DADOS'!$A:$AM,20,0),""))</f>
        <v>51</v>
      </c>
      <c r="W46" s="61" t="str">
        <f ca="1">IF(B46="","",IFERROR(VLOOKUP(B46,'ANÁLISE DE DADOS'!$A:$AM,21,0),""))</f>
        <v>31-60 dias</v>
      </c>
      <c r="X46" s="61" t="str">
        <f ca="1">IF(B46="","",IFERROR(VLOOKUP(B46,'ANÁLISE DE DADOS'!$A:$AM,22,0),""))</f>
        <v>Atraso Médio</v>
      </c>
      <c r="Y46" s="61" t="str">
        <f>IF(B46="","",IFERROR(VLOOKUP(B46,'ANÁLISE DE DADOS'!$A:$AM,23,0),""))</f>
        <v>-</v>
      </c>
      <c r="Z46" s="61" t="str">
        <f>IF(B46="","",IFERROR(VLOOKUP(B46,'ANÁLISE DE DADOS'!$A:$AM,24,0),""))</f>
        <v>Não</v>
      </c>
      <c r="AA46" s="61">
        <f>IF(B46="","",IFERROR(VLOOKUP(B46,'ANÁLISE DE DADOS'!$A:$AM,25,0),""))</f>
        <v>0</v>
      </c>
      <c r="AB46" s="61">
        <f>IF(B46="","",IFERROR(VLOOKUP(B46,'ANÁLISE DE DADOS'!$A:$AM,26,0),""))</f>
        <v>0</v>
      </c>
      <c r="AC46" s="61" t="str">
        <f>IF(B46="","",IFERROR(VLOOKUP(B46,'ANÁLISE DE DADOS'!$A:$AM,27,0),""))</f>
        <v>Não</v>
      </c>
      <c r="AD46" s="62">
        <f>IF(B46="","",IFERROR(VLOOKUP(B46,'ANÁLISE DE DADOS'!$A:$AM,28,0),""))</f>
        <v>45745</v>
      </c>
      <c r="AE46" s="61" t="str">
        <f>IF(B46="","",IFERROR(VLOOKUP(B46,'ANÁLISE DE DADOS'!$A:$AM,29,0),""))</f>
        <v>mar-25</v>
      </c>
      <c r="AF46" s="61" t="str">
        <f>IF(B46="","",IFERROR(VLOOKUP(B46,'ANÁLISE DE DADOS'!$A:$AM,30,0),""))</f>
        <v>2025</v>
      </c>
      <c r="AG46" s="62">
        <f>IF(B46="","",IFERROR(VLOOKUP(B46,'ANÁLISE DE DADOS'!$A:$AM,31,0),""))</f>
        <v>45745</v>
      </c>
      <c r="AH46" s="61" t="str">
        <f>IF(B46="","",IFERROR(VLOOKUP(B46,'ANÁLISE DE DADOS'!$A:$AM,32,0),""))</f>
        <v>mar-25</v>
      </c>
      <c r="AI46" s="61" t="str">
        <f>IF(B46="","",IFERROR(VLOOKUP(B46,'ANÁLISE DE DADOS'!$A:$AM,33,0),""))</f>
        <v>2025</v>
      </c>
      <c r="AJ46" s="61" t="str">
        <f>IF(B46="","",IFERROR(VLOOKUP(B46,'ANÁLISE DE DADOS'!$A:$AM,34,0),""))</f>
        <v>Acompanhando</v>
      </c>
      <c r="AK46" s="63">
        <f ca="1">IF(B46="","",IFERROR(VLOOKUP(B46,'ANÁLISE DE DADOS'!$A:$AM,35,0),""))</f>
        <v>2300</v>
      </c>
      <c r="AL46" s="63" t="str">
        <f ca="1">IF(B46="","",IFERROR(VLOOKUP(B46,'ANÁLISE DE DADOS'!$A:$AM,36,0),""))</f>
        <v>0</v>
      </c>
    </row>
    <row r="47" spans="2:38" x14ac:dyDescent="0.3">
      <c r="B47" s="30">
        <v>43</v>
      </c>
      <c r="C47" s="61">
        <f>IF(B47="","",IFERROR(VLOOKUP(B47,'ANÁLISE DE DADOS'!$A:$AM,1,0),""))</f>
        <v>43</v>
      </c>
      <c r="D47" s="61" t="str">
        <f>IF(B47="","",IFERROR(VLOOKUP(B47,'ANÁLISE DE DADOS'!$A:$AM,2,0),""))</f>
        <v>Matriz</v>
      </c>
      <c r="E47" s="61">
        <f>IF(B47="","",IFERROR(VLOOKUP(B47,'ANÁLISE DE DADOS'!$A:$AM,3,0),""))</f>
        <v>0</v>
      </c>
      <c r="F47" s="61" t="str">
        <f>IF(B47="","",IFERROR(VLOOKUP(B47,'ANÁLISE DE DADOS'!$A:$AM,4,0),""))</f>
        <v>SoftLink</v>
      </c>
      <c r="G47" s="62">
        <f>IF(B47="","",IFERROR(VLOOKUP(B47,'ANÁLISE DE DADOS'!$A:$AM,5,0),""))</f>
        <v>45718</v>
      </c>
      <c r="H47" s="62" t="str">
        <f>IF(B47="","",IFERROR(VLOOKUP(B47,'ANÁLISE DE DADOS'!$A:$AM,6,0),""))</f>
        <v>mar-25</v>
      </c>
      <c r="I47" s="62" t="str">
        <f>IF(B47="","",IFERROR(VLOOKUP(B47,'ANÁLISE DE DADOS'!$A:$AM,7,0),""))</f>
        <v>2025</v>
      </c>
      <c r="J47" s="62">
        <f>IF(B47="","",IFERROR(VLOOKUP(B47,'ANÁLISE DE DADOS'!$A:$AM,8,0),""))</f>
        <v>45729</v>
      </c>
      <c r="K47" s="61" t="str">
        <f>IF(B47="","",IFERROR(VLOOKUP(B47,'ANÁLISE DE DADOS'!$A:$AM,9,0),""))</f>
        <v>mar-25</v>
      </c>
      <c r="L47" s="61" t="str">
        <f>IF(B47="","",IFERROR(VLOOKUP(B47,'ANÁLISE DE DADOS'!$A:$AM,10,0),""))</f>
        <v>2025</v>
      </c>
      <c r="M47" s="62">
        <f>IF(B47="","",IFERROR(VLOOKUP(B47,'ANÁLISE DE DADOS'!$A:$AM,11,0),""))</f>
        <v>45729</v>
      </c>
      <c r="N47" s="61" t="str">
        <f>IF(B47="","",IFERROR(VLOOKUP(B47,'ANÁLISE DE DADOS'!$A:$AM,12,0),""))</f>
        <v>mar-25</v>
      </c>
      <c r="O47" s="61" t="str">
        <f>IF(B47="","",IFERROR(VLOOKUP(B47,'ANÁLISE DE DADOS'!$A:$AM,13,0),""))</f>
        <v>2025</v>
      </c>
      <c r="P47" s="63">
        <f>IF(B47="","",IFERROR(VLOOKUP(B47,'ANÁLISE DE DADOS'!$A:$AM,14,0),""))</f>
        <v>3000</v>
      </c>
      <c r="Q47" s="61" t="str">
        <f>IF(B47="","",IFERROR(VLOOKUP(B47,'ANÁLISE DE DADOS'!$A:$AM,15,0),""))</f>
        <v>Carlos</v>
      </c>
      <c r="R47" s="61" t="str">
        <f>IF(B47="","",IFERROR(VLOOKUP(B47,'ANÁLISE DE DADOS'!$A:$AM,16,0),""))</f>
        <v>ANALISTA GUSTAVO</v>
      </c>
      <c r="S47" s="61" t="str">
        <f>IF(B47="","",IFERROR(VLOOKUP(B47,'ANÁLISE DE DADOS'!$A:$AM,17,0),""))</f>
        <v>NÃO</v>
      </c>
      <c r="T47" s="61" t="str">
        <f>IF(B47="","",IFERROR(VLOOKUP(B47,'ANÁLISE DE DADOS'!$A:$AM,18,0),""))</f>
        <v>Cliente não localizado</v>
      </c>
      <c r="U47" s="61" t="str">
        <f ca="1">IF(B47="","",IFERROR(VLOOKUP(B47,'ANÁLISE DE DADOS'!$A:$AM,19,0),""))</f>
        <v>Vencido</v>
      </c>
      <c r="V47" s="61">
        <f ca="1">IF(B47="","",IFERROR(VLOOKUP(B47,'ANÁLISE DE DADOS'!$A:$AM,20,0),""))</f>
        <v>66</v>
      </c>
      <c r="W47" s="61" t="str">
        <f ca="1">IF(B47="","",IFERROR(VLOOKUP(B47,'ANÁLISE DE DADOS'!$A:$AM,21,0),""))</f>
        <v>61+ dias</v>
      </c>
      <c r="X47" s="61" t="str">
        <f ca="1">IF(B47="","",IFERROR(VLOOKUP(B47,'ANÁLISE DE DADOS'!$A:$AM,22,0),""))</f>
        <v>Atraso Crítico</v>
      </c>
      <c r="Y47" s="61" t="str">
        <f>IF(B47="","",IFERROR(VLOOKUP(B47,'ANÁLISE DE DADOS'!$A:$AM,23,0),""))</f>
        <v>-</v>
      </c>
      <c r="Z47" s="61" t="str">
        <f>IF(B47="","",IFERROR(VLOOKUP(B47,'ANÁLISE DE DADOS'!$A:$AM,24,0),""))</f>
        <v>Sim</v>
      </c>
      <c r="AA47" s="61">
        <f>IF(B47="","",IFERROR(VLOOKUP(B47,'ANÁLISE DE DADOS'!$A:$AM,25,0),""))</f>
        <v>0</v>
      </c>
      <c r="AB47" s="61">
        <f>IF(B47="","",IFERROR(VLOOKUP(B47,'ANÁLISE DE DADOS'!$A:$AM,26,0),""))</f>
        <v>1</v>
      </c>
      <c r="AC47" s="61" t="str">
        <f>IF(B47="","",IFERROR(VLOOKUP(B47,'ANÁLISE DE DADOS'!$A:$AM,27,0),""))</f>
        <v>Sim</v>
      </c>
      <c r="AD47" s="62">
        <f>IF(B47="","",IFERROR(VLOOKUP(B47,'ANÁLISE DE DADOS'!$A:$AM,28,0),""))</f>
        <v>45740</v>
      </c>
      <c r="AE47" s="61" t="str">
        <f>IF(B47="","",IFERROR(VLOOKUP(B47,'ANÁLISE DE DADOS'!$A:$AM,29,0),""))</f>
        <v>mar-25</v>
      </c>
      <c r="AF47" s="61" t="str">
        <f>IF(B47="","",IFERROR(VLOOKUP(B47,'ANÁLISE DE DADOS'!$A:$AM,30,0),""))</f>
        <v>2025</v>
      </c>
      <c r="AG47" s="62">
        <f>IF(B47="","",IFERROR(VLOOKUP(B47,'ANÁLISE DE DADOS'!$A:$AM,31,0),""))</f>
        <v>45740</v>
      </c>
      <c r="AH47" s="61" t="str">
        <f>IF(B47="","",IFERROR(VLOOKUP(B47,'ANÁLISE DE DADOS'!$A:$AM,32,0),""))</f>
        <v>mar-25</v>
      </c>
      <c r="AI47" s="61" t="str">
        <f>IF(B47="","",IFERROR(VLOOKUP(B47,'ANÁLISE DE DADOS'!$A:$AM,33,0),""))</f>
        <v>2025</v>
      </c>
      <c r="AJ47" s="61" t="str">
        <f>IF(B47="","",IFERROR(VLOOKUP(B47,'ANÁLISE DE DADOS'!$A:$AM,34,0),""))</f>
        <v>Acompanhando</v>
      </c>
      <c r="AK47" s="63">
        <f ca="1">IF(B47="","",IFERROR(VLOOKUP(B47,'ANÁLISE DE DADOS'!$A:$AM,35,0),""))</f>
        <v>3000</v>
      </c>
      <c r="AL47" s="63" t="str">
        <f ca="1">IF(B47="","",IFERROR(VLOOKUP(B47,'ANÁLISE DE DADOS'!$A:$AM,36,0),""))</f>
        <v>0</v>
      </c>
    </row>
    <row r="48" spans="2:38" x14ac:dyDescent="0.3">
      <c r="B48" s="30">
        <v>44</v>
      </c>
      <c r="C48" s="61">
        <f>IF(B48="","",IFERROR(VLOOKUP(B48,'ANÁLISE DE DADOS'!$A:$AM,1,0),""))</f>
        <v>44</v>
      </c>
      <c r="D48" s="61" t="str">
        <f>IF(B48="","",IFERROR(VLOOKUP(B48,'ANÁLISE DE DADOS'!$A:$AM,2,0),""))</f>
        <v>Filial</v>
      </c>
      <c r="E48" s="61">
        <f>IF(B48="","",IFERROR(VLOOKUP(B48,'ANÁLISE DE DADOS'!$A:$AM,3,0),""))</f>
        <v>0</v>
      </c>
      <c r="F48" s="61" t="str">
        <f>IF(B48="","",IFERROR(VLOOKUP(B48,'ANÁLISE DE DADOS'!$A:$AM,4,0),""))</f>
        <v>SoftLink</v>
      </c>
      <c r="G48" s="62">
        <f>IF(B48="","",IFERROR(VLOOKUP(B48,'ANÁLISE DE DADOS'!$A:$AM,5,0),""))</f>
        <v>45721</v>
      </c>
      <c r="H48" s="62" t="str">
        <f>IF(B48="","",IFERROR(VLOOKUP(B48,'ANÁLISE DE DADOS'!$A:$AM,6,0),""))</f>
        <v>mar-25</v>
      </c>
      <c r="I48" s="62" t="str">
        <f>IF(B48="","",IFERROR(VLOOKUP(B48,'ANÁLISE DE DADOS'!$A:$AM,7,0),""))</f>
        <v>2025</v>
      </c>
      <c r="J48" s="62">
        <f>IF(B48="","",IFERROR(VLOOKUP(B48,'ANÁLISE DE DADOS'!$A:$AM,8,0),""))</f>
        <v>45736</v>
      </c>
      <c r="K48" s="61" t="str">
        <f>IF(B48="","",IFERROR(VLOOKUP(B48,'ANÁLISE DE DADOS'!$A:$AM,9,0),""))</f>
        <v>mar-25</v>
      </c>
      <c r="L48" s="61" t="str">
        <f>IF(B48="","",IFERROR(VLOOKUP(B48,'ANÁLISE DE DADOS'!$A:$AM,10,0),""))</f>
        <v>2025</v>
      </c>
      <c r="M48" s="62">
        <f>IF(B48="","",IFERROR(VLOOKUP(B48,'ANÁLISE DE DADOS'!$A:$AM,11,0),""))</f>
        <v>45736</v>
      </c>
      <c r="N48" s="61" t="str">
        <f>IF(B48="","",IFERROR(VLOOKUP(B48,'ANÁLISE DE DADOS'!$A:$AM,12,0),""))</f>
        <v>mar-25</v>
      </c>
      <c r="O48" s="61" t="str">
        <f>IF(B48="","",IFERROR(VLOOKUP(B48,'ANÁLISE DE DADOS'!$A:$AM,13,0),""))</f>
        <v>2025</v>
      </c>
      <c r="P48" s="63">
        <f>IF(B48="","",IFERROR(VLOOKUP(B48,'ANÁLISE DE DADOS'!$A:$AM,14,0),""))</f>
        <v>1700</v>
      </c>
      <c r="Q48" s="61" t="str">
        <f>IF(B48="","",IFERROR(VLOOKUP(B48,'ANÁLISE DE DADOS'!$A:$AM,15,0),""))</f>
        <v>Ana</v>
      </c>
      <c r="R48" s="61" t="str">
        <f>IF(B48="","",IFERROR(VLOOKUP(B48,'ANÁLISE DE DADOS'!$A:$AM,16,0),""))</f>
        <v>ANALISTA GUSTAVO</v>
      </c>
      <c r="S48" s="61" t="str">
        <f>IF(B48="","",IFERROR(VLOOKUP(B48,'ANÁLISE DE DADOS'!$A:$AM,17,0),""))</f>
        <v>NÃO</v>
      </c>
      <c r="T48" s="61" t="str">
        <f>IF(B48="","",IFERROR(VLOOKUP(B48,'ANÁLISE DE DADOS'!$A:$AM,18,0),""))</f>
        <v>Promessa de pagamento refeito</v>
      </c>
      <c r="U48" s="61" t="str">
        <f ca="1">IF(B48="","",IFERROR(VLOOKUP(B48,'ANÁLISE DE DADOS'!$A:$AM,19,0),""))</f>
        <v>Vencido</v>
      </c>
      <c r="V48" s="61">
        <f ca="1">IF(B48="","",IFERROR(VLOOKUP(B48,'ANÁLISE DE DADOS'!$A:$AM,20,0),""))</f>
        <v>59</v>
      </c>
      <c r="W48" s="61" t="str">
        <f ca="1">IF(B48="","",IFERROR(VLOOKUP(B48,'ANÁLISE DE DADOS'!$A:$AM,21,0),""))</f>
        <v>31-60 dias</v>
      </c>
      <c r="X48" s="61" t="str">
        <f ca="1">IF(B48="","",IFERROR(VLOOKUP(B48,'ANÁLISE DE DADOS'!$A:$AM,22,0),""))</f>
        <v>Atraso Médio</v>
      </c>
      <c r="Y48" s="61" t="str">
        <f>IF(B48="","",IFERROR(VLOOKUP(B48,'ANÁLISE DE DADOS'!$A:$AM,23,0),""))</f>
        <v>-</v>
      </c>
      <c r="Z48" s="61" t="str">
        <f>IF(B48="","",IFERROR(VLOOKUP(B48,'ANÁLISE DE DADOS'!$A:$AM,24,0),""))</f>
        <v>Sim</v>
      </c>
      <c r="AA48" s="61">
        <f>IF(B48="","",IFERROR(VLOOKUP(B48,'ANÁLISE DE DADOS'!$A:$AM,25,0),""))</f>
        <v>0</v>
      </c>
      <c r="AB48" s="61">
        <f>IF(B48="","",IFERROR(VLOOKUP(B48,'ANÁLISE DE DADOS'!$A:$AM,26,0),""))</f>
        <v>1</v>
      </c>
      <c r="AC48" s="61" t="str">
        <f>IF(B48="","",IFERROR(VLOOKUP(B48,'ANÁLISE DE DADOS'!$A:$AM,27,0),""))</f>
        <v>Sim</v>
      </c>
      <c r="AD48" s="62">
        <f>IF(B48="","",IFERROR(VLOOKUP(B48,'ANÁLISE DE DADOS'!$A:$AM,28,0),""))</f>
        <v>45740</v>
      </c>
      <c r="AE48" s="61" t="str">
        <f>IF(B48="","",IFERROR(VLOOKUP(B48,'ANÁLISE DE DADOS'!$A:$AM,29,0),""))</f>
        <v>mar-25</v>
      </c>
      <c r="AF48" s="61" t="str">
        <f>IF(B48="","",IFERROR(VLOOKUP(B48,'ANÁLISE DE DADOS'!$A:$AM,30,0),""))</f>
        <v>2025</v>
      </c>
      <c r="AG48" s="62">
        <f>IF(B48="","",IFERROR(VLOOKUP(B48,'ANÁLISE DE DADOS'!$A:$AM,31,0),""))</f>
        <v>45740</v>
      </c>
      <c r="AH48" s="61" t="str">
        <f>IF(B48="","",IFERROR(VLOOKUP(B48,'ANÁLISE DE DADOS'!$A:$AM,32,0),""))</f>
        <v>mar-25</v>
      </c>
      <c r="AI48" s="61" t="str">
        <f>IF(B48="","",IFERROR(VLOOKUP(B48,'ANÁLISE DE DADOS'!$A:$AM,33,0),""))</f>
        <v>2025</v>
      </c>
      <c r="AJ48" s="61" t="str">
        <f>IF(B48="","",IFERROR(VLOOKUP(B48,'ANÁLISE DE DADOS'!$A:$AM,34,0),""))</f>
        <v>Acompanhando</v>
      </c>
      <c r="AK48" s="63">
        <f ca="1">IF(B48="","",IFERROR(VLOOKUP(B48,'ANÁLISE DE DADOS'!$A:$AM,35,0),""))</f>
        <v>1700</v>
      </c>
      <c r="AL48" s="63" t="str">
        <f ca="1">IF(B48="","",IFERROR(VLOOKUP(B48,'ANÁLISE DE DADOS'!$A:$AM,36,0),""))</f>
        <v>0</v>
      </c>
    </row>
    <row r="49" spans="2:38" x14ac:dyDescent="0.3">
      <c r="B49" s="30">
        <v>45</v>
      </c>
      <c r="C49" s="61">
        <f>IF(B49="","",IFERROR(VLOOKUP(B49,'ANÁLISE DE DADOS'!$A:$AM,1,0),""))</f>
        <v>45</v>
      </c>
      <c r="D49" s="61" t="str">
        <f>IF(B49="","",IFERROR(VLOOKUP(B49,'ANÁLISE DE DADOS'!$A:$AM,2,0),""))</f>
        <v>Matriz</v>
      </c>
      <c r="E49" s="61">
        <f>IF(B49="","",IFERROR(VLOOKUP(B49,'ANÁLISE DE DADOS'!$A:$AM,3,0),""))</f>
        <v>0</v>
      </c>
      <c r="F49" s="61" t="str">
        <f>IF(B49="","",IFERROR(VLOOKUP(B49,'ANÁLISE DE DADOS'!$A:$AM,4,0),""))</f>
        <v>GlobalTech</v>
      </c>
      <c r="G49" s="62">
        <f>IF(B49="","",IFERROR(VLOOKUP(B49,'ANÁLISE DE DADOS'!$A:$AM,5,0),""))</f>
        <v>45724</v>
      </c>
      <c r="H49" s="62" t="str">
        <f>IF(B49="","",IFERROR(VLOOKUP(B49,'ANÁLISE DE DADOS'!$A:$AM,6,0),""))</f>
        <v>mar-25</v>
      </c>
      <c r="I49" s="62" t="str">
        <f>IF(B49="","",IFERROR(VLOOKUP(B49,'ANÁLISE DE DADOS'!$A:$AM,7,0),""))</f>
        <v>2025</v>
      </c>
      <c r="J49" s="62">
        <f>IF(B49="","",IFERROR(VLOOKUP(B49,'ANÁLISE DE DADOS'!$A:$AM,8,0),""))</f>
        <v>45737</v>
      </c>
      <c r="K49" s="61" t="str">
        <f>IF(B49="","",IFERROR(VLOOKUP(B49,'ANÁLISE DE DADOS'!$A:$AM,9,0),""))</f>
        <v>mar-25</v>
      </c>
      <c r="L49" s="61" t="str">
        <f>IF(B49="","",IFERROR(VLOOKUP(B49,'ANÁLISE DE DADOS'!$A:$AM,10,0),""))</f>
        <v>2025</v>
      </c>
      <c r="M49" s="62">
        <f>IF(B49="","",IFERROR(VLOOKUP(B49,'ANÁLISE DE DADOS'!$A:$AM,11,0),""))</f>
        <v>45737</v>
      </c>
      <c r="N49" s="61" t="str">
        <f>IF(B49="","",IFERROR(VLOOKUP(B49,'ANÁLISE DE DADOS'!$A:$AM,12,0),""))</f>
        <v>mar-25</v>
      </c>
      <c r="O49" s="61" t="str">
        <f>IF(B49="","",IFERROR(VLOOKUP(B49,'ANÁLISE DE DADOS'!$A:$AM,13,0),""))</f>
        <v>2025</v>
      </c>
      <c r="P49" s="63">
        <f>IF(B49="","",IFERROR(VLOOKUP(B49,'ANÁLISE DE DADOS'!$A:$AM,14,0),""))</f>
        <v>2100</v>
      </c>
      <c r="Q49" s="61" t="str">
        <f>IF(B49="","",IFERROR(VLOOKUP(B49,'ANÁLISE DE DADOS'!$A:$AM,15,0),""))</f>
        <v>Beatriz</v>
      </c>
      <c r="R49" s="61" t="str">
        <f>IF(B49="","",IFERROR(VLOOKUP(B49,'ANÁLISE DE DADOS'!$A:$AM,16,0),""))</f>
        <v>ANALISTA GUSTAVO</v>
      </c>
      <c r="S49" s="61" t="str">
        <f>IF(B49="","",IFERROR(VLOOKUP(B49,'ANÁLISE DE DADOS'!$A:$AM,17,0),""))</f>
        <v>NÃO</v>
      </c>
      <c r="T49" s="61" t="str">
        <f>IF(B49="","",IFERROR(VLOOKUP(B49,'ANÁLISE DE DADOS'!$A:$AM,18,0),""))</f>
        <v>Sem Retorno</v>
      </c>
      <c r="U49" s="61" t="str">
        <f ca="1">IF(B49="","",IFERROR(VLOOKUP(B49,'ANÁLISE DE DADOS'!$A:$AM,19,0),""))</f>
        <v>Vencido</v>
      </c>
      <c r="V49" s="61">
        <f ca="1">IF(B49="","",IFERROR(VLOOKUP(B49,'ANÁLISE DE DADOS'!$A:$AM,20,0),""))</f>
        <v>58</v>
      </c>
      <c r="W49" s="61" t="str">
        <f ca="1">IF(B49="","",IFERROR(VLOOKUP(B49,'ANÁLISE DE DADOS'!$A:$AM,21,0),""))</f>
        <v>31-60 dias</v>
      </c>
      <c r="X49" s="61" t="str">
        <f ca="1">IF(B49="","",IFERROR(VLOOKUP(B49,'ANÁLISE DE DADOS'!$A:$AM,22,0),""))</f>
        <v>Atraso Médio</v>
      </c>
      <c r="Y49" s="61" t="str">
        <f>IF(B49="","",IFERROR(VLOOKUP(B49,'ANÁLISE DE DADOS'!$A:$AM,23,0),""))</f>
        <v>-</v>
      </c>
      <c r="Z49" s="61" t="str">
        <f>IF(B49="","",IFERROR(VLOOKUP(B49,'ANÁLISE DE DADOS'!$A:$AM,24,0),""))</f>
        <v>Sim</v>
      </c>
      <c r="AA49" s="61">
        <f>IF(B49="","",IFERROR(VLOOKUP(B49,'ANÁLISE DE DADOS'!$A:$AM,25,0),""))</f>
        <v>0</v>
      </c>
      <c r="AB49" s="61">
        <f>IF(B49="","",IFERROR(VLOOKUP(B49,'ANÁLISE DE DADOS'!$A:$AM,26,0),""))</f>
        <v>1</v>
      </c>
      <c r="AC49" s="61" t="str">
        <f>IF(B49="","",IFERROR(VLOOKUP(B49,'ANÁLISE DE DADOS'!$A:$AM,27,0),""))</f>
        <v>Sim</v>
      </c>
      <c r="AD49" s="62">
        <f>IF(B49="","",IFERROR(VLOOKUP(B49,'ANÁLISE DE DADOS'!$A:$AM,28,0),""))</f>
        <v>45740</v>
      </c>
      <c r="AE49" s="61" t="str">
        <f>IF(B49="","",IFERROR(VLOOKUP(B49,'ANÁLISE DE DADOS'!$A:$AM,29,0),""))</f>
        <v>mar-25</v>
      </c>
      <c r="AF49" s="61" t="str">
        <f>IF(B49="","",IFERROR(VLOOKUP(B49,'ANÁLISE DE DADOS'!$A:$AM,30,0),""))</f>
        <v>2025</v>
      </c>
      <c r="AG49" s="62">
        <f>IF(B49="","",IFERROR(VLOOKUP(B49,'ANÁLISE DE DADOS'!$A:$AM,31,0),""))</f>
        <v>45740</v>
      </c>
      <c r="AH49" s="61" t="str">
        <f>IF(B49="","",IFERROR(VLOOKUP(B49,'ANÁLISE DE DADOS'!$A:$AM,32,0),""))</f>
        <v>mar-25</v>
      </c>
      <c r="AI49" s="61" t="str">
        <f>IF(B49="","",IFERROR(VLOOKUP(B49,'ANÁLISE DE DADOS'!$A:$AM,33,0),""))</f>
        <v>2025</v>
      </c>
      <c r="AJ49" s="61" t="str">
        <f>IF(B49="","",IFERROR(VLOOKUP(B49,'ANÁLISE DE DADOS'!$A:$AM,34,0),""))</f>
        <v>Acompanhando</v>
      </c>
      <c r="AK49" s="63">
        <f ca="1">IF(B49="","",IFERROR(VLOOKUP(B49,'ANÁLISE DE DADOS'!$A:$AM,35,0),""))</f>
        <v>2100</v>
      </c>
      <c r="AL49" s="63" t="str">
        <f ca="1">IF(B49="","",IFERROR(VLOOKUP(B49,'ANÁLISE DE DADOS'!$A:$AM,36,0),""))</f>
        <v>0</v>
      </c>
    </row>
    <row r="50" spans="2:38" x14ac:dyDescent="0.3">
      <c r="B50" s="30">
        <v>46</v>
      </c>
      <c r="C50" s="61">
        <f>IF(B50="","",IFERROR(VLOOKUP(B50,'ANÁLISE DE DADOS'!$A:$AM,1,0),""))</f>
        <v>46</v>
      </c>
      <c r="D50" s="61" t="str">
        <f>IF(B50="","",IFERROR(VLOOKUP(B50,'ANÁLISE DE DADOS'!$A:$AM,2,0),""))</f>
        <v>Filial</v>
      </c>
      <c r="E50" s="61">
        <f>IF(B50="","",IFERROR(VLOOKUP(B50,'ANÁLISE DE DADOS'!$A:$AM,3,0),""))</f>
        <v>0</v>
      </c>
      <c r="F50" s="61" t="str">
        <f>IF(B50="","",IFERROR(VLOOKUP(B50,'ANÁLISE DE DADOS'!$A:$AM,4,0),""))</f>
        <v>GlobalTech</v>
      </c>
      <c r="G50" s="62">
        <f>IF(B50="","",IFERROR(VLOOKUP(B50,'ANÁLISE DE DADOS'!$A:$AM,5,0),""))</f>
        <v>45726</v>
      </c>
      <c r="H50" s="62" t="str">
        <f>IF(B50="","",IFERROR(VLOOKUP(B50,'ANÁLISE DE DADOS'!$A:$AM,6,0),""))</f>
        <v>mar-25</v>
      </c>
      <c r="I50" s="62" t="str">
        <f>IF(B50="","",IFERROR(VLOOKUP(B50,'ANÁLISE DE DADOS'!$A:$AM,7,0),""))</f>
        <v>2025</v>
      </c>
      <c r="J50" s="62">
        <f>IF(B50="","",IFERROR(VLOOKUP(B50,'ANÁLISE DE DADOS'!$A:$AM,8,0),""))</f>
        <v>45738</v>
      </c>
      <c r="K50" s="61" t="str">
        <f>IF(B50="","",IFERROR(VLOOKUP(B50,'ANÁLISE DE DADOS'!$A:$AM,9,0),""))</f>
        <v>mar-25</v>
      </c>
      <c r="L50" s="61" t="str">
        <f>IF(B50="","",IFERROR(VLOOKUP(B50,'ANÁLISE DE DADOS'!$A:$AM,10,0),""))</f>
        <v>2025</v>
      </c>
      <c r="M50" s="62">
        <f>IF(B50="","",IFERROR(VLOOKUP(B50,'ANÁLISE DE DADOS'!$A:$AM,11,0),""))</f>
        <v>45738</v>
      </c>
      <c r="N50" s="61" t="str">
        <f>IF(B50="","",IFERROR(VLOOKUP(B50,'ANÁLISE DE DADOS'!$A:$AM,12,0),""))</f>
        <v>mar-25</v>
      </c>
      <c r="O50" s="61" t="str">
        <f>IF(B50="","",IFERROR(VLOOKUP(B50,'ANÁLISE DE DADOS'!$A:$AM,13,0),""))</f>
        <v>2025</v>
      </c>
      <c r="P50" s="63">
        <f>IF(B50="","",IFERROR(VLOOKUP(B50,'ANÁLISE DE DADOS'!$A:$AM,14,0),""))</f>
        <v>1900</v>
      </c>
      <c r="Q50" s="61" t="str">
        <f>IF(B50="","",IFERROR(VLOOKUP(B50,'ANÁLISE DE DADOS'!$A:$AM,15,0),""))</f>
        <v>Lucas</v>
      </c>
      <c r="R50" s="61" t="str">
        <f>IF(B50="","",IFERROR(VLOOKUP(B50,'ANÁLISE DE DADOS'!$A:$AM,16,0),""))</f>
        <v>ANALISTA GUSTAVO</v>
      </c>
      <c r="S50" s="61" t="str">
        <f>IF(B50="","",IFERROR(VLOOKUP(B50,'ANÁLISE DE DADOS'!$A:$AM,17,0),""))</f>
        <v>NÃO</v>
      </c>
      <c r="T50" s="61" t="str">
        <f>IF(B50="","",IFERROR(VLOOKUP(B50,'ANÁLISE DE DADOS'!$A:$AM,18,0),""))</f>
        <v>Bloqueio de sistema por inadimplência</v>
      </c>
      <c r="U50" s="61" t="str">
        <f ca="1">IF(B50="","",IFERROR(VLOOKUP(B50,'ANÁLISE DE DADOS'!$A:$AM,19,0),""))</f>
        <v>Vencido</v>
      </c>
      <c r="V50" s="61">
        <f ca="1">IF(B50="","",IFERROR(VLOOKUP(B50,'ANÁLISE DE DADOS'!$A:$AM,20,0),""))</f>
        <v>57</v>
      </c>
      <c r="W50" s="61" t="str">
        <f ca="1">IF(B50="","",IFERROR(VLOOKUP(B50,'ANÁLISE DE DADOS'!$A:$AM,21,0),""))</f>
        <v>31-60 dias</v>
      </c>
      <c r="X50" s="61" t="str">
        <f ca="1">IF(B50="","",IFERROR(VLOOKUP(B50,'ANÁLISE DE DADOS'!$A:$AM,22,0),""))</f>
        <v>Atraso Médio</v>
      </c>
      <c r="Y50" s="61" t="str">
        <f>IF(B50="","",IFERROR(VLOOKUP(B50,'ANÁLISE DE DADOS'!$A:$AM,23,0),""))</f>
        <v>-</v>
      </c>
      <c r="Z50" s="61" t="str">
        <f>IF(B50="","",IFERROR(VLOOKUP(B50,'ANÁLISE DE DADOS'!$A:$AM,24,0),""))</f>
        <v>Sim</v>
      </c>
      <c r="AA50" s="61">
        <f>IF(B50="","",IFERROR(VLOOKUP(B50,'ANÁLISE DE DADOS'!$A:$AM,25,0),""))</f>
        <v>0</v>
      </c>
      <c r="AB50" s="61">
        <f>IF(B50="","",IFERROR(VLOOKUP(B50,'ANÁLISE DE DADOS'!$A:$AM,26,0),""))</f>
        <v>1</v>
      </c>
      <c r="AC50" s="61" t="str">
        <f>IF(B50="","",IFERROR(VLOOKUP(B50,'ANÁLISE DE DADOS'!$A:$AM,27,0),""))</f>
        <v>Sim</v>
      </c>
      <c r="AD50" s="62">
        <f>IF(B50="","",IFERROR(VLOOKUP(B50,'ANÁLISE DE DADOS'!$A:$AM,28,0),""))</f>
        <v>45740</v>
      </c>
      <c r="AE50" s="61" t="str">
        <f>IF(B50="","",IFERROR(VLOOKUP(B50,'ANÁLISE DE DADOS'!$A:$AM,29,0),""))</f>
        <v>mar-25</v>
      </c>
      <c r="AF50" s="61" t="str">
        <f>IF(B50="","",IFERROR(VLOOKUP(B50,'ANÁLISE DE DADOS'!$A:$AM,30,0),""))</f>
        <v>2025</v>
      </c>
      <c r="AG50" s="62">
        <f>IF(B50="","",IFERROR(VLOOKUP(B50,'ANÁLISE DE DADOS'!$A:$AM,31,0),""))</f>
        <v>45740</v>
      </c>
      <c r="AH50" s="61" t="str">
        <f>IF(B50="","",IFERROR(VLOOKUP(B50,'ANÁLISE DE DADOS'!$A:$AM,32,0),""))</f>
        <v>mar-25</v>
      </c>
      <c r="AI50" s="61" t="str">
        <f>IF(B50="","",IFERROR(VLOOKUP(B50,'ANÁLISE DE DADOS'!$A:$AM,33,0),""))</f>
        <v>2025</v>
      </c>
      <c r="AJ50" s="61" t="str">
        <f>IF(B50="","",IFERROR(VLOOKUP(B50,'ANÁLISE DE DADOS'!$A:$AM,34,0),""))</f>
        <v>Acompanhando</v>
      </c>
      <c r="AK50" s="63">
        <f ca="1">IF(B50="","",IFERROR(VLOOKUP(B50,'ANÁLISE DE DADOS'!$A:$AM,35,0),""))</f>
        <v>1900</v>
      </c>
      <c r="AL50" s="63" t="str">
        <f ca="1">IF(B50="","",IFERROR(VLOOKUP(B50,'ANÁLISE DE DADOS'!$A:$AM,36,0),""))</f>
        <v>0</v>
      </c>
    </row>
    <row r="51" spans="2:38" x14ac:dyDescent="0.3">
      <c r="B51" s="30">
        <v>47</v>
      </c>
      <c r="C51" s="61">
        <f>IF(B51="","",IFERROR(VLOOKUP(B51,'ANÁLISE DE DADOS'!$A:$AM,1,0),""))</f>
        <v>47</v>
      </c>
      <c r="D51" s="61" t="str">
        <f>IF(B51="","",IFERROR(VLOOKUP(B51,'ANÁLISE DE DADOS'!$A:$AM,2,0),""))</f>
        <v>Matriz</v>
      </c>
      <c r="E51" s="61">
        <f>IF(B51="","",IFERROR(VLOOKUP(B51,'ANÁLISE DE DADOS'!$A:$AM,3,0),""))</f>
        <v>0</v>
      </c>
      <c r="F51" s="61" t="str">
        <f>IF(B51="","",IFERROR(VLOOKUP(B51,'ANÁLISE DE DADOS'!$A:$AM,4,0),""))</f>
        <v>GlobalTech</v>
      </c>
      <c r="G51" s="62">
        <f>IF(B51="","",IFERROR(VLOOKUP(B51,'ANÁLISE DE DADOS'!$A:$AM,5,0),""))</f>
        <v>45728</v>
      </c>
      <c r="H51" s="62" t="str">
        <f>IF(B51="","",IFERROR(VLOOKUP(B51,'ANÁLISE DE DADOS'!$A:$AM,6,0),""))</f>
        <v>mar-25</v>
      </c>
      <c r="I51" s="62" t="str">
        <f>IF(B51="","",IFERROR(VLOOKUP(B51,'ANÁLISE DE DADOS'!$A:$AM,7,0),""))</f>
        <v>2025</v>
      </c>
      <c r="J51" s="62">
        <f>IF(B51="","",IFERROR(VLOOKUP(B51,'ANÁLISE DE DADOS'!$A:$AM,8,0),""))</f>
        <v>45739</v>
      </c>
      <c r="K51" s="61" t="str">
        <f>IF(B51="","",IFERROR(VLOOKUP(B51,'ANÁLISE DE DADOS'!$A:$AM,9,0),""))</f>
        <v>mar-25</v>
      </c>
      <c r="L51" s="61" t="str">
        <f>IF(B51="","",IFERROR(VLOOKUP(B51,'ANÁLISE DE DADOS'!$A:$AM,10,0),""))</f>
        <v>2025</v>
      </c>
      <c r="M51" s="62">
        <f>IF(B51="","",IFERROR(VLOOKUP(B51,'ANÁLISE DE DADOS'!$A:$AM,11,0),""))</f>
        <v>45739</v>
      </c>
      <c r="N51" s="61" t="str">
        <f>IF(B51="","",IFERROR(VLOOKUP(B51,'ANÁLISE DE DADOS'!$A:$AM,12,0),""))</f>
        <v>mar-25</v>
      </c>
      <c r="O51" s="61" t="str">
        <f>IF(B51="","",IFERROR(VLOOKUP(B51,'ANÁLISE DE DADOS'!$A:$AM,13,0),""))</f>
        <v>2025</v>
      </c>
      <c r="P51" s="63">
        <f>IF(B51="","",IFERROR(VLOOKUP(B51,'ANÁLISE DE DADOS'!$A:$AM,14,0),""))</f>
        <v>2500</v>
      </c>
      <c r="Q51" s="61" t="str">
        <f>IF(B51="","",IFERROR(VLOOKUP(B51,'ANÁLISE DE DADOS'!$A:$AM,15,0),""))</f>
        <v>Carla</v>
      </c>
      <c r="R51" s="61" t="str">
        <f>IF(B51="","",IFERROR(VLOOKUP(B51,'ANÁLISE DE DADOS'!$A:$AM,16,0),""))</f>
        <v>ANALISTA GUSTAVO</v>
      </c>
      <c r="S51" s="61" t="str">
        <f>IF(B51="","",IFERROR(VLOOKUP(B51,'ANÁLISE DE DADOS'!$A:$AM,17,0),""))</f>
        <v>NÃO</v>
      </c>
      <c r="T51" s="61" t="str">
        <f>IF(B51="","",IFERROR(VLOOKUP(B51,'ANÁLISE DE DADOS'!$A:$AM,18,0),""))</f>
        <v>Acordo em andamento (aguardando pagamento)</v>
      </c>
      <c r="U51" s="61" t="str">
        <f ca="1">IF(B51="","",IFERROR(VLOOKUP(B51,'ANÁLISE DE DADOS'!$A:$AM,19,0),""))</f>
        <v>Vencido</v>
      </c>
      <c r="V51" s="61">
        <f ca="1">IF(B51="","",IFERROR(VLOOKUP(B51,'ANÁLISE DE DADOS'!$A:$AM,20,0),""))</f>
        <v>56</v>
      </c>
      <c r="W51" s="61" t="str">
        <f ca="1">IF(B51="","",IFERROR(VLOOKUP(B51,'ANÁLISE DE DADOS'!$A:$AM,21,0),""))</f>
        <v>31-60 dias</v>
      </c>
      <c r="X51" s="61" t="str">
        <f ca="1">IF(B51="","",IFERROR(VLOOKUP(B51,'ANÁLISE DE DADOS'!$A:$AM,22,0),""))</f>
        <v>Atraso Médio</v>
      </c>
      <c r="Y51" s="61" t="str">
        <f>IF(B51="","",IFERROR(VLOOKUP(B51,'ANÁLISE DE DADOS'!$A:$AM,23,0),""))</f>
        <v>-</v>
      </c>
      <c r="Z51" s="61" t="str">
        <f>IF(B51="","",IFERROR(VLOOKUP(B51,'ANÁLISE DE DADOS'!$A:$AM,24,0),""))</f>
        <v>Não</v>
      </c>
      <c r="AA51" s="61">
        <f>IF(B51="","",IFERROR(VLOOKUP(B51,'ANÁLISE DE DADOS'!$A:$AM,25,0),""))</f>
        <v>0</v>
      </c>
      <c r="AB51" s="61">
        <f>IF(B51="","",IFERROR(VLOOKUP(B51,'ANÁLISE DE DADOS'!$A:$AM,26,0),""))</f>
        <v>1</v>
      </c>
      <c r="AC51" s="61" t="str">
        <f>IF(B51="","",IFERROR(VLOOKUP(B51,'ANÁLISE DE DADOS'!$A:$AM,27,0),""))</f>
        <v>Sim</v>
      </c>
      <c r="AD51" s="62">
        <f>IF(B51="","",IFERROR(VLOOKUP(B51,'ANÁLISE DE DADOS'!$A:$AM,28,0),""))</f>
        <v>45740</v>
      </c>
      <c r="AE51" s="61" t="str">
        <f>IF(B51="","",IFERROR(VLOOKUP(B51,'ANÁLISE DE DADOS'!$A:$AM,29,0),""))</f>
        <v>mar-25</v>
      </c>
      <c r="AF51" s="61" t="str">
        <f>IF(B51="","",IFERROR(VLOOKUP(B51,'ANÁLISE DE DADOS'!$A:$AM,30,0),""))</f>
        <v>2025</v>
      </c>
      <c r="AG51" s="62">
        <f>IF(B51="","",IFERROR(VLOOKUP(B51,'ANÁLISE DE DADOS'!$A:$AM,31,0),""))</f>
        <v>45740</v>
      </c>
      <c r="AH51" s="61" t="str">
        <f>IF(B51="","",IFERROR(VLOOKUP(B51,'ANÁLISE DE DADOS'!$A:$AM,32,0),""))</f>
        <v>mar-25</v>
      </c>
      <c r="AI51" s="61" t="str">
        <f>IF(B51="","",IFERROR(VLOOKUP(B51,'ANÁLISE DE DADOS'!$A:$AM,33,0),""))</f>
        <v>2025</v>
      </c>
      <c r="AJ51" s="61" t="str">
        <f>IF(B51="","",IFERROR(VLOOKUP(B51,'ANÁLISE DE DADOS'!$A:$AM,34,0),""))</f>
        <v>Acompanhando</v>
      </c>
      <c r="AK51" s="63">
        <f ca="1">IF(B51="","",IFERROR(VLOOKUP(B51,'ANÁLISE DE DADOS'!$A:$AM,35,0),""))</f>
        <v>2500</v>
      </c>
      <c r="AL51" s="63" t="str">
        <f ca="1">IF(B51="","",IFERROR(VLOOKUP(B51,'ANÁLISE DE DADOS'!$A:$AM,36,0),""))</f>
        <v>0</v>
      </c>
    </row>
    <row r="52" spans="2:38" x14ac:dyDescent="0.3">
      <c r="B52" s="30">
        <v>48</v>
      </c>
      <c r="C52" s="61">
        <f>IF(B52="","",IFERROR(VLOOKUP(B52,'ANÁLISE DE DADOS'!$A:$AM,1,0),""))</f>
        <v>48</v>
      </c>
      <c r="D52" s="61" t="str">
        <f>IF(B52="","",IFERROR(VLOOKUP(B52,'ANÁLISE DE DADOS'!$A:$AM,2,0),""))</f>
        <v>Filial</v>
      </c>
      <c r="E52" s="61">
        <f>IF(B52="","",IFERROR(VLOOKUP(B52,'ANÁLISE DE DADOS'!$A:$AM,3,0),""))</f>
        <v>0</v>
      </c>
      <c r="F52" s="61" t="str">
        <f>IF(B52="","",IFERROR(VLOOKUP(B52,'ANÁLISE DE DADOS'!$A:$AM,4,0),""))</f>
        <v>GlobalTech</v>
      </c>
      <c r="G52" s="62">
        <f>IF(B52="","",IFERROR(VLOOKUP(B52,'ANÁLISE DE DADOS'!$A:$AM,5,0),""))</f>
        <v>45731</v>
      </c>
      <c r="H52" s="62" t="str">
        <f>IF(B52="","",IFERROR(VLOOKUP(B52,'ANÁLISE DE DADOS'!$A:$AM,6,0),""))</f>
        <v>mar-25</v>
      </c>
      <c r="I52" s="62" t="str">
        <f>IF(B52="","",IFERROR(VLOOKUP(B52,'ANÁLISE DE DADOS'!$A:$AM,7,0),""))</f>
        <v>2025</v>
      </c>
      <c r="J52" s="62">
        <f>IF(B52="","",IFERROR(VLOOKUP(B52,'ANÁLISE DE DADOS'!$A:$AM,8,0),""))</f>
        <v>45740</v>
      </c>
      <c r="K52" s="61" t="str">
        <f>IF(B52="","",IFERROR(VLOOKUP(B52,'ANÁLISE DE DADOS'!$A:$AM,9,0),""))</f>
        <v>mar-25</v>
      </c>
      <c r="L52" s="61" t="str">
        <f>IF(B52="","",IFERROR(VLOOKUP(B52,'ANÁLISE DE DADOS'!$A:$AM,10,0),""))</f>
        <v>2025</v>
      </c>
      <c r="M52" s="62">
        <f>IF(B52="","",IFERROR(VLOOKUP(B52,'ANÁLISE DE DADOS'!$A:$AM,11,0),""))</f>
        <v>45740</v>
      </c>
      <c r="N52" s="61" t="str">
        <f>IF(B52="","",IFERROR(VLOOKUP(B52,'ANÁLISE DE DADOS'!$A:$AM,12,0),""))</f>
        <v>mar-25</v>
      </c>
      <c r="O52" s="61" t="str">
        <f>IF(B52="","",IFERROR(VLOOKUP(B52,'ANÁLISE DE DADOS'!$A:$AM,13,0),""))</f>
        <v>2025</v>
      </c>
      <c r="P52" s="63">
        <f>IF(B52="","",IFERROR(VLOOKUP(B52,'ANÁLISE DE DADOS'!$A:$AM,14,0),""))</f>
        <v>2300</v>
      </c>
      <c r="Q52" s="61" t="str">
        <f>IF(B52="","",IFERROR(VLOOKUP(B52,'ANÁLISE DE DADOS'!$A:$AM,15,0),""))</f>
        <v>Roberto</v>
      </c>
      <c r="R52" s="61" t="str">
        <f>IF(B52="","",IFERROR(VLOOKUP(B52,'ANÁLISE DE DADOS'!$A:$AM,16,0),""))</f>
        <v>ANALISTA GUSTAVO</v>
      </c>
      <c r="S52" s="61" t="str">
        <f>IF(B52="","",IFERROR(VLOOKUP(B52,'ANÁLISE DE DADOS'!$A:$AM,17,0),""))</f>
        <v>NÃO</v>
      </c>
      <c r="T52" s="61" t="str">
        <f>IF(B52="","",IFERROR(VLOOKUP(B52,'ANÁLISE DE DADOS'!$A:$AM,18,0),""))</f>
        <v>Acordo em andamento (aguardando pagamento)</v>
      </c>
      <c r="U52" s="61" t="str">
        <f ca="1">IF(B52="","",IFERROR(VLOOKUP(B52,'ANÁLISE DE DADOS'!$A:$AM,19,0),""))</f>
        <v>Vencido</v>
      </c>
      <c r="V52" s="61">
        <f ca="1">IF(B52="","",IFERROR(VLOOKUP(B52,'ANÁLISE DE DADOS'!$A:$AM,20,0),""))</f>
        <v>55</v>
      </c>
      <c r="W52" s="61" t="str">
        <f ca="1">IF(B52="","",IFERROR(VLOOKUP(B52,'ANÁLISE DE DADOS'!$A:$AM,21,0),""))</f>
        <v>31-60 dias</v>
      </c>
      <c r="X52" s="61" t="str">
        <f ca="1">IF(B52="","",IFERROR(VLOOKUP(B52,'ANÁLISE DE DADOS'!$A:$AM,22,0),""))</f>
        <v>Atraso Médio</v>
      </c>
      <c r="Y52" s="61" t="str">
        <f>IF(B52="","",IFERROR(VLOOKUP(B52,'ANÁLISE DE DADOS'!$A:$AM,23,0),""))</f>
        <v>-</v>
      </c>
      <c r="Z52" s="61" t="str">
        <f>IF(B52="","",IFERROR(VLOOKUP(B52,'ANÁLISE DE DADOS'!$A:$AM,24,0),""))</f>
        <v>Não</v>
      </c>
      <c r="AA52" s="61">
        <f>IF(B52="","",IFERROR(VLOOKUP(B52,'ANÁLISE DE DADOS'!$A:$AM,25,0),""))</f>
        <v>0</v>
      </c>
      <c r="AB52" s="61">
        <f>IF(B52="","",IFERROR(VLOOKUP(B52,'ANÁLISE DE DADOS'!$A:$AM,26,0),""))</f>
        <v>0</v>
      </c>
      <c r="AC52" s="61" t="str">
        <f>IF(B52="","",IFERROR(VLOOKUP(B52,'ANÁLISE DE DADOS'!$A:$AM,27,0),""))</f>
        <v>Não</v>
      </c>
      <c r="AD52" s="62">
        <f>IF(B52="","",IFERROR(VLOOKUP(B52,'ANÁLISE DE DADOS'!$A:$AM,28,0),""))</f>
        <v>45741</v>
      </c>
      <c r="AE52" s="61" t="str">
        <f>IF(B52="","",IFERROR(VLOOKUP(B52,'ANÁLISE DE DADOS'!$A:$AM,29,0),""))</f>
        <v>mar-25</v>
      </c>
      <c r="AF52" s="61" t="str">
        <f>IF(B52="","",IFERROR(VLOOKUP(B52,'ANÁLISE DE DADOS'!$A:$AM,30,0),""))</f>
        <v>2025</v>
      </c>
      <c r="AG52" s="62">
        <f>IF(B52="","",IFERROR(VLOOKUP(B52,'ANÁLISE DE DADOS'!$A:$AM,31,0),""))</f>
        <v>45741</v>
      </c>
      <c r="AH52" s="61" t="str">
        <f>IF(B52="","",IFERROR(VLOOKUP(B52,'ANÁLISE DE DADOS'!$A:$AM,32,0),""))</f>
        <v>mar-25</v>
      </c>
      <c r="AI52" s="61" t="str">
        <f>IF(B52="","",IFERROR(VLOOKUP(B52,'ANÁLISE DE DADOS'!$A:$AM,33,0),""))</f>
        <v>2025</v>
      </c>
      <c r="AJ52" s="61" t="str">
        <f>IF(B52="","",IFERROR(VLOOKUP(B52,'ANÁLISE DE DADOS'!$A:$AM,34,0),""))</f>
        <v>Acompanhando</v>
      </c>
      <c r="AK52" s="63">
        <f ca="1">IF(B52="","",IFERROR(VLOOKUP(B52,'ANÁLISE DE DADOS'!$A:$AM,35,0),""))</f>
        <v>2300</v>
      </c>
      <c r="AL52" s="63" t="str">
        <f ca="1">IF(B52="","",IFERROR(VLOOKUP(B52,'ANÁLISE DE DADOS'!$A:$AM,36,0),""))</f>
        <v>0</v>
      </c>
    </row>
    <row r="53" spans="2:38" x14ac:dyDescent="0.3">
      <c r="B53" s="30">
        <v>49</v>
      </c>
      <c r="C53" s="61">
        <f>IF(B53="","",IFERROR(VLOOKUP(B53,'ANÁLISE DE DADOS'!$A:$AM,1,0),""))</f>
        <v>49</v>
      </c>
      <c r="D53" s="61" t="str">
        <f>IF(B53="","",IFERROR(VLOOKUP(B53,'ANÁLISE DE DADOS'!$A:$AM,2,0),""))</f>
        <v>Matriz</v>
      </c>
      <c r="E53" s="61">
        <f>IF(B53="","",IFERROR(VLOOKUP(B53,'ANÁLISE DE DADOS'!$A:$AM,3,0),""))</f>
        <v>0</v>
      </c>
      <c r="F53" s="61" t="str">
        <f>IF(B53="","",IFERROR(VLOOKUP(B53,'ANÁLISE DE DADOS'!$A:$AM,4,0),""))</f>
        <v>GlobalTech</v>
      </c>
      <c r="G53" s="62">
        <f>IF(B53="","",IFERROR(VLOOKUP(B53,'ANÁLISE DE DADOS'!$A:$AM,5,0),""))</f>
        <v>45734</v>
      </c>
      <c r="H53" s="62" t="str">
        <f>IF(B53="","",IFERROR(VLOOKUP(B53,'ANÁLISE DE DADOS'!$A:$AM,6,0),""))</f>
        <v>mar-25</v>
      </c>
      <c r="I53" s="62" t="str">
        <f>IF(B53="","",IFERROR(VLOOKUP(B53,'ANÁLISE DE DADOS'!$A:$AM,7,0),""))</f>
        <v>2025</v>
      </c>
      <c r="J53" s="62">
        <f>IF(B53="","",IFERROR(VLOOKUP(B53,'ANÁLISE DE DADOS'!$A:$AM,8,0),""))</f>
        <v>45741</v>
      </c>
      <c r="K53" s="61" t="str">
        <f>IF(B53="","",IFERROR(VLOOKUP(B53,'ANÁLISE DE DADOS'!$A:$AM,9,0),""))</f>
        <v>mar-25</v>
      </c>
      <c r="L53" s="61" t="str">
        <f>IF(B53="","",IFERROR(VLOOKUP(B53,'ANÁLISE DE DADOS'!$A:$AM,10,0),""))</f>
        <v>2025</v>
      </c>
      <c r="M53" s="62">
        <f>IF(B53="","",IFERROR(VLOOKUP(B53,'ANÁLISE DE DADOS'!$A:$AM,11,0),""))</f>
        <v>45741</v>
      </c>
      <c r="N53" s="61" t="str">
        <f>IF(B53="","",IFERROR(VLOOKUP(B53,'ANÁLISE DE DADOS'!$A:$AM,12,0),""))</f>
        <v>mar-25</v>
      </c>
      <c r="O53" s="61" t="str">
        <f>IF(B53="","",IFERROR(VLOOKUP(B53,'ANÁLISE DE DADOS'!$A:$AM,13,0),""))</f>
        <v>2025</v>
      </c>
      <c r="P53" s="63">
        <f>IF(B53="","",IFERROR(VLOOKUP(B53,'ANÁLISE DE DADOS'!$A:$AM,14,0),""))</f>
        <v>2200</v>
      </c>
      <c r="Q53" s="61" t="str">
        <f>IF(B53="","",IFERROR(VLOOKUP(B53,'ANÁLISE DE DADOS'!$A:$AM,15,0),""))</f>
        <v>Roberto</v>
      </c>
      <c r="R53" s="61" t="str">
        <f>IF(B53="","",IFERROR(VLOOKUP(B53,'ANÁLISE DE DADOS'!$A:$AM,16,0),""))</f>
        <v>ANALISTA GUSTAVO</v>
      </c>
      <c r="S53" s="61" t="str">
        <f>IF(B53="","",IFERROR(VLOOKUP(B53,'ANÁLISE DE DADOS'!$A:$AM,17,0),""))</f>
        <v>NÃO</v>
      </c>
      <c r="T53" s="61" t="str">
        <f>IF(B53="","",IFERROR(VLOOKUP(B53,'ANÁLISE DE DADOS'!$A:$AM,18,0),""))</f>
        <v>Acordo em andamento (aguardando pagamento)</v>
      </c>
      <c r="U53" s="61" t="str">
        <f ca="1">IF(B53="","",IFERROR(VLOOKUP(B53,'ANÁLISE DE DADOS'!$A:$AM,19,0),""))</f>
        <v>Vencido</v>
      </c>
      <c r="V53" s="61">
        <f ca="1">IF(B53="","",IFERROR(VLOOKUP(B53,'ANÁLISE DE DADOS'!$A:$AM,20,0),""))</f>
        <v>54</v>
      </c>
      <c r="W53" s="61" t="str">
        <f ca="1">IF(B53="","",IFERROR(VLOOKUP(B53,'ANÁLISE DE DADOS'!$A:$AM,21,0),""))</f>
        <v>31-60 dias</v>
      </c>
      <c r="X53" s="61" t="str">
        <f ca="1">IF(B53="","",IFERROR(VLOOKUP(B53,'ANÁLISE DE DADOS'!$A:$AM,22,0),""))</f>
        <v>Atraso Médio</v>
      </c>
      <c r="Y53" s="61" t="str">
        <f>IF(B53="","",IFERROR(VLOOKUP(B53,'ANÁLISE DE DADOS'!$A:$AM,23,0),""))</f>
        <v>-</v>
      </c>
      <c r="Z53" s="61" t="str">
        <f>IF(B53="","",IFERROR(VLOOKUP(B53,'ANÁLISE DE DADOS'!$A:$AM,24,0),""))</f>
        <v>Não</v>
      </c>
      <c r="AA53" s="61">
        <f>IF(B53="","",IFERROR(VLOOKUP(B53,'ANÁLISE DE DADOS'!$A:$AM,25,0),""))</f>
        <v>0</v>
      </c>
      <c r="AB53" s="61">
        <f>IF(B53="","",IFERROR(VLOOKUP(B53,'ANÁLISE DE DADOS'!$A:$AM,26,0),""))</f>
        <v>0</v>
      </c>
      <c r="AC53" s="61" t="str">
        <f>IF(B53="","",IFERROR(VLOOKUP(B53,'ANÁLISE DE DADOS'!$A:$AM,27,0),""))</f>
        <v>Não</v>
      </c>
      <c r="AD53" s="62">
        <f>IF(B53="","",IFERROR(VLOOKUP(B53,'ANÁLISE DE DADOS'!$A:$AM,28,0),""))</f>
        <v>45743</v>
      </c>
      <c r="AE53" s="61" t="str">
        <f>IF(B53="","",IFERROR(VLOOKUP(B53,'ANÁLISE DE DADOS'!$A:$AM,29,0),""))</f>
        <v>mar-25</v>
      </c>
      <c r="AF53" s="61" t="str">
        <f>IF(B53="","",IFERROR(VLOOKUP(B53,'ANÁLISE DE DADOS'!$A:$AM,30,0),""))</f>
        <v>2025</v>
      </c>
      <c r="AG53" s="62">
        <f>IF(B53="","",IFERROR(VLOOKUP(B53,'ANÁLISE DE DADOS'!$A:$AM,31,0),""))</f>
        <v>45743</v>
      </c>
      <c r="AH53" s="61" t="str">
        <f>IF(B53="","",IFERROR(VLOOKUP(B53,'ANÁLISE DE DADOS'!$A:$AM,32,0),""))</f>
        <v>mar-25</v>
      </c>
      <c r="AI53" s="61" t="str">
        <f>IF(B53="","",IFERROR(VLOOKUP(B53,'ANÁLISE DE DADOS'!$A:$AM,33,0),""))</f>
        <v>2025</v>
      </c>
      <c r="AJ53" s="61" t="str">
        <f>IF(B53="","",IFERROR(VLOOKUP(B53,'ANÁLISE DE DADOS'!$A:$AM,34,0),""))</f>
        <v>Acompanhando</v>
      </c>
      <c r="AK53" s="63">
        <f ca="1">IF(B53="","",IFERROR(VLOOKUP(B53,'ANÁLISE DE DADOS'!$A:$AM,35,0),""))</f>
        <v>2200</v>
      </c>
      <c r="AL53" s="63" t="str">
        <f ca="1">IF(B53="","",IFERROR(VLOOKUP(B53,'ANÁLISE DE DADOS'!$A:$AM,36,0),""))</f>
        <v>0</v>
      </c>
    </row>
    <row r="54" spans="2:38" x14ac:dyDescent="0.3">
      <c r="B54" s="30">
        <v>50</v>
      </c>
      <c r="C54" s="61">
        <f>IF(B54="","",IFERROR(VLOOKUP(B54,'ANÁLISE DE DADOS'!$A:$AM,1,0),""))</f>
        <v>50</v>
      </c>
      <c r="D54" s="61" t="str">
        <f>IF(B54="","",IFERROR(VLOOKUP(B54,'ANÁLISE DE DADOS'!$A:$AM,2,0),""))</f>
        <v>Filial</v>
      </c>
      <c r="E54" s="61">
        <f>IF(B54="","",IFERROR(VLOOKUP(B54,'ANÁLISE DE DADOS'!$A:$AM,3,0),""))</f>
        <v>0</v>
      </c>
      <c r="F54" s="61" t="str">
        <f>IF(B54="","",IFERROR(VLOOKUP(B54,'ANÁLISE DE DADOS'!$A:$AM,4,0),""))</f>
        <v>GlobalTech</v>
      </c>
      <c r="G54" s="62">
        <f>IF(B54="","",IFERROR(VLOOKUP(B54,'ANÁLISE DE DADOS'!$A:$AM,5,0),""))</f>
        <v>45738</v>
      </c>
      <c r="H54" s="62" t="str">
        <f>IF(B54="","",IFERROR(VLOOKUP(B54,'ANÁLISE DE DADOS'!$A:$AM,6,0),""))</f>
        <v>mar-25</v>
      </c>
      <c r="I54" s="62" t="str">
        <f>IF(B54="","",IFERROR(VLOOKUP(B54,'ANÁLISE DE DADOS'!$A:$AM,7,0),""))</f>
        <v>2025</v>
      </c>
      <c r="J54" s="62">
        <f>IF(B54="","",IFERROR(VLOOKUP(B54,'ANÁLISE DE DADOS'!$A:$AM,8,0),""))</f>
        <v>45742</v>
      </c>
      <c r="K54" s="61" t="str">
        <f>IF(B54="","",IFERROR(VLOOKUP(B54,'ANÁLISE DE DADOS'!$A:$AM,9,0),""))</f>
        <v>mar-25</v>
      </c>
      <c r="L54" s="61" t="str">
        <f>IF(B54="","",IFERROR(VLOOKUP(B54,'ANÁLISE DE DADOS'!$A:$AM,10,0),""))</f>
        <v>2025</v>
      </c>
      <c r="M54" s="62">
        <f>IF(B54="","",IFERROR(VLOOKUP(B54,'ANÁLISE DE DADOS'!$A:$AM,11,0),""))</f>
        <v>45742</v>
      </c>
      <c r="N54" s="61" t="str">
        <f>IF(B54="","",IFERROR(VLOOKUP(B54,'ANÁLISE DE DADOS'!$A:$AM,12,0),""))</f>
        <v>mar-25</v>
      </c>
      <c r="O54" s="61" t="str">
        <f>IF(B54="","",IFERROR(VLOOKUP(B54,'ANÁLISE DE DADOS'!$A:$AM,13,0),""))</f>
        <v>2025</v>
      </c>
      <c r="P54" s="63">
        <f>IF(B54="","",IFERROR(VLOOKUP(B54,'ANÁLISE DE DADOS'!$A:$AM,14,0),""))</f>
        <v>1800</v>
      </c>
      <c r="Q54" s="61" t="str">
        <f>IF(B54="","",IFERROR(VLOOKUP(B54,'ANÁLISE DE DADOS'!$A:$AM,15,0),""))</f>
        <v>Gustavo</v>
      </c>
      <c r="R54" s="61" t="str">
        <f>IF(B54="","",IFERROR(VLOOKUP(B54,'ANÁLISE DE DADOS'!$A:$AM,16,0),""))</f>
        <v>ANALISTA GUSTAVO</v>
      </c>
      <c r="S54" s="61" t="str">
        <f>IF(B54="","",IFERROR(VLOOKUP(B54,'ANÁLISE DE DADOS'!$A:$AM,17,0),""))</f>
        <v>NÃO</v>
      </c>
      <c r="T54" s="61" t="str">
        <f>IF(B54="","",IFERROR(VLOOKUP(B54,'ANÁLISE DE DADOS'!$A:$AM,18,0),""))</f>
        <v>Acordo em andamento (aguardando pagamento)</v>
      </c>
      <c r="U54" s="61" t="str">
        <f ca="1">IF(B54="","",IFERROR(VLOOKUP(B54,'ANÁLISE DE DADOS'!$A:$AM,19,0),""))</f>
        <v>Vencido</v>
      </c>
      <c r="V54" s="61">
        <f ca="1">IF(B54="","",IFERROR(VLOOKUP(B54,'ANÁLISE DE DADOS'!$A:$AM,20,0),""))</f>
        <v>53</v>
      </c>
      <c r="W54" s="61" t="str">
        <f ca="1">IF(B54="","",IFERROR(VLOOKUP(B54,'ANÁLISE DE DADOS'!$A:$AM,21,0),""))</f>
        <v>31-60 dias</v>
      </c>
      <c r="X54" s="61" t="str">
        <f ca="1">IF(B54="","",IFERROR(VLOOKUP(B54,'ANÁLISE DE DADOS'!$A:$AM,22,0),""))</f>
        <v>Atraso Médio</v>
      </c>
      <c r="Y54" s="61" t="str">
        <f>IF(B54="","",IFERROR(VLOOKUP(B54,'ANÁLISE DE DADOS'!$A:$AM,23,0),""))</f>
        <v>-</v>
      </c>
      <c r="Z54" s="61" t="str">
        <f>IF(B54="","",IFERROR(VLOOKUP(B54,'ANÁLISE DE DADOS'!$A:$AM,24,0),""))</f>
        <v>Não</v>
      </c>
      <c r="AA54" s="61">
        <f>IF(B54="","",IFERROR(VLOOKUP(B54,'ANÁLISE DE DADOS'!$A:$AM,25,0),""))</f>
        <v>0</v>
      </c>
      <c r="AB54" s="61">
        <f>IF(B54="","",IFERROR(VLOOKUP(B54,'ANÁLISE DE DADOS'!$A:$AM,26,0),""))</f>
        <v>0</v>
      </c>
      <c r="AC54" s="61" t="str">
        <f>IF(B54="","",IFERROR(VLOOKUP(B54,'ANÁLISE DE DADOS'!$A:$AM,27,0),""))</f>
        <v>Não</v>
      </c>
      <c r="AD54" s="62">
        <f>IF(B54="","",IFERROR(VLOOKUP(B54,'ANÁLISE DE DADOS'!$A:$AM,28,0),""))</f>
        <v>45744</v>
      </c>
      <c r="AE54" s="61" t="str">
        <f>IF(B54="","",IFERROR(VLOOKUP(B54,'ANÁLISE DE DADOS'!$A:$AM,29,0),""))</f>
        <v>mar-25</v>
      </c>
      <c r="AF54" s="61" t="str">
        <f>IF(B54="","",IFERROR(VLOOKUP(B54,'ANÁLISE DE DADOS'!$A:$AM,30,0),""))</f>
        <v>2025</v>
      </c>
      <c r="AG54" s="62">
        <f>IF(B54="","",IFERROR(VLOOKUP(B54,'ANÁLISE DE DADOS'!$A:$AM,31,0),""))</f>
        <v>45744</v>
      </c>
      <c r="AH54" s="61" t="str">
        <f>IF(B54="","",IFERROR(VLOOKUP(B54,'ANÁLISE DE DADOS'!$A:$AM,32,0),""))</f>
        <v>mar-25</v>
      </c>
      <c r="AI54" s="61" t="str">
        <f>IF(B54="","",IFERROR(VLOOKUP(B54,'ANÁLISE DE DADOS'!$A:$AM,33,0),""))</f>
        <v>2025</v>
      </c>
      <c r="AJ54" s="61" t="str">
        <f>IF(B54="","",IFERROR(VLOOKUP(B54,'ANÁLISE DE DADOS'!$A:$AM,34,0),""))</f>
        <v>Acompanhando</v>
      </c>
      <c r="AK54" s="63">
        <f ca="1">IF(B54="","",IFERROR(VLOOKUP(B54,'ANÁLISE DE DADOS'!$A:$AM,35,0),""))</f>
        <v>1800</v>
      </c>
      <c r="AL54" s="63" t="str">
        <f ca="1">IF(B54="","",IFERROR(VLOOKUP(B54,'ANÁLISE DE DADOS'!$A:$AM,36,0),""))</f>
        <v>0</v>
      </c>
    </row>
    <row r="55" spans="2:38" x14ac:dyDescent="0.3">
      <c r="B55" s="30">
        <v>51</v>
      </c>
      <c r="C55" s="61">
        <f>IF(B55="","",IFERROR(VLOOKUP(B55,'ANÁLISE DE DADOS'!$A:$AM,1,0),""))</f>
        <v>51</v>
      </c>
      <c r="D55" s="61" t="str">
        <f>IF(B55="","",IFERROR(VLOOKUP(B55,'ANÁLISE DE DADOS'!$A:$AM,2,0),""))</f>
        <v>Matriz</v>
      </c>
      <c r="E55" s="61">
        <f>IF(B55="","",IFERROR(VLOOKUP(B55,'ANÁLISE DE DADOS'!$A:$AM,3,0),""))</f>
        <v>0</v>
      </c>
      <c r="F55" s="61" t="str">
        <f>IF(B55="","",IFERROR(VLOOKUP(B55,'ANÁLISE DE DADOS'!$A:$AM,4,0),""))</f>
        <v>GlobalTech</v>
      </c>
      <c r="G55" s="62">
        <f>IF(B55="","",IFERROR(VLOOKUP(B55,'ANÁLISE DE DADOS'!$A:$AM,5,0),""))</f>
        <v>45709</v>
      </c>
      <c r="H55" s="62" t="str">
        <f>IF(B55="","",IFERROR(VLOOKUP(B55,'ANÁLISE DE DADOS'!$A:$AM,6,0),""))</f>
        <v>fev-25</v>
      </c>
      <c r="I55" s="62" t="str">
        <f>IF(B55="","",IFERROR(VLOOKUP(B55,'ANÁLISE DE DADOS'!$A:$AM,7,0),""))</f>
        <v>2025</v>
      </c>
      <c r="J55" s="62">
        <f>IF(B55="","",IFERROR(VLOOKUP(B55,'ANÁLISE DE DADOS'!$A:$AM,8,0),""))</f>
        <v>45737</v>
      </c>
      <c r="K55" s="61" t="str">
        <f>IF(B55="","",IFERROR(VLOOKUP(B55,'ANÁLISE DE DADOS'!$A:$AM,9,0),""))</f>
        <v>mar-25</v>
      </c>
      <c r="L55" s="61" t="str">
        <f>IF(B55="","",IFERROR(VLOOKUP(B55,'ANÁLISE DE DADOS'!$A:$AM,10,0),""))</f>
        <v>2025</v>
      </c>
      <c r="M55" s="62">
        <f>IF(B55="","",IFERROR(VLOOKUP(B55,'ANÁLISE DE DADOS'!$A:$AM,11,0),""))</f>
        <v>45737</v>
      </c>
      <c r="N55" s="61" t="str">
        <f>IF(B55="","",IFERROR(VLOOKUP(B55,'ANÁLISE DE DADOS'!$A:$AM,12,0),""))</f>
        <v>mar-25</v>
      </c>
      <c r="O55" s="61" t="str">
        <f>IF(B55="","",IFERROR(VLOOKUP(B55,'ANÁLISE DE DADOS'!$A:$AM,13,0),""))</f>
        <v>2025</v>
      </c>
      <c r="P55" s="63">
        <f>IF(B55="","",IFERROR(VLOOKUP(B55,'ANÁLISE DE DADOS'!$A:$AM,14,0),""))</f>
        <v>1500</v>
      </c>
      <c r="Q55" s="61" t="str">
        <f>IF(B55="","",IFERROR(VLOOKUP(B55,'ANÁLISE DE DADOS'!$A:$AM,15,0),""))</f>
        <v>Fernanda</v>
      </c>
      <c r="R55" s="61" t="str">
        <f>IF(B55="","",IFERROR(VLOOKUP(B55,'ANÁLISE DE DADOS'!$A:$AM,16,0),""))</f>
        <v>ANALISTA LUCAS</v>
      </c>
      <c r="S55" s="61" t="str">
        <f>IF(B55="","",IFERROR(VLOOKUP(B55,'ANÁLISE DE DADOS'!$A:$AM,17,0),""))</f>
        <v>NÃO</v>
      </c>
      <c r="T55" s="61" t="str">
        <f>IF(B55="","",IFERROR(VLOOKUP(B55,'ANÁLISE DE DADOS'!$A:$AM,18,0),""))</f>
        <v>Sem Retorno</v>
      </c>
      <c r="U55" s="61" t="str">
        <f ca="1">IF(B55="","",IFERROR(VLOOKUP(B55,'ANÁLISE DE DADOS'!$A:$AM,19,0),""))</f>
        <v>Vencido</v>
      </c>
      <c r="V55" s="61">
        <f ca="1">IF(B55="","",IFERROR(VLOOKUP(B55,'ANÁLISE DE DADOS'!$A:$AM,20,0),""))</f>
        <v>58</v>
      </c>
      <c r="W55" s="61" t="str">
        <f ca="1">IF(B55="","",IFERROR(VLOOKUP(B55,'ANÁLISE DE DADOS'!$A:$AM,21,0),""))</f>
        <v>31-60 dias</v>
      </c>
      <c r="X55" s="61" t="str">
        <f ca="1">IF(B55="","",IFERROR(VLOOKUP(B55,'ANÁLISE DE DADOS'!$A:$AM,22,0),""))</f>
        <v>Atraso Médio</v>
      </c>
      <c r="Y55" s="61" t="str">
        <f>IF(B55="","",IFERROR(VLOOKUP(B55,'ANÁLISE DE DADOS'!$A:$AM,23,0),""))</f>
        <v>-</v>
      </c>
      <c r="Z55" s="61" t="str">
        <f>IF(B55="","",IFERROR(VLOOKUP(B55,'ANÁLISE DE DADOS'!$A:$AM,24,0),""))</f>
        <v>Sim</v>
      </c>
      <c r="AA55" s="61">
        <f>IF(B55="","",IFERROR(VLOOKUP(B55,'ANÁLISE DE DADOS'!$A:$AM,25,0),""))</f>
        <v>0</v>
      </c>
      <c r="AB55" s="61">
        <f>IF(B55="","",IFERROR(VLOOKUP(B55,'ANÁLISE DE DADOS'!$A:$AM,26,0),""))</f>
        <v>1</v>
      </c>
      <c r="AC55" s="61" t="str">
        <f>IF(B55="","",IFERROR(VLOOKUP(B55,'ANÁLISE DE DADOS'!$A:$AM,27,0),""))</f>
        <v>Sim</v>
      </c>
      <c r="AD55" s="62">
        <f>IF(B55="","",IFERROR(VLOOKUP(B55,'ANÁLISE DE DADOS'!$A:$AM,28,0),""))</f>
        <v>45740</v>
      </c>
      <c r="AE55" s="61" t="str">
        <f>IF(B55="","",IFERROR(VLOOKUP(B55,'ANÁLISE DE DADOS'!$A:$AM,29,0),""))</f>
        <v>mar-25</v>
      </c>
      <c r="AF55" s="61" t="str">
        <f>IF(B55="","",IFERROR(VLOOKUP(B55,'ANÁLISE DE DADOS'!$A:$AM,30,0),""))</f>
        <v>2025</v>
      </c>
      <c r="AG55" s="62">
        <f>IF(B55="","",IFERROR(VLOOKUP(B55,'ANÁLISE DE DADOS'!$A:$AM,31,0),""))</f>
        <v>45772</v>
      </c>
      <c r="AH55" s="61" t="str">
        <f>IF(B55="","",IFERROR(VLOOKUP(B55,'ANÁLISE DE DADOS'!$A:$AM,32,0),""))</f>
        <v>abr-25</v>
      </c>
      <c r="AI55" s="61" t="str">
        <f>IF(B55="","",IFERROR(VLOOKUP(B55,'ANÁLISE DE DADOS'!$A:$AM,33,0),""))</f>
        <v>2025</v>
      </c>
      <c r="AJ55" s="61" t="str">
        <f>IF(B55="","",IFERROR(VLOOKUP(B55,'ANÁLISE DE DADOS'!$A:$AM,34,0),""))</f>
        <v>Acompanhando</v>
      </c>
      <c r="AK55" s="63">
        <f ca="1">IF(B55="","",IFERROR(VLOOKUP(B55,'ANÁLISE DE DADOS'!$A:$AM,35,0),""))</f>
        <v>1500</v>
      </c>
      <c r="AL55" s="63" t="str">
        <f ca="1">IF(B55="","",IFERROR(VLOOKUP(B55,'ANÁLISE DE DADOS'!$A:$AM,36,0),""))</f>
        <v>0</v>
      </c>
    </row>
    <row r="56" spans="2:38" x14ac:dyDescent="0.3">
      <c r="B56" s="30">
        <v>52</v>
      </c>
      <c r="C56" s="61">
        <f>IF(B56="","",IFERROR(VLOOKUP(B56,'ANÁLISE DE DADOS'!$A:$AM,1,0),""))</f>
        <v>52</v>
      </c>
      <c r="D56" s="61" t="str">
        <f>IF(B56="","",IFERROR(VLOOKUP(B56,'ANÁLISE DE DADOS'!$A:$AM,2,0),""))</f>
        <v>Filial</v>
      </c>
      <c r="E56" s="61">
        <f>IF(B56="","",IFERROR(VLOOKUP(B56,'ANÁLISE DE DADOS'!$A:$AM,3,0),""))</f>
        <v>0</v>
      </c>
      <c r="F56" s="61" t="str">
        <f>IF(B56="","",IFERROR(VLOOKUP(B56,'ANÁLISE DE DADOS'!$A:$AM,4,0),""))</f>
        <v>BemEstar</v>
      </c>
      <c r="G56" s="62">
        <f>IF(B56="","",IFERROR(VLOOKUP(B56,'ANÁLISE DE DADOS'!$A:$AM,5,0),""))</f>
        <v>45311</v>
      </c>
      <c r="H56" s="62" t="str">
        <f>IF(B56="","",IFERROR(VLOOKUP(B56,'ANÁLISE DE DADOS'!$A:$AM,6,0),""))</f>
        <v>jan-24</v>
      </c>
      <c r="I56" s="62" t="str">
        <f>IF(B56="","",IFERROR(VLOOKUP(B56,'ANÁLISE DE DADOS'!$A:$AM,7,0),""))</f>
        <v>2024</v>
      </c>
      <c r="J56" s="62">
        <f>IF(B56="","",IFERROR(VLOOKUP(B56,'ANÁLISE DE DADOS'!$A:$AM,8,0),""))</f>
        <v>45313</v>
      </c>
      <c r="K56" s="61" t="str">
        <f>IF(B56="","",IFERROR(VLOOKUP(B56,'ANÁLISE DE DADOS'!$A:$AM,9,0),""))</f>
        <v>jan-24</v>
      </c>
      <c r="L56" s="61" t="str">
        <f>IF(B56="","",IFERROR(VLOOKUP(B56,'ANÁLISE DE DADOS'!$A:$AM,10,0),""))</f>
        <v>2024</v>
      </c>
      <c r="M56" s="62">
        <f>IF(B56="","",IFERROR(VLOOKUP(B56,'ANÁLISE DE DADOS'!$A:$AM,11,0),""))</f>
        <v>45314</v>
      </c>
      <c r="N56" s="61" t="str">
        <f>IF(B56="","",IFERROR(VLOOKUP(B56,'ANÁLISE DE DADOS'!$A:$AM,12,0),""))</f>
        <v>jan-24</v>
      </c>
      <c r="O56" s="61" t="str">
        <f>IF(B56="","",IFERROR(VLOOKUP(B56,'ANÁLISE DE DADOS'!$A:$AM,13,0),""))</f>
        <v>2024</v>
      </c>
      <c r="P56" s="63">
        <f>IF(B56="","",IFERROR(VLOOKUP(B56,'ANÁLISE DE DADOS'!$A:$AM,14,0),""))</f>
        <v>1400</v>
      </c>
      <c r="Q56" s="61" t="str">
        <f>IF(B56="","",IFERROR(VLOOKUP(B56,'ANÁLISE DE DADOS'!$A:$AM,15,0),""))</f>
        <v>Felipe</v>
      </c>
      <c r="R56" s="61" t="str">
        <f>IF(B56="","",IFERROR(VLOOKUP(B56,'ANÁLISE DE DADOS'!$A:$AM,16,0),""))</f>
        <v>ANALISTA LUCAS</v>
      </c>
      <c r="S56" s="61" t="str">
        <f>IF(B56="","",IFERROR(VLOOKUP(B56,'ANÁLISE DE DADOS'!$A:$AM,17,0),""))</f>
        <v>NÃO</v>
      </c>
      <c r="T56" s="61" t="str">
        <f>IF(B56="","",IFERROR(VLOOKUP(B56,'ANÁLISE DE DADOS'!$A:$AM,18,0),""))</f>
        <v>Promessa de pagamento não cumprida</v>
      </c>
      <c r="U56" s="61" t="str">
        <f ca="1">IF(B56="","",IFERROR(VLOOKUP(B56,'ANÁLISE DE DADOS'!$A:$AM,19,0),""))</f>
        <v>Vencido</v>
      </c>
      <c r="V56" s="61">
        <f ca="1">IF(B56="","",IFERROR(VLOOKUP(B56,'ANÁLISE DE DADOS'!$A:$AM,20,0),""))</f>
        <v>482</v>
      </c>
      <c r="W56" s="61" t="str">
        <f ca="1">IF(B56="","",IFERROR(VLOOKUP(B56,'ANÁLISE DE DADOS'!$A:$AM,21,0),""))</f>
        <v>61+ dias</v>
      </c>
      <c r="X56" s="61" t="str">
        <f ca="1">IF(B56="","",IFERROR(VLOOKUP(B56,'ANÁLISE DE DADOS'!$A:$AM,22,0),""))</f>
        <v>Atraso Crítico</v>
      </c>
      <c r="Y56" s="61" t="str">
        <f>IF(B56="","",IFERROR(VLOOKUP(B56,'ANÁLISE DE DADOS'!$A:$AM,23,0),""))</f>
        <v>-</v>
      </c>
      <c r="Z56" s="61" t="str">
        <f>IF(B56="","",IFERROR(VLOOKUP(B56,'ANÁLISE DE DADOS'!$A:$AM,24,0),""))</f>
        <v>Sim</v>
      </c>
      <c r="AA56" s="61">
        <f>IF(B56="","",IFERROR(VLOOKUP(B56,'ANÁLISE DE DADOS'!$A:$AM,25,0),""))</f>
        <v>0</v>
      </c>
      <c r="AB56" s="61">
        <f>IF(B56="","",IFERROR(VLOOKUP(B56,'ANÁLISE DE DADOS'!$A:$AM,26,0),""))</f>
        <v>1</v>
      </c>
      <c r="AC56" s="61" t="str">
        <f>IF(B56="","",IFERROR(VLOOKUP(B56,'ANÁLISE DE DADOS'!$A:$AM,27,0),""))</f>
        <v>Sim</v>
      </c>
      <c r="AD56" s="62">
        <f>IF(B56="","",IFERROR(VLOOKUP(B56,'ANÁLISE DE DADOS'!$A:$AM,28,0),""))</f>
        <v>45740</v>
      </c>
      <c r="AE56" s="61" t="str">
        <f>IF(B56="","",IFERROR(VLOOKUP(B56,'ANÁLISE DE DADOS'!$A:$AM,29,0),""))</f>
        <v>mar-25</v>
      </c>
      <c r="AF56" s="61" t="str">
        <f>IF(B56="","",IFERROR(VLOOKUP(B56,'ANÁLISE DE DADOS'!$A:$AM,30,0),""))</f>
        <v>2025</v>
      </c>
      <c r="AG56" s="62">
        <f>IF(B56="","",IFERROR(VLOOKUP(B56,'ANÁLISE DE DADOS'!$A:$AM,31,0),""))</f>
        <v>45772</v>
      </c>
      <c r="AH56" s="61" t="str">
        <f>IF(B56="","",IFERROR(VLOOKUP(B56,'ANÁLISE DE DADOS'!$A:$AM,32,0),""))</f>
        <v>abr-25</v>
      </c>
      <c r="AI56" s="61" t="str">
        <f>IF(B56="","",IFERROR(VLOOKUP(B56,'ANÁLISE DE DADOS'!$A:$AM,33,0),""))</f>
        <v>2025</v>
      </c>
      <c r="AJ56" s="61" t="str">
        <f>IF(B56="","",IFERROR(VLOOKUP(B56,'ANÁLISE DE DADOS'!$A:$AM,34,0),""))</f>
        <v>Acompanhando</v>
      </c>
      <c r="AK56" s="63">
        <f ca="1">IF(B56="","",IFERROR(VLOOKUP(B56,'ANÁLISE DE DADOS'!$A:$AM,35,0),""))</f>
        <v>1400</v>
      </c>
      <c r="AL56" s="63" t="str">
        <f ca="1">IF(B56="","",IFERROR(VLOOKUP(B56,'ANÁLISE DE DADOS'!$A:$AM,36,0),""))</f>
        <v>0</v>
      </c>
    </row>
    <row r="57" spans="2:38" x14ac:dyDescent="0.3">
      <c r="B57" s="30">
        <v>53</v>
      </c>
      <c r="C57" s="61">
        <f>IF(B57="","",IFERROR(VLOOKUP(B57,'ANÁLISE DE DADOS'!$A:$AM,1,0),""))</f>
        <v>53</v>
      </c>
      <c r="D57" s="61" t="str">
        <f>IF(B57="","",IFERROR(VLOOKUP(B57,'ANÁLISE DE DADOS'!$A:$AM,2,0),""))</f>
        <v>Matriz</v>
      </c>
      <c r="E57" s="61">
        <f>IF(B57="","",IFERROR(VLOOKUP(B57,'ANÁLISE DE DADOS'!$A:$AM,3,0),""))</f>
        <v>0</v>
      </c>
      <c r="F57" s="61" t="str">
        <f>IF(B57="","",IFERROR(VLOOKUP(B57,'ANÁLISE DE DADOS'!$A:$AM,4,0),""))</f>
        <v>InvestPro</v>
      </c>
      <c r="G57" s="62">
        <f>IF(B57="","",IFERROR(VLOOKUP(B57,'ANÁLISE DE DADOS'!$A:$AM,5,0),""))</f>
        <v>45709</v>
      </c>
      <c r="H57" s="62" t="str">
        <f>IF(B57="","",IFERROR(VLOOKUP(B57,'ANÁLISE DE DADOS'!$A:$AM,6,0),""))</f>
        <v>fev-25</v>
      </c>
      <c r="I57" s="62" t="str">
        <f>IF(B57="","",IFERROR(VLOOKUP(B57,'ANÁLISE DE DADOS'!$A:$AM,7,0),""))</f>
        <v>2025</v>
      </c>
      <c r="J57" s="62">
        <f>IF(B57="","",IFERROR(VLOOKUP(B57,'ANÁLISE DE DADOS'!$A:$AM,8,0),""))</f>
        <v>45737</v>
      </c>
      <c r="K57" s="61" t="str">
        <f>IF(B57="","",IFERROR(VLOOKUP(B57,'ANÁLISE DE DADOS'!$A:$AM,9,0),""))</f>
        <v>mar-25</v>
      </c>
      <c r="L57" s="61" t="str">
        <f>IF(B57="","",IFERROR(VLOOKUP(B57,'ANÁLISE DE DADOS'!$A:$AM,10,0),""))</f>
        <v>2025</v>
      </c>
      <c r="M57" s="62">
        <f>IF(B57="","",IFERROR(VLOOKUP(B57,'ANÁLISE DE DADOS'!$A:$AM,11,0),""))</f>
        <v>45737</v>
      </c>
      <c r="N57" s="61" t="str">
        <f>IF(B57="","",IFERROR(VLOOKUP(B57,'ANÁLISE DE DADOS'!$A:$AM,12,0),""))</f>
        <v>mar-25</v>
      </c>
      <c r="O57" s="61" t="str">
        <f>IF(B57="","",IFERROR(VLOOKUP(B57,'ANÁLISE DE DADOS'!$A:$AM,13,0),""))</f>
        <v>2025</v>
      </c>
      <c r="P57" s="63">
        <f>IF(B57="","",IFERROR(VLOOKUP(B57,'ANÁLISE DE DADOS'!$A:$AM,14,0),""))</f>
        <v>2700</v>
      </c>
      <c r="Q57" s="61" t="str">
        <f>IF(B57="","",IFERROR(VLOOKUP(B57,'ANÁLISE DE DADOS'!$A:$AM,15,0),""))</f>
        <v>Camila</v>
      </c>
      <c r="R57" s="61" t="str">
        <f>IF(B57="","",IFERROR(VLOOKUP(B57,'ANÁLISE DE DADOS'!$A:$AM,16,0),""))</f>
        <v>ANALISTA LUCAS</v>
      </c>
      <c r="S57" s="61" t="str">
        <f>IF(B57="","",IFERROR(VLOOKUP(B57,'ANÁLISE DE DADOS'!$A:$AM,17,0),""))</f>
        <v>SIM</v>
      </c>
      <c r="T57" s="61" t="str">
        <f>IF(B57="","",IFERROR(VLOOKUP(B57,'ANÁLISE DE DADOS'!$A:$AM,18,0),""))</f>
        <v>Sem Retorno</v>
      </c>
      <c r="U57" s="61" t="str">
        <f>IF(B57="","",IFERROR(VLOOKUP(B57,'ANÁLISE DE DADOS'!$A:$AM,19,0),""))</f>
        <v>Quitado</v>
      </c>
      <c r="V57" s="61">
        <f>IF(B57="","",IFERROR(VLOOKUP(B57,'ANÁLISE DE DADOS'!$A:$AM,20,0),""))</f>
        <v>0</v>
      </c>
      <c r="W57" s="61" t="str">
        <f>IF(B57="","",IFERROR(VLOOKUP(B57,'ANÁLISE DE DADOS'!$A:$AM,21,0),""))</f>
        <v/>
      </c>
      <c r="X57" s="61" t="str">
        <f>IF(B57="","",IFERROR(VLOOKUP(B57,'ANÁLISE DE DADOS'!$A:$AM,22,0),""))</f>
        <v/>
      </c>
      <c r="Y57" s="61" t="str">
        <f>IF(B57="","",IFERROR(VLOOKUP(B57,'ANÁLISE DE DADOS'!$A:$AM,23,0),""))</f>
        <v>-</v>
      </c>
      <c r="Z57" s="61" t="str">
        <f>IF(B57="","",IFERROR(VLOOKUP(B57,'ANÁLISE DE DADOS'!$A:$AM,24,0),""))</f>
        <v>Sim</v>
      </c>
      <c r="AA57" s="61">
        <f>IF(B57="","",IFERROR(VLOOKUP(B57,'ANÁLISE DE DADOS'!$A:$AM,25,0),""))</f>
        <v>0</v>
      </c>
      <c r="AB57" s="61">
        <f>IF(B57="","",IFERROR(VLOOKUP(B57,'ANÁLISE DE DADOS'!$A:$AM,26,0),""))</f>
        <v>1</v>
      </c>
      <c r="AC57" s="61" t="str">
        <f>IF(B57="","",IFERROR(VLOOKUP(B57,'ANÁLISE DE DADOS'!$A:$AM,27,0),""))</f>
        <v>Sim</v>
      </c>
      <c r="AD57" s="62">
        <f>IF(B57="","",IFERROR(VLOOKUP(B57,'ANÁLISE DE DADOS'!$A:$AM,28,0),""))</f>
        <v>45740</v>
      </c>
      <c r="AE57" s="61" t="str">
        <f>IF(B57="","",IFERROR(VLOOKUP(B57,'ANÁLISE DE DADOS'!$A:$AM,29,0),""))</f>
        <v>mar-25</v>
      </c>
      <c r="AF57" s="61" t="str">
        <f>IF(B57="","",IFERROR(VLOOKUP(B57,'ANÁLISE DE DADOS'!$A:$AM,30,0),""))</f>
        <v>2025</v>
      </c>
      <c r="AG57" s="62">
        <f>IF(B57="","",IFERROR(VLOOKUP(B57,'ANÁLISE DE DADOS'!$A:$AM,31,0),""))</f>
        <v>45772</v>
      </c>
      <c r="AH57" s="61" t="str">
        <f>IF(B57="","",IFERROR(VLOOKUP(B57,'ANÁLISE DE DADOS'!$A:$AM,32,0),""))</f>
        <v>abr-25</v>
      </c>
      <c r="AI57" s="61" t="str">
        <f>IF(B57="","",IFERROR(VLOOKUP(B57,'ANÁLISE DE DADOS'!$A:$AM,33,0),""))</f>
        <v>2025</v>
      </c>
      <c r="AJ57" s="61" t="str">
        <f>IF(B57="","",IFERROR(VLOOKUP(B57,'ANÁLISE DE DADOS'!$A:$AM,34,0),""))</f>
        <v>Acompanhando</v>
      </c>
      <c r="AK57" s="63" t="str">
        <f>IF(B57="","",IFERROR(VLOOKUP(B57,'ANÁLISE DE DADOS'!$A:$AM,35,0),""))</f>
        <v>0</v>
      </c>
      <c r="AL57" s="63" t="str">
        <f>IF(B57="","",IFERROR(VLOOKUP(B57,'ANÁLISE DE DADOS'!$A:$AM,36,0),""))</f>
        <v>0</v>
      </c>
    </row>
    <row r="58" spans="2:38" x14ac:dyDescent="0.3">
      <c r="B58" s="30">
        <v>54</v>
      </c>
      <c r="C58" s="61">
        <f>IF(B58="","",IFERROR(VLOOKUP(B58,'ANÁLISE DE DADOS'!$A:$AM,1,0),""))</f>
        <v>54</v>
      </c>
      <c r="D58" s="61" t="str">
        <f>IF(B58="","",IFERROR(VLOOKUP(B58,'ANÁLISE DE DADOS'!$A:$AM,2,0),""))</f>
        <v>Filial</v>
      </c>
      <c r="E58" s="61">
        <f>IF(B58="","",IFERROR(VLOOKUP(B58,'ANÁLISE DE DADOS'!$A:$AM,3,0),""))</f>
        <v>0</v>
      </c>
      <c r="F58" s="61" t="str">
        <f>IF(B58="","",IFERROR(VLOOKUP(B58,'ANÁLISE DE DADOS'!$A:$AM,4,0),""))</f>
        <v>InvestPro</v>
      </c>
      <c r="G58" s="62">
        <f>IF(B58="","",IFERROR(VLOOKUP(B58,'ANÁLISE DE DADOS'!$A:$AM,5,0),""))</f>
        <v>45709</v>
      </c>
      <c r="H58" s="62" t="str">
        <f>IF(B58="","",IFERROR(VLOOKUP(B58,'ANÁLISE DE DADOS'!$A:$AM,6,0),""))</f>
        <v>fev-25</v>
      </c>
      <c r="I58" s="62" t="str">
        <f>IF(B58="","",IFERROR(VLOOKUP(B58,'ANÁLISE DE DADOS'!$A:$AM,7,0),""))</f>
        <v>2025</v>
      </c>
      <c r="J58" s="62">
        <f>IF(B58="","",IFERROR(VLOOKUP(B58,'ANÁLISE DE DADOS'!$A:$AM,8,0),""))</f>
        <v>45737</v>
      </c>
      <c r="K58" s="61" t="str">
        <f>IF(B58="","",IFERROR(VLOOKUP(B58,'ANÁLISE DE DADOS'!$A:$AM,9,0),""))</f>
        <v>mar-25</v>
      </c>
      <c r="L58" s="61" t="str">
        <f>IF(B58="","",IFERROR(VLOOKUP(B58,'ANÁLISE DE DADOS'!$A:$AM,10,0),""))</f>
        <v>2025</v>
      </c>
      <c r="M58" s="62">
        <f>IF(B58="","",IFERROR(VLOOKUP(B58,'ANÁLISE DE DADOS'!$A:$AM,11,0),""))</f>
        <v>45737</v>
      </c>
      <c r="N58" s="61" t="str">
        <f>IF(B58="","",IFERROR(VLOOKUP(B58,'ANÁLISE DE DADOS'!$A:$AM,12,0),""))</f>
        <v>mar-25</v>
      </c>
      <c r="O58" s="61" t="str">
        <f>IF(B58="","",IFERROR(VLOOKUP(B58,'ANÁLISE DE DADOS'!$A:$AM,13,0),""))</f>
        <v>2025</v>
      </c>
      <c r="P58" s="63">
        <f>IF(B58="","",IFERROR(VLOOKUP(B58,'ANÁLISE DE DADOS'!$A:$AM,14,0),""))</f>
        <v>1600</v>
      </c>
      <c r="Q58" s="61" t="str">
        <f>IF(B58="","",IFERROR(VLOOKUP(B58,'ANÁLISE DE DADOS'!$A:$AM,15,0),""))</f>
        <v>Patrícia</v>
      </c>
      <c r="R58" s="61" t="str">
        <f>IF(B58="","",IFERROR(VLOOKUP(B58,'ANÁLISE DE DADOS'!$A:$AM,16,0),""))</f>
        <v>ANALISTA LUCAS</v>
      </c>
      <c r="S58" s="61" t="str">
        <f>IF(B58="","",IFERROR(VLOOKUP(B58,'ANÁLISE DE DADOS'!$A:$AM,17,0),""))</f>
        <v>NÃO</v>
      </c>
      <c r="T58" s="61" t="str">
        <f>IF(B58="","",IFERROR(VLOOKUP(B58,'ANÁLISE DE DADOS'!$A:$AM,18,0),""))</f>
        <v>Sem Retorno</v>
      </c>
      <c r="U58" s="61" t="str">
        <f ca="1">IF(B58="","",IFERROR(VLOOKUP(B58,'ANÁLISE DE DADOS'!$A:$AM,19,0),""))</f>
        <v>Vencido</v>
      </c>
      <c r="V58" s="61">
        <f ca="1">IF(B58="","",IFERROR(VLOOKUP(B58,'ANÁLISE DE DADOS'!$A:$AM,20,0),""))</f>
        <v>58</v>
      </c>
      <c r="W58" s="61" t="str">
        <f ca="1">IF(B58="","",IFERROR(VLOOKUP(B58,'ANÁLISE DE DADOS'!$A:$AM,21,0),""))</f>
        <v>31-60 dias</v>
      </c>
      <c r="X58" s="61" t="str">
        <f ca="1">IF(B58="","",IFERROR(VLOOKUP(B58,'ANÁLISE DE DADOS'!$A:$AM,22,0),""))</f>
        <v>Atraso Médio</v>
      </c>
      <c r="Y58" s="61" t="str">
        <f>IF(B58="","",IFERROR(VLOOKUP(B58,'ANÁLISE DE DADOS'!$A:$AM,23,0),""))</f>
        <v>-</v>
      </c>
      <c r="Z58" s="61" t="str">
        <f>IF(B58="","",IFERROR(VLOOKUP(B58,'ANÁLISE DE DADOS'!$A:$AM,24,0),""))</f>
        <v>Sim</v>
      </c>
      <c r="AA58" s="61">
        <f>IF(B58="","",IFERROR(VLOOKUP(B58,'ANÁLISE DE DADOS'!$A:$AM,25,0),""))</f>
        <v>0</v>
      </c>
      <c r="AB58" s="61">
        <f>IF(B58="","",IFERROR(VLOOKUP(B58,'ANÁLISE DE DADOS'!$A:$AM,26,0),""))</f>
        <v>1</v>
      </c>
      <c r="AC58" s="61" t="str">
        <f>IF(B58="","",IFERROR(VLOOKUP(B58,'ANÁLISE DE DADOS'!$A:$AM,27,0),""))</f>
        <v>Sim</v>
      </c>
      <c r="AD58" s="62">
        <f>IF(B58="","",IFERROR(VLOOKUP(B58,'ANÁLISE DE DADOS'!$A:$AM,28,0),""))</f>
        <v>45740</v>
      </c>
      <c r="AE58" s="61" t="str">
        <f>IF(B58="","",IFERROR(VLOOKUP(B58,'ANÁLISE DE DADOS'!$A:$AM,29,0),""))</f>
        <v>mar-25</v>
      </c>
      <c r="AF58" s="61" t="str">
        <f>IF(B58="","",IFERROR(VLOOKUP(B58,'ANÁLISE DE DADOS'!$A:$AM,30,0),""))</f>
        <v>2025</v>
      </c>
      <c r="AG58" s="62">
        <f>IF(B58="","",IFERROR(VLOOKUP(B58,'ANÁLISE DE DADOS'!$A:$AM,31,0),""))</f>
        <v>45772</v>
      </c>
      <c r="AH58" s="61" t="str">
        <f>IF(B58="","",IFERROR(VLOOKUP(B58,'ANÁLISE DE DADOS'!$A:$AM,32,0),""))</f>
        <v>abr-25</v>
      </c>
      <c r="AI58" s="61" t="str">
        <f>IF(B58="","",IFERROR(VLOOKUP(B58,'ANÁLISE DE DADOS'!$A:$AM,33,0),""))</f>
        <v>2025</v>
      </c>
      <c r="AJ58" s="61" t="str">
        <f>IF(B58="","",IFERROR(VLOOKUP(B58,'ANÁLISE DE DADOS'!$A:$AM,34,0),""))</f>
        <v>Acompanhando</v>
      </c>
      <c r="AK58" s="63">
        <f ca="1">IF(B58="","",IFERROR(VLOOKUP(B58,'ANÁLISE DE DADOS'!$A:$AM,35,0),""))</f>
        <v>1600</v>
      </c>
      <c r="AL58" s="63" t="str">
        <f ca="1">IF(B58="","",IFERROR(VLOOKUP(B58,'ANÁLISE DE DADOS'!$A:$AM,36,0),""))</f>
        <v>0</v>
      </c>
    </row>
    <row r="59" spans="2:38" x14ac:dyDescent="0.3">
      <c r="B59" s="30">
        <v>55</v>
      </c>
      <c r="C59" s="61">
        <f>IF(B59="","",IFERROR(VLOOKUP(B59,'ANÁLISE DE DADOS'!$A:$AM,1,0),""))</f>
        <v>55</v>
      </c>
      <c r="D59" s="61" t="str">
        <f>IF(B59="","",IFERROR(VLOOKUP(B59,'ANÁLISE DE DADOS'!$A:$AM,2,0),""))</f>
        <v>Matriz</v>
      </c>
      <c r="E59" s="61">
        <f>IF(B59="","",IFERROR(VLOOKUP(B59,'ANÁLISE DE DADOS'!$A:$AM,3,0),""))</f>
        <v>0</v>
      </c>
      <c r="F59" s="61" t="str">
        <f>IF(B59="","",IFERROR(VLOOKUP(B59,'ANÁLISE DE DADOS'!$A:$AM,4,0),""))</f>
        <v>InvestPro</v>
      </c>
      <c r="G59" s="62">
        <f>IF(B59="","",IFERROR(VLOOKUP(B59,'ANÁLISE DE DADOS'!$A:$AM,5,0),""))</f>
        <v>45709</v>
      </c>
      <c r="H59" s="62" t="str">
        <f>IF(B59="","",IFERROR(VLOOKUP(B59,'ANÁLISE DE DADOS'!$A:$AM,6,0),""))</f>
        <v>fev-25</v>
      </c>
      <c r="I59" s="62" t="str">
        <f>IF(B59="","",IFERROR(VLOOKUP(B59,'ANÁLISE DE DADOS'!$A:$AM,7,0),""))</f>
        <v>2025</v>
      </c>
      <c r="J59" s="62">
        <f>IF(B59="","",IFERROR(VLOOKUP(B59,'ANÁLISE DE DADOS'!$A:$AM,8,0),""))</f>
        <v>45737</v>
      </c>
      <c r="K59" s="61" t="str">
        <f>IF(B59="","",IFERROR(VLOOKUP(B59,'ANÁLISE DE DADOS'!$A:$AM,9,0),""))</f>
        <v>mar-25</v>
      </c>
      <c r="L59" s="61" t="str">
        <f>IF(B59="","",IFERROR(VLOOKUP(B59,'ANÁLISE DE DADOS'!$A:$AM,10,0),""))</f>
        <v>2025</v>
      </c>
      <c r="M59" s="62">
        <f>IF(B59="","",IFERROR(VLOOKUP(B59,'ANÁLISE DE DADOS'!$A:$AM,11,0),""))</f>
        <v>45737</v>
      </c>
      <c r="N59" s="61" t="str">
        <f>IF(B59="","",IFERROR(VLOOKUP(B59,'ANÁLISE DE DADOS'!$A:$AM,12,0),""))</f>
        <v>mar-25</v>
      </c>
      <c r="O59" s="61" t="str">
        <f>IF(B59="","",IFERROR(VLOOKUP(B59,'ANÁLISE DE DADOS'!$A:$AM,13,0),""))</f>
        <v>2025</v>
      </c>
      <c r="P59" s="63">
        <f>IF(B59="","",IFERROR(VLOOKUP(B59,'ANÁLISE DE DADOS'!$A:$AM,14,0),""))</f>
        <v>3000</v>
      </c>
      <c r="Q59" s="61" t="str">
        <f>IF(B59="","",IFERROR(VLOOKUP(B59,'ANÁLISE DE DADOS'!$A:$AM,15,0),""))</f>
        <v>Tiago</v>
      </c>
      <c r="R59" s="61" t="str">
        <f>IF(B59="","",IFERROR(VLOOKUP(B59,'ANÁLISE DE DADOS'!$A:$AM,16,0),""))</f>
        <v>ANALISTA LUCAS</v>
      </c>
      <c r="S59" s="61" t="str">
        <f>IF(B59="","",IFERROR(VLOOKUP(B59,'ANÁLISE DE DADOS'!$A:$AM,17,0),""))</f>
        <v>NÃO</v>
      </c>
      <c r="T59" s="61" t="str">
        <f>IF(B59="","",IFERROR(VLOOKUP(B59,'ANÁLISE DE DADOS'!$A:$AM,18,0),""))</f>
        <v>Sem Retorno</v>
      </c>
      <c r="U59" s="61" t="str">
        <f ca="1">IF(B59="","",IFERROR(VLOOKUP(B59,'ANÁLISE DE DADOS'!$A:$AM,19,0),""))</f>
        <v>Vencido</v>
      </c>
      <c r="V59" s="61">
        <f ca="1">IF(B59="","",IFERROR(VLOOKUP(B59,'ANÁLISE DE DADOS'!$A:$AM,20,0),""))</f>
        <v>58</v>
      </c>
      <c r="W59" s="61" t="str">
        <f ca="1">IF(B59="","",IFERROR(VLOOKUP(B59,'ANÁLISE DE DADOS'!$A:$AM,21,0),""))</f>
        <v>31-60 dias</v>
      </c>
      <c r="X59" s="61" t="str">
        <f ca="1">IF(B59="","",IFERROR(VLOOKUP(B59,'ANÁLISE DE DADOS'!$A:$AM,22,0),""))</f>
        <v>Atraso Médio</v>
      </c>
      <c r="Y59" s="61" t="str">
        <f>IF(B59="","",IFERROR(VLOOKUP(B59,'ANÁLISE DE DADOS'!$A:$AM,23,0),""))</f>
        <v>-</v>
      </c>
      <c r="Z59" s="61" t="str">
        <f>IF(B59="","",IFERROR(VLOOKUP(B59,'ANÁLISE DE DADOS'!$A:$AM,24,0),""))</f>
        <v>Sim</v>
      </c>
      <c r="AA59" s="61">
        <f>IF(B59="","",IFERROR(VLOOKUP(B59,'ANÁLISE DE DADOS'!$A:$AM,25,0),""))</f>
        <v>0</v>
      </c>
      <c r="AB59" s="61">
        <f>IF(B59="","",IFERROR(VLOOKUP(B59,'ANÁLISE DE DADOS'!$A:$AM,26,0),""))</f>
        <v>1</v>
      </c>
      <c r="AC59" s="61" t="str">
        <f>IF(B59="","",IFERROR(VLOOKUP(B59,'ANÁLISE DE DADOS'!$A:$AM,27,0),""))</f>
        <v>Sim</v>
      </c>
      <c r="AD59" s="62">
        <f>IF(B59="","",IFERROR(VLOOKUP(B59,'ANÁLISE DE DADOS'!$A:$AM,28,0),""))</f>
        <v>45740</v>
      </c>
      <c r="AE59" s="61" t="str">
        <f>IF(B59="","",IFERROR(VLOOKUP(B59,'ANÁLISE DE DADOS'!$A:$AM,29,0),""))</f>
        <v>mar-25</v>
      </c>
      <c r="AF59" s="61" t="str">
        <f>IF(B59="","",IFERROR(VLOOKUP(B59,'ANÁLISE DE DADOS'!$A:$AM,30,0),""))</f>
        <v>2025</v>
      </c>
      <c r="AG59" s="62">
        <f>IF(B59="","",IFERROR(VLOOKUP(B59,'ANÁLISE DE DADOS'!$A:$AM,31,0),""))</f>
        <v>45772</v>
      </c>
      <c r="AH59" s="61" t="str">
        <f>IF(B59="","",IFERROR(VLOOKUP(B59,'ANÁLISE DE DADOS'!$A:$AM,32,0),""))</f>
        <v>abr-25</v>
      </c>
      <c r="AI59" s="61" t="str">
        <f>IF(B59="","",IFERROR(VLOOKUP(B59,'ANÁLISE DE DADOS'!$A:$AM,33,0),""))</f>
        <v>2025</v>
      </c>
      <c r="AJ59" s="61" t="str">
        <f>IF(B59="","",IFERROR(VLOOKUP(B59,'ANÁLISE DE DADOS'!$A:$AM,34,0),""))</f>
        <v>Acompanhando</v>
      </c>
      <c r="AK59" s="63">
        <f ca="1">IF(B59="","",IFERROR(VLOOKUP(B59,'ANÁLISE DE DADOS'!$A:$AM,35,0),""))</f>
        <v>3000</v>
      </c>
      <c r="AL59" s="63" t="str">
        <f ca="1">IF(B59="","",IFERROR(VLOOKUP(B59,'ANÁLISE DE DADOS'!$A:$AM,36,0),""))</f>
        <v>0</v>
      </c>
    </row>
    <row r="60" spans="2:38" x14ac:dyDescent="0.3">
      <c r="B60" s="30">
        <v>56</v>
      </c>
      <c r="C60" s="61">
        <f>IF(B60="","",IFERROR(VLOOKUP(B60,'ANÁLISE DE DADOS'!$A:$AM,1,0),""))</f>
        <v>56</v>
      </c>
      <c r="D60" s="61" t="str">
        <f>IF(B60="","",IFERROR(VLOOKUP(B60,'ANÁLISE DE DADOS'!$A:$AM,2,0),""))</f>
        <v>Filial</v>
      </c>
      <c r="E60" s="61">
        <f>IF(B60="","",IFERROR(VLOOKUP(B60,'ANÁLISE DE DADOS'!$A:$AM,3,0),""))</f>
        <v>0</v>
      </c>
      <c r="F60" s="61" t="str">
        <f>IF(B60="","",IFERROR(VLOOKUP(B60,'ANÁLISE DE DADOS'!$A:$AM,4,0),""))</f>
        <v>InvestPro</v>
      </c>
      <c r="G60" s="62">
        <f>IF(B60="","",IFERROR(VLOOKUP(B60,'ANÁLISE DE DADOS'!$A:$AM,5,0),""))</f>
        <v>45709</v>
      </c>
      <c r="H60" s="62" t="str">
        <f>IF(B60="","",IFERROR(VLOOKUP(B60,'ANÁLISE DE DADOS'!$A:$AM,6,0),""))</f>
        <v>fev-25</v>
      </c>
      <c r="I60" s="62" t="str">
        <f>IF(B60="","",IFERROR(VLOOKUP(B60,'ANÁLISE DE DADOS'!$A:$AM,7,0),""))</f>
        <v>2025</v>
      </c>
      <c r="J60" s="62">
        <f>IF(B60="","",IFERROR(VLOOKUP(B60,'ANÁLISE DE DADOS'!$A:$AM,8,0),""))</f>
        <v>45737</v>
      </c>
      <c r="K60" s="61" t="str">
        <f>IF(B60="","",IFERROR(VLOOKUP(B60,'ANÁLISE DE DADOS'!$A:$AM,9,0),""))</f>
        <v>mar-25</v>
      </c>
      <c r="L60" s="61" t="str">
        <f>IF(B60="","",IFERROR(VLOOKUP(B60,'ANÁLISE DE DADOS'!$A:$AM,10,0),""))</f>
        <v>2025</v>
      </c>
      <c r="M60" s="62">
        <f>IF(B60="","",IFERROR(VLOOKUP(B60,'ANÁLISE DE DADOS'!$A:$AM,11,0),""))</f>
        <v>45737</v>
      </c>
      <c r="N60" s="61" t="str">
        <f>IF(B60="","",IFERROR(VLOOKUP(B60,'ANÁLISE DE DADOS'!$A:$AM,12,0),""))</f>
        <v>mar-25</v>
      </c>
      <c r="O60" s="61" t="str">
        <f>IF(B60="","",IFERROR(VLOOKUP(B60,'ANÁLISE DE DADOS'!$A:$AM,13,0),""))</f>
        <v>2025</v>
      </c>
      <c r="P60" s="63">
        <f>IF(B60="","",IFERROR(VLOOKUP(B60,'ANÁLISE DE DADOS'!$A:$AM,14,0),""))</f>
        <v>1800</v>
      </c>
      <c r="Q60" s="61" t="str">
        <f>IF(B60="","",IFERROR(VLOOKUP(B60,'ANÁLISE DE DADOS'!$A:$AM,15,0),""))</f>
        <v>André</v>
      </c>
      <c r="R60" s="61" t="str">
        <f>IF(B60="","",IFERROR(VLOOKUP(B60,'ANÁLISE DE DADOS'!$A:$AM,16,0),""))</f>
        <v>ANALISTA LUCAS</v>
      </c>
      <c r="S60" s="61" t="str">
        <f>IF(B60="","",IFERROR(VLOOKUP(B60,'ANÁLISE DE DADOS'!$A:$AM,17,0),""))</f>
        <v>NÃO</v>
      </c>
      <c r="T60" s="61" t="str">
        <f>IF(B60="","",IFERROR(VLOOKUP(B60,'ANÁLISE DE DADOS'!$A:$AM,18,0),""))</f>
        <v>Sem Retorno</v>
      </c>
      <c r="U60" s="61" t="str">
        <f ca="1">IF(B60="","",IFERROR(VLOOKUP(B60,'ANÁLISE DE DADOS'!$A:$AM,19,0),""))</f>
        <v>Vencido</v>
      </c>
      <c r="V60" s="61">
        <f ca="1">IF(B60="","",IFERROR(VLOOKUP(B60,'ANÁLISE DE DADOS'!$A:$AM,20,0),""))</f>
        <v>58</v>
      </c>
      <c r="W60" s="61" t="str">
        <f ca="1">IF(B60="","",IFERROR(VLOOKUP(B60,'ANÁLISE DE DADOS'!$A:$AM,21,0),""))</f>
        <v>31-60 dias</v>
      </c>
      <c r="X60" s="61" t="str">
        <f ca="1">IF(B60="","",IFERROR(VLOOKUP(B60,'ANÁLISE DE DADOS'!$A:$AM,22,0),""))</f>
        <v>Atraso Médio</v>
      </c>
      <c r="Y60" s="61" t="str">
        <f>IF(B60="","",IFERROR(VLOOKUP(B60,'ANÁLISE DE DADOS'!$A:$AM,23,0),""))</f>
        <v>-</v>
      </c>
      <c r="Z60" s="61" t="str">
        <f>IF(B60="","",IFERROR(VLOOKUP(B60,'ANÁLISE DE DADOS'!$A:$AM,24,0),""))</f>
        <v>Sim</v>
      </c>
      <c r="AA60" s="61">
        <f>IF(B60="","",IFERROR(VLOOKUP(B60,'ANÁLISE DE DADOS'!$A:$AM,25,0),""))</f>
        <v>0</v>
      </c>
      <c r="AB60" s="61">
        <f>IF(B60="","",IFERROR(VLOOKUP(B60,'ANÁLISE DE DADOS'!$A:$AM,26,0),""))</f>
        <v>1</v>
      </c>
      <c r="AC60" s="61" t="str">
        <f>IF(B60="","",IFERROR(VLOOKUP(B60,'ANÁLISE DE DADOS'!$A:$AM,27,0),""))</f>
        <v>Sim</v>
      </c>
      <c r="AD60" s="62">
        <f>IF(B60="","",IFERROR(VLOOKUP(B60,'ANÁLISE DE DADOS'!$A:$AM,28,0),""))</f>
        <v>45740</v>
      </c>
      <c r="AE60" s="61" t="str">
        <f>IF(B60="","",IFERROR(VLOOKUP(B60,'ANÁLISE DE DADOS'!$A:$AM,29,0),""))</f>
        <v>mar-25</v>
      </c>
      <c r="AF60" s="61" t="str">
        <f>IF(B60="","",IFERROR(VLOOKUP(B60,'ANÁLISE DE DADOS'!$A:$AM,30,0),""))</f>
        <v>2025</v>
      </c>
      <c r="AG60" s="62">
        <f>IF(B60="","",IFERROR(VLOOKUP(B60,'ANÁLISE DE DADOS'!$A:$AM,31,0),""))</f>
        <v>45772</v>
      </c>
      <c r="AH60" s="61" t="str">
        <f>IF(B60="","",IFERROR(VLOOKUP(B60,'ANÁLISE DE DADOS'!$A:$AM,32,0),""))</f>
        <v>abr-25</v>
      </c>
      <c r="AI60" s="61" t="str">
        <f>IF(B60="","",IFERROR(VLOOKUP(B60,'ANÁLISE DE DADOS'!$A:$AM,33,0),""))</f>
        <v>2025</v>
      </c>
      <c r="AJ60" s="61" t="str">
        <f>IF(B60="","",IFERROR(VLOOKUP(B60,'ANÁLISE DE DADOS'!$A:$AM,34,0),""))</f>
        <v>Acompanhando</v>
      </c>
      <c r="AK60" s="63">
        <f ca="1">IF(B60="","",IFERROR(VLOOKUP(B60,'ANÁLISE DE DADOS'!$A:$AM,35,0),""))</f>
        <v>1800</v>
      </c>
      <c r="AL60" s="63" t="str">
        <f ca="1">IF(B60="","",IFERROR(VLOOKUP(B60,'ANÁLISE DE DADOS'!$A:$AM,36,0),""))</f>
        <v>0</v>
      </c>
    </row>
    <row r="61" spans="2:38" x14ac:dyDescent="0.3">
      <c r="B61" s="30">
        <v>57</v>
      </c>
      <c r="C61" s="61">
        <f>IF(B61="","",IFERROR(VLOOKUP(B61,'ANÁLISE DE DADOS'!$A:$AM,1,0),""))</f>
        <v>57</v>
      </c>
      <c r="D61" s="61" t="str">
        <f>IF(B61="","",IFERROR(VLOOKUP(B61,'ANÁLISE DE DADOS'!$A:$AM,2,0),""))</f>
        <v>Matriz</v>
      </c>
      <c r="E61" s="61">
        <f>IF(B61="","",IFERROR(VLOOKUP(B61,'ANÁLISE DE DADOS'!$A:$AM,3,0),""))</f>
        <v>0</v>
      </c>
      <c r="F61" s="61" t="str">
        <f>IF(B61="","",IFERROR(VLOOKUP(B61,'ANÁLISE DE DADOS'!$A:$AM,4,0),""))</f>
        <v>InvestPro</v>
      </c>
      <c r="G61" s="62">
        <f>IF(B61="","",IFERROR(VLOOKUP(B61,'ANÁLISE DE DADOS'!$A:$AM,5,0),""))</f>
        <v>45709</v>
      </c>
      <c r="H61" s="62" t="str">
        <f>IF(B61="","",IFERROR(VLOOKUP(B61,'ANÁLISE DE DADOS'!$A:$AM,6,0),""))</f>
        <v>fev-25</v>
      </c>
      <c r="I61" s="62" t="str">
        <f>IF(B61="","",IFERROR(VLOOKUP(B61,'ANÁLISE DE DADOS'!$A:$AM,7,0),""))</f>
        <v>2025</v>
      </c>
      <c r="J61" s="62">
        <f>IF(B61="","",IFERROR(VLOOKUP(B61,'ANÁLISE DE DADOS'!$A:$AM,8,0),""))</f>
        <v>45737</v>
      </c>
      <c r="K61" s="61" t="str">
        <f>IF(B61="","",IFERROR(VLOOKUP(B61,'ANÁLISE DE DADOS'!$A:$AM,9,0),""))</f>
        <v>mar-25</v>
      </c>
      <c r="L61" s="61" t="str">
        <f>IF(B61="","",IFERROR(VLOOKUP(B61,'ANÁLISE DE DADOS'!$A:$AM,10,0),""))</f>
        <v>2025</v>
      </c>
      <c r="M61" s="62">
        <f>IF(B61="","",IFERROR(VLOOKUP(B61,'ANÁLISE DE DADOS'!$A:$AM,11,0),""))</f>
        <v>45737</v>
      </c>
      <c r="N61" s="61" t="str">
        <f>IF(B61="","",IFERROR(VLOOKUP(B61,'ANÁLISE DE DADOS'!$A:$AM,12,0),""))</f>
        <v>mar-25</v>
      </c>
      <c r="O61" s="61" t="str">
        <f>IF(B61="","",IFERROR(VLOOKUP(B61,'ANÁLISE DE DADOS'!$A:$AM,13,0),""))</f>
        <v>2025</v>
      </c>
      <c r="P61" s="63">
        <f>IF(B61="","",IFERROR(VLOOKUP(B61,'ANÁLISE DE DADOS'!$A:$AM,14,0),""))</f>
        <v>2200</v>
      </c>
      <c r="Q61" s="61" t="str">
        <f>IF(B61="","",IFERROR(VLOOKUP(B61,'ANÁLISE DE DADOS'!$A:$AM,15,0),""))</f>
        <v>Luana</v>
      </c>
      <c r="R61" s="61" t="str">
        <f>IF(B61="","",IFERROR(VLOOKUP(B61,'ANÁLISE DE DADOS'!$A:$AM,16,0),""))</f>
        <v>ANALISTA LUCAS</v>
      </c>
      <c r="S61" s="61" t="str">
        <f>IF(B61="","",IFERROR(VLOOKUP(B61,'ANÁLISE DE DADOS'!$A:$AM,17,0),""))</f>
        <v>NÃO</v>
      </c>
      <c r="T61" s="61" t="str">
        <f>IF(B61="","",IFERROR(VLOOKUP(B61,'ANÁLISE DE DADOS'!$A:$AM,18,0),""))</f>
        <v>Sem Retorno</v>
      </c>
      <c r="U61" s="61" t="str">
        <f ca="1">IF(B61="","",IFERROR(VLOOKUP(B61,'ANÁLISE DE DADOS'!$A:$AM,19,0),""))</f>
        <v>Vencido</v>
      </c>
      <c r="V61" s="61">
        <f ca="1">IF(B61="","",IFERROR(VLOOKUP(B61,'ANÁLISE DE DADOS'!$A:$AM,20,0),""))</f>
        <v>58</v>
      </c>
      <c r="W61" s="61" t="str">
        <f ca="1">IF(B61="","",IFERROR(VLOOKUP(B61,'ANÁLISE DE DADOS'!$A:$AM,21,0),""))</f>
        <v>31-60 dias</v>
      </c>
      <c r="X61" s="61" t="str">
        <f ca="1">IF(B61="","",IFERROR(VLOOKUP(B61,'ANÁLISE DE DADOS'!$A:$AM,22,0),""))</f>
        <v>Atraso Médio</v>
      </c>
      <c r="Y61" s="61" t="str">
        <f>IF(B61="","",IFERROR(VLOOKUP(B61,'ANÁLISE DE DADOS'!$A:$AM,23,0),""))</f>
        <v>-</v>
      </c>
      <c r="Z61" s="61" t="str">
        <f>IF(B61="","",IFERROR(VLOOKUP(B61,'ANÁLISE DE DADOS'!$A:$AM,24,0),""))</f>
        <v>Sim</v>
      </c>
      <c r="AA61" s="61">
        <f>IF(B61="","",IFERROR(VLOOKUP(B61,'ANÁLISE DE DADOS'!$A:$AM,25,0),""))</f>
        <v>0</v>
      </c>
      <c r="AB61" s="61">
        <f>IF(B61="","",IFERROR(VLOOKUP(B61,'ANÁLISE DE DADOS'!$A:$AM,26,0),""))</f>
        <v>1</v>
      </c>
      <c r="AC61" s="61" t="str">
        <f>IF(B61="","",IFERROR(VLOOKUP(B61,'ANÁLISE DE DADOS'!$A:$AM,27,0),""))</f>
        <v>Sim</v>
      </c>
      <c r="AD61" s="62">
        <f>IF(B61="","",IFERROR(VLOOKUP(B61,'ANÁLISE DE DADOS'!$A:$AM,28,0),""))</f>
        <v>45740</v>
      </c>
      <c r="AE61" s="61" t="str">
        <f>IF(B61="","",IFERROR(VLOOKUP(B61,'ANÁLISE DE DADOS'!$A:$AM,29,0),""))</f>
        <v>mar-25</v>
      </c>
      <c r="AF61" s="61" t="str">
        <f>IF(B61="","",IFERROR(VLOOKUP(B61,'ANÁLISE DE DADOS'!$A:$AM,30,0),""))</f>
        <v>2025</v>
      </c>
      <c r="AG61" s="62">
        <f>IF(B61="","",IFERROR(VLOOKUP(B61,'ANÁLISE DE DADOS'!$A:$AM,31,0),""))</f>
        <v>45772</v>
      </c>
      <c r="AH61" s="61" t="str">
        <f>IF(B61="","",IFERROR(VLOOKUP(B61,'ANÁLISE DE DADOS'!$A:$AM,32,0),""))</f>
        <v>abr-25</v>
      </c>
      <c r="AI61" s="61" t="str">
        <f>IF(B61="","",IFERROR(VLOOKUP(B61,'ANÁLISE DE DADOS'!$A:$AM,33,0),""))</f>
        <v>2025</v>
      </c>
      <c r="AJ61" s="61" t="str">
        <f>IF(B61="","",IFERROR(VLOOKUP(B61,'ANÁLISE DE DADOS'!$A:$AM,34,0),""))</f>
        <v>Acompanhando</v>
      </c>
      <c r="AK61" s="63">
        <f ca="1">IF(B61="","",IFERROR(VLOOKUP(B61,'ANÁLISE DE DADOS'!$A:$AM,35,0),""))</f>
        <v>2200</v>
      </c>
      <c r="AL61" s="63" t="str">
        <f ca="1">IF(B61="","",IFERROR(VLOOKUP(B61,'ANÁLISE DE DADOS'!$A:$AM,36,0),""))</f>
        <v>0</v>
      </c>
    </row>
    <row r="62" spans="2:38" x14ac:dyDescent="0.3">
      <c r="B62" s="30">
        <v>58</v>
      </c>
      <c r="C62" s="61">
        <f>IF(B62="","",IFERROR(VLOOKUP(B62,'ANÁLISE DE DADOS'!$A:$AM,1,0),""))</f>
        <v>58</v>
      </c>
      <c r="D62" s="61" t="str">
        <f>IF(B62="","",IFERROR(VLOOKUP(B62,'ANÁLISE DE DADOS'!$A:$AM,2,0),""))</f>
        <v>Filial</v>
      </c>
      <c r="E62" s="61">
        <f>IF(B62="","",IFERROR(VLOOKUP(B62,'ANÁLISE DE DADOS'!$A:$AM,3,0),""))</f>
        <v>0</v>
      </c>
      <c r="F62" s="61" t="str">
        <f>IF(B62="","",IFERROR(VLOOKUP(B62,'ANÁLISE DE DADOS'!$A:$AM,4,0),""))</f>
        <v>InvestPro</v>
      </c>
      <c r="G62" s="62">
        <f>IF(B62="","",IFERROR(VLOOKUP(B62,'ANÁLISE DE DADOS'!$A:$AM,5,0),""))</f>
        <v>45709</v>
      </c>
      <c r="H62" s="62" t="str">
        <f>IF(B62="","",IFERROR(VLOOKUP(B62,'ANÁLISE DE DADOS'!$A:$AM,6,0),""))</f>
        <v>fev-25</v>
      </c>
      <c r="I62" s="62" t="str">
        <f>IF(B62="","",IFERROR(VLOOKUP(B62,'ANÁLISE DE DADOS'!$A:$AM,7,0),""))</f>
        <v>2025</v>
      </c>
      <c r="J62" s="62">
        <f>IF(B62="","",IFERROR(VLOOKUP(B62,'ANÁLISE DE DADOS'!$A:$AM,8,0),""))</f>
        <v>45737</v>
      </c>
      <c r="K62" s="61" t="str">
        <f>IF(B62="","",IFERROR(VLOOKUP(B62,'ANÁLISE DE DADOS'!$A:$AM,9,0),""))</f>
        <v>mar-25</v>
      </c>
      <c r="L62" s="61" t="str">
        <f>IF(B62="","",IFERROR(VLOOKUP(B62,'ANÁLISE DE DADOS'!$A:$AM,10,0),""))</f>
        <v>2025</v>
      </c>
      <c r="M62" s="62">
        <f>IF(B62="","",IFERROR(VLOOKUP(B62,'ANÁLISE DE DADOS'!$A:$AM,11,0),""))</f>
        <v>45737</v>
      </c>
      <c r="N62" s="61" t="str">
        <f>IF(B62="","",IFERROR(VLOOKUP(B62,'ANÁLISE DE DADOS'!$A:$AM,12,0),""))</f>
        <v>mar-25</v>
      </c>
      <c r="O62" s="61" t="str">
        <f>IF(B62="","",IFERROR(VLOOKUP(B62,'ANÁLISE DE DADOS'!$A:$AM,13,0),""))</f>
        <v>2025</v>
      </c>
      <c r="P62" s="63">
        <f>IF(B62="","",IFERROR(VLOOKUP(B62,'ANÁLISE DE DADOS'!$A:$AM,14,0),""))</f>
        <v>1500</v>
      </c>
      <c r="Q62" s="61" t="str">
        <f>IF(B62="","",IFERROR(VLOOKUP(B62,'ANÁLISE DE DADOS'!$A:$AM,15,0),""))</f>
        <v>Pedro</v>
      </c>
      <c r="R62" s="61" t="str">
        <f>IF(B62="","",IFERROR(VLOOKUP(B62,'ANÁLISE DE DADOS'!$A:$AM,16,0),""))</f>
        <v>ANALISTA LUCAS</v>
      </c>
      <c r="S62" s="61" t="str">
        <f>IF(B62="","",IFERROR(VLOOKUP(B62,'ANÁLISE DE DADOS'!$A:$AM,17,0),""))</f>
        <v>NÃO</v>
      </c>
      <c r="T62" s="61" t="str">
        <f>IF(B62="","",IFERROR(VLOOKUP(B62,'ANÁLISE DE DADOS'!$A:$AM,18,0),""))</f>
        <v>Sem Retorno</v>
      </c>
      <c r="U62" s="61" t="str">
        <f ca="1">IF(B62="","",IFERROR(VLOOKUP(B62,'ANÁLISE DE DADOS'!$A:$AM,19,0),""))</f>
        <v>Vencido</v>
      </c>
      <c r="V62" s="61">
        <f ca="1">IF(B62="","",IFERROR(VLOOKUP(B62,'ANÁLISE DE DADOS'!$A:$AM,20,0),""))</f>
        <v>58</v>
      </c>
      <c r="W62" s="61" t="str">
        <f ca="1">IF(B62="","",IFERROR(VLOOKUP(B62,'ANÁLISE DE DADOS'!$A:$AM,21,0),""))</f>
        <v>31-60 dias</v>
      </c>
      <c r="X62" s="61" t="str">
        <f ca="1">IF(B62="","",IFERROR(VLOOKUP(B62,'ANÁLISE DE DADOS'!$A:$AM,22,0),""))</f>
        <v>Atraso Médio</v>
      </c>
      <c r="Y62" s="61" t="str">
        <f>IF(B62="","",IFERROR(VLOOKUP(B62,'ANÁLISE DE DADOS'!$A:$AM,23,0),""))</f>
        <v>-</v>
      </c>
      <c r="Z62" s="61" t="str">
        <f>IF(B62="","",IFERROR(VLOOKUP(B62,'ANÁLISE DE DADOS'!$A:$AM,24,0),""))</f>
        <v>Sim</v>
      </c>
      <c r="AA62" s="61">
        <f>IF(B62="","",IFERROR(VLOOKUP(B62,'ANÁLISE DE DADOS'!$A:$AM,25,0),""))</f>
        <v>0</v>
      </c>
      <c r="AB62" s="61">
        <f>IF(B62="","",IFERROR(VLOOKUP(B62,'ANÁLISE DE DADOS'!$A:$AM,26,0),""))</f>
        <v>1</v>
      </c>
      <c r="AC62" s="61" t="str">
        <f>IF(B62="","",IFERROR(VLOOKUP(B62,'ANÁLISE DE DADOS'!$A:$AM,27,0),""))</f>
        <v>Sim</v>
      </c>
      <c r="AD62" s="62">
        <f>IF(B62="","",IFERROR(VLOOKUP(B62,'ANÁLISE DE DADOS'!$A:$AM,28,0),""))</f>
        <v>45740</v>
      </c>
      <c r="AE62" s="61" t="str">
        <f>IF(B62="","",IFERROR(VLOOKUP(B62,'ANÁLISE DE DADOS'!$A:$AM,29,0),""))</f>
        <v>mar-25</v>
      </c>
      <c r="AF62" s="61" t="str">
        <f>IF(B62="","",IFERROR(VLOOKUP(B62,'ANÁLISE DE DADOS'!$A:$AM,30,0),""))</f>
        <v>2025</v>
      </c>
      <c r="AG62" s="62">
        <f>IF(B62="","",IFERROR(VLOOKUP(B62,'ANÁLISE DE DADOS'!$A:$AM,31,0),""))</f>
        <v>45772</v>
      </c>
      <c r="AH62" s="61" t="str">
        <f>IF(B62="","",IFERROR(VLOOKUP(B62,'ANÁLISE DE DADOS'!$A:$AM,32,0),""))</f>
        <v>abr-25</v>
      </c>
      <c r="AI62" s="61" t="str">
        <f>IF(B62="","",IFERROR(VLOOKUP(B62,'ANÁLISE DE DADOS'!$A:$AM,33,0),""))</f>
        <v>2025</v>
      </c>
      <c r="AJ62" s="61" t="str">
        <f>IF(B62="","",IFERROR(VLOOKUP(B62,'ANÁLISE DE DADOS'!$A:$AM,34,0),""))</f>
        <v>Acompanhando</v>
      </c>
      <c r="AK62" s="63">
        <f ca="1">IF(B62="","",IFERROR(VLOOKUP(B62,'ANÁLISE DE DADOS'!$A:$AM,35,0),""))</f>
        <v>1500</v>
      </c>
      <c r="AL62" s="63" t="str">
        <f ca="1">IF(B62="","",IFERROR(VLOOKUP(B62,'ANÁLISE DE DADOS'!$A:$AM,36,0),""))</f>
        <v>0</v>
      </c>
    </row>
    <row r="63" spans="2:38" x14ac:dyDescent="0.3">
      <c r="B63" s="30">
        <v>59</v>
      </c>
      <c r="C63" s="61">
        <f>IF(B63="","",IFERROR(VLOOKUP(B63,'ANÁLISE DE DADOS'!$A:$AM,1,0),""))</f>
        <v>59</v>
      </c>
      <c r="D63" s="61" t="str">
        <f>IF(B63="","",IFERROR(VLOOKUP(B63,'ANÁLISE DE DADOS'!$A:$AM,2,0),""))</f>
        <v>Matriz</v>
      </c>
      <c r="E63" s="61" t="str">
        <f>IF(B63="","",IFERROR(VLOOKUP(B63,'ANÁLISE DE DADOS'!$A:$AM,3,0),""))</f>
        <v>Alpha &amp; CIA</v>
      </c>
      <c r="F63" s="61" t="str">
        <f>IF(B63="","",IFERROR(VLOOKUP(B63,'ANÁLISE DE DADOS'!$A:$AM,4,0),""))</f>
        <v>Alpha &amp; CIA</v>
      </c>
      <c r="G63" s="62">
        <f>IF(B63="","",IFERROR(VLOOKUP(B63,'ANÁLISE DE DADOS'!$A:$AM,5,0),""))</f>
        <v>45709</v>
      </c>
      <c r="H63" s="62" t="str">
        <f>IF(B63="","",IFERROR(VLOOKUP(B63,'ANÁLISE DE DADOS'!$A:$AM,6,0),""))</f>
        <v>fev-25</v>
      </c>
      <c r="I63" s="62" t="str">
        <f>IF(B63="","",IFERROR(VLOOKUP(B63,'ANÁLISE DE DADOS'!$A:$AM,7,0),""))</f>
        <v>2025</v>
      </c>
      <c r="J63" s="62">
        <f>IF(B63="","",IFERROR(VLOOKUP(B63,'ANÁLISE DE DADOS'!$A:$AM,8,0),""))</f>
        <v>45737</v>
      </c>
      <c r="K63" s="61" t="str">
        <f>IF(B63="","",IFERROR(VLOOKUP(B63,'ANÁLISE DE DADOS'!$A:$AM,9,0),""))</f>
        <v>mar-25</v>
      </c>
      <c r="L63" s="61" t="str">
        <f>IF(B63="","",IFERROR(VLOOKUP(B63,'ANÁLISE DE DADOS'!$A:$AM,10,0),""))</f>
        <v>2025</v>
      </c>
      <c r="M63" s="62">
        <f>IF(B63="","",IFERROR(VLOOKUP(B63,'ANÁLISE DE DADOS'!$A:$AM,11,0),""))</f>
        <v>45737</v>
      </c>
      <c r="N63" s="61" t="str">
        <f>IF(B63="","",IFERROR(VLOOKUP(B63,'ANÁLISE DE DADOS'!$A:$AM,12,0),""))</f>
        <v>mar-25</v>
      </c>
      <c r="O63" s="61" t="str">
        <f>IF(B63="","",IFERROR(VLOOKUP(B63,'ANÁLISE DE DADOS'!$A:$AM,13,0),""))</f>
        <v>2025</v>
      </c>
      <c r="P63" s="63">
        <f>IF(B63="","",IFERROR(VLOOKUP(B63,'ANÁLISE DE DADOS'!$A:$AM,14,0),""))</f>
        <v>2800</v>
      </c>
      <c r="Q63" s="61" t="str">
        <f>IF(B63="","",IFERROR(VLOOKUP(B63,'ANÁLISE DE DADOS'!$A:$AM,15,0),""))</f>
        <v>Sabrina</v>
      </c>
      <c r="R63" s="61" t="str">
        <f>IF(B63="","",IFERROR(VLOOKUP(B63,'ANÁLISE DE DADOS'!$A:$AM,16,0),""))</f>
        <v>ANALISTA LUCAS</v>
      </c>
      <c r="S63" s="61" t="str">
        <f>IF(B63="","",IFERROR(VLOOKUP(B63,'ANÁLISE DE DADOS'!$A:$AM,17,0),""))</f>
        <v>NÃO</v>
      </c>
      <c r="T63" s="61" t="str">
        <f>IF(B63="","",IFERROR(VLOOKUP(B63,'ANÁLISE DE DADOS'!$A:$AM,18,0),""))</f>
        <v>Sem Retorno</v>
      </c>
      <c r="U63" s="61" t="str">
        <f ca="1">IF(B63="","",IFERROR(VLOOKUP(B63,'ANÁLISE DE DADOS'!$A:$AM,19,0),""))</f>
        <v>Vencido</v>
      </c>
      <c r="V63" s="61">
        <f ca="1">IF(B63="","",IFERROR(VLOOKUP(B63,'ANÁLISE DE DADOS'!$A:$AM,20,0),""))</f>
        <v>58</v>
      </c>
      <c r="W63" s="61" t="str">
        <f ca="1">IF(B63="","",IFERROR(VLOOKUP(B63,'ANÁLISE DE DADOS'!$A:$AM,21,0),""))</f>
        <v>31-60 dias</v>
      </c>
      <c r="X63" s="61" t="str">
        <f ca="1">IF(B63="","",IFERROR(VLOOKUP(B63,'ANÁLISE DE DADOS'!$A:$AM,22,0),""))</f>
        <v>Atraso Médio</v>
      </c>
      <c r="Y63" s="61" t="str">
        <f>IF(B63="","",IFERROR(VLOOKUP(B63,'ANÁLISE DE DADOS'!$A:$AM,23,0),""))</f>
        <v>-</v>
      </c>
      <c r="Z63" s="61" t="str">
        <f>IF(B63="","",IFERROR(VLOOKUP(B63,'ANÁLISE DE DADOS'!$A:$AM,24,0),""))</f>
        <v>Sim</v>
      </c>
      <c r="AA63" s="61">
        <f>IF(B63="","",IFERROR(VLOOKUP(B63,'ANÁLISE DE DADOS'!$A:$AM,25,0),""))</f>
        <v>0</v>
      </c>
      <c r="AB63" s="61">
        <f>IF(B63="","",IFERROR(VLOOKUP(B63,'ANÁLISE DE DADOS'!$A:$AM,26,0),""))</f>
        <v>1</v>
      </c>
      <c r="AC63" s="61" t="str">
        <f>IF(B63="","",IFERROR(VLOOKUP(B63,'ANÁLISE DE DADOS'!$A:$AM,27,0),""))</f>
        <v>Sim</v>
      </c>
      <c r="AD63" s="62">
        <f>IF(B63="","",IFERROR(VLOOKUP(B63,'ANÁLISE DE DADOS'!$A:$AM,28,0),""))</f>
        <v>45740</v>
      </c>
      <c r="AE63" s="61" t="str">
        <f>IF(B63="","",IFERROR(VLOOKUP(B63,'ANÁLISE DE DADOS'!$A:$AM,29,0),""))</f>
        <v>mar-25</v>
      </c>
      <c r="AF63" s="61" t="str">
        <f>IF(B63="","",IFERROR(VLOOKUP(B63,'ANÁLISE DE DADOS'!$A:$AM,30,0),""))</f>
        <v>2025</v>
      </c>
      <c r="AG63" s="62">
        <f>IF(B63="","",IFERROR(VLOOKUP(B63,'ANÁLISE DE DADOS'!$A:$AM,31,0),""))</f>
        <v>45772</v>
      </c>
      <c r="AH63" s="61" t="str">
        <f>IF(B63="","",IFERROR(VLOOKUP(B63,'ANÁLISE DE DADOS'!$A:$AM,32,0),""))</f>
        <v>abr-25</v>
      </c>
      <c r="AI63" s="61" t="str">
        <f>IF(B63="","",IFERROR(VLOOKUP(B63,'ANÁLISE DE DADOS'!$A:$AM,33,0),""))</f>
        <v>2025</v>
      </c>
      <c r="AJ63" s="61" t="str">
        <f>IF(B63="","",IFERROR(VLOOKUP(B63,'ANÁLISE DE DADOS'!$A:$AM,34,0),""))</f>
        <v>Acompanhando</v>
      </c>
      <c r="AK63" s="63">
        <f ca="1">IF(B63="","",IFERROR(VLOOKUP(B63,'ANÁLISE DE DADOS'!$A:$AM,35,0),""))</f>
        <v>2800</v>
      </c>
      <c r="AL63" s="63" t="str">
        <f ca="1">IF(B63="","",IFERROR(VLOOKUP(B63,'ANÁLISE DE DADOS'!$A:$AM,36,0),""))</f>
        <v>0</v>
      </c>
    </row>
    <row r="64" spans="2:38" x14ac:dyDescent="0.3">
      <c r="B64" s="30">
        <v>60</v>
      </c>
      <c r="C64" s="61">
        <f>IF(B64="","",IFERROR(VLOOKUP(B64,'ANÁLISE DE DADOS'!$A:$AM,1,0),""))</f>
        <v>60</v>
      </c>
      <c r="D64" s="61" t="str">
        <f>IF(B64="","",IFERROR(VLOOKUP(B64,'ANÁLISE DE DADOS'!$A:$AM,2,0),""))</f>
        <v>Filial</v>
      </c>
      <c r="E64" s="61">
        <f>IF(B64="","",IFERROR(VLOOKUP(B64,'ANÁLISE DE DADOS'!$A:$AM,3,0),""))</f>
        <v>0</v>
      </c>
      <c r="F64" s="61" t="str">
        <f>IF(B64="","",IFERROR(VLOOKUP(B64,'ANÁLISE DE DADOS'!$A:$AM,4,0),""))</f>
        <v>InvestPro</v>
      </c>
      <c r="G64" s="62">
        <f>IF(B64="","",IFERROR(VLOOKUP(B64,'ANÁLISE DE DADOS'!$A:$AM,5,0),""))</f>
        <v>45709</v>
      </c>
      <c r="H64" s="62" t="str">
        <f>IF(B64="","",IFERROR(VLOOKUP(B64,'ANÁLISE DE DADOS'!$A:$AM,6,0),""))</f>
        <v>fev-25</v>
      </c>
      <c r="I64" s="62" t="str">
        <f>IF(B64="","",IFERROR(VLOOKUP(B64,'ANÁLISE DE DADOS'!$A:$AM,7,0),""))</f>
        <v>2025</v>
      </c>
      <c r="J64" s="62">
        <f>IF(B64="","",IFERROR(VLOOKUP(B64,'ANÁLISE DE DADOS'!$A:$AM,8,0),""))</f>
        <v>45737</v>
      </c>
      <c r="K64" s="61" t="str">
        <f>IF(B64="","",IFERROR(VLOOKUP(B64,'ANÁLISE DE DADOS'!$A:$AM,9,0),""))</f>
        <v>mar-25</v>
      </c>
      <c r="L64" s="61" t="str">
        <f>IF(B64="","",IFERROR(VLOOKUP(B64,'ANÁLISE DE DADOS'!$A:$AM,10,0),""))</f>
        <v>2025</v>
      </c>
      <c r="M64" s="62">
        <f>IF(B64="","",IFERROR(VLOOKUP(B64,'ANÁLISE DE DADOS'!$A:$AM,11,0),""))</f>
        <v>45737</v>
      </c>
      <c r="N64" s="61" t="str">
        <f>IF(B64="","",IFERROR(VLOOKUP(B64,'ANÁLISE DE DADOS'!$A:$AM,12,0),""))</f>
        <v>mar-25</v>
      </c>
      <c r="O64" s="61" t="str">
        <f>IF(B64="","",IFERROR(VLOOKUP(B64,'ANÁLISE DE DADOS'!$A:$AM,13,0),""))</f>
        <v>2025</v>
      </c>
      <c r="P64" s="63">
        <f>IF(B64="","",IFERROR(VLOOKUP(B64,'ANÁLISE DE DADOS'!$A:$AM,14,0),""))</f>
        <v>3100</v>
      </c>
      <c r="Q64" s="61" t="str">
        <f>IF(B64="","",IFERROR(VLOOKUP(B64,'ANÁLISE DE DADOS'!$A:$AM,15,0),""))</f>
        <v>Marcos</v>
      </c>
      <c r="R64" s="61" t="str">
        <f>IF(B64="","",IFERROR(VLOOKUP(B64,'ANÁLISE DE DADOS'!$A:$AM,16,0),""))</f>
        <v>ANALISTA LUCAS</v>
      </c>
      <c r="S64" s="61" t="str">
        <f>IF(B64="","",IFERROR(VLOOKUP(B64,'ANÁLISE DE DADOS'!$A:$AM,17,0),""))</f>
        <v>NÃO</v>
      </c>
      <c r="T64" s="61" t="str">
        <f>IF(B64="","",IFERROR(VLOOKUP(B64,'ANÁLISE DE DADOS'!$A:$AM,18,0),""))</f>
        <v>Sem Retorno</v>
      </c>
      <c r="U64" s="61" t="str">
        <f ca="1">IF(B64="","",IFERROR(VLOOKUP(B64,'ANÁLISE DE DADOS'!$A:$AM,19,0),""))</f>
        <v>Vencido</v>
      </c>
      <c r="V64" s="61">
        <f ca="1">IF(B64="","",IFERROR(VLOOKUP(B64,'ANÁLISE DE DADOS'!$A:$AM,20,0),""))</f>
        <v>58</v>
      </c>
      <c r="W64" s="61" t="str">
        <f ca="1">IF(B64="","",IFERROR(VLOOKUP(B64,'ANÁLISE DE DADOS'!$A:$AM,21,0),""))</f>
        <v>31-60 dias</v>
      </c>
      <c r="X64" s="61" t="str">
        <f ca="1">IF(B64="","",IFERROR(VLOOKUP(B64,'ANÁLISE DE DADOS'!$A:$AM,22,0),""))</f>
        <v>Atraso Médio</v>
      </c>
      <c r="Y64" s="61" t="str">
        <f>IF(B64="","",IFERROR(VLOOKUP(B64,'ANÁLISE DE DADOS'!$A:$AM,23,0),""))</f>
        <v>-</v>
      </c>
      <c r="Z64" s="61" t="str">
        <f>IF(B64="","",IFERROR(VLOOKUP(B64,'ANÁLISE DE DADOS'!$A:$AM,24,0),""))</f>
        <v>Sim</v>
      </c>
      <c r="AA64" s="61">
        <f>IF(B64="","",IFERROR(VLOOKUP(B64,'ANÁLISE DE DADOS'!$A:$AM,25,0),""))</f>
        <v>0</v>
      </c>
      <c r="AB64" s="61">
        <f>IF(B64="","",IFERROR(VLOOKUP(B64,'ANÁLISE DE DADOS'!$A:$AM,26,0),""))</f>
        <v>1</v>
      </c>
      <c r="AC64" s="61" t="str">
        <f>IF(B64="","",IFERROR(VLOOKUP(B64,'ANÁLISE DE DADOS'!$A:$AM,27,0),""))</f>
        <v>Sim</v>
      </c>
      <c r="AD64" s="62">
        <f>IF(B64="","",IFERROR(VLOOKUP(B64,'ANÁLISE DE DADOS'!$A:$AM,28,0),""))</f>
        <v>45740</v>
      </c>
      <c r="AE64" s="61" t="str">
        <f>IF(B64="","",IFERROR(VLOOKUP(B64,'ANÁLISE DE DADOS'!$A:$AM,29,0),""))</f>
        <v>mar-25</v>
      </c>
      <c r="AF64" s="61" t="str">
        <f>IF(B64="","",IFERROR(VLOOKUP(B64,'ANÁLISE DE DADOS'!$A:$AM,30,0),""))</f>
        <v>2025</v>
      </c>
      <c r="AG64" s="62">
        <f>IF(B64="","",IFERROR(VLOOKUP(B64,'ANÁLISE DE DADOS'!$A:$AM,31,0),""))</f>
        <v>45772</v>
      </c>
      <c r="AH64" s="61" t="str">
        <f>IF(B64="","",IFERROR(VLOOKUP(B64,'ANÁLISE DE DADOS'!$A:$AM,32,0),""))</f>
        <v>abr-25</v>
      </c>
      <c r="AI64" s="61" t="str">
        <f>IF(B64="","",IFERROR(VLOOKUP(B64,'ANÁLISE DE DADOS'!$A:$AM,33,0),""))</f>
        <v>2025</v>
      </c>
      <c r="AJ64" s="61" t="str">
        <f>IF(B64="","",IFERROR(VLOOKUP(B64,'ANÁLISE DE DADOS'!$A:$AM,34,0),""))</f>
        <v>Acompanhando</v>
      </c>
      <c r="AK64" s="63">
        <f ca="1">IF(B64="","",IFERROR(VLOOKUP(B64,'ANÁLISE DE DADOS'!$A:$AM,35,0),""))</f>
        <v>3100</v>
      </c>
      <c r="AL64" s="63" t="str">
        <f ca="1">IF(B64="","",IFERROR(VLOOKUP(B64,'ANÁLISE DE DADOS'!$A:$AM,36,0),""))</f>
        <v>0</v>
      </c>
    </row>
    <row r="65" spans="2:38" x14ac:dyDescent="0.3">
      <c r="B65" s="30">
        <v>61</v>
      </c>
      <c r="C65" s="61">
        <f>IF(B65="","",IFERROR(VLOOKUP(B65,'ANÁLISE DE DADOS'!$A:$AM,1,0),""))</f>
        <v>61</v>
      </c>
      <c r="D65" s="61" t="str">
        <f>IF(B65="","",IFERROR(VLOOKUP(B65,'ANÁLISE DE DADOS'!$A:$AM,2,0),""))</f>
        <v>Matriz</v>
      </c>
      <c r="E65" s="61">
        <f>IF(B65="","",IFERROR(VLOOKUP(B65,'ANÁLISE DE DADOS'!$A:$AM,3,0),""))</f>
        <v>0</v>
      </c>
      <c r="F65" s="61" t="str">
        <f>IF(B65="","",IFERROR(VLOOKUP(B65,'ANÁLISE DE DADOS'!$A:$AM,4,0),""))</f>
        <v>InvestPro</v>
      </c>
      <c r="G65" s="62">
        <f>IF(B65="","",IFERROR(VLOOKUP(B65,'ANÁLISE DE DADOS'!$A:$AM,5,0),""))</f>
        <v>45709</v>
      </c>
      <c r="H65" s="62" t="str">
        <f>IF(B65="","",IFERROR(VLOOKUP(B65,'ANÁLISE DE DADOS'!$A:$AM,6,0),""))</f>
        <v>fev-25</v>
      </c>
      <c r="I65" s="62" t="str">
        <f>IF(B65="","",IFERROR(VLOOKUP(B65,'ANÁLISE DE DADOS'!$A:$AM,7,0),""))</f>
        <v>2025</v>
      </c>
      <c r="J65" s="62">
        <f>IF(B65="","",IFERROR(VLOOKUP(B65,'ANÁLISE DE DADOS'!$A:$AM,8,0),""))</f>
        <v>45737</v>
      </c>
      <c r="K65" s="61" t="str">
        <f>IF(B65="","",IFERROR(VLOOKUP(B65,'ANÁLISE DE DADOS'!$A:$AM,9,0),""))</f>
        <v>mar-25</v>
      </c>
      <c r="L65" s="61" t="str">
        <f>IF(B65="","",IFERROR(VLOOKUP(B65,'ANÁLISE DE DADOS'!$A:$AM,10,0),""))</f>
        <v>2025</v>
      </c>
      <c r="M65" s="62">
        <f>IF(B65="","",IFERROR(VLOOKUP(B65,'ANÁLISE DE DADOS'!$A:$AM,11,0),""))</f>
        <v>45737</v>
      </c>
      <c r="N65" s="61" t="str">
        <f>IF(B65="","",IFERROR(VLOOKUP(B65,'ANÁLISE DE DADOS'!$A:$AM,12,0),""))</f>
        <v>mar-25</v>
      </c>
      <c r="O65" s="61" t="str">
        <f>IF(B65="","",IFERROR(VLOOKUP(B65,'ANÁLISE DE DADOS'!$A:$AM,13,0),""))</f>
        <v>2025</v>
      </c>
      <c r="P65" s="63">
        <f>IF(B65="","",IFERROR(VLOOKUP(B65,'ANÁLISE DE DADOS'!$A:$AM,14,0),""))</f>
        <v>1900</v>
      </c>
      <c r="Q65" s="61" t="str">
        <f>IF(B65="","",IFERROR(VLOOKUP(B65,'ANÁLISE DE DADOS'!$A:$AM,15,0),""))</f>
        <v>João</v>
      </c>
      <c r="R65" s="61" t="str">
        <f>IF(B65="","",IFERROR(VLOOKUP(B65,'ANÁLISE DE DADOS'!$A:$AM,16,0),""))</f>
        <v>ANALISTA LUCAS</v>
      </c>
      <c r="S65" s="61" t="str">
        <f>IF(B65="","",IFERROR(VLOOKUP(B65,'ANÁLISE DE DADOS'!$A:$AM,17,0),""))</f>
        <v>NÃO</v>
      </c>
      <c r="T65" s="61" t="str">
        <f>IF(B65="","",IFERROR(VLOOKUP(B65,'ANÁLISE DE DADOS'!$A:$AM,18,0),""))</f>
        <v>Sem Retorno</v>
      </c>
      <c r="U65" s="61" t="str">
        <f ca="1">IF(B65="","",IFERROR(VLOOKUP(B65,'ANÁLISE DE DADOS'!$A:$AM,19,0),""))</f>
        <v>Vencido</v>
      </c>
      <c r="V65" s="61">
        <f ca="1">IF(B65="","",IFERROR(VLOOKUP(B65,'ANÁLISE DE DADOS'!$A:$AM,20,0),""))</f>
        <v>58</v>
      </c>
      <c r="W65" s="61" t="str">
        <f ca="1">IF(B65="","",IFERROR(VLOOKUP(B65,'ANÁLISE DE DADOS'!$A:$AM,21,0),""))</f>
        <v>31-60 dias</v>
      </c>
      <c r="X65" s="61" t="str">
        <f ca="1">IF(B65="","",IFERROR(VLOOKUP(B65,'ANÁLISE DE DADOS'!$A:$AM,22,0),""))</f>
        <v>Atraso Médio</v>
      </c>
      <c r="Y65" s="61" t="str">
        <f>IF(B65="","",IFERROR(VLOOKUP(B65,'ANÁLISE DE DADOS'!$A:$AM,23,0),""))</f>
        <v>-</v>
      </c>
      <c r="Z65" s="61" t="str">
        <f>IF(B65="","",IFERROR(VLOOKUP(B65,'ANÁLISE DE DADOS'!$A:$AM,24,0),""))</f>
        <v>Sim</v>
      </c>
      <c r="AA65" s="61">
        <f>IF(B65="","",IFERROR(VLOOKUP(B65,'ANÁLISE DE DADOS'!$A:$AM,25,0),""))</f>
        <v>0</v>
      </c>
      <c r="AB65" s="61">
        <f>IF(B65="","",IFERROR(VLOOKUP(B65,'ANÁLISE DE DADOS'!$A:$AM,26,0),""))</f>
        <v>1</v>
      </c>
      <c r="AC65" s="61" t="str">
        <f>IF(B65="","",IFERROR(VLOOKUP(B65,'ANÁLISE DE DADOS'!$A:$AM,27,0),""))</f>
        <v>Sim</v>
      </c>
      <c r="AD65" s="62">
        <f>IF(B65="","",IFERROR(VLOOKUP(B65,'ANÁLISE DE DADOS'!$A:$AM,28,0),""))</f>
        <v>45740</v>
      </c>
      <c r="AE65" s="61" t="str">
        <f>IF(B65="","",IFERROR(VLOOKUP(B65,'ANÁLISE DE DADOS'!$A:$AM,29,0),""))</f>
        <v>mar-25</v>
      </c>
      <c r="AF65" s="61" t="str">
        <f>IF(B65="","",IFERROR(VLOOKUP(B65,'ANÁLISE DE DADOS'!$A:$AM,30,0),""))</f>
        <v>2025</v>
      </c>
      <c r="AG65" s="62">
        <f>IF(B65="","",IFERROR(VLOOKUP(B65,'ANÁLISE DE DADOS'!$A:$AM,31,0),""))</f>
        <v>45772</v>
      </c>
      <c r="AH65" s="61" t="str">
        <f>IF(B65="","",IFERROR(VLOOKUP(B65,'ANÁLISE DE DADOS'!$A:$AM,32,0),""))</f>
        <v>abr-25</v>
      </c>
      <c r="AI65" s="61" t="str">
        <f>IF(B65="","",IFERROR(VLOOKUP(B65,'ANÁLISE DE DADOS'!$A:$AM,33,0),""))</f>
        <v>2025</v>
      </c>
      <c r="AJ65" s="61" t="str">
        <f>IF(B65="","",IFERROR(VLOOKUP(B65,'ANÁLISE DE DADOS'!$A:$AM,34,0),""))</f>
        <v>Acompanhando</v>
      </c>
      <c r="AK65" s="63">
        <f ca="1">IF(B65="","",IFERROR(VLOOKUP(B65,'ANÁLISE DE DADOS'!$A:$AM,35,0),""))</f>
        <v>1900</v>
      </c>
      <c r="AL65" s="63" t="str">
        <f ca="1">IF(B65="","",IFERROR(VLOOKUP(B65,'ANÁLISE DE DADOS'!$A:$AM,36,0),""))</f>
        <v>0</v>
      </c>
    </row>
    <row r="66" spans="2:38" x14ac:dyDescent="0.3">
      <c r="B66" s="30">
        <v>62</v>
      </c>
      <c r="C66" s="61">
        <f>IF(B66="","",IFERROR(VLOOKUP(B66,'ANÁLISE DE DADOS'!$A:$AM,1,0),""))</f>
        <v>62</v>
      </c>
      <c r="D66" s="61" t="str">
        <f>IF(B66="","",IFERROR(VLOOKUP(B66,'ANÁLISE DE DADOS'!$A:$AM,2,0),""))</f>
        <v>Filial</v>
      </c>
      <c r="E66" s="61">
        <f>IF(B66="","",IFERROR(VLOOKUP(B66,'ANÁLISE DE DADOS'!$A:$AM,3,0),""))</f>
        <v>0</v>
      </c>
      <c r="F66" s="61" t="str">
        <f>IF(B66="","",IFERROR(VLOOKUP(B66,'ANÁLISE DE DADOS'!$A:$AM,4,0),""))</f>
        <v>NovaHorizonte</v>
      </c>
      <c r="G66" s="62">
        <f>IF(B66="","",IFERROR(VLOOKUP(B66,'ANÁLISE DE DADOS'!$A:$AM,5,0),""))</f>
        <v>45709</v>
      </c>
      <c r="H66" s="62" t="str">
        <f>IF(B66="","",IFERROR(VLOOKUP(B66,'ANÁLISE DE DADOS'!$A:$AM,6,0),""))</f>
        <v>fev-25</v>
      </c>
      <c r="I66" s="62" t="str">
        <f>IF(B66="","",IFERROR(VLOOKUP(B66,'ANÁLISE DE DADOS'!$A:$AM,7,0),""))</f>
        <v>2025</v>
      </c>
      <c r="J66" s="62">
        <f>IF(B66="","",IFERROR(VLOOKUP(B66,'ANÁLISE DE DADOS'!$A:$AM,8,0),""))</f>
        <v>45737</v>
      </c>
      <c r="K66" s="61" t="str">
        <f>IF(B66="","",IFERROR(VLOOKUP(B66,'ANÁLISE DE DADOS'!$A:$AM,9,0),""))</f>
        <v>mar-25</v>
      </c>
      <c r="L66" s="61" t="str">
        <f>IF(B66="","",IFERROR(VLOOKUP(B66,'ANÁLISE DE DADOS'!$A:$AM,10,0),""))</f>
        <v>2025</v>
      </c>
      <c r="M66" s="62">
        <f>IF(B66="","",IFERROR(VLOOKUP(B66,'ANÁLISE DE DADOS'!$A:$AM,11,0),""))</f>
        <v>45737</v>
      </c>
      <c r="N66" s="61" t="str">
        <f>IF(B66="","",IFERROR(VLOOKUP(B66,'ANÁLISE DE DADOS'!$A:$AM,12,0),""))</f>
        <v>mar-25</v>
      </c>
      <c r="O66" s="61" t="str">
        <f>IF(B66="","",IFERROR(VLOOKUP(B66,'ANÁLISE DE DADOS'!$A:$AM,13,0),""))</f>
        <v>2025</v>
      </c>
      <c r="P66" s="63">
        <f>IF(B66="","",IFERROR(VLOOKUP(B66,'ANÁLISE DE DADOS'!$A:$AM,14,0),""))</f>
        <v>2300</v>
      </c>
      <c r="Q66" s="61" t="str">
        <f>IF(B66="","",IFERROR(VLOOKUP(B66,'ANÁLISE DE DADOS'!$A:$AM,15,0),""))</f>
        <v>Maria</v>
      </c>
      <c r="R66" s="61" t="str">
        <f>IF(B66="","",IFERROR(VLOOKUP(B66,'ANÁLISE DE DADOS'!$A:$AM,16,0),""))</f>
        <v>ANALISTA LUCAS</v>
      </c>
      <c r="S66" s="61" t="str">
        <f>IF(B66="","",IFERROR(VLOOKUP(B66,'ANÁLISE DE DADOS'!$A:$AM,17,0),""))</f>
        <v>NÃO</v>
      </c>
      <c r="T66" s="61" t="str">
        <f>IF(B66="","",IFERROR(VLOOKUP(B66,'ANÁLISE DE DADOS'!$A:$AM,18,0),""))</f>
        <v>Sem Retorno</v>
      </c>
      <c r="U66" s="61" t="str">
        <f ca="1">IF(B66="","",IFERROR(VLOOKUP(B66,'ANÁLISE DE DADOS'!$A:$AM,19,0),""))</f>
        <v>Vencido</v>
      </c>
      <c r="V66" s="61">
        <f ca="1">IF(B66="","",IFERROR(VLOOKUP(B66,'ANÁLISE DE DADOS'!$A:$AM,20,0),""))</f>
        <v>58</v>
      </c>
      <c r="W66" s="61" t="str">
        <f ca="1">IF(B66="","",IFERROR(VLOOKUP(B66,'ANÁLISE DE DADOS'!$A:$AM,21,0),""))</f>
        <v>31-60 dias</v>
      </c>
      <c r="X66" s="61" t="str">
        <f ca="1">IF(B66="","",IFERROR(VLOOKUP(B66,'ANÁLISE DE DADOS'!$A:$AM,22,0),""))</f>
        <v>Atraso Médio</v>
      </c>
      <c r="Y66" s="61" t="str">
        <f>IF(B66="","",IFERROR(VLOOKUP(B66,'ANÁLISE DE DADOS'!$A:$AM,23,0),""))</f>
        <v>-</v>
      </c>
      <c r="Z66" s="61" t="str">
        <f>IF(B66="","",IFERROR(VLOOKUP(B66,'ANÁLISE DE DADOS'!$A:$AM,24,0),""))</f>
        <v>Sim</v>
      </c>
      <c r="AA66" s="61">
        <f>IF(B66="","",IFERROR(VLOOKUP(B66,'ANÁLISE DE DADOS'!$A:$AM,25,0),""))</f>
        <v>0</v>
      </c>
      <c r="AB66" s="61">
        <f>IF(B66="","",IFERROR(VLOOKUP(B66,'ANÁLISE DE DADOS'!$A:$AM,26,0),""))</f>
        <v>1</v>
      </c>
      <c r="AC66" s="61" t="str">
        <f>IF(B66="","",IFERROR(VLOOKUP(B66,'ANÁLISE DE DADOS'!$A:$AM,27,0),""))</f>
        <v>Sim</v>
      </c>
      <c r="AD66" s="62">
        <f>IF(B66="","",IFERROR(VLOOKUP(B66,'ANÁLISE DE DADOS'!$A:$AM,28,0),""))</f>
        <v>45740</v>
      </c>
      <c r="AE66" s="61" t="str">
        <f>IF(B66="","",IFERROR(VLOOKUP(B66,'ANÁLISE DE DADOS'!$A:$AM,29,0),""))</f>
        <v>mar-25</v>
      </c>
      <c r="AF66" s="61" t="str">
        <f>IF(B66="","",IFERROR(VLOOKUP(B66,'ANÁLISE DE DADOS'!$A:$AM,30,0),""))</f>
        <v>2025</v>
      </c>
      <c r="AG66" s="62">
        <f>IF(B66="","",IFERROR(VLOOKUP(B66,'ANÁLISE DE DADOS'!$A:$AM,31,0),""))</f>
        <v>45772</v>
      </c>
      <c r="AH66" s="61" t="str">
        <f>IF(B66="","",IFERROR(VLOOKUP(B66,'ANÁLISE DE DADOS'!$A:$AM,32,0),""))</f>
        <v>abr-25</v>
      </c>
      <c r="AI66" s="61" t="str">
        <f>IF(B66="","",IFERROR(VLOOKUP(B66,'ANÁLISE DE DADOS'!$A:$AM,33,0),""))</f>
        <v>2025</v>
      </c>
      <c r="AJ66" s="61" t="str">
        <f>IF(B66="","",IFERROR(VLOOKUP(B66,'ANÁLISE DE DADOS'!$A:$AM,34,0),""))</f>
        <v>Acompanhando</v>
      </c>
      <c r="AK66" s="63">
        <f ca="1">IF(B66="","",IFERROR(VLOOKUP(B66,'ANÁLISE DE DADOS'!$A:$AM,35,0),""))</f>
        <v>2300</v>
      </c>
      <c r="AL66" s="63" t="str">
        <f ca="1">IF(B66="","",IFERROR(VLOOKUP(B66,'ANÁLISE DE DADOS'!$A:$AM,36,0),""))</f>
        <v>0</v>
      </c>
    </row>
    <row r="67" spans="2:38" x14ac:dyDescent="0.3">
      <c r="B67" s="30">
        <v>63</v>
      </c>
      <c r="C67" s="61">
        <f>IF(B67="","",IFERROR(VLOOKUP(B67,'ANÁLISE DE DADOS'!$A:$AM,1,0),""))</f>
        <v>63</v>
      </c>
      <c r="D67" s="61" t="str">
        <f>IF(B67="","",IFERROR(VLOOKUP(B67,'ANÁLISE DE DADOS'!$A:$AM,2,0),""))</f>
        <v>Matriz</v>
      </c>
      <c r="E67" s="61">
        <f>IF(B67="","",IFERROR(VLOOKUP(B67,'ANÁLISE DE DADOS'!$A:$AM,3,0),""))</f>
        <v>0</v>
      </c>
      <c r="F67" s="61" t="str">
        <f>IF(B67="","",IFERROR(VLOOKUP(B67,'ANÁLISE DE DADOS'!$A:$AM,4,0),""))</f>
        <v>NovaHorizonte</v>
      </c>
      <c r="G67" s="62">
        <f>IF(B67="","",IFERROR(VLOOKUP(B67,'ANÁLISE DE DADOS'!$A:$AM,5,0),""))</f>
        <v>45709</v>
      </c>
      <c r="H67" s="62" t="str">
        <f>IF(B67="","",IFERROR(VLOOKUP(B67,'ANÁLISE DE DADOS'!$A:$AM,6,0),""))</f>
        <v>fev-25</v>
      </c>
      <c r="I67" s="62" t="str">
        <f>IF(B67="","",IFERROR(VLOOKUP(B67,'ANÁLISE DE DADOS'!$A:$AM,7,0),""))</f>
        <v>2025</v>
      </c>
      <c r="J67" s="62">
        <f>IF(B67="","",IFERROR(VLOOKUP(B67,'ANÁLISE DE DADOS'!$A:$AM,8,0),""))</f>
        <v>45737</v>
      </c>
      <c r="K67" s="61" t="str">
        <f>IF(B67="","",IFERROR(VLOOKUP(B67,'ANÁLISE DE DADOS'!$A:$AM,9,0),""))</f>
        <v>mar-25</v>
      </c>
      <c r="L67" s="61" t="str">
        <f>IF(B67="","",IFERROR(VLOOKUP(B67,'ANÁLISE DE DADOS'!$A:$AM,10,0),""))</f>
        <v>2025</v>
      </c>
      <c r="M67" s="62">
        <f>IF(B67="","",IFERROR(VLOOKUP(B67,'ANÁLISE DE DADOS'!$A:$AM,11,0),""))</f>
        <v>45737</v>
      </c>
      <c r="N67" s="61" t="str">
        <f>IF(B67="","",IFERROR(VLOOKUP(B67,'ANÁLISE DE DADOS'!$A:$AM,12,0),""))</f>
        <v>mar-25</v>
      </c>
      <c r="O67" s="61" t="str">
        <f>IF(B67="","",IFERROR(VLOOKUP(B67,'ANÁLISE DE DADOS'!$A:$AM,13,0),""))</f>
        <v>2025</v>
      </c>
      <c r="P67" s="63">
        <f>IF(B67="","",IFERROR(VLOOKUP(B67,'ANÁLISE DE DADOS'!$A:$AM,14,0),""))</f>
        <v>1700</v>
      </c>
      <c r="Q67" s="61" t="str">
        <f>IF(B67="","",IFERROR(VLOOKUP(B67,'ANÁLISE DE DADOS'!$A:$AM,15,0),""))</f>
        <v>Carlos</v>
      </c>
      <c r="R67" s="61" t="str">
        <f>IF(B67="","",IFERROR(VLOOKUP(B67,'ANÁLISE DE DADOS'!$A:$AM,16,0),""))</f>
        <v>ANALISTA LUCAS</v>
      </c>
      <c r="S67" s="61" t="str">
        <f>IF(B67="","",IFERROR(VLOOKUP(B67,'ANÁLISE DE DADOS'!$A:$AM,17,0),""))</f>
        <v>NÃO</v>
      </c>
      <c r="T67" s="61" t="str">
        <f>IF(B67="","",IFERROR(VLOOKUP(B67,'ANÁLISE DE DADOS'!$A:$AM,18,0),""))</f>
        <v>Sem Retorno</v>
      </c>
      <c r="U67" s="61" t="str">
        <f ca="1">IF(B67="","",IFERROR(VLOOKUP(B67,'ANÁLISE DE DADOS'!$A:$AM,19,0),""))</f>
        <v>Vencido</v>
      </c>
      <c r="V67" s="61">
        <f ca="1">IF(B67="","",IFERROR(VLOOKUP(B67,'ANÁLISE DE DADOS'!$A:$AM,20,0),""))</f>
        <v>58</v>
      </c>
      <c r="W67" s="61" t="str">
        <f ca="1">IF(B67="","",IFERROR(VLOOKUP(B67,'ANÁLISE DE DADOS'!$A:$AM,21,0),""))</f>
        <v>31-60 dias</v>
      </c>
      <c r="X67" s="61" t="str">
        <f ca="1">IF(B67="","",IFERROR(VLOOKUP(B67,'ANÁLISE DE DADOS'!$A:$AM,22,0),""))</f>
        <v>Atraso Médio</v>
      </c>
      <c r="Y67" s="61" t="str">
        <f>IF(B67="","",IFERROR(VLOOKUP(B67,'ANÁLISE DE DADOS'!$A:$AM,23,0),""))</f>
        <v>-</v>
      </c>
      <c r="Z67" s="61" t="str">
        <f>IF(B67="","",IFERROR(VLOOKUP(B67,'ANÁLISE DE DADOS'!$A:$AM,24,0),""))</f>
        <v>Sim</v>
      </c>
      <c r="AA67" s="61">
        <f>IF(B67="","",IFERROR(VLOOKUP(B67,'ANÁLISE DE DADOS'!$A:$AM,25,0),""))</f>
        <v>0</v>
      </c>
      <c r="AB67" s="61">
        <f>IF(B67="","",IFERROR(VLOOKUP(B67,'ANÁLISE DE DADOS'!$A:$AM,26,0),""))</f>
        <v>1</v>
      </c>
      <c r="AC67" s="61" t="str">
        <f>IF(B67="","",IFERROR(VLOOKUP(B67,'ANÁLISE DE DADOS'!$A:$AM,27,0),""))</f>
        <v>Sim</v>
      </c>
      <c r="AD67" s="62">
        <f>IF(B67="","",IFERROR(VLOOKUP(B67,'ANÁLISE DE DADOS'!$A:$AM,28,0),""))</f>
        <v>45740</v>
      </c>
      <c r="AE67" s="61" t="str">
        <f>IF(B67="","",IFERROR(VLOOKUP(B67,'ANÁLISE DE DADOS'!$A:$AM,29,0),""))</f>
        <v>mar-25</v>
      </c>
      <c r="AF67" s="61" t="str">
        <f>IF(B67="","",IFERROR(VLOOKUP(B67,'ANÁLISE DE DADOS'!$A:$AM,30,0),""))</f>
        <v>2025</v>
      </c>
      <c r="AG67" s="62">
        <f>IF(B67="","",IFERROR(VLOOKUP(B67,'ANÁLISE DE DADOS'!$A:$AM,31,0),""))</f>
        <v>45772</v>
      </c>
      <c r="AH67" s="61" t="str">
        <f>IF(B67="","",IFERROR(VLOOKUP(B67,'ANÁLISE DE DADOS'!$A:$AM,32,0),""))</f>
        <v>abr-25</v>
      </c>
      <c r="AI67" s="61" t="str">
        <f>IF(B67="","",IFERROR(VLOOKUP(B67,'ANÁLISE DE DADOS'!$A:$AM,33,0),""))</f>
        <v>2025</v>
      </c>
      <c r="AJ67" s="61" t="str">
        <f>IF(B67="","",IFERROR(VLOOKUP(B67,'ANÁLISE DE DADOS'!$A:$AM,34,0),""))</f>
        <v>Acompanhando</v>
      </c>
      <c r="AK67" s="63">
        <f ca="1">IF(B67="","",IFERROR(VLOOKUP(B67,'ANÁLISE DE DADOS'!$A:$AM,35,0),""))</f>
        <v>1700</v>
      </c>
      <c r="AL67" s="63" t="str">
        <f ca="1">IF(B67="","",IFERROR(VLOOKUP(B67,'ANÁLISE DE DADOS'!$A:$AM,36,0),""))</f>
        <v>0</v>
      </c>
    </row>
    <row r="68" spans="2:38" x14ac:dyDescent="0.3">
      <c r="B68" s="30">
        <v>64</v>
      </c>
      <c r="C68" s="61">
        <f>IF(B68="","",IFERROR(VLOOKUP(B68,'ANÁLISE DE DADOS'!$A:$AM,1,0),""))</f>
        <v>64</v>
      </c>
      <c r="D68" s="61" t="str">
        <f>IF(B68="","",IFERROR(VLOOKUP(B68,'ANÁLISE DE DADOS'!$A:$AM,2,0),""))</f>
        <v>Filial</v>
      </c>
      <c r="E68" s="61">
        <f>IF(B68="","",IFERROR(VLOOKUP(B68,'ANÁLISE DE DADOS'!$A:$AM,3,0),""))</f>
        <v>0</v>
      </c>
      <c r="F68" s="61" t="str">
        <f>IF(B68="","",IFERROR(VLOOKUP(B68,'ANÁLISE DE DADOS'!$A:$AM,4,0),""))</f>
        <v>NovaHorizonte</v>
      </c>
      <c r="G68" s="62">
        <f>IF(B68="","",IFERROR(VLOOKUP(B68,'ANÁLISE DE DADOS'!$A:$AM,5,0),""))</f>
        <v>45709</v>
      </c>
      <c r="H68" s="62" t="str">
        <f>IF(B68="","",IFERROR(VLOOKUP(B68,'ANÁLISE DE DADOS'!$A:$AM,6,0),""))</f>
        <v>fev-25</v>
      </c>
      <c r="I68" s="62" t="str">
        <f>IF(B68="","",IFERROR(VLOOKUP(B68,'ANÁLISE DE DADOS'!$A:$AM,7,0),""))</f>
        <v>2025</v>
      </c>
      <c r="J68" s="62">
        <f>IF(B68="","",IFERROR(VLOOKUP(B68,'ANÁLISE DE DADOS'!$A:$AM,8,0),""))</f>
        <v>45737</v>
      </c>
      <c r="K68" s="61" t="str">
        <f>IF(B68="","",IFERROR(VLOOKUP(B68,'ANÁLISE DE DADOS'!$A:$AM,9,0),""))</f>
        <v>mar-25</v>
      </c>
      <c r="L68" s="61" t="str">
        <f>IF(B68="","",IFERROR(VLOOKUP(B68,'ANÁLISE DE DADOS'!$A:$AM,10,0),""))</f>
        <v>2025</v>
      </c>
      <c r="M68" s="62">
        <f>IF(B68="","",IFERROR(VLOOKUP(B68,'ANÁLISE DE DADOS'!$A:$AM,11,0),""))</f>
        <v>45737</v>
      </c>
      <c r="N68" s="61" t="str">
        <f>IF(B68="","",IFERROR(VLOOKUP(B68,'ANÁLISE DE DADOS'!$A:$AM,12,0),""))</f>
        <v>mar-25</v>
      </c>
      <c r="O68" s="61" t="str">
        <f>IF(B68="","",IFERROR(VLOOKUP(B68,'ANÁLISE DE DADOS'!$A:$AM,13,0),""))</f>
        <v>2025</v>
      </c>
      <c r="P68" s="63">
        <f>IF(B68="","",IFERROR(VLOOKUP(B68,'ANÁLISE DE DADOS'!$A:$AM,14,0),""))</f>
        <v>2200</v>
      </c>
      <c r="Q68" s="61" t="str">
        <f>IF(B68="","",IFERROR(VLOOKUP(B68,'ANÁLISE DE DADOS'!$A:$AM,15,0),""))</f>
        <v>Ana</v>
      </c>
      <c r="R68" s="61" t="str">
        <f>IF(B68="","",IFERROR(VLOOKUP(B68,'ANÁLISE DE DADOS'!$A:$AM,16,0),""))</f>
        <v>ANALISTA LUCAS</v>
      </c>
      <c r="S68" s="61" t="str">
        <f>IF(B68="","",IFERROR(VLOOKUP(B68,'ANÁLISE DE DADOS'!$A:$AM,17,0),""))</f>
        <v>NÃO</v>
      </c>
      <c r="T68" s="61" t="str">
        <f>IF(B68="","",IFERROR(VLOOKUP(B68,'ANÁLISE DE DADOS'!$A:$AM,18,0),""))</f>
        <v>Sem Retorno</v>
      </c>
      <c r="U68" s="61" t="str">
        <f ca="1">IF(B68="","",IFERROR(VLOOKUP(B68,'ANÁLISE DE DADOS'!$A:$AM,19,0),""))</f>
        <v>Vencido</v>
      </c>
      <c r="V68" s="61">
        <f ca="1">IF(B68="","",IFERROR(VLOOKUP(B68,'ANÁLISE DE DADOS'!$A:$AM,20,0),""))</f>
        <v>58</v>
      </c>
      <c r="W68" s="61" t="str">
        <f ca="1">IF(B68="","",IFERROR(VLOOKUP(B68,'ANÁLISE DE DADOS'!$A:$AM,21,0),""))</f>
        <v>31-60 dias</v>
      </c>
      <c r="X68" s="61" t="str">
        <f ca="1">IF(B68="","",IFERROR(VLOOKUP(B68,'ANÁLISE DE DADOS'!$A:$AM,22,0),""))</f>
        <v>Atraso Médio</v>
      </c>
      <c r="Y68" s="61" t="str">
        <f>IF(B68="","",IFERROR(VLOOKUP(B68,'ANÁLISE DE DADOS'!$A:$AM,23,0),""))</f>
        <v>-</v>
      </c>
      <c r="Z68" s="61" t="str">
        <f>IF(B68="","",IFERROR(VLOOKUP(B68,'ANÁLISE DE DADOS'!$A:$AM,24,0),""))</f>
        <v>Sim</v>
      </c>
      <c r="AA68" s="61">
        <f>IF(B68="","",IFERROR(VLOOKUP(B68,'ANÁLISE DE DADOS'!$A:$AM,25,0),""))</f>
        <v>0</v>
      </c>
      <c r="AB68" s="61">
        <f>IF(B68="","",IFERROR(VLOOKUP(B68,'ANÁLISE DE DADOS'!$A:$AM,26,0),""))</f>
        <v>1</v>
      </c>
      <c r="AC68" s="61" t="str">
        <f>IF(B68="","",IFERROR(VLOOKUP(B68,'ANÁLISE DE DADOS'!$A:$AM,27,0),""))</f>
        <v>Sim</v>
      </c>
      <c r="AD68" s="62">
        <f>IF(B68="","",IFERROR(VLOOKUP(B68,'ANÁLISE DE DADOS'!$A:$AM,28,0),""))</f>
        <v>45740</v>
      </c>
      <c r="AE68" s="61" t="str">
        <f>IF(B68="","",IFERROR(VLOOKUP(B68,'ANÁLISE DE DADOS'!$A:$AM,29,0),""))</f>
        <v>mar-25</v>
      </c>
      <c r="AF68" s="61" t="str">
        <f>IF(B68="","",IFERROR(VLOOKUP(B68,'ANÁLISE DE DADOS'!$A:$AM,30,0),""))</f>
        <v>2025</v>
      </c>
      <c r="AG68" s="62">
        <f>IF(B68="","",IFERROR(VLOOKUP(B68,'ANÁLISE DE DADOS'!$A:$AM,31,0),""))</f>
        <v>45772</v>
      </c>
      <c r="AH68" s="61" t="str">
        <f>IF(B68="","",IFERROR(VLOOKUP(B68,'ANÁLISE DE DADOS'!$A:$AM,32,0),""))</f>
        <v>abr-25</v>
      </c>
      <c r="AI68" s="61" t="str">
        <f>IF(B68="","",IFERROR(VLOOKUP(B68,'ANÁLISE DE DADOS'!$A:$AM,33,0),""))</f>
        <v>2025</v>
      </c>
      <c r="AJ68" s="61" t="str">
        <f>IF(B68="","",IFERROR(VLOOKUP(B68,'ANÁLISE DE DADOS'!$A:$AM,34,0),""))</f>
        <v>Acompanhando</v>
      </c>
      <c r="AK68" s="63">
        <f ca="1">IF(B68="","",IFERROR(VLOOKUP(B68,'ANÁLISE DE DADOS'!$A:$AM,35,0),""))</f>
        <v>2200</v>
      </c>
      <c r="AL68" s="63" t="str">
        <f ca="1">IF(B68="","",IFERROR(VLOOKUP(B68,'ANÁLISE DE DADOS'!$A:$AM,36,0),""))</f>
        <v>0</v>
      </c>
    </row>
    <row r="69" spans="2:38" x14ac:dyDescent="0.3">
      <c r="B69" s="30">
        <v>65</v>
      </c>
      <c r="C69" s="61">
        <f>IF(B69="","",IFERROR(VLOOKUP(B69,'ANÁLISE DE DADOS'!$A:$AM,1,0),""))</f>
        <v>65</v>
      </c>
      <c r="D69" s="61" t="str">
        <f>IF(B69="","",IFERROR(VLOOKUP(B69,'ANÁLISE DE DADOS'!$A:$AM,2,0),""))</f>
        <v>Matriz</v>
      </c>
      <c r="E69" s="61">
        <f>IF(B69="","",IFERROR(VLOOKUP(B69,'ANÁLISE DE DADOS'!$A:$AM,3,0),""))</f>
        <v>0</v>
      </c>
      <c r="F69" s="61" t="str">
        <f>IF(B69="","",IFERROR(VLOOKUP(B69,'ANÁLISE DE DADOS'!$A:$AM,4,0),""))</f>
        <v>NovaHorizonte</v>
      </c>
      <c r="G69" s="62">
        <f>IF(B69="","",IFERROR(VLOOKUP(B69,'ANÁLISE DE DADOS'!$A:$AM,5,0),""))</f>
        <v>45709</v>
      </c>
      <c r="H69" s="62" t="str">
        <f>IF(B69="","",IFERROR(VLOOKUP(B69,'ANÁLISE DE DADOS'!$A:$AM,6,0),""))</f>
        <v>fev-25</v>
      </c>
      <c r="I69" s="62" t="str">
        <f>IF(B69="","",IFERROR(VLOOKUP(B69,'ANÁLISE DE DADOS'!$A:$AM,7,0),""))</f>
        <v>2025</v>
      </c>
      <c r="J69" s="62">
        <f>IF(B69="","",IFERROR(VLOOKUP(B69,'ANÁLISE DE DADOS'!$A:$AM,8,0),""))</f>
        <v>45737</v>
      </c>
      <c r="K69" s="61" t="str">
        <f>IF(B69="","",IFERROR(VLOOKUP(B69,'ANÁLISE DE DADOS'!$A:$AM,9,0),""))</f>
        <v>mar-25</v>
      </c>
      <c r="L69" s="61" t="str">
        <f>IF(B69="","",IFERROR(VLOOKUP(B69,'ANÁLISE DE DADOS'!$A:$AM,10,0),""))</f>
        <v>2025</v>
      </c>
      <c r="M69" s="62">
        <f>IF(B69="","",IFERROR(VLOOKUP(B69,'ANÁLISE DE DADOS'!$A:$AM,11,0),""))</f>
        <v>45737</v>
      </c>
      <c r="N69" s="61" t="str">
        <f>IF(B69="","",IFERROR(VLOOKUP(B69,'ANÁLISE DE DADOS'!$A:$AM,12,0),""))</f>
        <v>mar-25</v>
      </c>
      <c r="O69" s="61" t="str">
        <f>IF(B69="","",IFERROR(VLOOKUP(B69,'ANÁLISE DE DADOS'!$A:$AM,13,0),""))</f>
        <v>2025</v>
      </c>
      <c r="P69" s="63">
        <f>IF(B69="","",IFERROR(VLOOKUP(B69,'ANÁLISE DE DADOS'!$A:$AM,14,0),""))</f>
        <v>2500</v>
      </c>
      <c r="Q69" s="61" t="str">
        <f>IF(B69="","",IFERROR(VLOOKUP(B69,'ANÁLISE DE DADOS'!$A:$AM,15,0),""))</f>
        <v>Beatriz</v>
      </c>
      <c r="R69" s="61" t="str">
        <f>IF(B69="","",IFERROR(VLOOKUP(B69,'ANÁLISE DE DADOS'!$A:$AM,16,0),""))</f>
        <v>ANALISTA LUCAS</v>
      </c>
      <c r="S69" s="61" t="str">
        <f>IF(B69="","",IFERROR(VLOOKUP(B69,'ANÁLISE DE DADOS'!$A:$AM,17,0),""))</f>
        <v>NÃO</v>
      </c>
      <c r="T69" s="61" t="str">
        <f>IF(B69="","",IFERROR(VLOOKUP(B69,'ANÁLISE DE DADOS'!$A:$AM,18,0),""))</f>
        <v>Sem Retorno</v>
      </c>
      <c r="U69" s="61" t="str">
        <f ca="1">IF(B69="","",IFERROR(VLOOKUP(B69,'ANÁLISE DE DADOS'!$A:$AM,19,0),""))</f>
        <v>Vencido</v>
      </c>
      <c r="V69" s="61">
        <f ca="1">IF(B69="","",IFERROR(VLOOKUP(B69,'ANÁLISE DE DADOS'!$A:$AM,20,0),""))</f>
        <v>58</v>
      </c>
      <c r="W69" s="61" t="str">
        <f ca="1">IF(B69="","",IFERROR(VLOOKUP(B69,'ANÁLISE DE DADOS'!$A:$AM,21,0),""))</f>
        <v>31-60 dias</v>
      </c>
      <c r="X69" s="61" t="str">
        <f ca="1">IF(B69="","",IFERROR(VLOOKUP(B69,'ANÁLISE DE DADOS'!$A:$AM,22,0),""))</f>
        <v>Atraso Médio</v>
      </c>
      <c r="Y69" s="61" t="str">
        <f>IF(B69="","",IFERROR(VLOOKUP(B69,'ANÁLISE DE DADOS'!$A:$AM,23,0),""))</f>
        <v>-</v>
      </c>
      <c r="Z69" s="61" t="str">
        <f>IF(B69="","",IFERROR(VLOOKUP(B69,'ANÁLISE DE DADOS'!$A:$AM,24,0),""))</f>
        <v>Sim</v>
      </c>
      <c r="AA69" s="61">
        <f>IF(B69="","",IFERROR(VLOOKUP(B69,'ANÁLISE DE DADOS'!$A:$AM,25,0),""))</f>
        <v>0</v>
      </c>
      <c r="AB69" s="61">
        <f>IF(B69="","",IFERROR(VLOOKUP(B69,'ANÁLISE DE DADOS'!$A:$AM,26,0),""))</f>
        <v>1</v>
      </c>
      <c r="AC69" s="61" t="str">
        <f>IF(B69="","",IFERROR(VLOOKUP(B69,'ANÁLISE DE DADOS'!$A:$AM,27,0),""))</f>
        <v>Sim</v>
      </c>
      <c r="AD69" s="62">
        <f>IF(B69="","",IFERROR(VLOOKUP(B69,'ANÁLISE DE DADOS'!$A:$AM,28,0),""))</f>
        <v>45740</v>
      </c>
      <c r="AE69" s="61" t="str">
        <f>IF(B69="","",IFERROR(VLOOKUP(B69,'ANÁLISE DE DADOS'!$A:$AM,29,0),""))</f>
        <v>mar-25</v>
      </c>
      <c r="AF69" s="61" t="str">
        <f>IF(B69="","",IFERROR(VLOOKUP(B69,'ANÁLISE DE DADOS'!$A:$AM,30,0),""))</f>
        <v>2025</v>
      </c>
      <c r="AG69" s="62">
        <f>IF(B69="","",IFERROR(VLOOKUP(B69,'ANÁLISE DE DADOS'!$A:$AM,31,0),""))</f>
        <v>45772</v>
      </c>
      <c r="AH69" s="61" t="str">
        <f>IF(B69="","",IFERROR(VLOOKUP(B69,'ANÁLISE DE DADOS'!$A:$AM,32,0),""))</f>
        <v>abr-25</v>
      </c>
      <c r="AI69" s="61" t="str">
        <f>IF(B69="","",IFERROR(VLOOKUP(B69,'ANÁLISE DE DADOS'!$A:$AM,33,0),""))</f>
        <v>2025</v>
      </c>
      <c r="AJ69" s="61" t="str">
        <f>IF(B69="","",IFERROR(VLOOKUP(B69,'ANÁLISE DE DADOS'!$A:$AM,34,0),""))</f>
        <v>Acompanhando</v>
      </c>
      <c r="AK69" s="63">
        <f ca="1">IF(B69="","",IFERROR(VLOOKUP(B69,'ANÁLISE DE DADOS'!$A:$AM,35,0),""))</f>
        <v>2500</v>
      </c>
      <c r="AL69" s="63" t="str">
        <f ca="1">IF(B69="","",IFERROR(VLOOKUP(B69,'ANÁLISE DE DADOS'!$A:$AM,36,0),""))</f>
        <v>0</v>
      </c>
    </row>
    <row r="70" spans="2:38" x14ac:dyDescent="0.3">
      <c r="B70" s="30">
        <v>66</v>
      </c>
      <c r="C70" s="61">
        <f>IF(B70="","",IFERROR(VLOOKUP(B70,'ANÁLISE DE DADOS'!$A:$AM,1,0),""))</f>
        <v>66</v>
      </c>
      <c r="D70" s="61" t="str">
        <f>IF(B70="","",IFERROR(VLOOKUP(B70,'ANÁLISE DE DADOS'!$A:$AM,2,0),""))</f>
        <v>Filial</v>
      </c>
      <c r="E70" s="61">
        <f>IF(B70="","",IFERROR(VLOOKUP(B70,'ANÁLISE DE DADOS'!$A:$AM,3,0),""))</f>
        <v>0</v>
      </c>
      <c r="F70" s="61" t="str">
        <f>IF(B70="","",IFERROR(VLOOKUP(B70,'ANÁLISE DE DADOS'!$A:$AM,4,0),""))</f>
        <v>NovaHorizonte</v>
      </c>
      <c r="G70" s="62">
        <f>IF(B70="","",IFERROR(VLOOKUP(B70,'ANÁLISE DE DADOS'!$A:$AM,5,0),""))</f>
        <v>45678</v>
      </c>
      <c r="H70" s="62" t="str">
        <f>IF(B70="","",IFERROR(VLOOKUP(B70,'ANÁLISE DE DADOS'!$A:$AM,6,0),""))</f>
        <v>jan-25</v>
      </c>
      <c r="I70" s="62" t="str">
        <f>IF(B70="","",IFERROR(VLOOKUP(B70,'ANÁLISE DE DADOS'!$A:$AM,7,0),""))</f>
        <v>2025</v>
      </c>
      <c r="J70" s="62">
        <f>IF(B70="","",IFERROR(VLOOKUP(B70,'ANÁLISE DE DADOS'!$A:$AM,8,0),""))</f>
        <v>45678</v>
      </c>
      <c r="K70" s="61" t="str">
        <f>IF(B70="","",IFERROR(VLOOKUP(B70,'ANÁLISE DE DADOS'!$A:$AM,9,0),""))</f>
        <v>jan-25</v>
      </c>
      <c r="L70" s="61" t="str">
        <f>IF(B70="","",IFERROR(VLOOKUP(B70,'ANÁLISE DE DADOS'!$A:$AM,10,0),""))</f>
        <v>2025</v>
      </c>
      <c r="M70" s="62">
        <f>IF(B70="","",IFERROR(VLOOKUP(B70,'ANÁLISE DE DADOS'!$A:$AM,11,0),""))</f>
        <v>45678</v>
      </c>
      <c r="N70" s="61" t="str">
        <f>IF(B70="","",IFERROR(VLOOKUP(B70,'ANÁLISE DE DADOS'!$A:$AM,12,0),""))</f>
        <v>jan-25</v>
      </c>
      <c r="O70" s="61" t="str">
        <f>IF(B70="","",IFERROR(VLOOKUP(B70,'ANÁLISE DE DADOS'!$A:$AM,13,0),""))</f>
        <v>2025</v>
      </c>
      <c r="P70" s="63">
        <f>IF(B70="","",IFERROR(VLOOKUP(B70,'ANÁLISE DE DADOS'!$A:$AM,14,0),""))</f>
        <v>2000</v>
      </c>
      <c r="Q70" s="61" t="str">
        <f>IF(B70="","",IFERROR(VLOOKUP(B70,'ANÁLISE DE DADOS'!$A:$AM,15,0),""))</f>
        <v>Lucas</v>
      </c>
      <c r="R70" s="61" t="str">
        <f>IF(B70="","",IFERROR(VLOOKUP(B70,'ANÁLISE DE DADOS'!$A:$AM,16,0),""))</f>
        <v>ANALISTA LUCAS</v>
      </c>
      <c r="S70" s="61" t="str">
        <f>IF(B70="","",IFERROR(VLOOKUP(B70,'ANÁLISE DE DADOS'!$A:$AM,17,0),""))</f>
        <v>NÃO</v>
      </c>
      <c r="T70" s="61" t="str">
        <f>IF(B70="","",IFERROR(VLOOKUP(B70,'ANÁLISE DE DADOS'!$A:$AM,18,0),""))</f>
        <v>Sem Retorno</v>
      </c>
      <c r="U70" s="61" t="str">
        <f ca="1">IF(B70="","",IFERROR(VLOOKUP(B70,'ANÁLISE DE DADOS'!$A:$AM,19,0),""))</f>
        <v>Vencido</v>
      </c>
      <c r="V70" s="61">
        <f ca="1">IF(B70="","",IFERROR(VLOOKUP(B70,'ANÁLISE DE DADOS'!$A:$AM,20,0),""))</f>
        <v>117</v>
      </c>
      <c r="W70" s="61" t="str">
        <f ca="1">IF(B70="","",IFERROR(VLOOKUP(B70,'ANÁLISE DE DADOS'!$A:$AM,21,0),""))</f>
        <v>61+ dias</v>
      </c>
      <c r="X70" s="61" t="str">
        <f ca="1">IF(B70="","",IFERROR(VLOOKUP(B70,'ANÁLISE DE DADOS'!$A:$AM,22,0),""))</f>
        <v>Atraso Crítico</v>
      </c>
      <c r="Y70" s="61" t="str">
        <f>IF(B70="","",IFERROR(VLOOKUP(B70,'ANÁLISE DE DADOS'!$A:$AM,23,0),""))</f>
        <v>-</v>
      </c>
      <c r="Z70" s="61" t="str">
        <f>IF(B70="","",IFERROR(VLOOKUP(B70,'ANÁLISE DE DADOS'!$A:$AM,24,0),""))</f>
        <v>Sim</v>
      </c>
      <c r="AA70" s="61">
        <f>IF(B70="","",IFERROR(VLOOKUP(B70,'ANÁLISE DE DADOS'!$A:$AM,25,0),""))</f>
        <v>0</v>
      </c>
      <c r="AB70" s="61">
        <f>IF(B70="","",IFERROR(VLOOKUP(B70,'ANÁLISE DE DADOS'!$A:$AM,26,0),""))</f>
        <v>1</v>
      </c>
      <c r="AC70" s="61" t="str">
        <f>IF(B70="","",IFERROR(VLOOKUP(B70,'ANÁLISE DE DADOS'!$A:$AM,27,0),""))</f>
        <v>Sim</v>
      </c>
      <c r="AD70" s="62">
        <f>IF(B70="","",IFERROR(VLOOKUP(B70,'ANÁLISE DE DADOS'!$A:$AM,28,0),""))</f>
        <v>45740</v>
      </c>
      <c r="AE70" s="61" t="str">
        <f>IF(B70="","",IFERROR(VLOOKUP(B70,'ANÁLISE DE DADOS'!$A:$AM,29,0),""))</f>
        <v>mar-25</v>
      </c>
      <c r="AF70" s="61" t="str">
        <f>IF(B70="","",IFERROR(VLOOKUP(B70,'ANÁLISE DE DADOS'!$A:$AM,30,0),""))</f>
        <v>2025</v>
      </c>
      <c r="AG70" s="62">
        <f>IF(B70="","",IFERROR(VLOOKUP(B70,'ANÁLISE DE DADOS'!$A:$AM,31,0),""))</f>
        <v>45772</v>
      </c>
      <c r="AH70" s="61" t="str">
        <f>IF(B70="","",IFERROR(VLOOKUP(B70,'ANÁLISE DE DADOS'!$A:$AM,32,0),""))</f>
        <v>abr-25</v>
      </c>
      <c r="AI70" s="61" t="str">
        <f>IF(B70="","",IFERROR(VLOOKUP(B70,'ANÁLISE DE DADOS'!$A:$AM,33,0),""))</f>
        <v>2025</v>
      </c>
      <c r="AJ70" s="61" t="str">
        <f>IF(B70="","",IFERROR(VLOOKUP(B70,'ANÁLISE DE DADOS'!$A:$AM,34,0),""))</f>
        <v>Acompanhando</v>
      </c>
      <c r="AK70" s="63">
        <f ca="1">IF(B70="","",IFERROR(VLOOKUP(B70,'ANÁLISE DE DADOS'!$A:$AM,35,0),""))</f>
        <v>2000</v>
      </c>
      <c r="AL70" s="63" t="str">
        <f ca="1">IF(B70="","",IFERROR(VLOOKUP(B70,'ANÁLISE DE DADOS'!$A:$AM,36,0),""))</f>
        <v>0</v>
      </c>
    </row>
    <row r="71" spans="2:38" x14ac:dyDescent="0.3">
      <c r="B71" s="30">
        <v>67</v>
      </c>
      <c r="C71" s="61">
        <f>IF(B71="","",IFERROR(VLOOKUP(B71,'ANÁLISE DE DADOS'!$A:$AM,1,0),""))</f>
        <v>67</v>
      </c>
      <c r="D71" s="61" t="str">
        <f>IF(B71="","",IFERROR(VLOOKUP(B71,'ANÁLISE DE DADOS'!$A:$AM,2,0),""))</f>
        <v>Matriz</v>
      </c>
      <c r="E71" s="61">
        <f>IF(B71="","",IFERROR(VLOOKUP(B71,'ANÁLISE DE DADOS'!$A:$AM,3,0),""))</f>
        <v>0</v>
      </c>
      <c r="F71" s="61" t="str">
        <f>IF(B71="","",IFERROR(VLOOKUP(B71,'ANÁLISE DE DADOS'!$A:$AM,4,0),""))</f>
        <v>NovaHorizonte</v>
      </c>
      <c r="G71" s="62">
        <f>IF(B71="","",IFERROR(VLOOKUP(B71,'ANÁLISE DE DADOS'!$A:$AM,5,0),""))</f>
        <v>45709</v>
      </c>
      <c r="H71" s="62" t="str">
        <f>IF(B71="","",IFERROR(VLOOKUP(B71,'ANÁLISE DE DADOS'!$A:$AM,6,0),""))</f>
        <v>fev-25</v>
      </c>
      <c r="I71" s="62" t="str">
        <f>IF(B71="","",IFERROR(VLOOKUP(B71,'ANÁLISE DE DADOS'!$A:$AM,7,0),""))</f>
        <v>2025</v>
      </c>
      <c r="J71" s="62">
        <f>IF(B71="","",IFERROR(VLOOKUP(B71,'ANÁLISE DE DADOS'!$A:$AM,8,0),""))</f>
        <v>45737</v>
      </c>
      <c r="K71" s="61" t="str">
        <f>IF(B71="","",IFERROR(VLOOKUP(B71,'ANÁLISE DE DADOS'!$A:$AM,9,0),""))</f>
        <v>mar-25</v>
      </c>
      <c r="L71" s="61" t="str">
        <f>IF(B71="","",IFERROR(VLOOKUP(B71,'ANÁLISE DE DADOS'!$A:$AM,10,0),""))</f>
        <v>2025</v>
      </c>
      <c r="M71" s="62">
        <f>IF(B71="","",IFERROR(VLOOKUP(B71,'ANÁLISE DE DADOS'!$A:$AM,11,0),""))</f>
        <v>45737</v>
      </c>
      <c r="N71" s="61" t="str">
        <f>IF(B71="","",IFERROR(VLOOKUP(B71,'ANÁLISE DE DADOS'!$A:$AM,12,0),""))</f>
        <v>mar-25</v>
      </c>
      <c r="O71" s="61" t="str">
        <f>IF(B71="","",IFERROR(VLOOKUP(B71,'ANÁLISE DE DADOS'!$A:$AM,13,0),""))</f>
        <v>2025</v>
      </c>
      <c r="P71" s="63">
        <f>IF(B71="","",IFERROR(VLOOKUP(B71,'ANÁLISE DE DADOS'!$A:$AM,14,0),""))</f>
        <v>3200</v>
      </c>
      <c r="Q71" s="61" t="str">
        <f>IF(B71="","",IFERROR(VLOOKUP(B71,'ANÁLISE DE DADOS'!$A:$AM,15,0),""))</f>
        <v>Carla</v>
      </c>
      <c r="R71" s="61" t="str">
        <f>IF(B71="","",IFERROR(VLOOKUP(B71,'ANÁLISE DE DADOS'!$A:$AM,16,0),""))</f>
        <v>ANALISTA LUCAS</v>
      </c>
      <c r="S71" s="61" t="str">
        <f>IF(B71="","",IFERROR(VLOOKUP(B71,'ANÁLISE DE DADOS'!$A:$AM,17,0),""))</f>
        <v>NÃO</v>
      </c>
      <c r="T71" s="61" t="str">
        <f>IF(B71="","",IFERROR(VLOOKUP(B71,'ANÁLISE DE DADOS'!$A:$AM,18,0),""))</f>
        <v>Sem Retorno</v>
      </c>
      <c r="U71" s="61" t="str">
        <f ca="1">IF(B71="","",IFERROR(VLOOKUP(B71,'ANÁLISE DE DADOS'!$A:$AM,19,0),""))</f>
        <v>Vencido</v>
      </c>
      <c r="V71" s="61">
        <f ca="1">IF(B71="","",IFERROR(VLOOKUP(B71,'ANÁLISE DE DADOS'!$A:$AM,20,0),""))</f>
        <v>58</v>
      </c>
      <c r="W71" s="61" t="str">
        <f ca="1">IF(B71="","",IFERROR(VLOOKUP(B71,'ANÁLISE DE DADOS'!$A:$AM,21,0),""))</f>
        <v>31-60 dias</v>
      </c>
      <c r="X71" s="61" t="str">
        <f ca="1">IF(B71="","",IFERROR(VLOOKUP(B71,'ANÁLISE DE DADOS'!$A:$AM,22,0),""))</f>
        <v>Atraso Médio</v>
      </c>
      <c r="Y71" s="61" t="str">
        <f>IF(B71="","",IFERROR(VLOOKUP(B71,'ANÁLISE DE DADOS'!$A:$AM,23,0),""))</f>
        <v>-</v>
      </c>
      <c r="Z71" s="61" t="str">
        <f>IF(B71="","",IFERROR(VLOOKUP(B71,'ANÁLISE DE DADOS'!$A:$AM,24,0),""))</f>
        <v>Sim</v>
      </c>
      <c r="AA71" s="61">
        <f>IF(B71="","",IFERROR(VLOOKUP(B71,'ANÁLISE DE DADOS'!$A:$AM,25,0),""))</f>
        <v>0</v>
      </c>
      <c r="AB71" s="61">
        <f>IF(B71="","",IFERROR(VLOOKUP(B71,'ANÁLISE DE DADOS'!$A:$AM,26,0),""))</f>
        <v>1</v>
      </c>
      <c r="AC71" s="61" t="str">
        <f>IF(B71="","",IFERROR(VLOOKUP(B71,'ANÁLISE DE DADOS'!$A:$AM,27,0),""))</f>
        <v>Sim</v>
      </c>
      <c r="AD71" s="62">
        <f>IF(B71="","",IFERROR(VLOOKUP(B71,'ANÁLISE DE DADOS'!$A:$AM,28,0),""))</f>
        <v>45740</v>
      </c>
      <c r="AE71" s="61" t="str">
        <f>IF(B71="","",IFERROR(VLOOKUP(B71,'ANÁLISE DE DADOS'!$A:$AM,29,0),""))</f>
        <v>mar-25</v>
      </c>
      <c r="AF71" s="61" t="str">
        <f>IF(B71="","",IFERROR(VLOOKUP(B71,'ANÁLISE DE DADOS'!$A:$AM,30,0),""))</f>
        <v>2025</v>
      </c>
      <c r="AG71" s="62">
        <f>IF(B71="","",IFERROR(VLOOKUP(B71,'ANÁLISE DE DADOS'!$A:$AM,31,0),""))</f>
        <v>45772</v>
      </c>
      <c r="AH71" s="61" t="str">
        <f>IF(B71="","",IFERROR(VLOOKUP(B71,'ANÁLISE DE DADOS'!$A:$AM,32,0),""))</f>
        <v>abr-25</v>
      </c>
      <c r="AI71" s="61" t="str">
        <f>IF(B71="","",IFERROR(VLOOKUP(B71,'ANÁLISE DE DADOS'!$A:$AM,33,0),""))</f>
        <v>2025</v>
      </c>
      <c r="AJ71" s="61" t="str">
        <f>IF(B71="","",IFERROR(VLOOKUP(B71,'ANÁLISE DE DADOS'!$A:$AM,34,0),""))</f>
        <v>Acompanhando</v>
      </c>
      <c r="AK71" s="63">
        <f ca="1">IF(B71="","",IFERROR(VLOOKUP(B71,'ANÁLISE DE DADOS'!$A:$AM,35,0),""))</f>
        <v>3200</v>
      </c>
      <c r="AL71" s="63" t="str">
        <f ca="1">IF(B71="","",IFERROR(VLOOKUP(B71,'ANÁLISE DE DADOS'!$A:$AM,36,0),""))</f>
        <v>0</v>
      </c>
    </row>
    <row r="72" spans="2:38" x14ac:dyDescent="0.3">
      <c r="B72" s="30">
        <v>68</v>
      </c>
      <c r="C72" s="61">
        <f>IF(B72="","",IFERROR(VLOOKUP(B72,'ANÁLISE DE DADOS'!$A:$AM,1,0),""))</f>
        <v>68</v>
      </c>
      <c r="D72" s="61" t="str">
        <f>IF(B72="","",IFERROR(VLOOKUP(B72,'ANÁLISE DE DADOS'!$A:$AM,2,0),""))</f>
        <v>Filial</v>
      </c>
      <c r="E72" s="61">
        <f>IF(B72="","",IFERROR(VLOOKUP(B72,'ANÁLISE DE DADOS'!$A:$AM,3,0),""))</f>
        <v>0</v>
      </c>
      <c r="F72" s="61" t="str">
        <f>IF(B72="","",IFERROR(VLOOKUP(B72,'ANÁLISE DE DADOS'!$A:$AM,4,0),""))</f>
        <v>NovaHorizonte</v>
      </c>
      <c r="G72" s="62">
        <f>IF(B72="","",IFERROR(VLOOKUP(B72,'ANÁLISE DE DADOS'!$A:$AM,5,0),""))</f>
        <v>45709</v>
      </c>
      <c r="H72" s="62" t="str">
        <f>IF(B72="","",IFERROR(VLOOKUP(B72,'ANÁLISE DE DADOS'!$A:$AM,6,0),""))</f>
        <v>fev-25</v>
      </c>
      <c r="I72" s="62" t="str">
        <f>IF(B72="","",IFERROR(VLOOKUP(B72,'ANÁLISE DE DADOS'!$A:$AM,7,0),""))</f>
        <v>2025</v>
      </c>
      <c r="J72" s="62">
        <f>IF(B72="","",IFERROR(VLOOKUP(B72,'ANÁLISE DE DADOS'!$A:$AM,8,0),""))</f>
        <v>45737</v>
      </c>
      <c r="K72" s="61" t="str">
        <f>IF(B72="","",IFERROR(VLOOKUP(B72,'ANÁLISE DE DADOS'!$A:$AM,9,0),""))</f>
        <v>mar-25</v>
      </c>
      <c r="L72" s="61" t="str">
        <f>IF(B72="","",IFERROR(VLOOKUP(B72,'ANÁLISE DE DADOS'!$A:$AM,10,0),""))</f>
        <v>2025</v>
      </c>
      <c r="M72" s="62">
        <f>IF(B72="","",IFERROR(VLOOKUP(B72,'ANÁLISE DE DADOS'!$A:$AM,11,0),""))</f>
        <v>45737</v>
      </c>
      <c r="N72" s="61" t="str">
        <f>IF(B72="","",IFERROR(VLOOKUP(B72,'ANÁLISE DE DADOS'!$A:$AM,12,0),""))</f>
        <v>mar-25</v>
      </c>
      <c r="O72" s="61" t="str">
        <f>IF(B72="","",IFERROR(VLOOKUP(B72,'ANÁLISE DE DADOS'!$A:$AM,13,0),""))</f>
        <v>2025</v>
      </c>
      <c r="P72" s="63">
        <f>IF(B72="","",IFERROR(VLOOKUP(B72,'ANÁLISE DE DADOS'!$A:$AM,14,0),""))</f>
        <v>1500</v>
      </c>
      <c r="Q72" s="61" t="str">
        <f>IF(B72="","",IFERROR(VLOOKUP(B72,'ANÁLISE DE DADOS'!$A:$AM,15,0),""))</f>
        <v>Roberto</v>
      </c>
      <c r="R72" s="61" t="str">
        <f>IF(B72="","",IFERROR(VLOOKUP(B72,'ANÁLISE DE DADOS'!$A:$AM,16,0),""))</f>
        <v>ANALISTA LUCAS</v>
      </c>
      <c r="S72" s="61" t="str">
        <f>IF(B72="","",IFERROR(VLOOKUP(B72,'ANÁLISE DE DADOS'!$A:$AM,17,0),""))</f>
        <v>NÃO</v>
      </c>
      <c r="T72" s="61" t="str">
        <f>IF(B72="","",IFERROR(VLOOKUP(B72,'ANÁLISE DE DADOS'!$A:$AM,18,0),""))</f>
        <v>Sem Retorno</v>
      </c>
      <c r="U72" s="61" t="str">
        <f ca="1">IF(B72="","",IFERROR(VLOOKUP(B72,'ANÁLISE DE DADOS'!$A:$AM,19,0),""))</f>
        <v>Vencido</v>
      </c>
      <c r="V72" s="61">
        <f ca="1">IF(B72="","",IFERROR(VLOOKUP(B72,'ANÁLISE DE DADOS'!$A:$AM,20,0),""))</f>
        <v>58</v>
      </c>
      <c r="W72" s="61" t="str">
        <f ca="1">IF(B72="","",IFERROR(VLOOKUP(B72,'ANÁLISE DE DADOS'!$A:$AM,21,0),""))</f>
        <v>31-60 dias</v>
      </c>
      <c r="X72" s="61" t="str">
        <f ca="1">IF(B72="","",IFERROR(VLOOKUP(B72,'ANÁLISE DE DADOS'!$A:$AM,22,0),""))</f>
        <v>Atraso Médio</v>
      </c>
      <c r="Y72" s="61" t="str">
        <f>IF(B72="","",IFERROR(VLOOKUP(B72,'ANÁLISE DE DADOS'!$A:$AM,23,0),""))</f>
        <v>-</v>
      </c>
      <c r="Z72" s="61" t="str">
        <f>IF(B72="","",IFERROR(VLOOKUP(B72,'ANÁLISE DE DADOS'!$A:$AM,24,0),""))</f>
        <v>Sim</v>
      </c>
      <c r="AA72" s="61">
        <f>IF(B72="","",IFERROR(VLOOKUP(B72,'ANÁLISE DE DADOS'!$A:$AM,25,0),""))</f>
        <v>0</v>
      </c>
      <c r="AB72" s="61">
        <f>IF(B72="","",IFERROR(VLOOKUP(B72,'ANÁLISE DE DADOS'!$A:$AM,26,0),""))</f>
        <v>1</v>
      </c>
      <c r="AC72" s="61" t="str">
        <f>IF(B72="","",IFERROR(VLOOKUP(B72,'ANÁLISE DE DADOS'!$A:$AM,27,0),""))</f>
        <v>Sim</v>
      </c>
      <c r="AD72" s="62">
        <f>IF(B72="","",IFERROR(VLOOKUP(B72,'ANÁLISE DE DADOS'!$A:$AM,28,0),""))</f>
        <v>45740</v>
      </c>
      <c r="AE72" s="61" t="str">
        <f>IF(B72="","",IFERROR(VLOOKUP(B72,'ANÁLISE DE DADOS'!$A:$AM,29,0),""))</f>
        <v>mar-25</v>
      </c>
      <c r="AF72" s="61" t="str">
        <f>IF(B72="","",IFERROR(VLOOKUP(B72,'ANÁLISE DE DADOS'!$A:$AM,30,0),""))</f>
        <v>2025</v>
      </c>
      <c r="AG72" s="62">
        <f>IF(B72="","",IFERROR(VLOOKUP(B72,'ANÁLISE DE DADOS'!$A:$AM,31,0),""))</f>
        <v>45772</v>
      </c>
      <c r="AH72" s="61" t="str">
        <f>IF(B72="","",IFERROR(VLOOKUP(B72,'ANÁLISE DE DADOS'!$A:$AM,32,0),""))</f>
        <v>abr-25</v>
      </c>
      <c r="AI72" s="61" t="str">
        <f>IF(B72="","",IFERROR(VLOOKUP(B72,'ANÁLISE DE DADOS'!$A:$AM,33,0),""))</f>
        <v>2025</v>
      </c>
      <c r="AJ72" s="61" t="str">
        <f>IF(B72="","",IFERROR(VLOOKUP(B72,'ANÁLISE DE DADOS'!$A:$AM,34,0),""))</f>
        <v>Acompanhando</v>
      </c>
      <c r="AK72" s="63">
        <f ca="1">IF(B72="","",IFERROR(VLOOKUP(B72,'ANÁLISE DE DADOS'!$A:$AM,35,0),""))</f>
        <v>1500</v>
      </c>
      <c r="AL72" s="63" t="str">
        <f ca="1">IF(B72="","",IFERROR(VLOOKUP(B72,'ANÁLISE DE DADOS'!$A:$AM,36,0),""))</f>
        <v>0</v>
      </c>
    </row>
    <row r="73" spans="2:38" x14ac:dyDescent="0.3">
      <c r="B73" s="30">
        <v>69</v>
      </c>
      <c r="C73" s="61">
        <f>IF(B73="","",IFERROR(VLOOKUP(B73,'ANÁLISE DE DADOS'!$A:$AM,1,0),""))</f>
        <v>69</v>
      </c>
      <c r="D73" s="61" t="str">
        <f>IF(B73="","",IFERROR(VLOOKUP(B73,'ANÁLISE DE DADOS'!$A:$AM,2,0),""))</f>
        <v>Matriz</v>
      </c>
      <c r="E73" s="61">
        <f>IF(B73="","",IFERROR(VLOOKUP(B73,'ANÁLISE DE DADOS'!$A:$AM,3,0),""))</f>
        <v>0</v>
      </c>
      <c r="F73" s="61" t="str">
        <f>IF(B73="","",IFERROR(VLOOKUP(B73,'ANÁLISE DE DADOS'!$A:$AM,4,0),""))</f>
        <v>NovaHorizonte</v>
      </c>
      <c r="G73" s="62">
        <f>IF(B73="","",IFERROR(VLOOKUP(B73,'ANÁLISE DE DADOS'!$A:$AM,5,0),""))</f>
        <v>45709</v>
      </c>
      <c r="H73" s="62" t="str">
        <f>IF(B73="","",IFERROR(VLOOKUP(B73,'ANÁLISE DE DADOS'!$A:$AM,6,0),""))</f>
        <v>fev-25</v>
      </c>
      <c r="I73" s="62" t="str">
        <f>IF(B73="","",IFERROR(VLOOKUP(B73,'ANÁLISE DE DADOS'!$A:$AM,7,0),""))</f>
        <v>2025</v>
      </c>
      <c r="J73" s="62">
        <f>IF(B73="","",IFERROR(VLOOKUP(B73,'ANÁLISE DE DADOS'!$A:$AM,8,0),""))</f>
        <v>45737</v>
      </c>
      <c r="K73" s="61" t="str">
        <f>IF(B73="","",IFERROR(VLOOKUP(B73,'ANÁLISE DE DADOS'!$A:$AM,9,0),""))</f>
        <v>mar-25</v>
      </c>
      <c r="L73" s="61" t="str">
        <f>IF(B73="","",IFERROR(VLOOKUP(B73,'ANÁLISE DE DADOS'!$A:$AM,10,0),""))</f>
        <v>2025</v>
      </c>
      <c r="M73" s="62">
        <f>IF(B73="","",IFERROR(VLOOKUP(B73,'ANÁLISE DE DADOS'!$A:$AM,11,0),""))</f>
        <v>45737</v>
      </c>
      <c r="N73" s="61" t="str">
        <f>IF(B73="","",IFERROR(VLOOKUP(B73,'ANÁLISE DE DADOS'!$A:$AM,12,0),""))</f>
        <v>mar-25</v>
      </c>
      <c r="O73" s="61" t="str">
        <f>IF(B73="","",IFERROR(VLOOKUP(B73,'ANÁLISE DE DADOS'!$A:$AM,13,0),""))</f>
        <v>2025</v>
      </c>
      <c r="P73" s="63">
        <f>IF(B73="","",IFERROR(VLOOKUP(B73,'ANÁLISE DE DADOS'!$A:$AM,14,0),""))</f>
        <v>2800</v>
      </c>
      <c r="Q73" s="61" t="str">
        <f>IF(B73="","",IFERROR(VLOOKUP(B73,'ANÁLISE DE DADOS'!$A:$AM,15,0),""))</f>
        <v>Juliana</v>
      </c>
      <c r="R73" s="61" t="str">
        <f>IF(B73="","",IFERROR(VLOOKUP(B73,'ANÁLISE DE DADOS'!$A:$AM,16,0),""))</f>
        <v>ANALISTA LUCAS</v>
      </c>
      <c r="S73" s="61" t="str">
        <f>IF(B73="","",IFERROR(VLOOKUP(B73,'ANÁLISE DE DADOS'!$A:$AM,17,0),""))</f>
        <v>NÃO</v>
      </c>
      <c r="T73" s="61" t="str">
        <f>IF(B73="","",IFERROR(VLOOKUP(B73,'ANÁLISE DE DADOS'!$A:$AM,18,0),""))</f>
        <v>Sem Retorno</v>
      </c>
      <c r="U73" s="61" t="str">
        <f ca="1">IF(B73="","",IFERROR(VLOOKUP(B73,'ANÁLISE DE DADOS'!$A:$AM,19,0),""))</f>
        <v>Vencido</v>
      </c>
      <c r="V73" s="61">
        <f ca="1">IF(B73="","",IFERROR(VLOOKUP(B73,'ANÁLISE DE DADOS'!$A:$AM,20,0),""))</f>
        <v>58</v>
      </c>
      <c r="W73" s="61" t="str">
        <f ca="1">IF(B73="","",IFERROR(VLOOKUP(B73,'ANÁLISE DE DADOS'!$A:$AM,21,0),""))</f>
        <v>31-60 dias</v>
      </c>
      <c r="X73" s="61" t="str">
        <f ca="1">IF(B73="","",IFERROR(VLOOKUP(B73,'ANÁLISE DE DADOS'!$A:$AM,22,0),""))</f>
        <v>Atraso Médio</v>
      </c>
      <c r="Y73" s="61" t="str">
        <f>IF(B73="","",IFERROR(VLOOKUP(B73,'ANÁLISE DE DADOS'!$A:$AM,23,0),""))</f>
        <v>-</v>
      </c>
      <c r="Z73" s="61" t="str">
        <f>IF(B73="","",IFERROR(VLOOKUP(B73,'ANÁLISE DE DADOS'!$A:$AM,24,0),""))</f>
        <v>Sim</v>
      </c>
      <c r="AA73" s="61">
        <f>IF(B73="","",IFERROR(VLOOKUP(B73,'ANÁLISE DE DADOS'!$A:$AM,25,0),""))</f>
        <v>0</v>
      </c>
      <c r="AB73" s="61">
        <f>IF(B73="","",IFERROR(VLOOKUP(B73,'ANÁLISE DE DADOS'!$A:$AM,26,0),""))</f>
        <v>1</v>
      </c>
      <c r="AC73" s="61" t="str">
        <f>IF(B73="","",IFERROR(VLOOKUP(B73,'ANÁLISE DE DADOS'!$A:$AM,27,0),""))</f>
        <v>Sim</v>
      </c>
      <c r="AD73" s="62">
        <f>IF(B73="","",IFERROR(VLOOKUP(B73,'ANÁLISE DE DADOS'!$A:$AM,28,0),""))</f>
        <v>45740</v>
      </c>
      <c r="AE73" s="61" t="str">
        <f>IF(B73="","",IFERROR(VLOOKUP(B73,'ANÁLISE DE DADOS'!$A:$AM,29,0),""))</f>
        <v>mar-25</v>
      </c>
      <c r="AF73" s="61" t="str">
        <f>IF(B73="","",IFERROR(VLOOKUP(B73,'ANÁLISE DE DADOS'!$A:$AM,30,0),""))</f>
        <v>2025</v>
      </c>
      <c r="AG73" s="62">
        <f>IF(B73="","",IFERROR(VLOOKUP(B73,'ANÁLISE DE DADOS'!$A:$AM,31,0),""))</f>
        <v>45772</v>
      </c>
      <c r="AH73" s="61" t="str">
        <f>IF(B73="","",IFERROR(VLOOKUP(B73,'ANÁLISE DE DADOS'!$A:$AM,32,0),""))</f>
        <v>abr-25</v>
      </c>
      <c r="AI73" s="61" t="str">
        <f>IF(B73="","",IFERROR(VLOOKUP(B73,'ANÁLISE DE DADOS'!$A:$AM,33,0),""))</f>
        <v>2025</v>
      </c>
      <c r="AJ73" s="61" t="str">
        <f>IF(B73="","",IFERROR(VLOOKUP(B73,'ANÁLISE DE DADOS'!$A:$AM,34,0),""))</f>
        <v>Acompanhando</v>
      </c>
      <c r="AK73" s="63">
        <f ca="1">IF(B73="","",IFERROR(VLOOKUP(B73,'ANÁLISE DE DADOS'!$A:$AM,35,0),""))</f>
        <v>2800</v>
      </c>
      <c r="AL73" s="63" t="str">
        <f ca="1">IF(B73="","",IFERROR(VLOOKUP(B73,'ANÁLISE DE DADOS'!$A:$AM,36,0),""))</f>
        <v>0</v>
      </c>
    </row>
    <row r="74" spans="2:38" x14ac:dyDescent="0.3">
      <c r="B74" s="30">
        <v>70</v>
      </c>
      <c r="C74" s="61">
        <f>IF(B74="","",IFERROR(VLOOKUP(B74,'ANÁLISE DE DADOS'!$A:$AM,1,0),""))</f>
        <v>70</v>
      </c>
      <c r="D74" s="61" t="str">
        <f>IF(B74="","",IFERROR(VLOOKUP(B74,'ANÁLISE DE DADOS'!$A:$AM,2,0),""))</f>
        <v>Filial</v>
      </c>
      <c r="E74" s="61">
        <f>IF(B74="","",IFERROR(VLOOKUP(B74,'ANÁLISE DE DADOS'!$A:$AM,3,0),""))</f>
        <v>0</v>
      </c>
      <c r="F74" s="61" t="str">
        <f>IF(B74="","",IFERROR(VLOOKUP(B74,'ANÁLISE DE DADOS'!$A:$AM,4,0),""))</f>
        <v>NovaHorizonte</v>
      </c>
      <c r="G74" s="62">
        <f>IF(B74="","",IFERROR(VLOOKUP(B74,'ANÁLISE DE DADOS'!$A:$AM,5,0),""))</f>
        <v>45709</v>
      </c>
      <c r="H74" s="62" t="str">
        <f>IF(B74="","",IFERROR(VLOOKUP(B74,'ANÁLISE DE DADOS'!$A:$AM,6,0),""))</f>
        <v>fev-25</v>
      </c>
      <c r="I74" s="62" t="str">
        <f>IF(B74="","",IFERROR(VLOOKUP(B74,'ANÁLISE DE DADOS'!$A:$AM,7,0),""))</f>
        <v>2025</v>
      </c>
      <c r="J74" s="62">
        <f>IF(B74="","",IFERROR(VLOOKUP(B74,'ANÁLISE DE DADOS'!$A:$AM,8,0),""))</f>
        <v>45737</v>
      </c>
      <c r="K74" s="61" t="str">
        <f>IF(B74="","",IFERROR(VLOOKUP(B74,'ANÁLISE DE DADOS'!$A:$AM,9,0),""))</f>
        <v>mar-25</v>
      </c>
      <c r="L74" s="61" t="str">
        <f>IF(B74="","",IFERROR(VLOOKUP(B74,'ANÁLISE DE DADOS'!$A:$AM,10,0),""))</f>
        <v>2025</v>
      </c>
      <c r="M74" s="62">
        <f>IF(B74="","",IFERROR(VLOOKUP(B74,'ANÁLISE DE DADOS'!$A:$AM,11,0),""))</f>
        <v>45737</v>
      </c>
      <c r="N74" s="61" t="str">
        <f>IF(B74="","",IFERROR(VLOOKUP(B74,'ANÁLISE DE DADOS'!$A:$AM,12,0),""))</f>
        <v>mar-25</v>
      </c>
      <c r="O74" s="61" t="str">
        <f>IF(B74="","",IFERROR(VLOOKUP(B74,'ANÁLISE DE DADOS'!$A:$AM,13,0),""))</f>
        <v>2025</v>
      </c>
      <c r="P74" s="63">
        <f>IF(B74="","",IFERROR(VLOOKUP(B74,'ANÁLISE DE DADOS'!$A:$AM,14,0),""))</f>
        <v>1700</v>
      </c>
      <c r="Q74" s="61" t="str">
        <f>IF(B74="","",IFERROR(VLOOKUP(B74,'ANÁLISE DE DADOS'!$A:$AM,15,0),""))</f>
        <v>Gustavo</v>
      </c>
      <c r="R74" s="61" t="str">
        <f>IF(B74="","",IFERROR(VLOOKUP(B74,'ANÁLISE DE DADOS'!$A:$AM,16,0),""))</f>
        <v>ANALISTA LUCAS</v>
      </c>
      <c r="S74" s="61" t="str">
        <f>IF(B74="","",IFERROR(VLOOKUP(B74,'ANÁLISE DE DADOS'!$A:$AM,17,0),""))</f>
        <v>NÃO</v>
      </c>
      <c r="T74" s="61" t="str">
        <f>IF(B74="","",IFERROR(VLOOKUP(B74,'ANÁLISE DE DADOS'!$A:$AM,18,0),""))</f>
        <v>Sem Retorno</v>
      </c>
      <c r="U74" s="61" t="str">
        <f ca="1">IF(B74="","",IFERROR(VLOOKUP(B74,'ANÁLISE DE DADOS'!$A:$AM,19,0),""))</f>
        <v>Vencido</v>
      </c>
      <c r="V74" s="61">
        <f ca="1">IF(B74="","",IFERROR(VLOOKUP(B74,'ANÁLISE DE DADOS'!$A:$AM,20,0),""))</f>
        <v>58</v>
      </c>
      <c r="W74" s="61" t="str">
        <f ca="1">IF(B74="","",IFERROR(VLOOKUP(B74,'ANÁLISE DE DADOS'!$A:$AM,21,0),""))</f>
        <v>31-60 dias</v>
      </c>
      <c r="X74" s="61" t="str">
        <f ca="1">IF(B74="","",IFERROR(VLOOKUP(B74,'ANÁLISE DE DADOS'!$A:$AM,22,0),""))</f>
        <v>Atraso Médio</v>
      </c>
      <c r="Y74" s="61" t="str">
        <f>IF(B74="","",IFERROR(VLOOKUP(B74,'ANÁLISE DE DADOS'!$A:$AM,23,0),""))</f>
        <v>-</v>
      </c>
      <c r="Z74" s="61" t="str">
        <f>IF(B74="","",IFERROR(VLOOKUP(B74,'ANÁLISE DE DADOS'!$A:$AM,24,0),""))</f>
        <v>Sim</v>
      </c>
      <c r="AA74" s="61">
        <f>IF(B74="","",IFERROR(VLOOKUP(B74,'ANÁLISE DE DADOS'!$A:$AM,25,0),""))</f>
        <v>0</v>
      </c>
      <c r="AB74" s="61">
        <f>IF(B74="","",IFERROR(VLOOKUP(B74,'ANÁLISE DE DADOS'!$A:$AM,26,0),""))</f>
        <v>1</v>
      </c>
      <c r="AC74" s="61" t="str">
        <f>IF(B74="","",IFERROR(VLOOKUP(B74,'ANÁLISE DE DADOS'!$A:$AM,27,0),""))</f>
        <v>Sim</v>
      </c>
      <c r="AD74" s="62">
        <f>IF(B74="","",IFERROR(VLOOKUP(B74,'ANÁLISE DE DADOS'!$A:$AM,28,0),""))</f>
        <v>45740</v>
      </c>
      <c r="AE74" s="61" t="str">
        <f>IF(B74="","",IFERROR(VLOOKUP(B74,'ANÁLISE DE DADOS'!$A:$AM,29,0),""))</f>
        <v>mar-25</v>
      </c>
      <c r="AF74" s="61" t="str">
        <f>IF(B74="","",IFERROR(VLOOKUP(B74,'ANÁLISE DE DADOS'!$A:$AM,30,0),""))</f>
        <v>2025</v>
      </c>
      <c r="AG74" s="62">
        <f>IF(B74="","",IFERROR(VLOOKUP(B74,'ANÁLISE DE DADOS'!$A:$AM,31,0),""))</f>
        <v>45772</v>
      </c>
      <c r="AH74" s="61" t="str">
        <f>IF(B74="","",IFERROR(VLOOKUP(B74,'ANÁLISE DE DADOS'!$A:$AM,32,0),""))</f>
        <v>abr-25</v>
      </c>
      <c r="AI74" s="61" t="str">
        <f>IF(B74="","",IFERROR(VLOOKUP(B74,'ANÁLISE DE DADOS'!$A:$AM,33,0),""))</f>
        <v>2025</v>
      </c>
      <c r="AJ74" s="61" t="str">
        <f>IF(B74="","",IFERROR(VLOOKUP(B74,'ANÁLISE DE DADOS'!$A:$AM,34,0),""))</f>
        <v>Acompanhando</v>
      </c>
      <c r="AK74" s="63">
        <f ca="1">IF(B74="","",IFERROR(VLOOKUP(B74,'ANÁLISE DE DADOS'!$A:$AM,35,0),""))</f>
        <v>1700</v>
      </c>
      <c r="AL74" s="63" t="str">
        <f ca="1">IF(B74="","",IFERROR(VLOOKUP(B74,'ANÁLISE DE DADOS'!$A:$AM,36,0),""))</f>
        <v>0</v>
      </c>
    </row>
    <row r="75" spans="2:38" x14ac:dyDescent="0.3">
      <c r="B75" s="30">
        <v>71</v>
      </c>
      <c r="C75" s="61">
        <f>IF(B75="","",IFERROR(VLOOKUP(B75,'ANÁLISE DE DADOS'!$A:$AM,1,0),""))</f>
        <v>71</v>
      </c>
      <c r="D75" s="61" t="str">
        <f>IF(B75="","",IFERROR(VLOOKUP(B75,'ANÁLISE DE DADOS'!$A:$AM,2,0),""))</f>
        <v>Matriz</v>
      </c>
      <c r="E75" s="61">
        <f>IF(B75="","",IFERROR(VLOOKUP(B75,'ANÁLISE DE DADOS'!$A:$AM,3,0),""))</f>
        <v>0</v>
      </c>
      <c r="F75" s="61" t="str">
        <f>IF(B75="","",IFERROR(VLOOKUP(B75,'ANÁLISE DE DADOS'!$A:$AM,4,0),""))</f>
        <v>GlobalTech</v>
      </c>
      <c r="G75" s="62">
        <f>IF(B75="","",IFERROR(VLOOKUP(B75,'ANÁLISE DE DADOS'!$A:$AM,5,0),""))</f>
        <v>45709</v>
      </c>
      <c r="H75" s="62" t="str">
        <f>IF(B75="","",IFERROR(VLOOKUP(B75,'ANÁLISE DE DADOS'!$A:$AM,6,0),""))</f>
        <v>fev-25</v>
      </c>
      <c r="I75" s="62" t="str">
        <f>IF(B75="","",IFERROR(VLOOKUP(B75,'ANÁLISE DE DADOS'!$A:$AM,7,0),""))</f>
        <v>2025</v>
      </c>
      <c r="J75" s="62">
        <f>IF(B75="","",IFERROR(VLOOKUP(B75,'ANÁLISE DE DADOS'!$A:$AM,8,0),""))</f>
        <v>45737</v>
      </c>
      <c r="K75" s="61" t="str">
        <f>IF(B75="","",IFERROR(VLOOKUP(B75,'ANÁLISE DE DADOS'!$A:$AM,9,0),""))</f>
        <v>mar-25</v>
      </c>
      <c r="L75" s="61" t="str">
        <f>IF(B75="","",IFERROR(VLOOKUP(B75,'ANÁLISE DE DADOS'!$A:$AM,10,0),""))</f>
        <v>2025</v>
      </c>
      <c r="M75" s="62">
        <f>IF(B75="","",IFERROR(VLOOKUP(B75,'ANÁLISE DE DADOS'!$A:$AM,11,0),""))</f>
        <v>45737</v>
      </c>
      <c r="N75" s="61" t="str">
        <f>IF(B75="","",IFERROR(VLOOKUP(B75,'ANÁLISE DE DADOS'!$A:$AM,12,0),""))</f>
        <v>mar-25</v>
      </c>
      <c r="O75" s="61" t="str">
        <f>IF(B75="","",IFERROR(VLOOKUP(B75,'ANÁLISE DE DADOS'!$A:$AM,13,0),""))</f>
        <v>2025</v>
      </c>
      <c r="P75" s="63">
        <f>IF(B75="","",IFERROR(VLOOKUP(B75,'ANÁLISE DE DADOS'!$A:$AM,14,0),""))</f>
        <v>2200</v>
      </c>
      <c r="Q75" s="61" t="str">
        <f>IF(B75="","",IFERROR(VLOOKUP(B75,'ANÁLISE DE DADOS'!$A:$AM,15,0),""))</f>
        <v>Fernanda</v>
      </c>
      <c r="R75" s="61" t="str">
        <f>IF(B75="","",IFERROR(VLOOKUP(B75,'ANÁLISE DE DADOS'!$A:$AM,16,0),""))</f>
        <v>ANALISTA LUCAS</v>
      </c>
      <c r="S75" s="61" t="str">
        <f>IF(B75="","",IFERROR(VLOOKUP(B75,'ANÁLISE DE DADOS'!$A:$AM,17,0),""))</f>
        <v>NÃO</v>
      </c>
      <c r="T75" s="61" t="str">
        <f>IF(B75="","",IFERROR(VLOOKUP(B75,'ANÁLISE DE DADOS'!$A:$AM,18,0),""))</f>
        <v>Sem Retorno</v>
      </c>
      <c r="U75" s="61" t="str">
        <f ca="1">IF(B75="","",IFERROR(VLOOKUP(B75,'ANÁLISE DE DADOS'!$A:$AM,19,0),""))</f>
        <v>Vencido</v>
      </c>
      <c r="V75" s="61">
        <f ca="1">IF(B75="","",IFERROR(VLOOKUP(B75,'ANÁLISE DE DADOS'!$A:$AM,20,0),""))</f>
        <v>58</v>
      </c>
      <c r="W75" s="61" t="str">
        <f ca="1">IF(B75="","",IFERROR(VLOOKUP(B75,'ANÁLISE DE DADOS'!$A:$AM,21,0),""))</f>
        <v>31-60 dias</v>
      </c>
      <c r="X75" s="61" t="str">
        <f ca="1">IF(B75="","",IFERROR(VLOOKUP(B75,'ANÁLISE DE DADOS'!$A:$AM,22,0),""))</f>
        <v>Atraso Médio</v>
      </c>
      <c r="Y75" s="61" t="str">
        <f>IF(B75="","",IFERROR(VLOOKUP(B75,'ANÁLISE DE DADOS'!$A:$AM,23,0),""))</f>
        <v>-</v>
      </c>
      <c r="Z75" s="61" t="str">
        <f>IF(B75="","",IFERROR(VLOOKUP(B75,'ANÁLISE DE DADOS'!$A:$AM,24,0),""))</f>
        <v>Sim</v>
      </c>
      <c r="AA75" s="61">
        <f>IF(B75="","",IFERROR(VLOOKUP(B75,'ANÁLISE DE DADOS'!$A:$AM,25,0),""))</f>
        <v>0</v>
      </c>
      <c r="AB75" s="61">
        <f>IF(B75="","",IFERROR(VLOOKUP(B75,'ANÁLISE DE DADOS'!$A:$AM,26,0),""))</f>
        <v>1</v>
      </c>
      <c r="AC75" s="61" t="str">
        <f>IF(B75="","",IFERROR(VLOOKUP(B75,'ANÁLISE DE DADOS'!$A:$AM,27,0),""))</f>
        <v>Sim</v>
      </c>
      <c r="AD75" s="62">
        <f>IF(B75="","",IFERROR(VLOOKUP(B75,'ANÁLISE DE DADOS'!$A:$AM,28,0),""))</f>
        <v>45740</v>
      </c>
      <c r="AE75" s="61" t="str">
        <f>IF(B75="","",IFERROR(VLOOKUP(B75,'ANÁLISE DE DADOS'!$A:$AM,29,0),""))</f>
        <v>mar-25</v>
      </c>
      <c r="AF75" s="61" t="str">
        <f>IF(B75="","",IFERROR(VLOOKUP(B75,'ANÁLISE DE DADOS'!$A:$AM,30,0),""))</f>
        <v>2025</v>
      </c>
      <c r="AG75" s="62">
        <f>IF(B75="","",IFERROR(VLOOKUP(B75,'ANÁLISE DE DADOS'!$A:$AM,31,0),""))</f>
        <v>45772</v>
      </c>
      <c r="AH75" s="61" t="str">
        <f>IF(B75="","",IFERROR(VLOOKUP(B75,'ANÁLISE DE DADOS'!$A:$AM,32,0),""))</f>
        <v>abr-25</v>
      </c>
      <c r="AI75" s="61" t="str">
        <f>IF(B75="","",IFERROR(VLOOKUP(B75,'ANÁLISE DE DADOS'!$A:$AM,33,0),""))</f>
        <v>2025</v>
      </c>
      <c r="AJ75" s="61" t="str">
        <f>IF(B75="","",IFERROR(VLOOKUP(B75,'ANÁLISE DE DADOS'!$A:$AM,34,0),""))</f>
        <v>Acompanhando</v>
      </c>
      <c r="AK75" s="63">
        <f ca="1">IF(B75="","",IFERROR(VLOOKUP(B75,'ANÁLISE DE DADOS'!$A:$AM,35,0),""))</f>
        <v>2200</v>
      </c>
      <c r="AL75" s="63" t="str">
        <f ca="1">IF(B75="","",IFERROR(VLOOKUP(B75,'ANÁLISE DE DADOS'!$A:$AM,36,0),""))</f>
        <v>0</v>
      </c>
    </row>
    <row r="76" spans="2:38" x14ac:dyDescent="0.3">
      <c r="B76" s="30">
        <v>72</v>
      </c>
      <c r="C76" s="61">
        <f>IF(B76="","",IFERROR(VLOOKUP(B76,'ANÁLISE DE DADOS'!$A:$AM,1,0),""))</f>
        <v>72</v>
      </c>
      <c r="D76" s="61" t="str">
        <f>IF(B76="","",IFERROR(VLOOKUP(B76,'ANÁLISE DE DADOS'!$A:$AM,2,0),""))</f>
        <v>Filial</v>
      </c>
      <c r="E76" s="61">
        <f>IF(B76="","",IFERROR(VLOOKUP(B76,'ANÁLISE DE DADOS'!$A:$AM,3,0),""))</f>
        <v>0</v>
      </c>
      <c r="F76" s="61" t="str">
        <f>IF(B76="","",IFERROR(VLOOKUP(B76,'ANÁLISE DE DADOS'!$A:$AM,4,0),""))</f>
        <v>GlobalTech</v>
      </c>
      <c r="G76" s="62">
        <f>IF(B76="","",IFERROR(VLOOKUP(B76,'ANÁLISE DE DADOS'!$A:$AM,5,0),""))</f>
        <v>45709</v>
      </c>
      <c r="H76" s="62" t="str">
        <f>IF(B76="","",IFERROR(VLOOKUP(B76,'ANÁLISE DE DADOS'!$A:$AM,6,0),""))</f>
        <v>fev-25</v>
      </c>
      <c r="I76" s="62" t="str">
        <f>IF(B76="","",IFERROR(VLOOKUP(B76,'ANÁLISE DE DADOS'!$A:$AM,7,0),""))</f>
        <v>2025</v>
      </c>
      <c r="J76" s="62">
        <f>IF(B76="","",IFERROR(VLOOKUP(B76,'ANÁLISE DE DADOS'!$A:$AM,8,0),""))</f>
        <v>45737</v>
      </c>
      <c r="K76" s="61" t="str">
        <f>IF(B76="","",IFERROR(VLOOKUP(B76,'ANÁLISE DE DADOS'!$A:$AM,9,0),""))</f>
        <v>mar-25</v>
      </c>
      <c r="L76" s="61" t="str">
        <f>IF(B76="","",IFERROR(VLOOKUP(B76,'ANÁLISE DE DADOS'!$A:$AM,10,0),""))</f>
        <v>2025</v>
      </c>
      <c r="M76" s="62">
        <f>IF(B76="","",IFERROR(VLOOKUP(B76,'ANÁLISE DE DADOS'!$A:$AM,11,0),""))</f>
        <v>45737</v>
      </c>
      <c r="N76" s="61" t="str">
        <f>IF(B76="","",IFERROR(VLOOKUP(B76,'ANÁLISE DE DADOS'!$A:$AM,12,0),""))</f>
        <v>mar-25</v>
      </c>
      <c r="O76" s="61" t="str">
        <f>IF(B76="","",IFERROR(VLOOKUP(B76,'ANÁLISE DE DADOS'!$A:$AM,13,0),""))</f>
        <v>2025</v>
      </c>
      <c r="P76" s="63">
        <f>IF(B76="","",IFERROR(VLOOKUP(B76,'ANÁLISE DE DADOS'!$A:$AM,14,0),""))</f>
        <v>2200</v>
      </c>
      <c r="Q76" s="61" t="str">
        <f>IF(B76="","",IFERROR(VLOOKUP(B76,'ANÁLISE DE DADOS'!$A:$AM,15,0),""))</f>
        <v>Fernanda</v>
      </c>
      <c r="R76" s="61" t="str">
        <f>IF(B76="","",IFERROR(VLOOKUP(B76,'ANÁLISE DE DADOS'!$A:$AM,16,0),""))</f>
        <v>ANALISTA SIMONE</v>
      </c>
      <c r="S76" s="61" t="str">
        <f>IF(B76="","",IFERROR(VLOOKUP(B76,'ANÁLISE DE DADOS'!$A:$AM,17,0),""))</f>
        <v>NÃO</v>
      </c>
      <c r="T76" s="61" t="str">
        <f>IF(B76="","",IFERROR(VLOOKUP(B76,'ANÁLISE DE DADOS'!$A:$AM,18,0),""))</f>
        <v>Sem Retorno</v>
      </c>
      <c r="U76" s="61" t="str">
        <f ca="1">IF(B76="","",IFERROR(VLOOKUP(B76,'ANÁLISE DE DADOS'!$A:$AM,19,0),""))</f>
        <v>Vencido</v>
      </c>
      <c r="V76" s="61">
        <f ca="1">IF(B76="","",IFERROR(VLOOKUP(B76,'ANÁLISE DE DADOS'!$A:$AM,20,0),""))</f>
        <v>58</v>
      </c>
      <c r="W76" s="61" t="str">
        <f ca="1">IF(B76="","",IFERROR(VLOOKUP(B76,'ANÁLISE DE DADOS'!$A:$AM,21,0),""))</f>
        <v>31-60 dias</v>
      </c>
      <c r="X76" s="61" t="str">
        <f ca="1">IF(B76="","",IFERROR(VLOOKUP(B76,'ANÁLISE DE DADOS'!$A:$AM,22,0),""))</f>
        <v>Atraso Médio</v>
      </c>
      <c r="Y76" s="61" t="str">
        <f>IF(B76="","",IFERROR(VLOOKUP(B76,'ANÁLISE DE DADOS'!$A:$AM,23,0),""))</f>
        <v>-</v>
      </c>
      <c r="Z76" s="61" t="str">
        <f>IF(B76="","",IFERROR(VLOOKUP(B76,'ANÁLISE DE DADOS'!$A:$AM,24,0),""))</f>
        <v>Sim</v>
      </c>
      <c r="AA76" s="61">
        <f>IF(B76="","",IFERROR(VLOOKUP(B76,'ANÁLISE DE DADOS'!$A:$AM,25,0),""))</f>
        <v>0</v>
      </c>
      <c r="AB76" s="61">
        <f>IF(B76="","",IFERROR(VLOOKUP(B76,'ANÁLISE DE DADOS'!$A:$AM,26,0),""))</f>
        <v>1</v>
      </c>
      <c r="AC76" s="61" t="str">
        <f>IF(B76="","",IFERROR(VLOOKUP(B76,'ANÁLISE DE DADOS'!$A:$AM,27,0),""))</f>
        <v>Sim</v>
      </c>
      <c r="AD76" s="62">
        <f>IF(B76="","",IFERROR(VLOOKUP(B76,'ANÁLISE DE DADOS'!$A:$AM,28,0),""))</f>
        <v>45740</v>
      </c>
      <c r="AE76" s="61" t="str">
        <f>IF(B76="","",IFERROR(VLOOKUP(B76,'ANÁLISE DE DADOS'!$A:$AM,29,0),""))</f>
        <v>mar-25</v>
      </c>
      <c r="AF76" s="61" t="str">
        <f>IF(B76="","",IFERROR(VLOOKUP(B76,'ANÁLISE DE DADOS'!$A:$AM,30,0),""))</f>
        <v>2025</v>
      </c>
      <c r="AG76" s="62">
        <f>IF(B76="","",IFERROR(VLOOKUP(B76,'ANÁLISE DE DADOS'!$A:$AM,31,0),""))</f>
        <v>45772</v>
      </c>
      <c r="AH76" s="61" t="str">
        <f>IF(B76="","",IFERROR(VLOOKUP(B76,'ANÁLISE DE DADOS'!$A:$AM,32,0),""))</f>
        <v>abr-25</v>
      </c>
      <c r="AI76" s="61" t="str">
        <f>IF(B76="","",IFERROR(VLOOKUP(B76,'ANÁLISE DE DADOS'!$A:$AM,33,0),""))</f>
        <v>2025</v>
      </c>
      <c r="AJ76" s="61" t="str">
        <f>IF(B76="","",IFERROR(VLOOKUP(B76,'ANÁLISE DE DADOS'!$A:$AM,34,0),""))</f>
        <v>Acompanhando</v>
      </c>
      <c r="AK76" s="63">
        <f ca="1">IF(B76="","",IFERROR(VLOOKUP(B76,'ANÁLISE DE DADOS'!$A:$AM,35,0),""))</f>
        <v>2200</v>
      </c>
      <c r="AL76" s="63" t="str">
        <f ca="1">IF(B76="","",IFERROR(VLOOKUP(B76,'ANÁLISE DE DADOS'!$A:$AM,36,0),""))</f>
        <v>0</v>
      </c>
    </row>
    <row r="77" spans="2:38" x14ac:dyDescent="0.3">
      <c r="B77" s="30" t="s">
        <v>119</v>
      </c>
      <c r="C77" s="61" t="str">
        <f>IF(B77="","",IFERROR(VLOOKUP(B77,'ANÁLISE DE DADOS'!$A:$AM,1,0),""))</f>
        <v/>
      </c>
      <c r="D77" s="61" t="str">
        <f>IF(B77="","",IFERROR(VLOOKUP(B77,'ANÁLISE DE DADOS'!$A:$AM,2,0),""))</f>
        <v/>
      </c>
      <c r="E77" s="61" t="str">
        <f>IF(B77="","",IFERROR(VLOOKUP(B77,'ANÁLISE DE DADOS'!$A:$AM,3,0),""))</f>
        <v/>
      </c>
      <c r="F77" s="61" t="str">
        <f>IF(B77="","",IFERROR(VLOOKUP(B77,'ANÁLISE DE DADOS'!$A:$AM,4,0),""))</f>
        <v/>
      </c>
      <c r="G77" s="62" t="str">
        <f>IF(B77="","",IFERROR(VLOOKUP(B77,'ANÁLISE DE DADOS'!$A:$AM,5,0),""))</f>
        <v/>
      </c>
      <c r="H77" s="62" t="str">
        <f>IF(B77="","",IFERROR(VLOOKUP(B77,'ANÁLISE DE DADOS'!$A:$AM,6,0),""))</f>
        <v/>
      </c>
      <c r="I77" s="62" t="str">
        <f>IF(B77="","",IFERROR(VLOOKUP(B77,'ANÁLISE DE DADOS'!$A:$AM,7,0),""))</f>
        <v/>
      </c>
      <c r="J77" s="62" t="str">
        <f>IF(B77="","",IFERROR(VLOOKUP(B77,'ANÁLISE DE DADOS'!$A:$AM,8,0),""))</f>
        <v/>
      </c>
      <c r="K77" s="61" t="str">
        <f>IF(B77="","",IFERROR(VLOOKUP(B77,'ANÁLISE DE DADOS'!$A:$AM,9,0),""))</f>
        <v/>
      </c>
      <c r="L77" s="61" t="str">
        <f>IF(B77="","",IFERROR(VLOOKUP(B77,'ANÁLISE DE DADOS'!$A:$AM,10,0),""))</f>
        <v/>
      </c>
      <c r="M77" s="62" t="str">
        <f>IF(B77="","",IFERROR(VLOOKUP(B77,'ANÁLISE DE DADOS'!$A:$AM,11,0),""))</f>
        <v/>
      </c>
      <c r="N77" s="61" t="str">
        <f>IF(B77="","",IFERROR(VLOOKUP(B77,'ANÁLISE DE DADOS'!$A:$AM,12,0),""))</f>
        <v/>
      </c>
      <c r="O77" s="61" t="str">
        <f>IF(B77="","",IFERROR(VLOOKUP(B77,'ANÁLISE DE DADOS'!$A:$AM,13,0),""))</f>
        <v/>
      </c>
      <c r="P77" s="63" t="str">
        <f>IF(B77="","",IFERROR(VLOOKUP(B77,'ANÁLISE DE DADOS'!$A:$AM,14,0),""))</f>
        <v/>
      </c>
      <c r="Q77" s="61" t="str">
        <f>IF(B77="","",IFERROR(VLOOKUP(B77,'ANÁLISE DE DADOS'!$A:$AM,15,0),""))</f>
        <v/>
      </c>
      <c r="R77" s="61" t="str">
        <f>IF(B77="","",IFERROR(VLOOKUP(B77,'ANÁLISE DE DADOS'!$A:$AM,16,0),""))</f>
        <v/>
      </c>
      <c r="S77" s="61" t="str">
        <f>IF(B77="","",IFERROR(VLOOKUP(B77,'ANÁLISE DE DADOS'!$A:$AM,17,0),""))</f>
        <v/>
      </c>
      <c r="T77" s="61" t="str">
        <f>IF(B77="","",IFERROR(VLOOKUP(B77,'ANÁLISE DE DADOS'!$A:$AM,18,0),""))</f>
        <v/>
      </c>
      <c r="U77" s="61" t="str">
        <f>IF(B77="","",IFERROR(VLOOKUP(B77,'ANÁLISE DE DADOS'!$A:$AM,19,0),""))</f>
        <v/>
      </c>
      <c r="V77" s="61" t="str">
        <f>IF(B77="","",IFERROR(VLOOKUP(B77,'ANÁLISE DE DADOS'!$A:$AM,20,0),""))</f>
        <v/>
      </c>
      <c r="W77" s="61" t="str">
        <f>IF(B77="","",IFERROR(VLOOKUP(B77,'ANÁLISE DE DADOS'!$A:$AM,21,0),""))</f>
        <v/>
      </c>
      <c r="X77" s="61" t="str">
        <f>IF(B77="","",IFERROR(VLOOKUP(B77,'ANÁLISE DE DADOS'!$A:$AM,22,0),""))</f>
        <v/>
      </c>
      <c r="Y77" s="61" t="str">
        <f>IF(B77="","",IFERROR(VLOOKUP(B77,'ANÁLISE DE DADOS'!$A:$AM,23,0),""))</f>
        <v/>
      </c>
      <c r="Z77" s="61" t="str">
        <f>IF(B77="","",IFERROR(VLOOKUP(B77,'ANÁLISE DE DADOS'!$A:$AM,24,0),""))</f>
        <v/>
      </c>
      <c r="AA77" s="61" t="str">
        <f>IF(B77="","",IFERROR(VLOOKUP(B77,'ANÁLISE DE DADOS'!$A:$AM,25,0),""))</f>
        <v/>
      </c>
      <c r="AB77" s="61" t="str">
        <f>IF(B77="","",IFERROR(VLOOKUP(B77,'ANÁLISE DE DADOS'!$A:$AM,26,0),""))</f>
        <v/>
      </c>
      <c r="AC77" s="61" t="str">
        <f>IF(B77="","",IFERROR(VLOOKUP(B77,'ANÁLISE DE DADOS'!$A:$AM,27,0),""))</f>
        <v/>
      </c>
      <c r="AD77" s="62" t="str">
        <f>IF(B77="","",IFERROR(VLOOKUP(B77,'ANÁLISE DE DADOS'!$A:$AM,28,0),""))</f>
        <v/>
      </c>
      <c r="AE77" s="61" t="str">
        <f>IF(B77="","",IFERROR(VLOOKUP(B77,'ANÁLISE DE DADOS'!$A:$AM,29,0),""))</f>
        <v/>
      </c>
      <c r="AF77" s="61" t="str">
        <f>IF(B77="","",IFERROR(VLOOKUP(B77,'ANÁLISE DE DADOS'!$A:$AM,30,0),""))</f>
        <v/>
      </c>
      <c r="AG77" s="62" t="str">
        <f>IF(B77="","",IFERROR(VLOOKUP(B77,'ANÁLISE DE DADOS'!$A:$AM,31,0),""))</f>
        <v/>
      </c>
      <c r="AH77" s="61" t="str">
        <f>IF(B77="","",IFERROR(VLOOKUP(B77,'ANÁLISE DE DADOS'!$A:$AM,32,0),""))</f>
        <v/>
      </c>
      <c r="AI77" s="61" t="str">
        <f>IF(B77="","",IFERROR(VLOOKUP(B77,'ANÁLISE DE DADOS'!$A:$AM,33,0),""))</f>
        <v/>
      </c>
      <c r="AJ77" s="61" t="str">
        <f>IF(B77="","",IFERROR(VLOOKUP(B77,'ANÁLISE DE DADOS'!$A:$AM,34,0),""))</f>
        <v/>
      </c>
      <c r="AK77" s="63" t="str">
        <f>IF(B77="","",IFERROR(VLOOKUP(B77,'ANÁLISE DE DADOS'!$A:$AM,35,0),""))</f>
        <v/>
      </c>
      <c r="AL77" s="63" t="str">
        <f>IF(B77="","",IFERROR(VLOOKUP(B77,'ANÁLISE DE DADOS'!$A:$AM,36,0),""))</f>
        <v/>
      </c>
    </row>
    <row r="78" spans="2:38" x14ac:dyDescent="0.3">
      <c r="C78" s="61" t="str">
        <f>IF(B78="","",IFERROR(VLOOKUP(B78,'ANÁLISE DE DADOS'!$A:$AM,1,0),""))</f>
        <v/>
      </c>
      <c r="D78" s="61" t="str">
        <f>IF(B78="","",IFERROR(VLOOKUP(B78,'ANÁLISE DE DADOS'!$A:$AM,2,0),""))</f>
        <v/>
      </c>
      <c r="E78" s="61" t="str">
        <f>IF(B78="","",IFERROR(VLOOKUP(B78,'ANÁLISE DE DADOS'!$A:$AM,3,0),""))</f>
        <v/>
      </c>
      <c r="F78" s="61" t="str">
        <f>IF(B78="","",IFERROR(VLOOKUP(B78,'ANÁLISE DE DADOS'!$A:$AM,4,0),""))</f>
        <v/>
      </c>
      <c r="G78" s="62" t="str">
        <f>IF(B78="","",IFERROR(VLOOKUP(B78,'ANÁLISE DE DADOS'!$A:$AM,5,0),""))</f>
        <v/>
      </c>
      <c r="H78" s="62" t="str">
        <f>IF(B78="","",IFERROR(VLOOKUP(B78,'ANÁLISE DE DADOS'!$A:$AM,6,0),""))</f>
        <v/>
      </c>
      <c r="I78" s="62" t="str">
        <f>IF(B78="","",IFERROR(VLOOKUP(B78,'ANÁLISE DE DADOS'!$A:$AM,7,0),""))</f>
        <v/>
      </c>
      <c r="J78" s="62" t="str">
        <f>IF(B78="","",IFERROR(VLOOKUP(B78,'ANÁLISE DE DADOS'!$A:$AM,8,0),""))</f>
        <v/>
      </c>
      <c r="K78" s="61" t="str">
        <f>IF(B78="","",IFERROR(VLOOKUP(B78,'ANÁLISE DE DADOS'!$A:$AM,9,0),""))</f>
        <v/>
      </c>
      <c r="L78" s="61" t="str">
        <f>IF(B78="","",IFERROR(VLOOKUP(B78,'ANÁLISE DE DADOS'!$A:$AM,10,0),""))</f>
        <v/>
      </c>
      <c r="M78" s="62" t="str">
        <f>IF(B78="","",IFERROR(VLOOKUP(B78,'ANÁLISE DE DADOS'!$A:$AM,11,0),""))</f>
        <v/>
      </c>
      <c r="N78" s="61" t="str">
        <f>IF(B78="","",IFERROR(VLOOKUP(B78,'ANÁLISE DE DADOS'!$A:$AM,12,0),""))</f>
        <v/>
      </c>
      <c r="O78" s="61" t="str">
        <f>IF(B78="","",IFERROR(VLOOKUP(B78,'ANÁLISE DE DADOS'!$A:$AM,13,0),""))</f>
        <v/>
      </c>
      <c r="P78" s="63" t="str">
        <f>IF(B78="","",IFERROR(VLOOKUP(B78,'ANÁLISE DE DADOS'!$A:$AM,14,0),""))</f>
        <v/>
      </c>
      <c r="Q78" s="61" t="str">
        <f>IF(B78="","",IFERROR(VLOOKUP(B78,'ANÁLISE DE DADOS'!$A:$AM,15,0),""))</f>
        <v/>
      </c>
      <c r="R78" s="61" t="str">
        <f>IF(B78="","",IFERROR(VLOOKUP(B78,'ANÁLISE DE DADOS'!$A:$AM,16,0),""))</f>
        <v/>
      </c>
      <c r="S78" s="61" t="str">
        <f>IF(B78="","",IFERROR(VLOOKUP(B78,'ANÁLISE DE DADOS'!$A:$AM,17,0),""))</f>
        <v/>
      </c>
      <c r="T78" s="61" t="str">
        <f>IF(B78="","",IFERROR(VLOOKUP(B78,'ANÁLISE DE DADOS'!$A:$AM,18,0),""))</f>
        <v/>
      </c>
      <c r="U78" s="61" t="str">
        <f>IF(B78="","",IFERROR(VLOOKUP(B78,'ANÁLISE DE DADOS'!$A:$AM,19,0),""))</f>
        <v/>
      </c>
      <c r="V78" s="61" t="str">
        <f>IF(B78="","",IFERROR(VLOOKUP(B78,'ANÁLISE DE DADOS'!$A:$AM,20,0),""))</f>
        <v/>
      </c>
      <c r="W78" s="61" t="str">
        <f>IF(B78="","",IFERROR(VLOOKUP(B78,'ANÁLISE DE DADOS'!$A:$AM,21,0),""))</f>
        <v/>
      </c>
      <c r="X78" s="61" t="str">
        <f>IF(B78="","",IFERROR(VLOOKUP(B78,'ANÁLISE DE DADOS'!$A:$AM,22,0),""))</f>
        <v/>
      </c>
      <c r="Y78" s="61" t="str">
        <f>IF(B78="","",IFERROR(VLOOKUP(B78,'ANÁLISE DE DADOS'!$A:$AM,23,0),""))</f>
        <v/>
      </c>
      <c r="Z78" s="61" t="str">
        <f>IF(B78="","",IFERROR(VLOOKUP(B78,'ANÁLISE DE DADOS'!$A:$AM,24,0),""))</f>
        <v/>
      </c>
      <c r="AA78" s="61" t="str">
        <f>IF(B78="","",IFERROR(VLOOKUP(B78,'ANÁLISE DE DADOS'!$A:$AM,25,0),""))</f>
        <v/>
      </c>
      <c r="AB78" s="61" t="str">
        <f>IF(B78="","",IFERROR(VLOOKUP(B78,'ANÁLISE DE DADOS'!$A:$AM,26,0),""))</f>
        <v/>
      </c>
      <c r="AC78" s="61" t="str">
        <f>IF(B78="","",IFERROR(VLOOKUP(B78,'ANÁLISE DE DADOS'!$A:$AM,27,0),""))</f>
        <v/>
      </c>
      <c r="AD78" s="62" t="str">
        <f>IF(B78="","",IFERROR(VLOOKUP(B78,'ANÁLISE DE DADOS'!$A:$AM,28,0),""))</f>
        <v/>
      </c>
      <c r="AE78" s="61" t="str">
        <f>IF(B78="","",IFERROR(VLOOKUP(B78,'ANÁLISE DE DADOS'!$A:$AM,29,0),""))</f>
        <v/>
      </c>
      <c r="AF78" s="61" t="str">
        <f>IF(B78="","",IFERROR(VLOOKUP(B78,'ANÁLISE DE DADOS'!$A:$AM,30,0),""))</f>
        <v/>
      </c>
      <c r="AG78" s="62" t="str">
        <f>IF(B78="","",IFERROR(VLOOKUP(B78,'ANÁLISE DE DADOS'!$A:$AM,31,0),""))</f>
        <v/>
      </c>
      <c r="AH78" s="61" t="str">
        <f>IF(B78="","",IFERROR(VLOOKUP(B78,'ANÁLISE DE DADOS'!$A:$AM,32,0),""))</f>
        <v/>
      </c>
      <c r="AI78" s="61" t="str">
        <f>IF(B78="","",IFERROR(VLOOKUP(B78,'ANÁLISE DE DADOS'!$A:$AM,33,0),""))</f>
        <v/>
      </c>
      <c r="AJ78" s="61" t="str">
        <f>IF(B78="","",IFERROR(VLOOKUP(B78,'ANÁLISE DE DADOS'!$A:$AM,34,0),""))</f>
        <v/>
      </c>
      <c r="AK78" s="63" t="str">
        <f>IF(B78="","",IFERROR(VLOOKUP(B78,'ANÁLISE DE DADOS'!$A:$AM,35,0),""))</f>
        <v/>
      </c>
      <c r="AL78" s="63" t="str">
        <f>IF(B78="","",IFERROR(VLOOKUP(B78,'ANÁLISE DE DADOS'!$A:$AM,36,0),""))</f>
        <v/>
      </c>
    </row>
    <row r="79" spans="2:38" x14ac:dyDescent="0.3">
      <c r="C79" s="61" t="str">
        <f>IF(B79="","",IFERROR(VLOOKUP(B79,'ANÁLISE DE DADOS'!$A:$AM,1,0),""))</f>
        <v/>
      </c>
      <c r="D79" s="61" t="str">
        <f>IF(B79="","",IFERROR(VLOOKUP(B79,'ANÁLISE DE DADOS'!$A:$AM,2,0),""))</f>
        <v/>
      </c>
      <c r="E79" s="61" t="str">
        <f>IF(B79="","",IFERROR(VLOOKUP(B79,'ANÁLISE DE DADOS'!$A:$AM,3,0),""))</f>
        <v/>
      </c>
      <c r="F79" s="61" t="str">
        <f>IF(B79="","",IFERROR(VLOOKUP(B79,'ANÁLISE DE DADOS'!$A:$AM,4,0),""))</f>
        <v/>
      </c>
      <c r="G79" s="62" t="str">
        <f>IF(B79="","",IFERROR(VLOOKUP(B79,'ANÁLISE DE DADOS'!$A:$AM,5,0),""))</f>
        <v/>
      </c>
      <c r="H79" s="62" t="str">
        <f>IF(B79="","",IFERROR(VLOOKUP(B79,'ANÁLISE DE DADOS'!$A:$AM,6,0),""))</f>
        <v/>
      </c>
      <c r="I79" s="62" t="str">
        <f>IF(B79="","",IFERROR(VLOOKUP(B79,'ANÁLISE DE DADOS'!$A:$AM,7,0),""))</f>
        <v/>
      </c>
      <c r="J79" s="62" t="str">
        <f>IF(B79="","",IFERROR(VLOOKUP(B79,'ANÁLISE DE DADOS'!$A:$AM,8,0),""))</f>
        <v/>
      </c>
      <c r="K79" s="61" t="str">
        <f>IF(B79="","",IFERROR(VLOOKUP(B79,'ANÁLISE DE DADOS'!$A:$AM,9,0),""))</f>
        <v/>
      </c>
      <c r="L79" s="61" t="str">
        <f>IF(B79="","",IFERROR(VLOOKUP(B79,'ANÁLISE DE DADOS'!$A:$AM,10,0),""))</f>
        <v/>
      </c>
      <c r="M79" s="62" t="str">
        <f>IF(B79="","",IFERROR(VLOOKUP(B79,'ANÁLISE DE DADOS'!$A:$AM,11,0),""))</f>
        <v/>
      </c>
      <c r="N79" s="61" t="str">
        <f>IF(B79="","",IFERROR(VLOOKUP(B79,'ANÁLISE DE DADOS'!$A:$AM,12,0),""))</f>
        <v/>
      </c>
      <c r="O79" s="61" t="str">
        <f>IF(B79="","",IFERROR(VLOOKUP(B79,'ANÁLISE DE DADOS'!$A:$AM,13,0),""))</f>
        <v/>
      </c>
      <c r="P79" s="63" t="str">
        <f>IF(B79="","",IFERROR(VLOOKUP(B79,'ANÁLISE DE DADOS'!$A:$AM,14,0),""))</f>
        <v/>
      </c>
      <c r="Q79" s="61" t="str">
        <f>IF(B79="","",IFERROR(VLOOKUP(B79,'ANÁLISE DE DADOS'!$A:$AM,15,0),""))</f>
        <v/>
      </c>
      <c r="R79" s="61" t="str">
        <f>IF(B79="","",IFERROR(VLOOKUP(B79,'ANÁLISE DE DADOS'!$A:$AM,16,0),""))</f>
        <v/>
      </c>
      <c r="S79" s="61" t="str">
        <f>IF(B79="","",IFERROR(VLOOKUP(B79,'ANÁLISE DE DADOS'!$A:$AM,17,0),""))</f>
        <v/>
      </c>
      <c r="T79" s="61" t="str">
        <f>IF(B79="","",IFERROR(VLOOKUP(B79,'ANÁLISE DE DADOS'!$A:$AM,18,0),""))</f>
        <v/>
      </c>
      <c r="U79" s="61" t="str">
        <f>IF(B79="","",IFERROR(VLOOKUP(B79,'ANÁLISE DE DADOS'!$A:$AM,19,0),""))</f>
        <v/>
      </c>
      <c r="V79" s="61" t="str">
        <f>IF(B79="","",IFERROR(VLOOKUP(B79,'ANÁLISE DE DADOS'!$A:$AM,20,0),""))</f>
        <v/>
      </c>
      <c r="W79" s="61" t="str">
        <f>IF(B79="","",IFERROR(VLOOKUP(B79,'ANÁLISE DE DADOS'!$A:$AM,21,0),""))</f>
        <v/>
      </c>
      <c r="X79" s="61" t="str">
        <f>IF(B79="","",IFERROR(VLOOKUP(B79,'ANÁLISE DE DADOS'!$A:$AM,22,0),""))</f>
        <v/>
      </c>
      <c r="Y79" s="61" t="str">
        <f>IF(B79="","",IFERROR(VLOOKUP(B79,'ANÁLISE DE DADOS'!$A:$AM,23,0),""))</f>
        <v/>
      </c>
      <c r="Z79" s="61" t="str">
        <f>IF(B79="","",IFERROR(VLOOKUP(B79,'ANÁLISE DE DADOS'!$A:$AM,24,0),""))</f>
        <v/>
      </c>
      <c r="AA79" s="61" t="str">
        <f>IF(B79="","",IFERROR(VLOOKUP(B79,'ANÁLISE DE DADOS'!$A:$AM,25,0),""))</f>
        <v/>
      </c>
      <c r="AB79" s="61" t="str">
        <f>IF(B79="","",IFERROR(VLOOKUP(B79,'ANÁLISE DE DADOS'!$A:$AM,26,0),""))</f>
        <v/>
      </c>
      <c r="AC79" s="61" t="str">
        <f>IF(B79="","",IFERROR(VLOOKUP(B79,'ANÁLISE DE DADOS'!$A:$AM,27,0),""))</f>
        <v/>
      </c>
      <c r="AD79" s="62" t="str">
        <f>IF(B79="","",IFERROR(VLOOKUP(B79,'ANÁLISE DE DADOS'!$A:$AM,28,0),""))</f>
        <v/>
      </c>
      <c r="AE79" s="61" t="str">
        <f>IF(B79="","",IFERROR(VLOOKUP(B79,'ANÁLISE DE DADOS'!$A:$AM,29,0),""))</f>
        <v/>
      </c>
      <c r="AF79" s="61" t="str">
        <f>IF(B79="","",IFERROR(VLOOKUP(B79,'ANÁLISE DE DADOS'!$A:$AM,30,0),""))</f>
        <v/>
      </c>
      <c r="AG79" s="62" t="str">
        <f>IF(B79="","",IFERROR(VLOOKUP(B79,'ANÁLISE DE DADOS'!$A:$AM,31,0),""))</f>
        <v/>
      </c>
      <c r="AH79" s="61" t="str">
        <f>IF(B79="","",IFERROR(VLOOKUP(B79,'ANÁLISE DE DADOS'!$A:$AM,32,0),""))</f>
        <v/>
      </c>
      <c r="AI79" s="61" t="str">
        <f>IF(B79="","",IFERROR(VLOOKUP(B79,'ANÁLISE DE DADOS'!$A:$AM,33,0),""))</f>
        <v/>
      </c>
      <c r="AJ79" s="61" t="str">
        <f>IF(B79="","",IFERROR(VLOOKUP(B79,'ANÁLISE DE DADOS'!$A:$AM,34,0),""))</f>
        <v/>
      </c>
      <c r="AK79" s="63" t="str">
        <f>IF(B79="","",IFERROR(VLOOKUP(B79,'ANÁLISE DE DADOS'!$A:$AM,35,0),""))</f>
        <v/>
      </c>
      <c r="AL79" s="63" t="str">
        <f>IF(B79="","",IFERROR(VLOOKUP(B79,'ANÁLISE DE DADOS'!$A:$AM,36,0),""))</f>
        <v/>
      </c>
    </row>
    <row r="80" spans="2:38" x14ac:dyDescent="0.3">
      <c r="C80" s="61" t="str">
        <f>IF(B80="","",IFERROR(VLOOKUP(B80,'ANÁLISE DE DADOS'!$A:$AM,1,0),""))</f>
        <v/>
      </c>
      <c r="D80" s="61" t="str">
        <f>IF(B80="","",IFERROR(VLOOKUP(B80,'ANÁLISE DE DADOS'!$A:$AM,2,0),""))</f>
        <v/>
      </c>
      <c r="E80" s="61" t="str">
        <f>IF(B80="","",IFERROR(VLOOKUP(B80,'ANÁLISE DE DADOS'!$A:$AM,3,0),""))</f>
        <v/>
      </c>
      <c r="F80" s="61" t="str">
        <f>IF(B80="","",IFERROR(VLOOKUP(B80,'ANÁLISE DE DADOS'!$A:$AM,4,0),""))</f>
        <v/>
      </c>
      <c r="G80" s="62" t="str">
        <f>IF(B80="","",IFERROR(VLOOKUP(B80,'ANÁLISE DE DADOS'!$A:$AM,5,0),""))</f>
        <v/>
      </c>
      <c r="H80" s="62" t="str">
        <f>IF(B80="","",IFERROR(VLOOKUP(B80,'ANÁLISE DE DADOS'!$A:$AM,6,0),""))</f>
        <v/>
      </c>
      <c r="I80" s="62" t="str">
        <f>IF(B80="","",IFERROR(VLOOKUP(B80,'ANÁLISE DE DADOS'!$A:$AM,7,0),""))</f>
        <v/>
      </c>
      <c r="J80" s="62" t="str">
        <f>IF(B80="","",IFERROR(VLOOKUP(B80,'ANÁLISE DE DADOS'!$A:$AM,8,0),""))</f>
        <v/>
      </c>
      <c r="K80" s="61" t="str">
        <f>IF(B80="","",IFERROR(VLOOKUP(B80,'ANÁLISE DE DADOS'!$A:$AM,9,0),""))</f>
        <v/>
      </c>
      <c r="L80" s="61" t="str">
        <f>IF(B80="","",IFERROR(VLOOKUP(B80,'ANÁLISE DE DADOS'!$A:$AM,10,0),""))</f>
        <v/>
      </c>
      <c r="M80" s="62" t="str">
        <f>IF(B80="","",IFERROR(VLOOKUP(B80,'ANÁLISE DE DADOS'!$A:$AM,11,0),""))</f>
        <v/>
      </c>
      <c r="N80" s="61" t="str">
        <f>IF(B80="","",IFERROR(VLOOKUP(B80,'ANÁLISE DE DADOS'!$A:$AM,12,0),""))</f>
        <v/>
      </c>
      <c r="O80" s="61" t="str">
        <f>IF(B80="","",IFERROR(VLOOKUP(B80,'ANÁLISE DE DADOS'!$A:$AM,13,0),""))</f>
        <v/>
      </c>
      <c r="P80" s="63" t="str">
        <f>IF(B80="","",IFERROR(VLOOKUP(B80,'ANÁLISE DE DADOS'!$A:$AM,14,0),""))</f>
        <v/>
      </c>
      <c r="Q80" s="61" t="str">
        <f>IF(B80="","",IFERROR(VLOOKUP(B80,'ANÁLISE DE DADOS'!$A:$AM,15,0),""))</f>
        <v/>
      </c>
      <c r="R80" s="61" t="str">
        <f>IF(B80="","",IFERROR(VLOOKUP(B80,'ANÁLISE DE DADOS'!$A:$AM,16,0),""))</f>
        <v/>
      </c>
      <c r="S80" s="61" t="str">
        <f>IF(B80="","",IFERROR(VLOOKUP(B80,'ANÁLISE DE DADOS'!$A:$AM,17,0),""))</f>
        <v/>
      </c>
      <c r="T80" s="61" t="str">
        <f>IF(B80="","",IFERROR(VLOOKUP(B80,'ANÁLISE DE DADOS'!$A:$AM,18,0),""))</f>
        <v/>
      </c>
      <c r="U80" s="61" t="str">
        <f>IF(B80="","",IFERROR(VLOOKUP(B80,'ANÁLISE DE DADOS'!$A:$AM,19,0),""))</f>
        <v/>
      </c>
      <c r="V80" s="61" t="str">
        <f>IF(B80="","",IFERROR(VLOOKUP(B80,'ANÁLISE DE DADOS'!$A:$AM,20,0),""))</f>
        <v/>
      </c>
      <c r="W80" s="61" t="str">
        <f>IF(B80="","",IFERROR(VLOOKUP(B80,'ANÁLISE DE DADOS'!$A:$AM,21,0),""))</f>
        <v/>
      </c>
      <c r="X80" s="61" t="str">
        <f>IF(B80="","",IFERROR(VLOOKUP(B80,'ANÁLISE DE DADOS'!$A:$AM,22,0),""))</f>
        <v/>
      </c>
      <c r="Y80" s="61" t="str">
        <f>IF(B80="","",IFERROR(VLOOKUP(B80,'ANÁLISE DE DADOS'!$A:$AM,23,0),""))</f>
        <v/>
      </c>
      <c r="Z80" s="61" t="str">
        <f>IF(B80="","",IFERROR(VLOOKUP(B80,'ANÁLISE DE DADOS'!$A:$AM,24,0),""))</f>
        <v/>
      </c>
      <c r="AA80" s="61" t="str">
        <f>IF(B80="","",IFERROR(VLOOKUP(B80,'ANÁLISE DE DADOS'!$A:$AM,25,0),""))</f>
        <v/>
      </c>
      <c r="AB80" s="61" t="str">
        <f>IF(B80="","",IFERROR(VLOOKUP(B80,'ANÁLISE DE DADOS'!$A:$AM,26,0),""))</f>
        <v/>
      </c>
      <c r="AC80" s="61" t="str">
        <f>IF(B80="","",IFERROR(VLOOKUP(B80,'ANÁLISE DE DADOS'!$A:$AM,27,0),""))</f>
        <v/>
      </c>
      <c r="AD80" s="62" t="str">
        <f>IF(B80="","",IFERROR(VLOOKUP(B80,'ANÁLISE DE DADOS'!$A:$AM,28,0),""))</f>
        <v/>
      </c>
      <c r="AE80" s="61" t="str">
        <f>IF(B80="","",IFERROR(VLOOKUP(B80,'ANÁLISE DE DADOS'!$A:$AM,29,0),""))</f>
        <v/>
      </c>
      <c r="AF80" s="61" t="str">
        <f>IF(B80="","",IFERROR(VLOOKUP(B80,'ANÁLISE DE DADOS'!$A:$AM,30,0),""))</f>
        <v/>
      </c>
      <c r="AG80" s="62" t="str">
        <f>IF(B80="","",IFERROR(VLOOKUP(B80,'ANÁLISE DE DADOS'!$A:$AM,31,0),""))</f>
        <v/>
      </c>
      <c r="AH80" s="61" t="str">
        <f>IF(B80="","",IFERROR(VLOOKUP(B80,'ANÁLISE DE DADOS'!$A:$AM,32,0),""))</f>
        <v/>
      </c>
      <c r="AI80" s="61" t="str">
        <f>IF(B80="","",IFERROR(VLOOKUP(B80,'ANÁLISE DE DADOS'!$A:$AM,33,0),""))</f>
        <v/>
      </c>
      <c r="AJ80" s="61" t="str">
        <f>IF(B80="","",IFERROR(VLOOKUP(B80,'ANÁLISE DE DADOS'!$A:$AM,34,0),""))</f>
        <v/>
      </c>
      <c r="AK80" s="63" t="str">
        <f>IF(B80="","",IFERROR(VLOOKUP(B80,'ANÁLISE DE DADOS'!$A:$AM,35,0),""))</f>
        <v/>
      </c>
      <c r="AL80" s="63" t="str">
        <f>IF(B80="","",IFERROR(VLOOKUP(B80,'ANÁLISE DE DADOS'!$A:$AM,36,0),""))</f>
        <v/>
      </c>
    </row>
    <row r="81" spans="3:38" x14ac:dyDescent="0.3">
      <c r="C81" s="61" t="str">
        <f>IF(B81="","",IFERROR(VLOOKUP(B81,'ANÁLISE DE DADOS'!$A:$AM,1,0),""))</f>
        <v/>
      </c>
      <c r="D81" s="61" t="str">
        <f>IF(B81="","",IFERROR(VLOOKUP(B81,'ANÁLISE DE DADOS'!$A:$AM,2,0),""))</f>
        <v/>
      </c>
      <c r="E81" s="61" t="str">
        <f>IF(B81="","",IFERROR(VLOOKUP(B81,'ANÁLISE DE DADOS'!$A:$AM,3,0),""))</f>
        <v/>
      </c>
      <c r="F81" s="61" t="str">
        <f>IF(B81="","",IFERROR(VLOOKUP(B81,'ANÁLISE DE DADOS'!$A:$AM,4,0),""))</f>
        <v/>
      </c>
      <c r="G81" s="62" t="str">
        <f>IF(B81="","",IFERROR(VLOOKUP(B81,'ANÁLISE DE DADOS'!$A:$AM,5,0),""))</f>
        <v/>
      </c>
      <c r="H81" s="62" t="str">
        <f>IF(B81="","",IFERROR(VLOOKUP(B81,'ANÁLISE DE DADOS'!$A:$AM,6,0),""))</f>
        <v/>
      </c>
      <c r="I81" s="62" t="str">
        <f>IF(B81="","",IFERROR(VLOOKUP(B81,'ANÁLISE DE DADOS'!$A:$AM,7,0),""))</f>
        <v/>
      </c>
      <c r="J81" s="62" t="str">
        <f>IF(B81="","",IFERROR(VLOOKUP(B81,'ANÁLISE DE DADOS'!$A:$AM,8,0),""))</f>
        <v/>
      </c>
      <c r="K81" s="61" t="str">
        <f>IF(B81="","",IFERROR(VLOOKUP(B81,'ANÁLISE DE DADOS'!$A:$AM,9,0),""))</f>
        <v/>
      </c>
      <c r="L81" s="61" t="str">
        <f>IF(B81="","",IFERROR(VLOOKUP(B81,'ANÁLISE DE DADOS'!$A:$AM,10,0),""))</f>
        <v/>
      </c>
      <c r="M81" s="62" t="str">
        <f>IF(B81="","",IFERROR(VLOOKUP(B81,'ANÁLISE DE DADOS'!$A:$AM,11,0),""))</f>
        <v/>
      </c>
      <c r="N81" s="61" t="str">
        <f>IF(B81="","",IFERROR(VLOOKUP(B81,'ANÁLISE DE DADOS'!$A:$AM,12,0),""))</f>
        <v/>
      </c>
      <c r="O81" s="61" t="str">
        <f>IF(B81="","",IFERROR(VLOOKUP(B81,'ANÁLISE DE DADOS'!$A:$AM,13,0),""))</f>
        <v/>
      </c>
      <c r="P81" s="63" t="str">
        <f>IF(B81="","",IFERROR(VLOOKUP(B81,'ANÁLISE DE DADOS'!$A:$AM,14,0),""))</f>
        <v/>
      </c>
      <c r="Q81" s="61" t="str">
        <f>IF(B81="","",IFERROR(VLOOKUP(B81,'ANÁLISE DE DADOS'!$A:$AM,15,0),""))</f>
        <v/>
      </c>
      <c r="R81" s="61" t="str">
        <f>IF(B81="","",IFERROR(VLOOKUP(B81,'ANÁLISE DE DADOS'!$A:$AM,16,0),""))</f>
        <v/>
      </c>
      <c r="S81" s="61" t="str">
        <f>IF(B81="","",IFERROR(VLOOKUP(B81,'ANÁLISE DE DADOS'!$A:$AM,17,0),""))</f>
        <v/>
      </c>
      <c r="T81" s="61" t="str">
        <f>IF(B81="","",IFERROR(VLOOKUP(B81,'ANÁLISE DE DADOS'!$A:$AM,18,0),""))</f>
        <v/>
      </c>
      <c r="U81" s="61" t="str">
        <f>IF(B81="","",IFERROR(VLOOKUP(B81,'ANÁLISE DE DADOS'!$A:$AM,19,0),""))</f>
        <v/>
      </c>
      <c r="V81" s="61" t="str">
        <f>IF(B81="","",IFERROR(VLOOKUP(B81,'ANÁLISE DE DADOS'!$A:$AM,20,0),""))</f>
        <v/>
      </c>
      <c r="W81" s="61" t="str">
        <f>IF(B81="","",IFERROR(VLOOKUP(B81,'ANÁLISE DE DADOS'!$A:$AM,21,0),""))</f>
        <v/>
      </c>
      <c r="X81" s="61" t="str">
        <f>IF(B81="","",IFERROR(VLOOKUP(B81,'ANÁLISE DE DADOS'!$A:$AM,22,0),""))</f>
        <v/>
      </c>
      <c r="Y81" s="61" t="str">
        <f>IF(B81="","",IFERROR(VLOOKUP(B81,'ANÁLISE DE DADOS'!$A:$AM,23,0),""))</f>
        <v/>
      </c>
      <c r="Z81" s="61" t="str">
        <f>IF(B81="","",IFERROR(VLOOKUP(B81,'ANÁLISE DE DADOS'!$A:$AM,24,0),""))</f>
        <v/>
      </c>
      <c r="AA81" s="61" t="str">
        <f>IF(B81="","",IFERROR(VLOOKUP(B81,'ANÁLISE DE DADOS'!$A:$AM,25,0),""))</f>
        <v/>
      </c>
      <c r="AB81" s="61" t="str">
        <f>IF(B81="","",IFERROR(VLOOKUP(B81,'ANÁLISE DE DADOS'!$A:$AM,26,0),""))</f>
        <v/>
      </c>
      <c r="AC81" s="61" t="str">
        <f>IF(B81="","",IFERROR(VLOOKUP(B81,'ANÁLISE DE DADOS'!$A:$AM,27,0),""))</f>
        <v/>
      </c>
      <c r="AD81" s="62" t="str">
        <f>IF(B81="","",IFERROR(VLOOKUP(B81,'ANÁLISE DE DADOS'!$A:$AM,28,0),""))</f>
        <v/>
      </c>
      <c r="AE81" s="61" t="str">
        <f>IF(B81="","",IFERROR(VLOOKUP(B81,'ANÁLISE DE DADOS'!$A:$AM,29,0),""))</f>
        <v/>
      </c>
      <c r="AF81" s="61" t="str">
        <f>IF(B81="","",IFERROR(VLOOKUP(B81,'ANÁLISE DE DADOS'!$A:$AM,30,0),""))</f>
        <v/>
      </c>
      <c r="AG81" s="62" t="str">
        <f>IF(B81="","",IFERROR(VLOOKUP(B81,'ANÁLISE DE DADOS'!$A:$AM,31,0),""))</f>
        <v/>
      </c>
      <c r="AH81" s="61" t="str">
        <f>IF(B81="","",IFERROR(VLOOKUP(B81,'ANÁLISE DE DADOS'!$A:$AM,32,0),""))</f>
        <v/>
      </c>
      <c r="AI81" s="61" t="str">
        <f>IF(B81="","",IFERROR(VLOOKUP(B81,'ANÁLISE DE DADOS'!$A:$AM,33,0),""))</f>
        <v/>
      </c>
      <c r="AJ81" s="61" t="str">
        <f>IF(B81="","",IFERROR(VLOOKUP(B81,'ANÁLISE DE DADOS'!$A:$AM,34,0),""))</f>
        <v/>
      </c>
      <c r="AK81" s="63" t="str">
        <f>IF(B81="","",IFERROR(VLOOKUP(B81,'ANÁLISE DE DADOS'!$A:$AM,35,0),""))</f>
        <v/>
      </c>
      <c r="AL81" s="63" t="str">
        <f>IF(B81="","",IFERROR(VLOOKUP(B81,'ANÁLISE DE DADOS'!$A:$AM,36,0),""))</f>
        <v/>
      </c>
    </row>
    <row r="82" spans="3:38" x14ac:dyDescent="0.3">
      <c r="C82" s="61" t="str">
        <f>IF(B82="","",IFERROR(VLOOKUP(B82,'ANÁLISE DE DADOS'!$A:$AM,1,0),""))</f>
        <v/>
      </c>
      <c r="D82" s="61" t="str">
        <f>IF(B82="","",IFERROR(VLOOKUP(B82,'ANÁLISE DE DADOS'!$A:$AM,2,0),""))</f>
        <v/>
      </c>
      <c r="E82" s="61" t="str">
        <f>IF(B82="","",IFERROR(VLOOKUP(B82,'ANÁLISE DE DADOS'!$A:$AM,3,0),""))</f>
        <v/>
      </c>
      <c r="F82" s="61" t="str">
        <f>IF(B82="","",IFERROR(VLOOKUP(B82,'ANÁLISE DE DADOS'!$A:$AM,4,0),""))</f>
        <v/>
      </c>
      <c r="G82" s="62" t="str">
        <f>IF(B82="","",IFERROR(VLOOKUP(B82,'ANÁLISE DE DADOS'!$A:$AM,5,0),""))</f>
        <v/>
      </c>
      <c r="H82" s="62" t="str">
        <f>IF(B82="","",IFERROR(VLOOKUP(B82,'ANÁLISE DE DADOS'!$A:$AM,6,0),""))</f>
        <v/>
      </c>
      <c r="I82" s="62" t="str">
        <f>IF(B82="","",IFERROR(VLOOKUP(B82,'ANÁLISE DE DADOS'!$A:$AM,7,0),""))</f>
        <v/>
      </c>
      <c r="J82" s="62" t="str">
        <f>IF(B82="","",IFERROR(VLOOKUP(B82,'ANÁLISE DE DADOS'!$A:$AM,8,0),""))</f>
        <v/>
      </c>
      <c r="K82" s="61" t="str">
        <f>IF(B82="","",IFERROR(VLOOKUP(B82,'ANÁLISE DE DADOS'!$A:$AM,9,0),""))</f>
        <v/>
      </c>
      <c r="L82" s="61" t="str">
        <f>IF(B82="","",IFERROR(VLOOKUP(B82,'ANÁLISE DE DADOS'!$A:$AM,10,0),""))</f>
        <v/>
      </c>
      <c r="M82" s="62" t="str">
        <f>IF(B82="","",IFERROR(VLOOKUP(B82,'ANÁLISE DE DADOS'!$A:$AM,11,0),""))</f>
        <v/>
      </c>
      <c r="N82" s="61" t="str">
        <f>IF(B82="","",IFERROR(VLOOKUP(B82,'ANÁLISE DE DADOS'!$A:$AM,12,0),""))</f>
        <v/>
      </c>
      <c r="O82" s="61" t="str">
        <f>IF(B82="","",IFERROR(VLOOKUP(B82,'ANÁLISE DE DADOS'!$A:$AM,13,0),""))</f>
        <v/>
      </c>
      <c r="P82" s="63" t="str">
        <f>IF(B82="","",IFERROR(VLOOKUP(B82,'ANÁLISE DE DADOS'!$A:$AM,14,0),""))</f>
        <v/>
      </c>
      <c r="Q82" s="61" t="str">
        <f>IF(B82="","",IFERROR(VLOOKUP(B82,'ANÁLISE DE DADOS'!$A:$AM,15,0),""))</f>
        <v/>
      </c>
      <c r="R82" s="61" t="str">
        <f>IF(B82="","",IFERROR(VLOOKUP(B82,'ANÁLISE DE DADOS'!$A:$AM,16,0),""))</f>
        <v/>
      </c>
      <c r="S82" s="61" t="str">
        <f>IF(B82="","",IFERROR(VLOOKUP(B82,'ANÁLISE DE DADOS'!$A:$AM,17,0),""))</f>
        <v/>
      </c>
      <c r="T82" s="61" t="str">
        <f>IF(B82="","",IFERROR(VLOOKUP(B82,'ANÁLISE DE DADOS'!$A:$AM,18,0),""))</f>
        <v/>
      </c>
      <c r="U82" s="61" t="str">
        <f>IF(B82="","",IFERROR(VLOOKUP(B82,'ANÁLISE DE DADOS'!$A:$AM,19,0),""))</f>
        <v/>
      </c>
      <c r="V82" s="61" t="str">
        <f>IF(B82="","",IFERROR(VLOOKUP(B82,'ANÁLISE DE DADOS'!$A:$AM,20,0),""))</f>
        <v/>
      </c>
      <c r="W82" s="61" t="str">
        <f>IF(B82="","",IFERROR(VLOOKUP(B82,'ANÁLISE DE DADOS'!$A:$AM,21,0),""))</f>
        <v/>
      </c>
      <c r="X82" s="61" t="str">
        <f>IF(B82="","",IFERROR(VLOOKUP(B82,'ANÁLISE DE DADOS'!$A:$AM,22,0),""))</f>
        <v/>
      </c>
      <c r="Y82" s="61" t="str">
        <f>IF(B82="","",IFERROR(VLOOKUP(B82,'ANÁLISE DE DADOS'!$A:$AM,23,0),""))</f>
        <v/>
      </c>
      <c r="Z82" s="61" t="str">
        <f>IF(B82="","",IFERROR(VLOOKUP(B82,'ANÁLISE DE DADOS'!$A:$AM,24,0),""))</f>
        <v/>
      </c>
      <c r="AA82" s="61" t="str">
        <f>IF(B82="","",IFERROR(VLOOKUP(B82,'ANÁLISE DE DADOS'!$A:$AM,25,0),""))</f>
        <v/>
      </c>
      <c r="AB82" s="61" t="str">
        <f>IF(B82="","",IFERROR(VLOOKUP(B82,'ANÁLISE DE DADOS'!$A:$AM,26,0),""))</f>
        <v/>
      </c>
      <c r="AC82" s="61" t="str">
        <f>IF(B82="","",IFERROR(VLOOKUP(B82,'ANÁLISE DE DADOS'!$A:$AM,27,0),""))</f>
        <v/>
      </c>
      <c r="AD82" s="62" t="str">
        <f>IF(B82="","",IFERROR(VLOOKUP(B82,'ANÁLISE DE DADOS'!$A:$AM,28,0),""))</f>
        <v/>
      </c>
      <c r="AE82" s="61" t="str">
        <f>IF(B82="","",IFERROR(VLOOKUP(B82,'ANÁLISE DE DADOS'!$A:$AM,29,0),""))</f>
        <v/>
      </c>
      <c r="AF82" s="61" t="str">
        <f>IF(B82="","",IFERROR(VLOOKUP(B82,'ANÁLISE DE DADOS'!$A:$AM,30,0),""))</f>
        <v/>
      </c>
      <c r="AG82" s="62" t="str">
        <f>IF(B82="","",IFERROR(VLOOKUP(B82,'ANÁLISE DE DADOS'!$A:$AM,31,0),""))</f>
        <v/>
      </c>
      <c r="AH82" s="61" t="str">
        <f>IF(B82="","",IFERROR(VLOOKUP(B82,'ANÁLISE DE DADOS'!$A:$AM,32,0),""))</f>
        <v/>
      </c>
      <c r="AI82" s="61" t="str">
        <f>IF(B82="","",IFERROR(VLOOKUP(B82,'ANÁLISE DE DADOS'!$A:$AM,33,0),""))</f>
        <v/>
      </c>
      <c r="AJ82" s="61" t="str">
        <f>IF(B82="","",IFERROR(VLOOKUP(B82,'ANÁLISE DE DADOS'!$A:$AM,34,0),""))</f>
        <v/>
      </c>
      <c r="AK82" s="63" t="str">
        <f>IF(B82="","",IFERROR(VLOOKUP(B82,'ANÁLISE DE DADOS'!$A:$AM,35,0),""))</f>
        <v/>
      </c>
      <c r="AL82" s="63" t="str">
        <f>IF(B82="","",IFERROR(VLOOKUP(B82,'ANÁLISE DE DADOS'!$A:$AM,36,0),""))</f>
        <v/>
      </c>
    </row>
    <row r="83" spans="3:38" x14ac:dyDescent="0.3">
      <c r="C83" s="61" t="str">
        <f>IF(B83="","",IFERROR(VLOOKUP(B83,'ANÁLISE DE DADOS'!$A:$AM,1,0),""))</f>
        <v/>
      </c>
      <c r="D83" s="61" t="str">
        <f>IF(B83="","",IFERROR(VLOOKUP(B83,'ANÁLISE DE DADOS'!$A:$AM,2,0),""))</f>
        <v/>
      </c>
      <c r="E83" s="61" t="str">
        <f>IF(B83="","",IFERROR(VLOOKUP(B83,'ANÁLISE DE DADOS'!$A:$AM,3,0),""))</f>
        <v/>
      </c>
      <c r="F83" s="61" t="str">
        <f>IF(B83="","",IFERROR(VLOOKUP(B83,'ANÁLISE DE DADOS'!$A:$AM,4,0),""))</f>
        <v/>
      </c>
      <c r="G83" s="62" t="str">
        <f>IF(B83="","",IFERROR(VLOOKUP(B83,'ANÁLISE DE DADOS'!$A:$AM,5,0),""))</f>
        <v/>
      </c>
      <c r="H83" s="62" t="str">
        <f>IF(B83="","",IFERROR(VLOOKUP(B83,'ANÁLISE DE DADOS'!$A:$AM,6,0),""))</f>
        <v/>
      </c>
      <c r="I83" s="62" t="str">
        <f>IF(B83="","",IFERROR(VLOOKUP(B83,'ANÁLISE DE DADOS'!$A:$AM,7,0),""))</f>
        <v/>
      </c>
      <c r="J83" s="62" t="str">
        <f>IF(B83="","",IFERROR(VLOOKUP(B83,'ANÁLISE DE DADOS'!$A:$AM,8,0),""))</f>
        <v/>
      </c>
      <c r="K83" s="61" t="str">
        <f>IF(B83="","",IFERROR(VLOOKUP(B83,'ANÁLISE DE DADOS'!$A:$AM,9,0),""))</f>
        <v/>
      </c>
      <c r="L83" s="61" t="str">
        <f>IF(B83="","",IFERROR(VLOOKUP(B83,'ANÁLISE DE DADOS'!$A:$AM,10,0),""))</f>
        <v/>
      </c>
      <c r="M83" s="62" t="str">
        <f>IF(B83="","",IFERROR(VLOOKUP(B83,'ANÁLISE DE DADOS'!$A:$AM,11,0),""))</f>
        <v/>
      </c>
      <c r="N83" s="61" t="str">
        <f>IF(B83="","",IFERROR(VLOOKUP(B83,'ANÁLISE DE DADOS'!$A:$AM,12,0),""))</f>
        <v/>
      </c>
      <c r="O83" s="61" t="str">
        <f>IF(B83="","",IFERROR(VLOOKUP(B83,'ANÁLISE DE DADOS'!$A:$AM,13,0),""))</f>
        <v/>
      </c>
      <c r="P83" s="63" t="str">
        <f>IF(B83="","",IFERROR(VLOOKUP(B83,'ANÁLISE DE DADOS'!$A:$AM,14,0),""))</f>
        <v/>
      </c>
      <c r="Q83" s="61" t="str">
        <f>IF(B83="","",IFERROR(VLOOKUP(B83,'ANÁLISE DE DADOS'!$A:$AM,15,0),""))</f>
        <v/>
      </c>
      <c r="R83" s="61" t="str">
        <f>IF(B83="","",IFERROR(VLOOKUP(B83,'ANÁLISE DE DADOS'!$A:$AM,16,0),""))</f>
        <v/>
      </c>
      <c r="S83" s="61" t="str">
        <f>IF(B83="","",IFERROR(VLOOKUP(B83,'ANÁLISE DE DADOS'!$A:$AM,17,0),""))</f>
        <v/>
      </c>
      <c r="T83" s="61" t="str">
        <f>IF(B83="","",IFERROR(VLOOKUP(B83,'ANÁLISE DE DADOS'!$A:$AM,18,0),""))</f>
        <v/>
      </c>
      <c r="U83" s="61" t="str">
        <f>IF(B83="","",IFERROR(VLOOKUP(B83,'ANÁLISE DE DADOS'!$A:$AM,19,0),""))</f>
        <v/>
      </c>
      <c r="V83" s="61" t="str">
        <f>IF(B83="","",IFERROR(VLOOKUP(B83,'ANÁLISE DE DADOS'!$A:$AM,20,0),""))</f>
        <v/>
      </c>
      <c r="W83" s="61" t="str">
        <f>IF(B83="","",IFERROR(VLOOKUP(B83,'ANÁLISE DE DADOS'!$A:$AM,21,0),""))</f>
        <v/>
      </c>
      <c r="X83" s="61" t="str">
        <f>IF(B83="","",IFERROR(VLOOKUP(B83,'ANÁLISE DE DADOS'!$A:$AM,22,0),""))</f>
        <v/>
      </c>
      <c r="Y83" s="61" t="str">
        <f>IF(B83="","",IFERROR(VLOOKUP(B83,'ANÁLISE DE DADOS'!$A:$AM,23,0),""))</f>
        <v/>
      </c>
      <c r="Z83" s="61" t="str">
        <f>IF(B83="","",IFERROR(VLOOKUP(B83,'ANÁLISE DE DADOS'!$A:$AM,24,0),""))</f>
        <v/>
      </c>
      <c r="AA83" s="61" t="str">
        <f>IF(B83="","",IFERROR(VLOOKUP(B83,'ANÁLISE DE DADOS'!$A:$AM,25,0),""))</f>
        <v/>
      </c>
      <c r="AB83" s="61" t="str">
        <f>IF(B83="","",IFERROR(VLOOKUP(B83,'ANÁLISE DE DADOS'!$A:$AM,26,0),""))</f>
        <v/>
      </c>
      <c r="AC83" s="61" t="str">
        <f>IF(B83="","",IFERROR(VLOOKUP(B83,'ANÁLISE DE DADOS'!$A:$AM,27,0),""))</f>
        <v/>
      </c>
      <c r="AD83" s="62" t="str">
        <f>IF(B83="","",IFERROR(VLOOKUP(B83,'ANÁLISE DE DADOS'!$A:$AM,28,0),""))</f>
        <v/>
      </c>
      <c r="AE83" s="61" t="str">
        <f>IF(B83="","",IFERROR(VLOOKUP(B83,'ANÁLISE DE DADOS'!$A:$AM,29,0),""))</f>
        <v/>
      </c>
      <c r="AF83" s="61" t="str">
        <f>IF(B83="","",IFERROR(VLOOKUP(B83,'ANÁLISE DE DADOS'!$A:$AM,30,0),""))</f>
        <v/>
      </c>
      <c r="AG83" s="62" t="str">
        <f>IF(B83="","",IFERROR(VLOOKUP(B83,'ANÁLISE DE DADOS'!$A:$AM,31,0),""))</f>
        <v/>
      </c>
      <c r="AH83" s="61" t="str">
        <f>IF(B83="","",IFERROR(VLOOKUP(B83,'ANÁLISE DE DADOS'!$A:$AM,32,0),""))</f>
        <v/>
      </c>
      <c r="AI83" s="61" t="str">
        <f>IF(B83="","",IFERROR(VLOOKUP(B83,'ANÁLISE DE DADOS'!$A:$AM,33,0),""))</f>
        <v/>
      </c>
      <c r="AJ83" s="61" t="str">
        <f>IF(B83="","",IFERROR(VLOOKUP(B83,'ANÁLISE DE DADOS'!$A:$AM,34,0),""))</f>
        <v/>
      </c>
      <c r="AK83" s="63" t="str">
        <f>IF(B83="","",IFERROR(VLOOKUP(B83,'ANÁLISE DE DADOS'!$A:$AM,35,0),""))</f>
        <v/>
      </c>
      <c r="AL83" s="63" t="str">
        <f>IF(B83="","",IFERROR(VLOOKUP(B83,'ANÁLISE DE DADOS'!$A:$AM,36,0),""))</f>
        <v/>
      </c>
    </row>
    <row r="84" spans="3:38" x14ac:dyDescent="0.3">
      <c r="C84" s="61" t="str">
        <f>IF(B84="","",IFERROR(VLOOKUP(B84,'ANÁLISE DE DADOS'!$A:$AM,1,0),""))</f>
        <v/>
      </c>
      <c r="D84" s="61" t="str">
        <f>IF(B84="","",IFERROR(VLOOKUP(B84,'ANÁLISE DE DADOS'!$A:$AM,2,0),""))</f>
        <v/>
      </c>
      <c r="E84" s="61" t="str">
        <f>IF(B84="","",IFERROR(VLOOKUP(B84,'ANÁLISE DE DADOS'!$A:$AM,3,0),""))</f>
        <v/>
      </c>
      <c r="F84" s="61" t="str">
        <f>IF(B84="","",IFERROR(VLOOKUP(B84,'ANÁLISE DE DADOS'!$A:$AM,4,0),""))</f>
        <v/>
      </c>
      <c r="G84" s="62" t="str">
        <f>IF(B84="","",IFERROR(VLOOKUP(B84,'ANÁLISE DE DADOS'!$A:$AM,5,0),""))</f>
        <v/>
      </c>
      <c r="H84" s="62" t="str">
        <f>IF(B84="","",IFERROR(VLOOKUP(B84,'ANÁLISE DE DADOS'!$A:$AM,6,0),""))</f>
        <v/>
      </c>
      <c r="I84" s="62" t="str">
        <f>IF(B84="","",IFERROR(VLOOKUP(B84,'ANÁLISE DE DADOS'!$A:$AM,7,0),""))</f>
        <v/>
      </c>
      <c r="J84" s="62" t="str">
        <f>IF(B84="","",IFERROR(VLOOKUP(B84,'ANÁLISE DE DADOS'!$A:$AM,8,0),""))</f>
        <v/>
      </c>
      <c r="K84" s="61" t="str">
        <f>IF(B84="","",IFERROR(VLOOKUP(B84,'ANÁLISE DE DADOS'!$A:$AM,9,0),""))</f>
        <v/>
      </c>
      <c r="L84" s="61" t="str">
        <f>IF(B84="","",IFERROR(VLOOKUP(B84,'ANÁLISE DE DADOS'!$A:$AM,10,0),""))</f>
        <v/>
      </c>
      <c r="M84" s="62" t="str">
        <f>IF(B84="","",IFERROR(VLOOKUP(B84,'ANÁLISE DE DADOS'!$A:$AM,11,0),""))</f>
        <v/>
      </c>
      <c r="N84" s="61" t="str">
        <f>IF(B84="","",IFERROR(VLOOKUP(B84,'ANÁLISE DE DADOS'!$A:$AM,12,0),""))</f>
        <v/>
      </c>
      <c r="O84" s="61" t="str">
        <f>IF(B84="","",IFERROR(VLOOKUP(B84,'ANÁLISE DE DADOS'!$A:$AM,13,0),""))</f>
        <v/>
      </c>
      <c r="P84" s="63" t="str">
        <f>IF(B84="","",IFERROR(VLOOKUP(B84,'ANÁLISE DE DADOS'!$A:$AM,14,0),""))</f>
        <v/>
      </c>
      <c r="Q84" s="61" t="str">
        <f>IF(B84="","",IFERROR(VLOOKUP(B84,'ANÁLISE DE DADOS'!$A:$AM,15,0),""))</f>
        <v/>
      </c>
      <c r="R84" s="61" t="str">
        <f>IF(B84="","",IFERROR(VLOOKUP(B84,'ANÁLISE DE DADOS'!$A:$AM,16,0),""))</f>
        <v/>
      </c>
      <c r="S84" s="61" t="str">
        <f>IF(B84="","",IFERROR(VLOOKUP(B84,'ANÁLISE DE DADOS'!$A:$AM,17,0),""))</f>
        <v/>
      </c>
      <c r="T84" s="61" t="str">
        <f>IF(B84="","",IFERROR(VLOOKUP(B84,'ANÁLISE DE DADOS'!$A:$AM,18,0),""))</f>
        <v/>
      </c>
      <c r="U84" s="61" t="str">
        <f>IF(B84="","",IFERROR(VLOOKUP(B84,'ANÁLISE DE DADOS'!$A:$AM,19,0),""))</f>
        <v/>
      </c>
      <c r="V84" s="61" t="str">
        <f>IF(B84="","",IFERROR(VLOOKUP(B84,'ANÁLISE DE DADOS'!$A:$AM,20,0),""))</f>
        <v/>
      </c>
      <c r="W84" s="61" t="str">
        <f>IF(B84="","",IFERROR(VLOOKUP(B84,'ANÁLISE DE DADOS'!$A:$AM,21,0),""))</f>
        <v/>
      </c>
      <c r="X84" s="61" t="str">
        <f>IF(B84="","",IFERROR(VLOOKUP(B84,'ANÁLISE DE DADOS'!$A:$AM,22,0),""))</f>
        <v/>
      </c>
      <c r="Y84" s="61" t="str">
        <f>IF(B84="","",IFERROR(VLOOKUP(B84,'ANÁLISE DE DADOS'!$A:$AM,23,0),""))</f>
        <v/>
      </c>
      <c r="Z84" s="61" t="str">
        <f>IF(B84="","",IFERROR(VLOOKUP(B84,'ANÁLISE DE DADOS'!$A:$AM,24,0),""))</f>
        <v/>
      </c>
      <c r="AA84" s="61" t="str">
        <f>IF(B84="","",IFERROR(VLOOKUP(B84,'ANÁLISE DE DADOS'!$A:$AM,25,0),""))</f>
        <v/>
      </c>
      <c r="AB84" s="61" t="str">
        <f>IF(B84="","",IFERROR(VLOOKUP(B84,'ANÁLISE DE DADOS'!$A:$AM,26,0),""))</f>
        <v/>
      </c>
      <c r="AC84" s="61" t="str">
        <f>IF(B84="","",IFERROR(VLOOKUP(B84,'ANÁLISE DE DADOS'!$A:$AM,27,0),""))</f>
        <v/>
      </c>
      <c r="AD84" s="62" t="str">
        <f>IF(B84="","",IFERROR(VLOOKUP(B84,'ANÁLISE DE DADOS'!$A:$AM,28,0),""))</f>
        <v/>
      </c>
      <c r="AE84" s="61" t="str">
        <f>IF(B84="","",IFERROR(VLOOKUP(B84,'ANÁLISE DE DADOS'!$A:$AM,29,0),""))</f>
        <v/>
      </c>
      <c r="AF84" s="61" t="str">
        <f>IF(B84="","",IFERROR(VLOOKUP(B84,'ANÁLISE DE DADOS'!$A:$AM,30,0),""))</f>
        <v/>
      </c>
      <c r="AG84" s="62" t="str">
        <f>IF(B84="","",IFERROR(VLOOKUP(B84,'ANÁLISE DE DADOS'!$A:$AM,31,0),""))</f>
        <v/>
      </c>
      <c r="AH84" s="61" t="str">
        <f>IF(B84="","",IFERROR(VLOOKUP(B84,'ANÁLISE DE DADOS'!$A:$AM,32,0),""))</f>
        <v/>
      </c>
      <c r="AI84" s="61" t="str">
        <f>IF(B84="","",IFERROR(VLOOKUP(B84,'ANÁLISE DE DADOS'!$A:$AM,33,0),""))</f>
        <v/>
      </c>
      <c r="AJ84" s="61" t="str">
        <f>IF(B84="","",IFERROR(VLOOKUP(B84,'ANÁLISE DE DADOS'!$A:$AM,34,0),""))</f>
        <v/>
      </c>
      <c r="AK84" s="63" t="str">
        <f>IF(B84="","",IFERROR(VLOOKUP(B84,'ANÁLISE DE DADOS'!$A:$AM,35,0),""))</f>
        <v/>
      </c>
      <c r="AL84" s="63" t="str">
        <f>IF(B84="","",IFERROR(VLOOKUP(B84,'ANÁLISE DE DADOS'!$A:$AM,36,0),""))</f>
        <v/>
      </c>
    </row>
    <row r="85" spans="3:38" x14ac:dyDescent="0.3">
      <c r="C85" s="61" t="str">
        <f>IF(B85="","",IFERROR(VLOOKUP(B85,'ANÁLISE DE DADOS'!$A:$AM,1,0),""))</f>
        <v/>
      </c>
      <c r="D85" s="61" t="str">
        <f>IF(B85="","",IFERROR(VLOOKUP(B85,'ANÁLISE DE DADOS'!$A:$AM,2,0),""))</f>
        <v/>
      </c>
      <c r="E85" s="61" t="str">
        <f>IF(B85="","",IFERROR(VLOOKUP(B85,'ANÁLISE DE DADOS'!$A:$AM,3,0),""))</f>
        <v/>
      </c>
      <c r="F85" s="61" t="str">
        <f>IF(B85="","",IFERROR(VLOOKUP(B85,'ANÁLISE DE DADOS'!$A:$AM,4,0),""))</f>
        <v/>
      </c>
      <c r="G85" s="62" t="str">
        <f>IF(B85="","",IFERROR(VLOOKUP(B85,'ANÁLISE DE DADOS'!$A:$AM,5,0),""))</f>
        <v/>
      </c>
      <c r="H85" s="62" t="str">
        <f>IF(B85="","",IFERROR(VLOOKUP(B85,'ANÁLISE DE DADOS'!$A:$AM,6,0),""))</f>
        <v/>
      </c>
      <c r="I85" s="62" t="str">
        <f>IF(B85="","",IFERROR(VLOOKUP(B85,'ANÁLISE DE DADOS'!$A:$AM,7,0),""))</f>
        <v/>
      </c>
      <c r="J85" s="62" t="str">
        <f>IF(B85="","",IFERROR(VLOOKUP(B85,'ANÁLISE DE DADOS'!$A:$AM,8,0),""))</f>
        <v/>
      </c>
      <c r="K85" s="61" t="str">
        <f>IF(B85="","",IFERROR(VLOOKUP(B85,'ANÁLISE DE DADOS'!$A:$AM,9,0),""))</f>
        <v/>
      </c>
      <c r="L85" s="61" t="str">
        <f>IF(B85="","",IFERROR(VLOOKUP(B85,'ANÁLISE DE DADOS'!$A:$AM,10,0),""))</f>
        <v/>
      </c>
      <c r="M85" s="62" t="str">
        <f>IF(B85="","",IFERROR(VLOOKUP(B85,'ANÁLISE DE DADOS'!$A:$AM,11,0),""))</f>
        <v/>
      </c>
      <c r="N85" s="61" t="str">
        <f>IF(B85="","",IFERROR(VLOOKUP(B85,'ANÁLISE DE DADOS'!$A:$AM,12,0),""))</f>
        <v/>
      </c>
      <c r="O85" s="61" t="str">
        <f>IF(B85="","",IFERROR(VLOOKUP(B85,'ANÁLISE DE DADOS'!$A:$AM,13,0),""))</f>
        <v/>
      </c>
      <c r="P85" s="63" t="str">
        <f>IF(B85="","",IFERROR(VLOOKUP(B85,'ANÁLISE DE DADOS'!$A:$AM,14,0),""))</f>
        <v/>
      </c>
      <c r="Q85" s="61" t="str">
        <f>IF(B85="","",IFERROR(VLOOKUP(B85,'ANÁLISE DE DADOS'!$A:$AM,15,0),""))</f>
        <v/>
      </c>
      <c r="R85" s="61" t="str">
        <f>IF(B85="","",IFERROR(VLOOKUP(B85,'ANÁLISE DE DADOS'!$A:$AM,16,0),""))</f>
        <v/>
      </c>
      <c r="S85" s="61" t="str">
        <f>IF(B85="","",IFERROR(VLOOKUP(B85,'ANÁLISE DE DADOS'!$A:$AM,17,0),""))</f>
        <v/>
      </c>
      <c r="T85" s="61" t="str">
        <f>IF(B85="","",IFERROR(VLOOKUP(B85,'ANÁLISE DE DADOS'!$A:$AM,18,0),""))</f>
        <v/>
      </c>
      <c r="U85" s="61" t="str">
        <f>IF(B85="","",IFERROR(VLOOKUP(B85,'ANÁLISE DE DADOS'!$A:$AM,19,0),""))</f>
        <v/>
      </c>
      <c r="V85" s="61" t="str">
        <f>IF(B85="","",IFERROR(VLOOKUP(B85,'ANÁLISE DE DADOS'!$A:$AM,20,0),""))</f>
        <v/>
      </c>
      <c r="W85" s="61" t="str">
        <f>IF(B85="","",IFERROR(VLOOKUP(B85,'ANÁLISE DE DADOS'!$A:$AM,21,0),""))</f>
        <v/>
      </c>
      <c r="X85" s="61" t="str">
        <f>IF(B85="","",IFERROR(VLOOKUP(B85,'ANÁLISE DE DADOS'!$A:$AM,22,0),""))</f>
        <v/>
      </c>
      <c r="Y85" s="61" t="str">
        <f>IF(B85="","",IFERROR(VLOOKUP(B85,'ANÁLISE DE DADOS'!$A:$AM,23,0),""))</f>
        <v/>
      </c>
      <c r="Z85" s="61" t="str">
        <f>IF(B85="","",IFERROR(VLOOKUP(B85,'ANÁLISE DE DADOS'!$A:$AM,24,0),""))</f>
        <v/>
      </c>
      <c r="AA85" s="61" t="str">
        <f>IF(B85="","",IFERROR(VLOOKUP(B85,'ANÁLISE DE DADOS'!$A:$AM,25,0),""))</f>
        <v/>
      </c>
      <c r="AB85" s="61" t="str">
        <f>IF(B85="","",IFERROR(VLOOKUP(B85,'ANÁLISE DE DADOS'!$A:$AM,26,0),""))</f>
        <v/>
      </c>
      <c r="AC85" s="61" t="str">
        <f>IF(B85="","",IFERROR(VLOOKUP(B85,'ANÁLISE DE DADOS'!$A:$AM,27,0),""))</f>
        <v/>
      </c>
      <c r="AD85" s="62" t="str">
        <f>IF(B85="","",IFERROR(VLOOKUP(B85,'ANÁLISE DE DADOS'!$A:$AM,28,0),""))</f>
        <v/>
      </c>
      <c r="AE85" s="61" t="str">
        <f>IF(B85="","",IFERROR(VLOOKUP(B85,'ANÁLISE DE DADOS'!$A:$AM,29,0),""))</f>
        <v/>
      </c>
      <c r="AF85" s="61" t="str">
        <f>IF(B85="","",IFERROR(VLOOKUP(B85,'ANÁLISE DE DADOS'!$A:$AM,30,0),""))</f>
        <v/>
      </c>
      <c r="AG85" s="62" t="str">
        <f>IF(B85="","",IFERROR(VLOOKUP(B85,'ANÁLISE DE DADOS'!$A:$AM,31,0),""))</f>
        <v/>
      </c>
      <c r="AH85" s="61" t="str">
        <f>IF(B85="","",IFERROR(VLOOKUP(B85,'ANÁLISE DE DADOS'!$A:$AM,32,0),""))</f>
        <v/>
      </c>
      <c r="AI85" s="61" t="str">
        <f>IF(B85="","",IFERROR(VLOOKUP(B85,'ANÁLISE DE DADOS'!$A:$AM,33,0),""))</f>
        <v/>
      </c>
      <c r="AJ85" s="61" t="str">
        <f>IF(B85="","",IFERROR(VLOOKUP(B85,'ANÁLISE DE DADOS'!$A:$AM,34,0),""))</f>
        <v/>
      </c>
      <c r="AK85" s="63" t="str">
        <f>IF(B85="","",IFERROR(VLOOKUP(B85,'ANÁLISE DE DADOS'!$A:$AM,35,0),""))</f>
        <v/>
      </c>
      <c r="AL85" s="63" t="str">
        <f>IF(B85="","",IFERROR(VLOOKUP(B85,'ANÁLISE DE DADOS'!$A:$AM,36,0),""))</f>
        <v/>
      </c>
    </row>
    <row r="86" spans="3:38" x14ac:dyDescent="0.3">
      <c r="C86" s="61" t="str">
        <f>IF(B86="","",IFERROR(VLOOKUP(B86,'ANÁLISE DE DADOS'!$A:$AM,1,0),""))</f>
        <v/>
      </c>
      <c r="D86" s="61" t="str">
        <f>IF(B86="","",IFERROR(VLOOKUP(B86,'ANÁLISE DE DADOS'!$A:$AM,2,0),""))</f>
        <v/>
      </c>
      <c r="E86" s="61" t="str">
        <f>IF(B86="","",IFERROR(VLOOKUP(B86,'ANÁLISE DE DADOS'!$A:$AM,3,0),""))</f>
        <v/>
      </c>
      <c r="F86" s="61" t="str">
        <f>IF(B86="","",IFERROR(VLOOKUP(B86,'ANÁLISE DE DADOS'!$A:$AM,4,0),""))</f>
        <v/>
      </c>
      <c r="G86" s="62" t="str">
        <f>IF(B86="","",IFERROR(VLOOKUP(B86,'ANÁLISE DE DADOS'!$A:$AM,5,0),""))</f>
        <v/>
      </c>
      <c r="H86" s="62" t="str">
        <f>IF(B86="","",IFERROR(VLOOKUP(B86,'ANÁLISE DE DADOS'!$A:$AM,6,0),""))</f>
        <v/>
      </c>
      <c r="I86" s="62" t="str">
        <f>IF(B86="","",IFERROR(VLOOKUP(B86,'ANÁLISE DE DADOS'!$A:$AM,7,0),""))</f>
        <v/>
      </c>
      <c r="J86" s="62" t="str">
        <f>IF(B86="","",IFERROR(VLOOKUP(B86,'ANÁLISE DE DADOS'!$A:$AM,8,0),""))</f>
        <v/>
      </c>
      <c r="K86" s="61" t="str">
        <f>IF(B86="","",IFERROR(VLOOKUP(B86,'ANÁLISE DE DADOS'!$A:$AM,9,0),""))</f>
        <v/>
      </c>
      <c r="L86" s="61" t="str">
        <f>IF(B86="","",IFERROR(VLOOKUP(B86,'ANÁLISE DE DADOS'!$A:$AM,10,0),""))</f>
        <v/>
      </c>
      <c r="M86" s="62" t="str">
        <f>IF(B86="","",IFERROR(VLOOKUP(B86,'ANÁLISE DE DADOS'!$A:$AM,11,0),""))</f>
        <v/>
      </c>
      <c r="N86" s="61" t="str">
        <f>IF(B86="","",IFERROR(VLOOKUP(B86,'ANÁLISE DE DADOS'!$A:$AM,12,0),""))</f>
        <v/>
      </c>
      <c r="O86" s="61" t="str">
        <f>IF(B86="","",IFERROR(VLOOKUP(B86,'ANÁLISE DE DADOS'!$A:$AM,13,0),""))</f>
        <v/>
      </c>
      <c r="P86" s="63" t="str">
        <f>IF(B86="","",IFERROR(VLOOKUP(B86,'ANÁLISE DE DADOS'!$A:$AM,14,0),""))</f>
        <v/>
      </c>
      <c r="Q86" s="61" t="str">
        <f>IF(B86="","",IFERROR(VLOOKUP(B86,'ANÁLISE DE DADOS'!$A:$AM,15,0),""))</f>
        <v/>
      </c>
      <c r="R86" s="61" t="str">
        <f>IF(B86="","",IFERROR(VLOOKUP(B86,'ANÁLISE DE DADOS'!$A:$AM,16,0),""))</f>
        <v/>
      </c>
      <c r="S86" s="61" t="str">
        <f>IF(B86="","",IFERROR(VLOOKUP(B86,'ANÁLISE DE DADOS'!$A:$AM,17,0),""))</f>
        <v/>
      </c>
      <c r="T86" s="61" t="str">
        <f>IF(B86="","",IFERROR(VLOOKUP(B86,'ANÁLISE DE DADOS'!$A:$AM,18,0),""))</f>
        <v/>
      </c>
      <c r="U86" s="61" t="str">
        <f>IF(B86="","",IFERROR(VLOOKUP(B86,'ANÁLISE DE DADOS'!$A:$AM,19,0),""))</f>
        <v/>
      </c>
      <c r="V86" s="61" t="str">
        <f>IF(B86="","",IFERROR(VLOOKUP(B86,'ANÁLISE DE DADOS'!$A:$AM,20,0),""))</f>
        <v/>
      </c>
      <c r="W86" s="61" t="str">
        <f>IF(B86="","",IFERROR(VLOOKUP(B86,'ANÁLISE DE DADOS'!$A:$AM,21,0),""))</f>
        <v/>
      </c>
      <c r="X86" s="61" t="str">
        <f>IF(B86="","",IFERROR(VLOOKUP(B86,'ANÁLISE DE DADOS'!$A:$AM,22,0),""))</f>
        <v/>
      </c>
      <c r="Y86" s="61" t="str">
        <f>IF(B86="","",IFERROR(VLOOKUP(B86,'ANÁLISE DE DADOS'!$A:$AM,23,0),""))</f>
        <v/>
      </c>
      <c r="Z86" s="61" t="str">
        <f>IF(B86="","",IFERROR(VLOOKUP(B86,'ANÁLISE DE DADOS'!$A:$AM,24,0),""))</f>
        <v/>
      </c>
      <c r="AA86" s="61" t="str">
        <f>IF(B86="","",IFERROR(VLOOKUP(B86,'ANÁLISE DE DADOS'!$A:$AM,25,0),""))</f>
        <v/>
      </c>
      <c r="AB86" s="61" t="str">
        <f>IF(B86="","",IFERROR(VLOOKUP(B86,'ANÁLISE DE DADOS'!$A:$AM,26,0),""))</f>
        <v/>
      </c>
      <c r="AC86" s="61" t="str">
        <f>IF(B86="","",IFERROR(VLOOKUP(B86,'ANÁLISE DE DADOS'!$A:$AM,27,0),""))</f>
        <v/>
      </c>
      <c r="AD86" s="62" t="str">
        <f>IF(B86="","",IFERROR(VLOOKUP(B86,'ANÁLISE DE DADOS'!$A:$AM,28,0),""))</f>
        <v/>
      </c>
      <c r="AE86" s="61" t="str">
        <f>IF(B86="","",IFERROR(VLOOKUP(B86,'ANÁLISE DE DADOS'!$A:$AM,29,0),""))</f>
        <v/>
      </c>
      <c r="AF86" s="61" t="str">
        <f>IF(B86="","",IFERROR(VLOOKUP(B86,'ANÁLISE DE DADOS'!$A:$AM,30,0),""))</f>
        <v/>
      </c>
      <c r="AG86" s="62" t="str">
        <f>IF(B86="","",IFERROR(VLOOKUP(B86,'ANÁLISE DE DADOS'!$A:$AM,31,0),""))</f>
        <v/>
      </c>
      <c r="AH86" s="61" t="str">
        <f>IF(B86="","",IFERROR(VLOOKUP(B86,'ANÁLISE DE DADOS'!$A:$AM,32,0),""))</f>
        <v/>
      </c>
      <c r="AI86" s="61" t="str">
        <f>IF(B86="","",IFERROR(VLOOKUP(B86,'ANÁLISE DE DADOS'!$A:$AM,33,0),""))</f>
        <v/>
      </c>
      <c r="AJ86" s="61" t="str">
        <f>IF(B86="","",IFERROR(VLOOKUP(B86,'ANÁLISE DE DADOS'!$A:$AM,34,0),""))</f>
        <v/>
      </c>
      <c r="AK86" s="63" t="str">
        <f>IF(B86="","",IFERROR(VLOOKUP(B86,'ANÁLISE DE DADOS'!$A:$AM,35,0),""))</f>
        <v/>
      </c>
      <c r="AL86" s="63" t="str">
        <f>IF(B86="","",IFERROR(VLOOKUP(B86,'ANÁLISE DE DADOS'!$A:$AM,36,0),""))</f>
        <v/>
      </c>
    </row>
    <row r="87" spans="3:38" x14ac:dyDescent="0.3">
      <c r="C87" s="61" t="str">
        <f>IF(B87="","",IFERROR(VLOOKUP(B87,'ANÁLISE DE DADOS'!$A:$AM,1,0),""))</f>
        <v/>
      </c>
      <c r="D87" s="61" t="str">
        <f>IF(B87="","",IFERROR(VLOOKUP(B87,'ANÁLISE DE DADOS'!$A:$AM,2,0),""))</f>
        <v/>
      </c>
      <c r="E87" s="61" t="str">
        <f>IF(B87="","",IFERROR(VLOOKUP(B87,'ANÁLISE DE DADOS'!$A:$AM,3,0),""))</f>
        <v/>
      </c>
      <c r="F87" s="61" t="str">
        <f>IF(B87="","",IFERROR(VLOOKUP(B87,'ANÁLISE DE DADOS'!$A:$AM,4,0),""))</f>
        <v/>
      </c>
      <c r="G87" s="62" t="str">
        <f>IF(B87="","",IFERROR(VLOOKUP(B87,'ANÁLISE DE DADOS'!$A:$AM,5,0),""))</f>
        <v/>
      </c>
      <c r="H87" s="62" t="str">
        <f>IF(B87="","",IFERROR(VLOOKUP(B87,'ANÁLISE DE DADOS'!$A:$AM,6,0),""))</f>
        <v/>
      </c>
      <c r="I87" s="62" t="str">
        <f>IF(B87="","",IFERROR(VLOOKUP(B87,'ANÁLISE DE DADOS'!$A:$AM,7,0),""))</f>
        <v/>
      </c>
      <c r="J87" s="62" t="str">
        <f>IF(B87="","",IFERROR(VLOOKUP(B87,'ANÁLISE DE DADOS'!$A:$AM,8,0),""))</f>
        <v/>
      </c>
      <c r="K87" s="61" t="str">
        <f>IF(B87="","",IFERROR(VLOOKUP(B87,'ANÁLISE DE DADOS'!$A:$AM,9,0),""))</f>
        <v/>
      </c>
      <c r="L87" s="61" t="str">
        <f>IF(B87="","",IFERROR(VLOOKUP(B87,'ANÁLISE DE DADOS'!$A:$AM,10,0),""))</f>
        <v/>
      </c>
      <c r="M87" s="62" t="str">
        <f>IF(B87="","",IFERROR(VLOOKUP(B87,'ANÁLISE DE DADOS'!$A:$AM,11,0),""))</f>
        <v/>
      </c>
      <c r="N87" s="61" t="str">
        <f>IF(B87="","",IFERROR(VLOOKUP(B87,'ANÁLISE DE DADOS'!$A:$AM,12,0),""))</f>
        <v/>
      </c>
      <c r="O87" s="61" t="str">
        <f>IF(B87="","",IFERROR(VLOOKUP(B87,'ANÁLISE DE DADOS'!$A:$AM,13,0),""))</f>
        <v/>
      </c>
      <c r="P87" s="63" t="str">
        <f>IF(B87="","",IFERROR(VLOOKUP(B87,'ANÁLISE DE DADOS'!$A:$AM,14,0),""))</f>
        <v/>
      </c>
      <c r="Q87" s="61" t="str">
        <f>IF(B87="","",IFERROR(VLOOKUP(B87,'ANÁLISE DE DADOS'!$A:$AM,15,0),""))</f>
        <v/>
      </c>
      <c r="R87" s="61" t="str">
        <f>IF(B87="","",IFERROR(VLOOKUP(B87,'ANÁLISE DE DADOS'!$A:$AM,16,0),""))</f>
        <v/>
      </c>
      <c r="S87" s="61" t="str">
        <f>IF(B87="","",IFERROR(VLOOKUP(B87,'ANÁLISE DE DADOS'!$A:$AM,17,0),""))</f>
        <v/>
      </c>
      <c r="T87" s="61" t="str">
        <f>IF(B87="","",IFERROR(VLOOKUP(B87,'ANÁLISE DE DADOS'!$A:$AM,18,0),""))</f>
        <v/>
      </c>
      <c r="U87" s="61" t="str">
        <f>IF(B87="","",IFERROR(VLOOKUP(B87,'ANÁLISE DE DADOS'!$A:$AM,19,0),""))</f>
        <v/>
      </c>
      <c r="V87" s="61" t="str">
        <f>IF(B87="","",IFERROR(VLOOKUP(B87,'ANÁLISE DE DADOS'!$A:$AM,20,0),""))</f>
        <v/>
      </c>
      <c r="W87" s="61" t="str">
        <f>IF(B87="","",IFERROR(VLOOKUP(B87,'ANÁLISE DE DADOS'!$A:$AM,21,0),""))</f>
        <v/>
      </c>
      <c r="X87" s="61" t="str">
        <f>IF(B87="","",IFERROR(VLOOKUP(B87,'ANÁLISE DE DADOS'!$A:$AM,22,0),""))</f>
        <v/>
      </c>
      <c r="Y87" s="61" t="str">
        <f>IF(B87="","",IFERROR(VLOOKUP(B87,'ANÁLISE DE DADOS'!$A:$AM,23,0),""))</f>
        <v/>
      </c>
      <c r="Z87" s="61" t="str">
        <f>IF(B87="","",IFERROR(VLOOKUP(B87,'ANÁLISE DE DADOS'!$A:$AM,24,0),""))</f>
        <v/>
      </c>
      <c r="AA87" s="61" t="str">
        <f>IF(B87="","",IFERROR(VLOOKUP(B87,'ANÁLISE DE DADOS'!$A:$AM,25,0),""))</f>
        <v/>
      </c>
      <c r="AB87" s="61" t="str">
        <f>IF(B87="","",IFERROR(VLOOKUP(B87,'ANÁLISE DE DADOS'!$A:$AM,26,0),""))</f>
        <v/>
      </c>
      <c r="AC87" s="61" t="str">
        <f>IF(B87="","",IFERROR(VLOOKUP(B87,'ANÁLISE DE DADOS'!$A:$AM,27,0),""))</f>
        <v/>
      </c>
      <c r="AD87" s="62" t="str">
        <f>IF(B87="","",IFERROR(VLOOKUP(B87,'ANÁLISE DE DADOS'!$A:$AM,28,0),""))</f>
        <v/>
      </c>
      <c r="AE87" s="61" t="str">
        <f>IF(B87="","",IFERROR(VLOOKUP(B87,'ANÁLISE DE DADOS'!$A:$AM,29,0),""))</f>
        <v/>
      </c>
      <c r="AF87" s="61" t="str">
        <f>IF(B87="","",IFERROR(VLOOKUP(B87,'ANÁLISE DE DADOS'!$A:$AM,30,0),""))</f>
        <v/>
      </c>
      <c r="AG87" s="62" t="str">
        <f>IF(B87="","",IFERROR(VLOOKUP(B87,'ANÁLISE DE DADOS'!$A:$AM,31,0),""))</f>
        <v/>
      </c>
      <c r="AH87" s="61" t="str">
        <f>IF(B87="","",IFERROR(VLOOKUP(B87,'ANÁLISE DE DADOS'!$A:$AM,32,0),""))</f>
        <v/>
      </c>
      <c r="AI87" s="61" t="str">
        <f>IF(B87="","",IFERROR(VLOOKUP(B87,'ANÁLISE DE DADOS'!$A:$AM,33,0),""))</f>
        <v/>
      </c>
      <c r="AJ87" s="61" t="str">
        <f>IF(B87="","",IFERROR(VLOOKUP(B87,'ANÁLISE DE DADOS'!$A:$AM,34,0),""))</f>
        <v/>
      </c>
      <c r="AK87" s="63" t="str">
        <f>IF(B87="","",IFERROR(VLOOKUP(B87,'ANÁLISE DE DADOS'!$A:$AM,35,0),""))</f>
        <v/>
      </c>
      <c r="AL87" s="63" t="str">
        <f>IF(B87="","",IFERROR(VLOOKUP(B87,'ANÁLISE DE DADOS'!$A:$AM,36,0),""))</f>
        <v/>
      </c>
    </row>
    <row r="88" spans="3:38" x14ac:dyDescent="0.3">
      <c r="C88" s="61" t="str">
        <f>IF(B88="","",IFERROR(VLOOKUP(B88,'ANÁLISE DE DADOS'!$A:$AM,1,0),""))</f>
        <v/>
      </c>
      <c r="D88" s="61" t="str">
        <f>IF(B88="","",IFERROR(VLOOKUP(B88,'ANÁLISE DE DADOS'!$A:$AM,2,0),""))</f>
        <v/>
      </c>
      <c r="E88" s="61" t="str">
        <f>IF(B88="","",IFERROR(VLOOKUP(B88,'ANÁLISE DE DADOS'!$A:$AM,3,0),""))</f>
        <v/>
      </c>
      <c r="F88" s="61" t="str">
        <f>IF(B88="","",IFERROR(VLOOKUP(B88,'ANÁLISE DE DADOS'!$A:$AM,4,0),""))</f>
        <v/>
      </c>
      <c r="G88" s="62" t="str">
        <f>IF(B88="","",IFERROR(VLOOKUP(B88,'ANÁLISE DE DADOS'!$A:$AM,5,0),""))</f>
        <v/>
      </c>
      <c r="H88" s="62" t="str">
        <f>IF(B88="","",IFERROR(VLOOKUP(B88,'ANÁLISE DE DADOS'!$A:$AM,6,0),""))</f>
        <v/>
      </c>
      <c r="I88" s="62" t="str">
        <f>IF(B88="","",IFERROR(VLOOKUP(B88,'ANÁLISE DE DADOS'!$A:$AM,7,0),""))</f>
        <v/>
      </c>
      <c r="J88" s="62" t="str">
        <f>IF(B88="","",IFERROR(VLOOKUP(B88,'ANÁLISE DE DADOS'!$A:$AM,8,0),""))</f>
        <v/>
      </c>
      <c r="K88" s="61" t="str">
        <f>IF(B88="","",IFERROR(VLOOKUP(B88,'ANÁLISE DE DADOS'!$A:$AM,9,0),""))</f>
        <v/>
      </c>
      <c r="L88" s="61" t="str">
        <f>IF(B88="","",IFERROR(VLOOKUP(B88,'ANÁLISE DE DADOS'!$A:$AM,10,0),""))</f>
        <v/>
      </c>
      <c r="M88" s="62" t="str">
        <f>IF(B88="","",IFERROR(VLOOKUP(B88,'ANÁLISE DE DADOS'!$A:$AM,11,0),""))</f>
        <v/>
      </c>
      <c r="N88" s="61" t="str">
        <f>IF(B88="","",IFERROR(VLOOKUP(B88,'ANÁLISE DE DADOS'!$A:$AM,12,0),""))</f>
        <v/>
      </c>
      <c r="O88" s="61" t="str">
        <f>IF(B88="","",IFERROR(VLOOKUP(B88,'ANÁLISE DE DADOS'!$A:$AM,13,0),""))</f>
        <v/>
      </c>
      <c r="P88" s="63" t="str">
        <f>IF(B88="","",IFERROR(VLOOKUP(B88,'ANÁLISE DE DADOS'!$A:$AM,14,0),""))</f>
        <v/>
      </c>
      <c r="Q88" s="61" t="str">
        <f>IF(B88="","",IFERROR(VLOOKUP(B88,'ANÁLISE DE DADOS'!$A:$AM,15,0),""))</f>
        <v/>
      </c>
      <c r="R88" s="61" t="str">
        <f>IF(B88="","",IFERROR(VLOOKUP(B88,'ANÁLISE DE DADOS'!$A:$AM,16,0),""))</f>
        <v/>
      </c>
      <c r="S88" s="61" t="str">
        <f>IF(B88="","",IFERROR(VLOOKUP(B88,'ANÁLISE DE DADOS'!$A:$AM,17,0),""))</f>
        <v/>
      </c>
      <c r="T88" s="61" t="str">
        <f>IF(B88="","",IFERROR(VLOOKUP(B88,'ANÁLISE DE DADOS'!$A:$AM,18,0),""))</f>
        <v/>
      </c>
      <c r="U88" s="61" t="str">
        <f>IF(B88="","",IFERROR(VLOOKUP(B88,'ANÁLISE DE DADOS'!$A:$AM,19,0),""))</f>
        <v/>
      </c>
      <c r="V88" s="61" t="str">
        <f>IF(B88="","",IFERROR(VLOOKUP(B88,'ANÁLISE DE DADOS'!$A:$AM,20,0),""))</f>
        <v/>
      </c>
      <c r="W88" s="61" t="str">
        <f>IF(B88="","",IFERROR(VLOOKUP(B88,'ANÁLISE DE DADOS'!$A:$AM,21,0),""))</f>
        <v/>
      </c>
      <c r="X88" s="61" t="str">
        <f>IF(B88="","",IFERROR(VLOOKUP(B88,'ANÁLISE DE DADOS'!$A:$AM,22,0),""))</f>
        <v/>
      </c>
      <c r="Y88" s="61" t="str">
        <f>IF(B88="","",IFERROR(VLOOKUP(B88,'ANÁLISE DE DADOS'!$A:$AM,23,0),""))</f>
        <v/>
      </c>
      <c r="Z88" s="61" t="str">
        <f>IF(B88="","",IFERROR(VLOOKUP(B88,'ANÁLISE DE DADOS'!$A:$AM,24,0),""))</f>
        <v/>
      </c>
      <c r="AA88" s="61" t="str">
        <f>IF(B88="","",IFERROR(VLOOKUP(B88,'ANÁLISE DE DADOS'!$A:$AM,25,0),""))</f>
        <v/>
      </c>
      <c r="AB88" s="61" t="str">
        <f>IF(B88="","",IFERROR(VLOOKUP(B88,'ANÁLISE DE DADOS'!$A:$AM,26,0),""))</f>
        <v/>
      </c>
      <c r="AC88" s="61" t="str">
        <f>IF(B88="","",IFERROR(VLOOKUP(B88,'ANÁLISE DE DADOS'!$A:$AM,27,0),""))</f>
        <v/>
      </c>
      <c r="AD88" s="62" t="str">
        <f>IF(B88="","",IFERROR(VLOOKUP(B88,'ANÁLISE DE DADOS'!$A:$AM,28,0),""))</f>
        <v/>
      </c>
      <c r="AE88" s="61" t="str">
        <f>IF(B88="","",IFERROR(VLOOKUP(B88,'ANÁLISE DE DADOS'!$A:$AM,29,0),""))</f>
        <v/>
      </c>
      <c r="AF88" s="61" t="str">
        <f>IF(B88="","",IFERROR(VLOOKUP(B88,'ANÁLISE DE DADOS'!$A:$AM,30,0),""))</f>
        <v/>
      </c>
      <c r="AG88" s="62" t="str">
        <f>IF(B88="","",IFERROR(VLOOKUP(B88,'ANÁLISE DE DADOS'!$A:$AM,31,0),""))</f>
        <v/>
      </c>
      <c r="AH88" s="61" t="str">
        <f>IF(B88="","",IFERROR(VLOOKUP(B88,'ANÁLISE DE DADOS'!$A:$AM,32,0),""))</f>
        <v/>
      </c>
      <c r="AI88" s="61" t="str">
        <f>IF(B88="","",IFERROR(VLOOKUP(B88,'ANÁLISE DE DADOS'!$A:$AM,33,0),""))</f>
        <v/>
      </c>
      <c r="AJ88" s="61" t="str">
        <f>IF(B88="","",IFERROR(VLOOKUP(B88,'ANÁLISE DE DADOS'!$A:$AM,34,0),""))</f>
        <v/>
      </c>
      <c r="AK88" s="63" t="str">
        <f>IF(B88="","",IFERROR(VLOOKUP(B88,'ANÁLISE DE DADOS'!$A:$AM,35,0),""))</f>
        <v/>
      </c>
      <c r="AL88" s="63" t="str">
        <f>IF(B88="","",IFERROR(VLOOKUP(B88,'ANÁLISE DE DADOS'!$A:$AM,36,0),""))</f>
        <v/>
      </c>
    </row>
    <row r="89" spans="3:38" x14ac:dyDescent="0.3">
      <c r="C89" s="61" t="str">
        <f>IF(B89="","",IFERROR(VLOOKUP(B89,'ANÁLISE DE DADOS'!$A:$AM,1,0),""))</f>
        <v/>
      </c>
      <c r="D89" s="61" t="str">
        <f>IF(B89="","",IFERROR(VLOOKUP(B89,'ANÁLISE DE DADOS'!$A:$AM,2,0),""))</f>
        <v/>
      </c>
      <c r="E89" s="61" t="str">
        <f>IF(B89="","",IFERROR(VLOOKUP(B89,'ANÁLISE DE DADOS'!$A:$AM,3,0),""))</f>
        <v/>
      </c>
      <c r="F89" s="61" t="str">
        <f>IF(B89="","",IFERROR(VLOOKUP(B89,'ANÁLISE DE DADOS'!$A:$AM,4,0),""))</f>
        <v/>
      </c>
      <c r="G89" s="62" t="str">
        <f>IF(B89="","",IFERROR(VLOOKUP(B89,'ANÁLISE DE DADOS'!$A:$AM,5,0),""))</f>
        <v/>
      </c>
      <c r="H89" s="62" t="str">
        <f>IF(B89="","",IFERROR(VLOOKUP(B89,'ANÁLISE DE DADOS'!$A:$AM,6,0),""))</f>
        <v/>
      </c>
      <c r="I89" s="62" t="str">
        <f>IF(B89="","",IFERROR(VLOOKUP(B89,'ANÁLISE DE DADOS'!$A:$AM,7,0),""))</f>
        <v/>
      </c>
      <c r="J89" s="62" t="str">
        <f>IF(B89="","",IFERROR(VLOOKUP(B89,'ANÁLISE DE DADOS'!$A:$AM,8,0),""))</f>
        <v/>
      </c>
      <c r="K89" s="61" t="str">
        <f>IF(B89="","",IFERROR(VLOOKUP(B89,'ANÁLISE DE DADOS'!$A:$AM,9,0),""))</f>
        <v/>
      </c>
      <c r="L89" s="61" t="str">
        <f>IF(B89="","",IFERROR(VLOOKUP(B89,'ANÁLISE DE DADOS'!$A:$AM,10,0),""))</f>
        <v/>
      </c>
      <c r="M89" s="62" t="str">
        <f>IF(B89="","",IFERROR(VLOOKUP(B89,'ANÁLISE DE DADOS'!$A:$AM,11,0),""))</f>
        <v/>
      </c>
      <c r="N89" s="61" t="str">
        <f>IF(B89="","",IFERROR(VLOOKUP(B89,'ANÁLISE DE DADOS'!$A:$AM,12,0),""))</f>
        <v/>
      </c>
      <c r="O89" s="61" t="str">
        <f>IF(B89="","",IFERROR(VLOOKUP(B89,'ANÁLISE DE DADOS'!$A:$AM,13,0),""))</f>
        <v/>
      </c>
      <c r="P89" s="63" t="str">
        <f>IF(B89="","",IFERROR(VLOOKUP(B89,'ANÁLISE DE DADOS'!$A:$AM,14,0),""))</f>
        <v/>
      </c>
      <c r="Q89" s="61" t="str">
        <f>IF(B89="","",IFERROR(VLOOKUP(B89,'ANÁLISE DE DADOS'!$A:$AM,15,0),""))</f>
        <v/>
      </c>
      <c r="R89" s="61" t="str">
        <f>IF(B89="","",IFERROR(VLOOKUP(B89,'ANÁLISE DE DADOS'!$A:$AM,16,0),""))</f>
        <v/>
      </c>
      <c r="S89" s="61" t="str">
        <f>IF(B89="","",IFERROR(VLOOKUP(B89,'ANÁLISE DE DADOS'!$A:$AM,17,0),""))</f>
        <v/>
      </c>
      <c r="T89" s="61" t="str">
        <f>IF(B89="","",IFERROR(VLOOKUP(B89,'ANÁLISE DE DADOS'!$A:$AM,18,0),""))</f>
        <v/>
      </c>
      <c r="U89" s="61" t="str">
        <f>IF(B89="","",IFERROR(VLOOKUP(B89,'ANÁLISE DE DADOS'!$A:$AM,19,0),""))</f>
        <v/>
      </c>
      <c r="V89" s="61" t="str">
        <f>IF(B89="","",IFERROR(VLOOKUP(B89,'ANÁLISE DE DADOS'!$A:$AM,20,0),""))</f>
        <v/>
      </c>
      <c r="W89" s="61" t="str">
        <f>IF(B89="","",IFERROR(VLOOKUP(B89,'ANÁLISE DE DADOS'!$A:$AM,21,0),""))</f>
        <v/>
      </c>
      <c r="X89" s="61" t="str">
        <f>IF(B89="","",IFERROR(VLOOKUP(B89,'ANÁLISE DE DADOS'!$A:$AM,22,0),""))</f>
        <v/>
      </c>
      <c r="Y89" s="61" t="str">
        <f>IF(B89="","",IFERROR(VLOOKUP(B89,'ANÁLISE DE DADOS'!$A:$AM,23,0),""))</f>
        <v/>
      </c>
      <c r="Z89" s="61" t="str">
        <f>IF(B89="","",IFERROR(VLOOKUP(B89,'ANÁLISE DE DADOS'!$A:$AM,24,0),""))</f>
        <v/>
      </c>
      <c r="AA89" s="61" t="str">
        <f>IF(B89="","",IFERROR(VLOOKUP(B89,'ANÁLISE DE DADOS'!$A:$AM,25,0),""))</f>
        <v/>
      </c>
      <c r="AB89" s="61" t="str">
        <f>IF(B89="","",IFERROR(VLOOKUP(B89,'ANÁLISE DE DADOS'!$A:$AM,26,0),""))</f>
        <v/>
      </c>
      <c r="AC89" s="61" t="str">
        <f>IF(B89="","",IFERROR(VLOOKUP(B89,'ANÁLISE DE DADOS'!$A:$AM,27,0),""))</f>
        <v/>
      </c>
      <c r="AD89" s="62" t="str">
        <f>IF(B89="","",IFERROR(VLOOKUP(B89,'ANÁLISE DE DADOS'!$A:$AM,28,0),""))</f>
        <v/>
      </c>
      <c r="AE89" s="61" t="str">
        <f>IF(B89="","",IFERROR(VLOOKUP(B89,'ANÁLISE DE DADOS'!$A:$AM,29,0),""))</f>
        <v/>
      </c>
      <c r="AF89" s="61" t="str">
        <f>IF(B89="","",IFERROR(VLOOKUP(B89,'ANÁLISE DE DADOS'!$A:$AM,30,0),""))</f>
        <v/>
      </c>
      <c r="AG89" s="62" t="str">
        <f>IF(B89="","",IFERROR(VLOOKUP(B89,'ANÁLISE DE DADOS'!$A:$AM,31,0),""))</f>
        <v/>
      </c>
      <c r="AH89" s="61" t="str">
        <f>IF(B89="","",IFERROR(VLOOKUP(B89,'ANÁLISE DE DADOS'!$A:$AM,32,0),""))</f>
        <v/>
      </c>
      <c r="AI89" s="61" t="str">
        <f>IF(B89="","",IFERROR(VLOOKUP(B89,'ANÁLISE DE DADOS'!$A:$AM,33,0),""))</f>
        <v/>
      </c>
      <c r="AJ89" s="61" t="str">
        <f>IF(B89="","",IFERROR(VLOOKUP(B89,'ANÁLISE DE DADOS'!$A:$AM,34,0),""))</f>
        <v/>
      </c>
      <c r="AK89" s="63" t="str">
        <f>IF(B89="","",IFERROR(VLOOKUP(B89,'ANÁLISE DE DADOS'!$A:$AM,35,0),""))</f>
        <v/>
      </c>
      <c r="AL89" s="63" t="str">
        <f>IF(B89="","",IFERROR(VLOOKUP(B89,'ANÁLISE DE DADOS'!$A:$AM,36,0),""))</f>
        <v/>
      </c>
    </row>
    <row r="90" spans="3:38" x14ac:dyDescent="0.3">
      <c r="C90" s="61" t="str">
        <f>IF(B90="","",IFERROR(VLOOKUP(B90,'ANÁLISE DE DADOS'!$A:$AM,1,0),""))</f>
        <v/>
      </c>
      <c r="D90" s="61" t="str">
        <f>IF(B90="","",IFERROR(VLOOKUP(B90,'ANÁLISE DE DADOS'!$A:$AM,2,0),""))</f>
        <v/>
      </c>
      <c r="E90" s="61" t="str">
        <f>IF(B90="","",IFERROR(VLOOKUP(B90,'ANÁLISE DE DADOS'!$A:$AM,3,0),""))</f>
        <v/>
      </c>
      <c r="F90" s="61" t="str">
        <f>IF(B90="","",IFERROR(VLOOKUP(B90,'ANÁLISE DE DADOS'!$A:$AM,4,0),""))</f>
        <v/>
      </c>
      <c r="G90" s="62" t="str">
        <f>IF(B90="","",IFERROR(VLOOKUP(B90,'ANÁLISE DE DADOS'!$A:$AM,5,0),""))</f>
        <v/>
      </c>
      <c r="H90" s="62" t="str">
        <f>IF(B90="","",IFERROR(VLOOKUP(B90,'ANÁLISE DE DADOS'!$A:$AM,6,0),""))</f>
        <v/>
      </c>
      <c r="I90" s="62" t="str">
        <f>IF(B90="","",IFERROR(VLOOKUP(B90,'ANÁLISE DE DADOS'!$A:$AM,7,0),""))</f>
        <v/>
      </c>
      <c r="J90" s="62" t="str">
        <f>IF(B90="","",IFERROR(VLOOKUP(B90,'ANÁLISE DE DADOS'!$A:$AM,8,0),""))</f>
        <v/>
      </c>
      <c r="K90" s="61" t="str">
        <f>IF(B90="","",IFERROR(VLOOKUP(B90,'ANÁLISE DE DADOS'!$A:$AM,9,0),""))</f>
        <v/>
      </c>
      <c r="L90" s="61" t="str">
        <f>IF(B90="","",IFERROR(VLOOKUP(B90,'ANÁLISE DE DADOS'!$A:$AM,10,0),""))</f>
        <v/>
      </c>
      <c r="M90" s="62" t="str">
        <f>IF(B90="","",IFERROR(VLOOKUP(B90,'ANÁLISE DE DADOS'!$A:$AM,11,0),""))</f>
        <v/>
      </c>
      <c r="N90" s="61" t="str">
        <f>IF(B90="","",IFERROR(VLOOKUP(B90,'ANÁLISE DE DADOS'!$A:$AM,12,0),""))</f>
        <v/>
      </c>
      <c r="O90" s="61" t="str">
        <f>IF(B90="","",IFERROR(VLOOKUP(B90,'ANÁLISE DE DADOS'!$A:$AM,13,0),""))</f>
        <v/>
      </c>
      <c r="P90" s="63" t="str">
        <f>IF(B90="","",IFERROR(VLOOKUP(B90,'ANÁLISE DE DADOS'!$A:$AM,14,0),""))</f>
        <v/>
      </c>
      <c r="Q90" s="61" t="str">
        <f>IF(B90="","",IFERROR(VLOOKUP(B90,'ANÁLISE DE DADOS'!$A:$AM,15,0),""))</f>
        <v/>
      </c>
      <c r="R90" s="61" t="str">
        <f>IF(B90="","",IFERROR(VLOOKUP(B90,'ANÁLISE DE DADOS'!$A:$AM,16,0),""))</f>
        <v/>
      </c>
      <c r="S90" s="61" t="str">
        <f>IF(B90="","",IFERROR(VLOOKUP(B90,'ANÁLISE DE DADOS'!$A:$AM,17,0),""))</f>
        <v/>
      </c>
      <c r="T90" s="61" t="str">
        <f>IF(B90="","",IFERROR(VLOOKUP(B90,'ANÁLISE DE DADOS'!$A:$AM,18,0),""))</f>
        <v/>
      </c>
      <c r="U90" s="61" t="str">
        <f>IF(B90="","",IFERROR(VLOOKUP(B90,'ANÁLISE DE DADOS'!$A:$AM,19,0),""))</f>
        <v/>
      </c>
      <c r="V90" s="61" t="str">
        <f>IF(B90="","",IFERROR(VLOOKUP(B90,'ANÁLISE DE DADOS'!$A:$AM,20,0),""))</f>
        <v/>
      </c>
      <c r="W90" s="61" t="str">
        <f>IF(B90="","",IFERROR(VLOOKUP(B90,'ANÁLISE DE DADOS'!$A:$AM,21,0),""))</f>
        <v/>
      </c>
      <c r="X90" s="61" t="str">
        <f>IF(B90="","",IFERROR(VLOOKUP(B90,'ANÁLISE DE DADOS'!$A:$AM,22,0),""))</f>
        <v/>
      </c>
      <c r="Y90" s="61" t="str">
        <f>IF(B90="","",IFERROR(VLOOKUP(B90,'ANÁLISE DE DADOS'!$A:$AM,23,0),""))</f>
        <v/>
      </c>
      <c r="Z90" s="61" t="str">
        <f>IF(B90="","",IFERROR(VLOOKUP(B90,'ANÁLISE DE DADOS'!$A:$AM,24,0),""))</f>
        <v/>
      </c>
      <c r="AA90" s="61" t="str">
        <f>IF(B90="","",IFERROR(VLOOKUP(B90,'ANÁLISE DE DADOS'!$A:$AM,25,0),""))</f>
        <v/>
      </c>
      <c r="AB90" s="61" t="str">
        <f>IF(B90="","",IFERROR(VLOOKUP(B90,'ANÁLISE DE DADOS'!$A:$AM,26,0),""))</f>
        <v/>
      </c>
      <c r="AC90" s="61" t="str">
        <f>IF(B90="","",IFERROR(VLOOKUP(B90,'ANÁLISE DE DADOS'!$A:$AM,27,0),""))</f>
        <v/>
      </c>
      <c r="AD90" s="62" t="str">
        <f>IF(B90="","",IFERROR(VLOOKUP(B90,'ANÁLISE DE DADOS'!$A:$AM,28,0),""))</f>
        <v/>
      </c>
      <c r="AE90" s="61" t="str">
        <f>IF(B90="","",IFERROR(VLOOKUP(B90,'ANÁLISE DE DADOS'!$A:$AM,29,0),""))</f>
        <v/>
      </c>
      <c r="AF90" s="61" t="str">
        <f>IF(B90="","",IFERROR(VLOOKUP(B90,'ANÁLISE DE DADOS'!$A:$AM,30,0),""))</f>
        <v/>
      </c>
      <c r="AG90" s="62" t="str">
        <f>IF(B90="","",IFERROR(VLOOKUP(B90,'ANÁLISE DE DADOS'!$A:$AM,31,0),""))</f>
        <v/>
      </c>
      <c r="AH90" s="61" t="str">
        <f>IF(B90="","",IFERROR(VLOOKUP(B90,'ANÁLISE DE DADOS'!$A:$AM,32,0),""))</f>
        <v/>
      </c>
      <c r="AI90" s="61" t="str">
        <f>IF(B90="","",IFERROR(VLOOKUP(B90,'ANÁLISE DE DADOS'!$A:$AM,33,0),""))</f>
        <v/>
      </c>
      <c r="AJ90" s="61" t="str">
        <f>IF(B90="","",IFERROR(VLOOKUP(B90,'ANÁLISE DE DADOS'!$A:$AM,34,0),""))</f>
        <v/>
      </c>
      <c r="AK90" s="63" t="str">
        <f>IF(B90="","",IFERROR(VLOOKUP(B90,'ANÁLISE DE DADOS'!$A:$AM,35,0),""))</f>
        <v/>
      </c>
      <c r="AL90" s="63" t="str">
        <f>IF(B90="","",IFERROR(VLOOKUP(B90,'ANÁLISE DE DADOS'!$A:$AM,36,0),""))</f>
        <v/>
      </c>
    </row>
    <row r="91" spans="3:38" x14ac:dyDescent="0.3">
      <c r="C91" s="61" t="str">
        <f>IF(B91="","",IFERROR(VLOOKUP(B91,'ANÁLISE DE DADOS'!$A:$AM,1,0),""))</f>
        <v/>
      </c>
      <c r="D91" s="61" t="str">
        <f>IF(B91="","",IFERROR(VLOOKUP(B91,'ANÁLISE DE DADOS'!$A:$AM,2,0),""))</f>
        <v/>
      </c>
      <c r="E91" s="61" t="str">
        <f>IF(B91="","",IFERROR(VLOOKUP(B91,'ANÁLISE DE DADOS'!$A:$AM,3,0),""))</f>
        <v/>
      </c>
      <c r="F91" s="61" t="str">
        <f>IF(B91="","",IFERROR(VLOOKUP(B91,'ANÁLISE DE DADOS'!$A:$AM,4,0),""))</f>
        <v/>
      </c>
      <c r="G91" s="62" t="str">
        <f>IF(B91="","",IFERROR(VLOOKUP(B91,'ANÁLISE DE DADOS'!$A:$AM,5,0),""))</f>
        <v/>
      </c>
      <c r="H91" s="62" t="str">
        <f>IF(B91="","",IFERROR(VLOOKUP(B91,'ANÁLISE DE DADOS'!$A:$AM,6,0),""))</f>
        <v/>
      </c>
      <c r="I91" s="62" t="str">
        <f>IF(B91="","",IFERROR(VLOOKUP(B91,'ANÁLISE DE DADOS'!$A:$AM,7,0),""))</f>
        <v/>
      </c>
      <c r="J91" s="62" t="str">
        <f>IF(B91="","",IFERROR(VLOOKUP(B91,'ANÁLISE DE DADOS'!$A:$AM,8,0),""))</f>
        <v/>
      </c>
      <c r="K91" s="61" t="str">
        <f>IF(B91="","",IFERROR(VLOOKUP(B91,'ANÁLISE DE DADOS'!$A:$AM,9,0),""))</f>
        <v/>
      </c>
      <c r="L91" s="61" t="str">
        <f>IF(B91="","",IFERROR(VLOOKUP(B91,'ANÁLISE DE DADOS'!$A:$AM,10,0),""))</f>
        <v/>
      </c>
      <c r="M91" s="62" t="str">
        <f>IF(B91="","",IFERROR(VLOOKUP(B91,'ANÁLISE DE DADOS'!$A:$AM,11,0),""))</f>
        <v/>
      </c>
      <c r="N91" s="61" t="str">
        <f>IF(B91="","",IFERROR(VLOOKUP(B91,'ANÁLISE DE DADOS'!$A:$AM,12,0),""))</f>
        <v/>
      </c>
      <c r="O91" s="61" t="str">
        <f>IF(B91="","",IFERROR(VLOOKUP(B91,'ANÁLISE DE DADOS'!$A:$AM,13,0),""))</f>
        <v/>
      </c>
      <c r="P91" s="63" t="str">
        <f>IF(B91="","",IFERROR(VLOOKUP(B91,'ANÁLISE DE DADOS'!$A:$AM,14,0),""))</f>
        <v/>
      </c>
      <c r="Q91" s="61" t="str">
        <f>IF(B91="","",IFERROR(VLOOKUP(B91,'ANÁLISE DE DADOS'!$A:$AM,15,0),""))</f>
        <v/>
      </c>
      <c r="R91" s="61" t="str">
        <f>IF(B91="","",IFERROR(VLOOKUP(B91,'ANÁLISE DE DADOS'!$A:$AM,16,0),""))</f>
        <v/>
      </c>
      <c r="S91" s="61" t="str">
        <f>IF(B91="","",IFERROR(VLOOKUP(B91,'ANÁLISE DE DADOS'!$A:$AM,17,0),""))</f>
        <v/>
      </c>
      <c r="T91" s="61" t="str">
        <f>IF(B91="","",IFERROR(VLOOKUP(B91,'ANÁLISE DE DADOS'!$A:$AM,18,0),""))</f>
        <v/>
      </c>
      <c r="U91" s="61" t="str">
        <f>IF(B91="","",IFERROR(VLOOKUP(B91,'ANÁLISE DE DADOS'!$A:$AM,19,0),""))</f>
        <v/>
      </c>
      <c r="V91" s="61" t="str">
        <f>IF(B91="","",IFERROR(VLOOKUP(B91,'ANÁLISE DE DADOS'!$A:$AM,20,0),""))</f>
        <v/>
      </c>
      <c r="W91" s="61" t="str">
        <f>IF(B91="","",IFERROR(VLOOKUP(B91,'ANÁLISE DE DADOS'!$A:$AM,21,0),""))</f>
        <v/>
      </c>
      <c r="X91" s="61" t="str">
        <f>IF(B91="","",IFERROR(VLOOKUP(B91,'ANÁLISE DE DADOS'!$A:$AM,22,0),""))</f>
        <v/>
      </c>
      <c r="Y91" s="61" t="str">
        <f>IF(B91="","",IFERROR(VLOOKUP(B91,'ANÁLISE DE DADOS'!$A:$AM,23,0),""))</f>
        <v/>
      </c>
      <c r="Z91" s="61" t="str">
        <f>IF(B91="","",IFERROR(VLOOKUP(B91,'ANÁLISE DE DADOS'!$A:$AM,24,0),""))</f>
        <v/>
      </c>
      <c r="AA91" s="61" t="str">
        <f>IF(B91="","",IFERROR(VLOOKUP(B91,'ANÁLISE DE DADOS'!$A:$AM,25,0),""))</f>
        <v/>
      </c>
      <c r="AB91" s="61" t="str">
        <f>IF(B91="","",IFERROR(VLOOKUP(B91,'ANÁLISE DE DADOS'!$A:$AM,26,0),""))</f>
        <v/>
      </c>
      <c r="AC91" s="61" t="str">
        <f>IF(B91="","",IFERROR(VLOOKUP(B91,'ANÁLISE DE DADOS'!$A:$AM,27,0),""))</f>
        <v/>
      </c>
      <c r="AD91" s="62" t="str">
        <f>IF(B91="","",IFERROR(VLOOKUP(B91,'ANÁLISE DE DADOS'!$A:$AM,28,0),""))</f>
        <v/>
      </c>
      <c r="AE91" s="61" t="str">
        <f>IF(B91="","",IFERROR(VLOOKUP(B91,'ANÁLISE DE DADOS'!$A:$AM,29,0),""))</f>
        <v/>
      </c>
      <c r="AF91" s="61" t="str">
        <f>IF(B91="","",IFERROR(VLOOKUP(B91,'ANÁLISE DE DADOS'!$A:$AM,30,0),""))</f>
        <v/>
      </c>
      <c r="AG91" s="62" t="str">
        <f>IF(B91="","",IFERROR(VLOOKUP(B91,'ANÁLISE DE DADOS'!$A:$AM,31,0),""))</f>
        <v/>
      </c>
      <c r="AH91" s="61" t="str">
        <f>IF(B91="","",IFERROR(VLOOKUP(B91,'ANÁLISE DE DADOS'!$A:$AM,32,0),""))</f>
        <v/>
      </c>
      <c r="AI91" s="61" t="str">
        <f>IF(B91="","",IFERROR(VLOOKUP(B91,'ANÁLISE DE DADOS'!$A:$AM,33,0),""))</f>
        <v/>
      </c>
      <c r="AJ91" s="61" t="str">
        <f>IF(B91="","",IFERROR(VLOOKUP(B91,'ANÁLISE DE DADOS'!$A:$AM,34,0),""))</f>
        <v/>
      </c>
      <c r="AK91" s="63" t="str">
        <f>IF(B91="","",IFERROR(VLOOKUP(B91,'ANÁLISE DE DADOS'!$A:$AM,35,0),""))</f>
        <v/>
      </c>
      <c r="AL91" s="63" t="str">
        <f>IF(B91="","",IFERROR(VLOOKUP(B91,'ANÁLISE DE DADOS'!$A:$AM,36,0),""))</f>
        <v/>
      </c>
    </row>
    <row r="92" spans="3:38" x14ac:dyDescent="0.3">
      <c r="C92" s="61" t="str">
        <f>IF(B92="","",IFERROR(VLOOKUP(B92,'ANÁLISE DE DADOS'!$A:$AM,1,0),""))</f>
        <v/>
      </c>
      <c r="D92" s="61" t="str">
        <f>IF(B92="","",IFERROR(VLOOKUP(B92,'ANÁLISE DE DADOS'!$A:$AM,2,0),""))</f>
        <v/>
      </c>
      <c r="E92" s="61" t="str">
        <f>IF(B92="","",IFERROR(VLOOKUP(B92,'ANÁLISE DE DADOS'!$A:$AM,3,0),""))</f>
        <v/>
      </c>
      <c r="F92" s="61" t="str">
        <f>IF(B92="","",IFERROR(VLOOKUP(B92,'ANÁLISE DE DADOS'!$A:$AM,4,0),""))</f>
        <v/>
      </c>
      <c r="G92" s="62" t="str">
        <f>IF(B92="","",IFERROR(VLOOKUP(B92,'ANÁLISE DE DADOS'!$A:$AM,5,0),""))</f>
        <v/>
      </c>
      <c r="H92" s="62" t="str">
        <f>IF(B92="","",IFERROR(VLOOKUP(B92,'ANÁLISE DE DADOS'!$A:$AM,6,0),""))</f>
        <v/>
      </c>
      <c r="I92" s="62" t="str">
        <f>IF(B92="","",IFERROR(VLOOKUP(B92,'ANÁLISE DE DADOS'!$A:$AM,7,0),""))</f>
        <v/>
      </c>
      <c r="J92" s="62" t="str">
        <f>IF(B92="","",IFERROR(VLOOKUP(B92,'ANÁLISE DE DADOS'!$A:$AM,8,0),""))</f>
        <v/>
      </c>
      <c r="K92" s="61" t="str">
        <f>IF(B92="","",IFERROR(VLOOKUP(B92,'ANÁLISE DE DADOS'!$A:$AM,9,0),""))</f>
        <v/>
      </c>
      <c r="L92" s="61" t="str">
        <f>IF(B92="","",IFERROR(VLOOKUP(B92,'ANÁLISE DE DADOS'!$A:$AM,10,0),""))</f>
        <v/>
      </c>
      <c r="M92" s="62" t="str">
        <f>IF(B92="","",IFERROR(VLOOKUP(B92,'ANÁLISE DE DADOS'!$A:$AM,11,0),""))</f>
        <v/>
      </c>
      <c r="N92" s="61" t="str">
        <f>IF(B92="","",IFERROR(VLOOKUP(B92,'ANÁLISE DE DADOS'!$A:$AM,12,0),""))</f>
        <v/>
      </c>
      <c r="O92" s="61" t="str">
        <f>IF(B92="","",IFERROR(VLOOKUP(B92,'ANÁLISE DE DADOS'!$A:$AM,13,0),""))</f>
        <v/>
      </c>
      <c r="P92" s="63" t="str">
        <f>IF(B92="","",IFERROR(VLOOKUP(B92,'ANÁLISE DE DADOS'!$A:$AM,14,0),""))</f>
        <v/>
      </c>
      <c r="Q92" s="61" t="str">
        <f>IF(B92="","",IFERROR(VLOOKUP(B92,'ANÁLISE DE DADOS'!$A:$AM,15,0),""))</f>
        <v/>
      </c>
      <c r="R92" s="61" t="str">
        <f>IF(B92="","",IFERROR(VLOOKUP(B92,'ANÁLISE DE DADOS'!$A:$AM,16,0),""))</f>
        <v/>
      </c>
      <c r="S92" s="61" t="str">
        <f>IF(B92="","",IFERROR(VLOOKUP(B92,'ANÁLISE DE DADOS'!$A:$AM,17,0),""))</f>
        <v/>
      </c>
      <c r="T92" s="61" t="str">
        <f>IF(B92="","",IFERROR(VLOOKUP(B92,'ANÁLISE DE DADOS'!$A:$AM,18,0),""))</f>
        <v/>
      </c>
      <c r="U92" s="61" t="str">
        <f>IF(B92="","",IFERROR(VLOOKUP(B92,'ANÁLISE DE DADOS'!$A:$AM,19,0),""))</f>
        <v/>
      </c>
      <c r="V92" s="61" t="str">
        <f>IF(B92="","",IFERROR(VLOOKUP(B92,'ANÁLISE DE DADOS'!$A:$AM,20,0),""))</f>
        <v/>
      </c>
      <c r="W92" s="61" t="str">
        <f>IF(B92="","",IFERROR(VLOOKUP(B92,'ANÁLISE DE DADOS'!$A:$AM,21,0),""))</f>
        <v/>
      </c>
      <c r="X92" s="61" t="str">
        <f>IF(B92="","",IFERROR(VLOOKUP(B92,'ANÁLISE DE DADOS'!$A:$AM,22,0),""))</f>
        <v/>
      </c>
      <c r="Y92" s="61" t="str">
        <f>IF(B92="","",IFERROR(VLOOKUP(B92,'ANÁLISE DE DADOS'!$A:$AM,23,0),""))</f>
        <v/>
      </c>
      <c r="Z92" s="61" t="str">
        <f>IF(B92="","",IFERROR(VLOOKUP(B92,'ANÁLISE DE DADOS'!$A:$AM,24,0),""))</f>
        <v/>
      </c>
      <c r="AA92" s="61" t="str">
        <f>IF(B92="","",IFERROR(VLOOKUP(B92,'ANÁLISE DE DADOS'!$A:$AM,25,0),""))</f>
        <v/>
      </c>
      <c r="AB92" s="61" t="str">
        <f>IF(B92="","",IFERROR(VLOOKUP(B92,'ANÁLISE DE DADOS'!$A:$AM,26,0),""))</f>
        <v/>
      </c>
      <c r="AC92" s="61" t="str">
        <f>IF(B92="","",IFERROR(VLOOKUP(B92,'ANÁLISE DE DADOS'!$A:$AM,27,0),""))</f>
        <v/>
      </c>
      <c r="AD92" s="62" t="str">
        <f>IF(B92="","",IFERROR(VLOOKUP(B92,'ANÁLISE DE DADOS'!$A:$AM,28,0),""))</f>
        <v/>
      </c>
      <c r="AE92" s="61" t="str">
        <f>IF(B92="","",IFERROR(VLOOKUP(B92,'ANÁLISE DE DADOS'!$A:$AM,29,0),""))</f>
        <v/>
      </c>
      <c r="AF92" s="61" t="str">
        <f>IF(B92="","",IFERROR(VLOOKUP(B92,'ANÁLISE DE DADOS'!$A:$AM,30,0),""))</f>
        <v/>
      </c>
      <c r="AG92" s="62" t="str">
        <f>IF(B92="","",IFERROR(VLOOKUP(B92,'ANÁLISE DE DADOS'!$A:$AM,31,0),""))</f>
        <v/>
      </c>
      <c r="AH92" s="61" t="str">
        <f>IF(B92="","",IFERROR(VLOOKUP(B92,'ANÁLISE DE DADOS'!$A:$AM,32,0),""))</f>
        <v/>
      </c>
      <c r="AI92" s="61" t="str">
        <f>IF(B92="","",IFERROR(VLOOKUP(B92,'ANÁLISE DE DADOS'!$A:$AM,33,0),""))</f>
        <v/>
      </c>
      <c r="AJ92" s="61" t="str">
        <f>IF(B92="","",IFERROR(VLOOKUP(B92,'ANÁLISE DE DADOS'!$A:$AM,34,0),""))</f>
        <v/>
      </c>
      <c r="AK92" s="63" t="str">
        <f>IF(B92="","",IFERROR(VLOOKUP(B92,'ANÁLISE DE DADOS'!$A:$AM,35,0),""))</f>
        <v/>
      </c>
      <c r="AL92" s="63" t="str">
        <f>IF(B92="","",IFERROR(VLOOKUP(B92,'ANÁLISE DE DADOS'!$A:$AM,36,0),""))</f>
        <v/>
      </c>
    </row>
    <row r="93" spans="3:38" x14ac:dyDescent="0.3">
      <c r="C93" s="61" t="str">
        <f>IF(B93="","",IFERROR(VLOOKUP(B93,'ANÁLISE DE DADOS'!$A:$AM,1,0),""))</f>
        <v/>
      </c>
      <c r="D93" s="61" t="str">
        <f>IF(B93="","",IFERROR(VLOOKUP(B93,'ANÁLISE DE DADOS'!$A:$AM,2,0),""))</f>
        <v/>
      </c>
      <c r="E93" s="61" t="str">
        <f>IF(B93="","",IFERROR(VLOOKUP(B93,'ANÁLISE DE DADOS'!$A:$AM,3,0),""))</f>
        <v/>
      </c>
      <c r="F93" s="61" t="str">
        <f>IF(B93="","",IFERROR(VLOOKUP(B93,'ANÁLISE DE DADOS'!$A:$AM,4,0),""))</f>
        <v/>
      </c>
      <c r="G93" s="62" t="str">
        <f>IF(B93="","",IFERROR(VLOOKUP(B93,'ANÁLISE DE DADOS'!$A:$AM,5,0),""))</f>
        <v/>
      </c>
      <c r="H93" s="62" t="str">
        <f>IF(B93="","",IFERROR(VLOOKUP(B93,'ANÁLISE DE DADOS'!$A:$AM,6,0),""))</f>
        <v/>
      </c>
      <c r="I93" s="62" t="str">
        <f>IF(B93="","",IFERROR(VLOOKUP(B93,'ANÁLISE DE DADOS'!$A:$AM,7,0),""))</f>
        <v/>
      </c>
      <c r="J93" s="62" t="str">
        <f>IF(B93="","",IFERROR(VLOOKUP(B93,'ANÁLISE DE DADOS'!$A:$AM,8,0),""))</f>
        <v/>
      </c>
      <c r="K93" s="61" t="str">
        <f>IF(B93="","",IFERROR(VLOOKUP(B93,'ANÁLISE DE DADOS'!$A:$AM,9,0),""))</f>
        <v/>
      </c>
      <c r="L93" s="61" t="str">
        <f>IF(B93="","",IFERROR(VLOOKUP(B93,'ANÁLISE DE DADOS'!$A:$AM,10,0),""))</f>
        <v/>
      </c>
      <c r="M93" s="62" t="str">
        <f>IF(B93="","",IFERROR(VLOOKUP(B93,'ANÁLISE DE DADOS'!$A:$AM,11,0),""))</f>
        <v/>
      </c>
      <c r="N93" s="61" t="str">
        <f>IF(B93="","",IFERROR(VLOOKUP(B93,'ANÁLISE DE DADOS'!$A:$AM,12,0),""))</f>
        <v/>
      </c>
      <c r="O93" s="61" t="str">
        <f>IF(B93="","",IFERROR(VLOOKUP(B93,'ANÁLISE DE DADOS'!$A:$AM,13,0),""))</f>
        <v/>
      </c>
      <c r="P93" s="63" t="str">
        <f>IF(B93="","",IFERROR(VLOOKUP(B93,'ANÁLISE DE DADOS'!$A:$AM,14,0),""))</f>
        <v/>
      </c>
      <c r="Q93" s="61" t="str">
        <f>IF(B93="","",IFERROR(VLOOKUP(B93,'ANÁLISE DE DADOS'!$A:$AM,15,0),""))</f>
        <v/>
      </c>
      <c r="R93" s="61" t="str">
        <f>IF(B93="","",IFERROR(VLOOKUP(B93,'ANÁLISE DE DADOS'!$A:$AM,16,0),""))</f>
        <v/>
      </c>
      <c r="S93" s="61" t="str">
        <f>IF(B93="","",IFERROR(VLOOKUP(B93,'ANÁLISE DE DADOS'!$A:$AM,17,0),""))</f>
        <v/>
      </c>
      <c r="T93" s="61" t="str">
        <f>IF(B93="","",IFERROR(VLOOKUP(B93,'ANÁLISE DE DADOS'!$A:$AM,18,0),""))</f>
        <v/>
      </c>
      <c r="U93" s="61" t="str">
        <f>IF(B93="","",IFERROR(VLOOKUP(B93,'ANÁLISE DE DADOS'!$A:$AM,19,0),""))</f>
        <v/>
      </c>
      <c r="V93" s="61" t="str">
        <f>IF(B93="","",IFERROR(VLOOKUP(B93,'ANÁLISE DE DADOS'!$A:$AM,20,0),""))</f>
        <v/>
      </c>
      <c r="W93" s="61" t="str">
        <f>IF(B93="","",IFERROR(VLOOKUP(B93,'ANÁLISE DE DADOS'!$A:$AM,21,0),""))</f>
        <v/>
      </c>
      <c r="X93" s="61" t="str">
        <f>IF(B93="","",IFERROR(VLOOKUP(B93,'ANÁLISE DE DADOS'!$A:$AM,22,0),""))</f>
        <v/>
      </c>
      <c r="Y93" s="61" t="str">
        <f>IF(B93="","",IFERROR(VLOOKUP(B93,'ANÁLISE DE DADOS'!$A:$AM,23,0),""))</f>
        <v/>
      </c>
      <c r="Z93" s="61" t="str">
        <f>IF(B93="","",IFERROR(VLOOKUP(B93,'ANÁLISE DE DADOS'!$A:$AM,24,0),""))</f>
        <v/>
      </c>
      <c r="AA93" s="61" t="str">
        <f>IF(B93="","",IFERROR(VLOOKUP(B93,'ANÁLISE DE DADOS'!$A:$AM,25,0),""))</f>
        <v/>
      </c>
      <c r="AB93" s="61" t="str">
        <f>IF(B93="","",IFERROR(VLOOKUP(B93,'ANÁLISE DE DADOS'!$A:$AM,26,0),""))</f>
        <v/>
      </c>
      <c r="AC93" s="61" t="str">
        <f>IF(B93="","",IFERROR(VLOOKUP(B93,'ANÁLISE DE DADOS'!$A:$AM,27,0),""))</f>
        <v/>
      </c>
      <c r="AD93" s="62" t="str">
        <f>IF(B93="","",IFERROR(VLOOKUP(B93,'ANÁLISE DE DADOS'!$A:$AM,28,0),""))</f>
        <v/>
      </c>
      <c r="AE93" s="61" t="str">
        <f>IF(B93="","",IFERROR(VLOOKUP(B93,'ANÁLISE DE DADOS'!$A:$AM,29,0),""))</f>
        <v/>
      </c>
      <c r="AF93" s="61" t="str">
        <f>IF(B93="","",IFERROR(VLOOKUP(B93,'ANÁLISE DE DADOS'!$A:$AM,30,0),""))</f>
        <v/>
      </c>
      <c r="AG93" s="62" t="str">
        <f>IF(B93="","",IFERROR(VLOOKUP(B93,'ANÁLISE DE DADOS'!$A:$AM,31,0),""))</f>
        <v/>
      </c>
      <c r="AH93" s="61" t="str">
        <f>IF(B93="","",IFERROR(VLOOKUP(B93,'ANÁLISE DE DADOS'!$A:$AM,32,0),""))</f>
        <v/>
      </c>
      <c r="AI93" s="61" t="str">
        <f>IF(B93="","",IFERROR(VLOOKUP(B93,'ANÁLISE DE DADOS'!$A:$AM,33,0),""))</f>
        <v/>
      </c>
      <c r="AJ93" s="61" t="str">
        <f>IF(B93="","",IFERROR(VLOOKUP(B93,'ANÁLISE DE DADOS'!$A:$AM,34,0),""))</f>
        <v/>
      </c>
      <c r="AK93" s="63" t="str">
        <f>IF(B93="","",IFERROR(VLOOKUP(B93,'ANÁLISE DE DADOS'!$A:$AM,35,0),""))</f>
        <v/>
      </c>
      <c r="AL93" s="63" t="str">
        <f>IF(B93="","",IFERROR(VLOOKUP(B93,'ANÁLISE DE DADOS'!$A:$AM,36,0),""))</f>
        <v/>
      </c>
    </row>
    <row r="94" spans="3:38" x14ac:dyDescent="0.3">
      <c r="C94" s="61" t="str">
        <f>IF(B94="","",IFERROR(VLOOKUP(B94,'ANÁLISE DE DADOS'!$A:$AM,1,0),""))</f>
        <v/>
      </c>
      <c r="D94" s="61" t="str">
        <f>IF(B94="","",IFERROR(VLOOKUP(B94,'ANÁLISE DE DADOS'!$A:$AM,2,0),""))</f>
        <v/>
      </c>
      <c r="E94" s="61" t="str">
        <f>IF(B94="","",IFERROR(VLOOKUP(B94,'ANÁLISE DE DADOS'!$A:$AM,3,0),""))</f>
        <v/>
      </c>
      <c r="F94" s="61" t="str">
        <f>IF(B94="","",IFERROR(VLOOKUP(B94,'ANÁLISE DE DADOS'!$A:$AM,4,0),""))</f>
        <v/>
      </c>
      <c r="G94" s="62" t="str">
        <f>IF(B94="","",IFERROR(VLOOKUP(B94,'ANÁLISE DE DADOS'!$A:$AM,5,0),""))</f>
        <v/>
      </c>
      <c r="H94" s="62" t="str">
        <f>IF(B94="","",IFERROR(VLOOKUP(B94,'ANÁLISE DE DADOS'!$A:$AM,6,0),""))</f>
        <v/>
      </c>
      <c r="I94" s="62" t="str">
        <f>IF(B94="","",IFERROR(VLOOKUP(B94,'ANÁLISE DE DADOS'!$A:$AM,7,0),""))</f>
        <v/>
      </c>
      <c r="J94" s="62" t="str">
        <f>IF(B94="","",IFERROR(VLOOKUP(B94,'ANÁLISE DE DADOS'!$A:$AM,8,0),""))</f>
        <v/>
      </c>
      <c r="K94" s="61" t="str">
        <f>IF(B94="","",IFERROR(VLOOKUP(B94,'ANÁLISE DE DADOS'!$A:$AM,9,0),""))</f>
        <v/>
      </c>
      <c r="L94" s="61" t="str">
        <f>IF(B94="","",IFERROR(VLOOKUP(B94,'ANÁLISE DE DADOS'!$A:$AM,10,0),""))</f>
        <v/>
      </c>
      <c r="M94" s="62" t="str">
        <f>IF(B94="","",IFERROR(VLOOKUP(B94,'ANÁLISE DE DADOS'!$A:$AM,11,0),""))</f>
        <v/>
      </c>
      <c r="N94" s="61" t="str">
        <f>IF(B94="","",IFERROR(VLOOKUP(B94,'ANÁLISE DE DADOS'!$A:$AM,12,0),""))</f>
        <v/>
      </c>
      <c r="O94" s="61" t="str">
        <f>IF(B94="","",IFERROR(VLOOKUP(B94,'ANÁLISE DE DADOS'!$A:$AM,13,0),""))</f>
        <v/>
      </c>
      <c r="P94" s="63" t="str">
        <f>IF(B94="","",IFERROR(VLOOKUP(B94,'ANÁLISE DE DADOS'!$A:$AM,14,0),""))</f>
        <v/>
      </c>
      <c r="Q94" s="61" t="str">
        <f>IF(B94="","",IFERROR(VLOOKUP(B94,'ANÁLISE DE DADOS'!$A:$AM,15,0),""))</f>
        <v/>
      </c>
      <c r="R94" s="61" t="str">
        <f>IF(B94="","",IFERROR(VLOOKUP(B94,'ANÁLISE DE DADOS'!$A:$AM,16,0),""))</f>
        <v/>
      </c>
      <c r="S94" s="61" t="str">
        <f>IF(B94="","",IFERROR(VLOOKUP(B94,'ANÁLISE DE DADOS'!$A:$AM,17,0),""))</f>
        <v/>
      </c>
      <c r="T94" s="61" t="str">
        <f>IF(B94="","",IFERROR(VLOOKUP(B94,'ANÁLISE DE DADOS'!$A:$AM,18,0),""))</f>
        <v/>
      </c>
      <c r="U94" s="61" t="str">
        <f>IF(B94="","",IFERROR(VLOOKUP(B94,'ANÁLISE DE DADOS'!$A:$AM,19,0),""))</f>
        <v/>
      </c>
      <c r="V94" s="61" t="str">
        <f>IF(B94="","",IFERROR(VLOOKUP(B94,'ANÁLISE DE DADOS'!$A:$AM,20,0),""))</f>
        <v/>
      </c>
      <c r="W94" s="61" t="str">
        <f>IF(B94="","",IFERROR(VLOOKUP(B94,'ANÁLISE DE DADOS'!$A:$AM,21,0),""))</f>
        <v/>
      </c>
      <c r="X94" s="61" t="str">
        <f>IF(B94="","",IFERROR(VLOOKUP(B94,'ANÁLISE DE DADOS'!$A:$AM,22,0),""))</f>
        <v/>
      </c>
      <c r="Y94" s="61" t="str">
        <f>IF(B94="","",IFERROR(VLOOKUP(B94,'ANÁLISE DE DADOS'!$A:$AM,23,0),""))</f>
        <v/>
      </c>
      <c r="Z94" s="61" t="str">
        <f>IF(B94="","",IFERROR(VLOOKUP(B94,'ANÁLISE DE DADOS'!$A:$AM,24,0),""))</f>
        <v/>
      </c>
      <c r="AA94" s="61" t="str">
        <f>IF(B94="","",IFERROR(VLOOKUP(B94,'ANÁLISE DE DADOS'!$A:$AM,25,0),""))</f>
        <v/>
      </c>
      <c r="AB94" s="61" t="str">
        <f>IF(B94="","",IFERROR(VLOOKUP(B94,'ANÁLISE DE DADOS'!$A:$AM,26,0),""))</f>
        <v/>
      </c>
      <c r="AC94" s="61" t="str">
        <f>IF(B94="","",IFERROR(VLOOKUP(B94,'ANÁLISE DE DADOS'!$A:$AM,27,0),""))</f>
        <v/>
      </c>
      <c r="AD94" s="62" t="str">
        <f>IF(B94="","",IFERROR(VLOOKUP(B94,'ANÁLISE DE DADOS'!$A:$AM,28,0),""))</f>
        <v/>
      </c>
      <c r="AE94" s="61" t="str">
        <f>IF(B94="","",IFERROR(VLOOKUP(B94,'ANÁLISE DE DADOS'!$A:$AM,29,0),""))</f>
        <v/>
      </c>
      <c r="AF94" s="61" t="str">
        <f>IF(B94="","",IFERROR(VLOOKUP(B94,'ANÁLISE DE DADOS'!$A:$AM,30,0),""))</f>
        <v/>
      </c>
      <c r="AG94" s="62" t="str">
        <f>IF(B94="","",IFERROR(VLOOKUP(B94,'ANÁLISE DE DADOS'!$A:$AM,31,0),""))</f>
        <v/>
      </c>
      <c r="AH94" s="61" t="str">
        <f>IF(B94="","",IFERROR(VLOOKUP(B94,'ANÁLISE DE DADOS'!$A:$AM,32,0),""))</f>
        <v/>
      </c>
      <c r="AI94" s="61" t="str">
        <f>IF(B94="","",IFERROR(VLOOKUP(B94,'ANÁLISE DE DADOS'!$A:$AM,33,0),""))</f>
        <v/>
      </c>
      <c r="AJ94" s="61" t="str">
        <f>IF(B94="","",IFERROR(VLOOKUP(B94,'ANÁLISE DE DADOS'!$A:$AM,34,0),""))</f>
        <v/>
      </c>
      <c r="AK94" s="63" t="str">
        <f>IF(B94="","",IFERROR(VLOOKUP(B94,'ANÁLISE DE DADOS'!$A:$AM,35,0),""))</f>
        <v/>
      </c>
      <c r="AL94" s="63" t="str">
        <f>IF(B94="","",IFERROR(VLOOKUP(B94,'ANÁLISE DE DADOS'!$A:$AM,36,0),""))</f>
        <v/>
      </c>
    </row>
    <row r="95" spans="3:38" x14ac:dyDescent="0.3">
      <c r="C95" s="61" t="str">
        <f>IF(B95="","",IFERROR(VLOOKUP(B95,'ANÁLISE DE DADOS'!$A:$AM,1,0),""))</f>
        <v/>
      </c>
      <c r="D95" s="61" t="str">
        <f>IF(B95="","",IFERROR(VLOOKUP(B95,'ANÁLISE DE DADOS'!$A:$AM,2,0),""))</f>
        <v/>
      </c>
      <c r="E95" s="61" t="str">
        <f>IF(B95="","",IFERROR(VLOOKUP(B95,'ANÁLISE DE DADOS'!$A:$AM,3,0),""))</f>
        <v/>
      </c>
      <c r="F95" s="61" t="str">
        <f>IF(B95="","",IFERROR(VLOOKUP(B95,'ANÁLISE DE DADOS'!$A:$AM,4,0),""))</f>
        <v/>
      </c>
      <c r="G95" s="62" t="str">
        <f>IF(B95="","",IFERROR(VLOOKUP(B95,'ANÁLISE DE DADOS'!$A:$AM,5,0),""))</f>
        <v/>
      </c>
      <c r="H95" s="62" t="str">
        <f>IF(B95="","",IFERROR(VLOOKUP(B95,'ANÁLISE DE DADOS'!$A:$AM,6,0),""))</f>
        <v/>
      </c>
      <c r="I95" s="62" t="str">
        <f>IF(B95="","",IFERROR(VLOOKUP(B95,'ANÁLISE DE DADOS'!$A:$AM,7,0),""))</f>
        <v/>
      </c>
      <c r="J95" s="62" t="str">
        <f>IF(B95="","",IFERROR(VLOOKUP(B95,'ANÁLISE DE DADOS'!$A:$AM,8,0),""))</f>
        <v/>
      </c>
      <c r="K95" s="61" t="str">
        <f>IF(B95="","",IFERROR(VLOOKUP(B95,'ANÁLISE DE DADOS'!$A:$AM,9,0),""))</f>
        <v/>
      </c>
      <c r="L95" s="61" t="str">
        <f>IF(B95="","",IFERROR(VLOOKUP(B95,'ANÁLISE DE DADOS'!$A:$AM,10,0),""))</f>
        <v/>
      </c>
      <c r="M95" s="62" t="str">
        <f>IF(B95="","",IFERROR(VLOOKUP(B95,'ANÁLISE DE DADOS'!$A:$AM,11,0),""))</f>
        <v/>
      </c>
      <c r="N95" s="61" t="str">
        <f>IF(B95="","",IFERROR(VLOOKUP(B95,'ANÁLISE DE DADOS'!$A:$AM,12,0),""))</f>
        <v/>
      </c>
      <c r="O95" s="61" t="str">
        <f>IF(B95="","",IFERROR(VLOOKUP(B95,'ANÁLISE DE DADOS'!$A:$AM,13,0),""))</f>
        <v/>
      </c>
      <c r="P95" s="63" t="str">
        <f>IF(B95="","",IFERROR(VLOOKUP(B95,'ANÁLISE DE DADOS'!$A:$AM,14,0),""))</f>
        <v/>
      </c>
      <c r="Q95" s="61" t="str">
        <f>IF(B95="","",IFERROR(VLOOKUP(B95,'ANÁLISE DE DADOS'!$A:$AM,15,0),""))</f>
        <v/>
      </c>
      <c r="R95" s="61" t="str">
        <f>IF(B95="","",IFERROR(VLOOKUP(B95,'ANÁLISE DE DADOS'!$A:$AM,16,0),""))</f>
        <v/>
      </c>
      <c r="S95" s="61" t="str">
        <f>IF(B95="","",IFERROR(VLOOKUP(B95,'ANÁLISE DE DADOS'!$A:$AM,17,0),""))</f>
        <v/>
      </c>
      <c r="T95" s="61" t="str">
        <f>IF(B95="","",IFERROR(VLOOKUP(B95,'ANÁLISE DE DADOS'!$A:$AM,18,0),""))</f>
        <v/>
      </c>
      <c r="U95" s="61" t="str">
        <f>IF(B95="","",IFERROR(VLOOKUP(B95,'ANÁLISE DE DADOS'!$A:$AM,19,0),""))</f>
        <v/>
      </c>
      <c r="V95" s="61" t="str">
        <f>IF(B95="","",IFERROR(VLOOKUP(B95,'ANÁLISE DE DADOS'!$A:$AM,20,0),""))</f>
        <v/>
      </c>
      <c r="W95" s="61" t="str">
        <f>IF(B95="","",IFERROR(VLOOKUP(B95,'ANÁLISE DE DADOS'!$A:$AM,21,0),""))</f>
        <v/>
      </c>
      <c r="X95" s="61" t="str">
        <f>IF(B95="","",IFERROR(VLOOKUP(B95,'ANÁLISE DE DADOS'!$A:$AM,22,0),""))</f>
        <v/>
      </c>
      <c r="Y95" s="61" t="str">
        <f>IF(B95="","",IFERROR(VLOOKUP(B95,'ANÁLISE DE DADOS'!$A:$AM,23,0),""))</f>
        <v/>
      </c>
      <c r="Z95" s="61" t="str">
        <f>IF(B95="","",IFERROR(VLOOKUP(B95,'ANÁLISE DE DADOS'!$A:$AM,24,0),""))</f>
        <v/>
      </c>
      <c r="AA95" s="61" t="str">
        <f>IF(B95="","",IFERROR(VLOOKUP(B95,'ANÁLISE DE DADOS'!$A:$AM,25,0),""))</f>
        <v/>
      </c>
      <c r="AB95" s="61" t="str">
        <f>IF(B95="","",IFERROR(VLOOKUP(B95,'ANÁLISE DE DADOS'!$A:$AM,26,0),""))</f>
        <v/>
      </c>
      <c r="AC95" s="61" t="str">
        <f>IF(B95="","",IFERROR(VLOOKUP(B95,'ANÁLISE DE DADOS'!$A:$AM,27,0),""))</f>
        <v/>
      </c>
      <c r="AD95" s="62" t="str">
        <f>IF(B95="","",IFERROR(VLOOKUP(B95,'ANÁLISE DE DADOS'!$A:$AM,28,0),""))</f>
        <v/>
      </c>
      <c r="AE95" s="61" t="str">
        <f>IF(B95="","",IFERROR(VLOOKUP(B95,'ANÁLISE DE DADOS'!$A:$AM,29,0),""))</f>
        <v/>
      </c>
      <c r="AF95" s="61" t="str">
        <f>IF(B95="","",IFERROR(VLOOKUP(B95,'ANÁLISE DE DADOS'!$A:$AM,30,0),""))</f>
        <v/>
      </c>
      <c r="AG95" s="62" t="str">
        <f>IF(B95="","",IFERROR(VLOOKUP(B95,'ANÁLISE DE DADOS'!$A:$AM,31,0),""))</f>
        <v/>
      </c>
      <c r="AH95" s="61" t="str">
        <f>IF(B95="","",IFERROR(VLOOKUP(B95,'ANÁLISE DE DADOS'!$A:$AM,32,0),""))</f>
        <v/>
      </c>
      <c r="AI95" s="61" t="str">
        <f>IF(B95="","",IFERROR(VLOOKUP(B95,'ANÁLISE DE DADOS'!$A:$AM,33,0),""))</f>
        <v/>
      </c>
      <c r="AJ95" s="61" t="str">
        <f>IF(B95="","",IFERROR(VLOOKUP(B95,'ANÁLISE DE DADOS'!$A:$AM,34,0),""))</f>
        <v/>
      </c>
      <c r="AK95" s="63" t="str">
        <f>IF(B95="","",IFERROR(VLOOKUP(B95,'ANÁLISE DE DADOS'!$A:$AM,35,0),""))</f>
        <v/>
      </c>
      <c r="AL95" s="63" t="str">
        <f>IF(B95="","",IFERROR(VLOOKUP(B95,'ANÁLISE DE DADOS'!$A:$AM,36,0),""))</f>
        <v/>
      </c>
    </row>
    <row r="96" spans="3:38" x14ac:dyDescent="0.3">
      <c r="C96" s="61" t="str">
        <f>IF(B96="","",IFERROR(VLOOKUP(B96,'ANÁLISE DE DADOS'!$A:$AM,1,0),""))</f>
        <v/>
      </c>
      <c r="D96" s="61" t="str">
        <f>IF(B96="","",IFERROR(VLOOKUP(B96,'ANÁLISE DE DADOS'!$A:$AM,2,0),""))</f>
        <v/>
      </c>
      <c r="E96" s="61" t="str">
        <f>IF(B96="","",IFERROR(VLOOKUP(B96,'ANÁLISE DE DADOS'!$A:$AM,3,0),""))</f>
        <v/>
      </c>
      <c r="F96" s="61" t="str">
        <f>IF(B96="","",IFERROR(VLOOKUP(B96,'ANÁLISE DE DADOS'!$A:$AM,4,0),""))</f>
        <v/>
      </c>
      <c r="G96" s="62" t="str">
        <f>IF(B96="","",IFERROR(VLOOKUP(B96,'ANÁLISE DE DADOS'!$A:$AM,5,0),""))</f>
        <v/>
      </c>
      <c r="H96" s="62" t="str">
        <f>IF(B96="","",IFERROR(VLOOKUP(B96,'ANÁLISE DE DADOS'!$A:$AM,6,0),""))</f>
        <v/>
      </c>
      <c r="I96" s="62" t="str">
        <f>IF(B96="","",IFERROR(VLOOKUP(B96,'ANÁLISE DE DADOS'!$A:$AM,7,0),""))</f>
        <v/>
      </c>
      <c r="J96" s="62" t="str">
        <f>IF(B96="","",IFERROR(VLOOKUP(B96,'ANÁLISE DE DADOS'!$A:$AM,8,0),""))</f>
        <v/>
      </c>
      <c r="K96" s="61" t="str">
        <f>IF(B96="","",IFERROR(VLOOKUP(B96,'ANÁLISE DE DADOS'!$A:$AM,9,0),""))</f>
        <v/>
      </c>
      <c r="L96" s="61" t="str">
        <f>IF(B96="","",IFERROR(VLOOKUP(B96,'ANÁLISE DE DADOS'!$A:$AM,10,0),""))</f>
        <v/>
      </c>
      <c r="M96" s="62" t="str">
        <f>IF(B96="","",IFERROR(VLOOKUP(B96,'ANÁLISE DE DADOS'!$A:$AM,11,0),""))</f>
        <v/>
      </c>
      <c r="N96" s="61" t="str">
        <f>IF(B96="","",IFERROR(VLOOKUP(B96,'ANÁLISE DE DADOS'!$A:$AM,12,0),""))</f>
        <v/>
      </c>
      <c r="O96" s="61" t="str">
        <f>IF(B96="","",IFERROR(VLOOKUP(B96,'ANÁLISE DE DADOS'!$A:$AM,13,0),""))</f>
        <v/>
      </c>
      <c r="P96" s="63" t="str">
        <f>IF(B96="","",IFERROR(VLOOKUP(B96,'ANÁLISE DE DADOS'!$A:$AM,14,0),""))</f>
        <v/>
      </c>
      <c r="Q96" s="61" t="str">
        <f>IF(B96="","",IFERROR(VLOOKUP(B96,'ANÁLISE DE DADOS'!$A:$AM,15,0),""))</f>
        <v/>
      </c>
      <c r="R96" s="61" t="str">
        <f>IF(B96="","",IFERROR(VLOOKUP(B96,'ANÁLISE DE DADOS'!$A:$AM,16,0),""))</f>
        <v/>
      </c>
      <c r="S96" s="61" t="str">
        <f>IF(B96="","",IFERROR(VLOOKUP(B96,'ANÁLISE DE DADOS'!$A:$AM,17,0),""))</f>
        <v/>
      </c>
      <c r="T96" s="61" t="str">
        <f>IF(B96="","",IFERROR(VLOOKUP(B96,'ANÁLISE DE DADOS'!$A:$AM,18,0),""))</f>
        <v/>
      </c>
      <c r="U96" s="61" t="str">
        <f>IF(B96="","",IFERROR(VLOOKUP(B96,'ANÁLISE DE DADOS'!$A:$AM,19,0),""))</f>
        <v/>
      </c>
      <c r="V96" s="61" t="str">
        <f>IF(B96="","",IFERROR(VLOOKUP(B96,'ANÁLISE DE DADOS'!$A:$AM,20,0),""))</f>
        <v/>
      </c>
      <c r="W96" s="61" t="str">
        <f>IF(B96="","",IFERROR(VLOOKUP(B96,'ANÁLISE DE DADOS'!$A:$AM,21,0),""))</f>
        <v/>
      </c>
      <c r="X96" s="61" t="str">
        <f>IF(B96="","",IFERROR(VLOOKUP(B96,'ANÁLISE DE DADOS'!$A:$AM,22,0),""))</f>
        <v/>
      </c>
      <c r="Y96" s="61" t="str">
        <f>IF(B96="","",IFERROR(VLOOKUP(B96,'ANÁLISE DE DADOS'!$A:$AM,23,0),""))</f>
        <v/>
      </c>
      <c r="Z96" s="61" t="str">
        <f>IF(B96="","",IFERROR(VLOOKUP(B96,'ANÁLISE DE DADOS'!$A:$AM,24,0),""))</f>
        <v/>
      </c>
      <c r="AA96" s="61" t="str">
        <f>IF(B96="","",IFERROR(VLOOKUP(B96,'ANÁLISE DE DADOS'!$A:$AM,25,0),""))</f>
        <v/>
      </c>
      <c r="AB96" s="61" t="str">
        <f>IF(B96="","",IFERROR(VLOOKUP(B96,'ANÁLISE DE DADOS'!$A:$AM,26,0),""))</f>
        <v/>
      </c>
      <c r="AC96" s="61" t="str">
        <f>IF(B96="","",IFERROR(VLOOKUP(B96,'ANÁLISE DE DADOS'!$A:$AM,27,0),""))</f>
        <v/>
      </c>
      <c r="AD96" s="62" t="str">
        <f>IF(B96="","",IFERROR(VLOOKUP(B96,'ANÁLISE DE DADOS'!$A:$AM,28,0),""))</f>
        <v/>
      </c>
      <c r="AE96" s="61" t="str">
        <f>IF(B96="","",IFERROR(VLOOKUP(B96,'ANÁLISE DE DADOS'!$A:$AM,29,0),""))</f>
        <v/>
      </c>
      <c r="AF96" s="61" t="str">
        <f>IF(B96="","",IFERROR(VLOOKUP(B96,'ANÁLISE DE DADOS'!$A:$AM,30,0),""))</f>
        <v/>
      </c>
      <c r="AG96" s="62" t="str">
        <f>IF(B96="","",IFERROR(VLOOKUP(B96,'ANÁLISE DE DADOS'!$A:$AM,31,0),""))</f>
        <v/>
      </c>
      <c r="AH96" s="61" t="str">
        <f>IF(B96="","",IFERROR(VLOOKUP(B96,'ANÁLISE DE DADOS'!$A:$AM,32,0),""))</f>
        <v/>
      </c>
      <c r="AI96" s="61" t="str">
        <f>IF(B96="","",IFERROR(VLOOKUP(B96,'ANÁLISE DE DADOS'!$A:$AM,33,0),""))</f>
        <v/>
      </c>
      <c r="AJ96" s="61" t="str">
        <f>IF(B96="","",IFERROR(VLOOKUP(B96,'ANÁLISE DE DADOS'!$A:$AM,34,0),""))</f>
        <v/>
      </c>
      <c r="AK96" s="63" t="str">
        <f>IF(B96="","",IFERROR(VLOOKUP(B96,'ANÁLISE DE DADOS'!$A:$AM,35,0),""))</f>
        <v/>
      </c>
      <c r="AL96" s="63" t="str">
        <f>IF(B96="","",IFERROR(VLOOKUP(B96,'ANÁLISE DE DADOS'!$A:$AM,36,0),""))</f>
        <v/>
      </c>
    </row>
    <row r="97" spans="3:38" x14ac:dyDescent="0.3">
      <c r="C97" s="61" t="str">
        <f>IF(B97="","",IFERROR(VLOOKUP(B97,'ANÁLISE DE DADOS'!$A:$AM,1,0),""))</f>
        <v/>
      </c>
      <c r="D97" s="61" t="str">
        <f>IF(B97="","",IFERROR(VLOOKUP(B97,'ANÁLISE DE DADOS'!$A:$AM,2,0),""))</f>
        <v/>
      </c>
      <c r="E97" s="61" t="str">
        <f>IF(B97="","",IFERROR(VLOOKUP(B97,'ANÁLISE DE DADOS'!$A:$AM,3,0),""))</f>
        <v/>
      </c>
      <c r="F97" s="61" t="str">
        <f>IF(B97="","",IFERROR(VLOOKUP(B97,'ANÁLISE DE DADOS'!$A:$AM,4,0),""))</f>
        <v/>
      </c>
      <c r="G97" s="62" t="str">
        <f>IF(B97="","",IFERROR(VLOOKUP(B97,'ANÁLISE DE DADOS'!$A:$AM,5,0),""))</f>
        <v/>
      </c>
      <c r="H97" s="62" t="str">
        <f>IF(B97="","",IFERROR(VLOOKUP(B97,'ANÁLISE DE DADOS'!$A:$AM,6,0),""))</f>
        <v/>
      </c>
      <c r="I97" s="62" t="str">
        <f>IF(B97="","",IFERROR(VLOOKUP(B97,'ANÁLISE DE DADOS'!$A:$AM,7,0),""))</f>
        <v/>
      </c>
      <c r="J97" s="62" t="str">
        <f>IF(B97="","",IFERROR(VLOOKUP(B97,'ANÁLISE DE DADOS'!$A:$AM,8,0),""))</f>
        <v/>
      </c>
      <c r="K97" s="61" t="str">
        <f>IF(B97="","",IFERROR(VLOOKUP(B97,'ANÁLISE DE DADOS'!$A:$AM,9,0),""))</f>
        <v/>
      </c>
      <c r="L97" s="61" t="str">
        <f>IF(B97="","",IFERROR(VLOOKUP(B97,'ANÁLISE DE DADOS'!$A:$AM,10,0),""))</f>
        <v/>
      </c>
      <c r="M97" s="62" t="str">
        <f>IF(B97="","",IFERROR(VLOOKUP(B97,'ANÁLISE DE DADOS'!$A:$AM,11,0),""))</f>
        <v/>
      </c>
      <c r="N97" s="61" t="str">
        <f>IF(B97="","",IFERROR(VLOOKUP(B97,'ANÁLISE DE DADOS'!$A:$AM,12,0),""))</f>
        <v/>
      </c>
      <c r="O97" s="61" t="str">
        <f>IF(B97="","",IFERROR(VLOOKUP(B97,'ANÁLISE DE DADOS'!$A:$AM,13,0),""))</f>
        <v/>
      </c>
      <c r="P97" s="63" t="str">
        <f>IF(B97="","",IFERROR(VLOOKUP(B97,'ANÁLISE DE DADOS'!$A:$AM,14,0),""))</f>
        <v/>
      </c>
      <c r="Q97" s="61" t="str">
        <f>IF(B97="","",IFERROR(VLOOKUP(B97,'ANÁLISE DE DADOS'!$A:$AM,15,0),""))</f>
        <v/>
      </c>
      <c r="R97" s="61" t="str">
        <f>IF(B97="","",IFERROR(VLOOKUP(B97,'ANÁLISE DE DADOS'!$A:$AM,16,0),""))</f>
        <v/>
      </c>
      <c r="S97" s="61" t="str">
        <f>IF(B97="","",IFERROR(VLOOKUP(B97,'ANÁLISE DE DADOS'!$A:$AM,17,0),""))</f>
        <v/>
      </c>
      <c r="T97" s="61" t="str">
        <f>IF(B97="","",IFERROR(VLOOKUP(B97,'ANÁLISE DE DADOS'!$A:$AM,18,0),""))</f>
        <v/>
      </c>
      <c r="U97" s="61" t="str">
        <f>IF(B97="","",IFERROR(VLOOKUP(B97,'ANÁLISE DE DADOS'!$A:$AM,19,0),""))</f>
        <v/>
      </c>
      <c r="V97" s="61" t="str">
        <f>IF(B97="","",IFERROR(VLOOKUP(B97,'ANÁLISE DE DADOS'!$A:$AM,20,0),""))</f>
        <v/>
      </c>
      <c r="W97" s="61" t="str">
        <f>IF(B97="","",IFERROR(VLOOKUP(B97,'ANÁLISE DE DADOS'!$A:$AM,21,0),""))</f>
        <v/>
      </c>
      <c r="X97" s="61" t="str">
        <f>IF(B97="","",IFERROR(VLOOKUP(B97,'ANÁLISE DE DADOS'!$A:$AM,22,0),""))</f>
        <v/>
      </c>
      <c r="Y97" s="61" t="str">
        <f>IF(B97="","",IFERROR(VLOOKUP(B97,'ANÁLISE DE DADOS'!$A:$AM,23,0),""))</f>
        <v/>
      </c>
      <c r="Z97" s="61" t="str">
        <f>IF(B97="","",IFERROR(VLOOKUP(B97,'ANÁLISE DE DADOS'!$A:$AM,24,0),""))</f>
        <v/>
      </c>
      <c r="AA97" s="61" t="str">
        <f>IF(B97="","",IFERROR(VLOOKUP(B97,'ANÁLISE DE DADOS'!$A:$AM,25,0),""))</f>
        <v/>
      </c>
      <c r="AB97" s="61" t="str">
        <f>IF(B97="","",IFERROR(VLOOKUP(B97,'ANÁLISE DE DADOS'!$A:$AM,26,0),""))</f>
        <v/>
      </c>
      <c r="AC97" s="61" t="str">
        <f>IF(B97="","",IFERROR(VLOOKUP(B97,'ANÁLISE DE DADOS'!$A:$AM,27,0),""))</f>
        <v/>
      </c>
      <c r="AD97" s="62" t="str">
        <f>IF(B97="","",IFERROR(VLOOKUP(B97,'ANÁLISE DE DADOS'!$A:$AM,28,0),""))</f>
        <v/>
      </c>
      <c r="AE97" s="61" t="str">
        <f>IF(B97="","",IFERROR(VLOOKUP(B97,'ANÁLISE DE DADOS'!$A:$AM,29,0),""))</f>
        <v/>
      </c>
      <c r="AF97" s="61" t="str">
        <f>IF(B97="","",IFERROR(VLOOKUP(B97,'ANÁLISE DE DADOS'!$A:$AM,30,0),""))</f>
        <v/>
      </c>
      <c r="AG97" s="62" t="str">
        <f>IF(B97="","",IFERROR(VLOOKUP(B97,'ANÁLISE DE DADOS'!$A:$AM,31,0),""))</f>
        <v/>
      </c>
      <c r="AH97" s="61" t="str">
        <f>IF(B97="","",IFERROR(VLOOKUP(B97,'ANÁLISE DE DADOS'!$A:$AM,32,0),""))</f>
        <v/>
      </c>
      <c r="AI97" s="61" t="str">
        <f>IF(B97="","",IFERROR(VLOOKUP(B97,'ANÁLISE DE DADOS'!$A:$AM,33,0),""))</f>
        <v/>
      </c>
      <c r="AJ97" s="61" t="str">
        <f>IF(B97="","",IFERROR(VLOOKUP(B97,'ANÁLISE DE DADOS'!$A:$AM,34,0),""))</f>
        <v/>
      </c>
      <c r="AK97" s="63" t="str">
        <f>IF(B97="","",IFERROR(VLOOKUP(B97,'ANÁLISE DE DADOS'!$A:$AM,35,0),""))</f>
        <v/>
      </c>
      <c r="AL97" s="63" t="str">
        <f>IF(B97="","",IFERROR(VLOOKUP(B97,'ANÁLISE DE DADOS'!$A:$AM,36,0),""))</f>
        <v/>
      </c>
    </row>
    <row r="98" spans="3:38" x14ac:dyDescent="0.3">
      <c r="C98" s="61" t="str">
        <f>IF(B98="","",IFERROR(VLOOKUP(B98,'ANÁLISE DE DADOS'!$A:$AM,1,0),""))</f>
        <v/>
      </c>
      <c r="D98" s="61" t="str">
        <f>IF(B98="","",IFERROR(VLOOKUP(B98,'ANÁLISE DE DADOS'!$A:$AM,2,0),""))</f>
        <v/>
      </c>
      <c r="E98" s="61" t="str">
        <f>IF(B98="","",IFERROR(VLOOKUP(B98,'ANÁLISE DE DADOS'!$A:$AM,3,0),""))</f>
        <v/>
      </c>
      <c r="F98" s="61" t="str">
        <f>IF(B98="","",IFERROR(VLOOKUP(B98,'ANÁLISE DE DADOS'!$A:$AM,4,0),""))</f>
        <v/>
      </c>
      <c r="G98" s="62" t="str">
        <f>IF(B98="","",IFERROR(VLOOKUP(B98,'ANÁLISE DE DADOS'!$A:$AM,5,0),""))</f>
        <v/>
      </c>
      <c r="H98" s="62" t="str">
        <f>IF(B98="","",IFERROR(VLOOKUP(B98,'ANÁLISE DE DADOS'!$A:$AM,6,0),""))</f>
        <v/>
      </c>
      <c r="I98" s="62" t="str">
        <f>IF(B98="","",IFERROR(VLOOKUP(B98,'ANÁLISE DE DADOS'!$A:$AM,7,0),""))</f>
        <v/>
      </c>
      <c r="J98" s="62" t="str">
        <f>IF(B98="","",IFERROR(VLOOKUP(B98,'ANÁLISE DE DADOS'!$A:$AM,8,0),""))</f>
        <v/>
      </c>
      <c r="K98" s="61" t="str">
        <f>IF(B98="","",IFERROR(VLOOKUP(B98,'ANÁLISE DE DADOS'!$A:$AM,9,0),""))</f>
        <v/>
      </c>
      <c r="L98" s="61" t="str">
        <f>IF(B98="","",IFERROR(VLOOKUP(B98,'ANÁLISE DE DADOS'!$A:$AM,10,0),""))</f>
        <v/>
      </c>
      <c r="M98" s="62" t="str">
        <f>IF(B98="","",IFERROR(VLOOKUP(B98,'ANÁLISE DE DADOS'!$A:$AM,11,0),""))</f>
        <v/>
      </c>
      <c r="N98" s="61" t="str">
        <f>IF(B98="","",IFERROR(VLOOKUP(B98,'ANÁLISE DE DADOS'!$A:$AM,12,0),""))</f>
        <v/>
      </c>
      <c r="O98" s="61" t="str">
        <f>IF(B98="","",IFERROR(VLOOKUP(B98,'ANÁLISE DE DADOS'!$A:$AM,13,0),""))</f>
        <v/>
      </c>
      <c r="P98" s="63" t="str">
        <f>IF(B98="","",IFERROR(VLOOKUP(B98,'ANÁLISE DE DADOS'!$A:$AM,14,0),""))</f>
        <v/>
      </c>
      <c r="Q98" s="61" t="str">
        <f>IF(B98="","",IFERROR(VLOOKUP(B98,'ANÁLISE DE DADOS'!$A:$AM,15,0),""))</f>
        <v/>
      </c>
      <c r="R98" s="61" t="str">
        <f>IF(B98="","",IFERROR(VLOOKUP(B98,'ANÁLISE DE DADOS'!$A:$AM,16,0),""))</f>
        <v/>
      </c>
      <c r="S98" s="61" t="str">
        <f>IF(B98="","",IFERROR(VLOOKUP(B98,'ANÁLISE DE DADOS'!$A:$AM,17,0),""))</f>
        <v/>
      </c>
      <c r="T98" s="61" t="str">
        <f>IF(B98="","",IFERROR(VLOOKUP(B98,'ANÁLISE DE DADOS'!$A:$AM,18,0),""))</f>
        <v/>
      </c>
      <c r="U98" s="61" t="str">
        <f>IF(B98="","",IFERROR(VLOOKUP(B98,'ANÁLISE DE DADOS'!$A:$AM,19,0),""))</f>
        <v/>
      </c>
      <c r="V98" s="61" t="str">
        <f>IF(B98="","",IFERROR(VLOOKUP(B98,'ANÁLISE DE DADOS'!$A:$AM,20,0),""))</f>
        <v/>
      </c>
      <c r="W98" s="61" t="str">
        <f>IF(B98="","",IFERROR(VLOOKUP(B98,'ANÁLISE DE DADOS'!$A:$AM,21,0),""))</f>
        <v/>
      </c>
      <c r="X98" s="61" t="str">
        <f>IF(B98="","",IFERROR(VLOOKUP(B98,'ANÁLISE DE DADOS'!$A:$AM,22,0),""))</f>
        <v/>
      </c>
      <c r="Y98" s="61" t="str">
        <f>IF(B98="","",IFERROR(VLOOKUP(B98,'ANÁLISE DE DADOS'!$A:$AM,23,0),""))</f>
        <v/>
      </c>
      <c r="Z98" s="61" t="str">
        <f>IF(B98="","",IFERROR(VLOOKUP(B98,'ANÁLISE DE DADOS'!$A:$AM,24,0),""))</f>
        <v/>
      </c>
      <c r="AA98" s="61" t="str">
        <f>IF(B98="","",IFERROR(VLOOKUP(B98,'ANÁLISE DE DADOS'!$A:$AM,25,0),""))</f>
        <v/>
      </c>
      <c r="AB98" s="61" t="str">
        <f>IF(B98="","",IFERROR(VLOOKUP(B98,'ANÁLISE DE DADOS'!$A:$AM,26,0),""))</f>
        <v/>
      </c>
      <c r="AC98" s="61" t="str">
        <f>IF(B98="","",IFERROR(VLOOKUP(B98,'ANÁLISE DE DADOS'!$A:$AM,27,0),""))</f>
        <v/>
      </c>
      <c r="AD98" s="62" t="str">
        <f>IF(B98="","",IFERROR(VLOOKUP(B98,'ANÁLISE DE DADOS'!$A:$AM,28,0),""))</f>
        <v/>
      </c>
      <c r="AE98" s="61" t="str">
        <f>IF(B98="","",IFERROR(VLOOKUP(B98,'ANÁLISE DE DADOS'!$A:$AM,29,0),""))</f>
        <v/>
      </c>
      <c r="AF98" s="61" t="str">
        <f>IF(B98="","",IFERROR(VLOOKUP(B98,'ANÁLISE DE DADOS'!$A:$AM,30,0),""))</f>
        <v/>
      </c>
      <c r="AG98" s="62" t="str">
        <f>IF(B98="","",IFERROR(VLOOKUP(B98,'ANÁLISE DE DADOS'!$A:$AM,31,0),""))</f>
        <v/>
      </c>
      <c r="AH98" s="61" t="str">
        <f>IF(B98="","",IFERROR(VLOOKUP(B98,'ANÁLISE DE DADOS'!$A:$AM,32,0),""))</f>
        <v/>
      </c>
      <c r="AI98" s="61" t="str">
        <f>IF(B98="","",IFERROR(VLOOKUP(B98,'ANÁLISE DE DADOS'!$A:$AM,33,0),""))</f>
        <v/>
      </c>
      <c r="AJ98" s="61" t="str">
        <f>IF(B98="","",IFERROR(VLOOKUP(B98,'ANÁLISE DE DADOS'!$A:$AM,34,0),""))</f>
        <v/>
      </c>
      <c r="AK98" s="63" t="str">
        <f>IF(B98="","",IFERROR(VLOOKUP(B98,'ANÁLISE DE DADOS'!$A:$AM,35,0),""))</f>
        <v/>
      </c>
      <c r="AL98" s="63" t="str">
        <f>IF(B98="","",IFERROR(VLOOKUP(B98,'ANÁLISE DE DADOS'!$A:$AM,36,0),""))</f>
        <v/>
      </c>
    </row>
    <row r="99" spans="3:38" x14ac:dyDescent="0.3">
      <c r="C99" s="61" t="str">
        <f>IF(B99="","",IFERROR(VLOOKUP(B99,'ANÁLISE DE DADOS'!$A:$AM,1,0),""))</f>
        <v/>
      </c>
      <c r="D99" s="61" t="str">
        <f>IF(B99="","",IFERROR(VLOOKUP(B99,'ANÁLISE DE DADOS'!$A:$AM,2,0),""))</f>
        <v/>
      </c>
      <c r="E99" s="61" t="str">
        <f>IF(B99="","",IFERROR(VLOOKUP(B99,'ANÁLISE DE DADOS'!$A:$AM,3,0),""))</f>
        <v/>
      </c>
      <c r="F99" s="61" t="str">
        <f>IF(B99="","",IFERROR(VLOOKUP(B99,'ANÁLISE DE DADOS'!$A:$AM,4,0),""))</f>
        <v/>
      </c>
      <c r="G99" s="62" t="str">
        <f>IF(B99="","",IFERROR(VLOOKUP(B99,'ANÁLISE DE DADOS'!$A:$AM,5,0),""))</f>
        <v/>
      </c>
      <c r="H99" s="62" t="str">
        <f>IF(B99="","",IFERROR(VLOOKUP(B99,'ANÁLISE DE DADOS'!$A:$AM,6,0),""))</f>
        <v/>
      </c>
      <c r="I99" s="62" t="str">
        <f>IF(B99="","",IFERROR(VLOOKUP(B99,'ANÁLISE DE DADOS'!$A:$AM,7,0),""))</f>
        <v/>
      </c>
      <c r="J99" s="62" t="str">
        <f>IF(B99="","",IFERROR(VLOOKUP(B99,'ANÁLISE DE DADOS'!$A:$AM,8,0),""))</f>
        <v/>
      </c>
      <c r="K99" s="61" t="str">
        <f>IF(B99="","",IFERROR(VLOOKUP(B99,'ANÁLISE DE DADOS'!$A:$AM,9,0),""))</f>
        <v/>
      </c>
      <c r="L99" s="61" t="str">
        <f>IF(B99="","",IFERROR(VLOOKUP(B99,'ANÁLISE DE DADOS'!$A:$AM,10,0),""))</f>
        <v/>
      </c>
      <c r="M99" s="62" t="str">
        <f>IF(B99="","",IFERROR(VLOOKUP(B99,'ANÁLISE DE DADOS'!$A:$AM,11,0),""))</f>
        <v/>
      </c>
      <c r="N99" s="61" t="str">
        <f>IF(B99="","",IFERROR(VLOOKUP(B99,'ANÁLISE DE DADOS'!$A:$AM,12,0),""))</f>
        <v/>
      </c>
      <c r="O99" s="61" t="str">
        <f>IF(B99="","",IFERROR(VLOOKUP(B99,'ANÁLISE DE DADOS'!$A:$AM,13,0),""))</f>
        <v/>
      </c>
      <c r="P99" s="63" t="str">
        <f>IF(B99="","",IFERROR(VLOOKUP(B99,'ANÁLISE DE DADOS'!$A:$AM,14,0),""))</f>
        <v/>
      </c>
      <c r="Q99" s="61" t="str">
        <f>IF(B99="","",IFERROR(VLOOKUP(B99,'ANÁLISE DE DADOS'!$A:$AM,15,0),""))</f>
        <v/>
      </c>
      <c r="R99" s="61" t="str">
        <f>IF(B99="","",IFERROR(VLOOKUP(B99,'ANÁLISE DE DADOS'!$A:$AM,16,0),""))</f>
        <v/>
      </c>
      <c r="S99" s="61" t="str">
        <f>IF(B99="","",IFERROR(VLOOKUP(B99,'ANÁLISE DE DADOS'!$A:$AM,17,0),""))</f>
        <v/>
      </c>
      <c r="T99" s="61" t="str">
        <f>IF(B99="","",IFERROR(VLOOKUP(B99,'ANÁLISE DE DADOS'!$A:$AM,18,0),""))</f>
        <v/>
      </c>
      <c r="U99" s="61" t="str">
        <f>IF(B99="","",IFERROR(VLOOKUP(B99,'ANÁLISE DE DADOS'!$A:$AM,19,0),""))</f>
        <v/>
      </c>
      <c r="V99" s="61" t="str">
        <f>IF(B99="","",IFERROR(VLOOKUP(B99,'ANÁLISE DE DADOS'!$A:$AM,20,0),""))</f>
        <v/>
      </c>
      <c r="W99" s="61" t="str">
        <f>IF(B99="","",IFERROR(VLOOKUP(B99,'ANÁLISE DE DADOS'!$A:$AM,21,0),""))</f>
        <v/>
      </c>
      <c r="X99" s="61" t="str">
        <f>IF(B99="","",IFERROR(VLOOKUP(B99,'ANÁLISE DE DADOS'!$A:$AM,22,0),""))</f>
        <v/>
      </c>
      <c r="Y99" s="61" t="str">
        <f>IF(B99="","",IFERROR(VLOOKUP(B99,'ANÁLISE DE DADOS'!$A:$AM,23,0),""))</f>
        <v/>
      </c>
      <c r="Z99" s="61" t="str">
        <f>IF(B99="","",IFERROR(VLOOKUP(B99,'ANÁLISE DE DADOS'!$A:$AM,24,0),""))</f>
        <v/>
      </c>
      <c r="AA99" s="61" t="str">
        <f>IF(B99="","",IFERROR(VLOOKUP(B99,'ANÁLISE DE DADOS'!$A:$AM,25,0),""))</f>
        <v/>
      </c>
      <c r="AB99" s="61" t="str">
        <f>IF(B99="","",IFERROR(VLOOKUP(B99,'ANÁLISE DE DADOS'!$A:$AM,26,0),""))</f>
        <v/>
      </c>
      <c r="AC99" s="61" t="str">
        <f>IF(B99="","",IFERROR(VLOOKUP(B99,'ANÁLISE DE DADOS'!$A:$AM,27,0),""))</f>
        <v/>
      </c>
      <c r="AD99" s="62" t="str">
        <f>IF(B99="","",IFERROR(VLOOKUP(B99,'ANÁLISE DE DADOS'!$A:$AM,28,0),""))</f>
        <v/>
      </c>
      <c r="AE99" s="61" t="str">
        <f>IF(B99="","",IFERROR(VLOOKUP(B99,'ANÁLISE DE DADOS'!$A:$AM,29,0),""))</f>
        <v/>
      </c>
      <c r="AF99" s="61" t="str">
        <f>IF(B99="","",IFERROR(VLOOKUP(B99,'ANÁLISE DE DADOS'!$A:$AM,30,0),""))</f>
        <v/>
      </c>
      <c r="AG99" s="62" t="str">
        <f>IF(B99="","",IFERROR(VLOOKUP(B99,'ANÁLISE DE DADOS'!$A:$AM,31,0),""))</f>
        <v/>
      </c>
      <c r="AH99" s="61" t="str">
        <f>IF(B99="","",IFERROR(VLOOKUP(B99,'ANÁLISE DE DADOS'!$A:$AM,32,0),""))</f>
        <v/>
      </c>
      <c r="AI99" s="61" t="str">
        <f>IF(B99="","",IFERROR(VLOOKUP(B99,'ANÁLISE DE DADOS'!$A:$AM,33,0),""))</f>
        <v/>
      </c>
      <c r="AJ99" s="61" t="str">
        <f>IF(B99="","",IFERROR(VLOOKUP(B99,'ANÁLISE DE DADOS'!$A:$AM,34,0),""))</f>
        <v/>
      </c>
      <c r="AK99" s="63" t="str">
        <f>IF(B99="","",IFERROR(VLOOKUP(B99,'ANÁLISE DE DADOS'!$A:$AM,35,0),""))</f>
        <v/>
      </c>
      <c r="AL99" s="63" t="str">
        <f>IF(B99="","",IFERROR(VLOOKUP(B99,'ANÁLISE DE DADOS'!$A:$AM,36,0),""))</f>
        <v/>
      </c>
    </row>
    <row r="100" spans="3:38" x14ac:dyDescent="0.3">
      <c r="C100" s="61" t="str">
        <f>IF(B100="","",IFERROR(VLOOKUP(B100,'ANÁLISE DE DADOS'!$A:$AM,1,0),""))</f>
        <v/>
      </c>
      <c r="D100" s="61" t="str">
        <f>IF(B100="","",IFERROR(VLOOKUP(B100,'ANÁLISE DE DADOS'!$A:$AM,2,0),""))</f>
        <v/>
      </c>
      <c r="E100" s="61" t="str">
        <f>IF(B100="","",IFERROR(VLOOKUP(B100,'ANÁLISE DE DADOS'!$A:$AM,3,0),""))</f>
        <v/>
      </c>
      <c r="F100" s="61" t="str">
        <f>IF(B100="","",IFERROR(VLOOKUP(B100,'ANÁLISE DE DADOS'!$A:$AM,4,0),""))</f>
        <v/>
      </c>
      <c r="G100" s="62" t="str">
        <f>IF(B100="","",IFERROR(VLOOKUP(B100,'ANÁLISE DE DADOS'!$A:$AM,5,0),""))</f>
        <v/>
      </c>
      <c r="H100" s="62" t="str">
        <f>IF(B100="","",IFERROR(VLOOKUP(B100,'ANÁLISE DE DADOS'!$A:$AM,6,0),""))</f>
        <v/>
      </c>
      <c r="I100" s="62" t="str">
        <f>IF(B100="","",IFERROR(VLOOKUP(B100,'ANÁLISE DE DADOS'!$A:$AM,7,0),""))</f>
        <v/>
      </c>
      <c r="J100" s="62" t="str">
        <f>IF(B100="","",IFERROR(VLOOKUP(B100,'ANÁLISE DE DADOS'!$A:$AM,8,0),""))</f>
        <v/>
      </c>
      <c r="K100" s="61" t="str">
        <f>IF(B100="","",IFERROR(VLOOKUP(B100,'ANÁLISE DE DADOS'!$A:$AM,9,0),""))</f>
        <v/>
      </c>
      <c r="L100" s="61" t="str">
        <f>IF(B100="","",IFERROR(VLOOKUP(B100,'ANÁLISE DE DADOS'!$A:$AM,10,0),""))</f>
        <v/>
      </c>
      <c r="M100" s="62" t="str">
        <f>IF(B100="","",IFERROR(VLOOKUP(B100,'ANÁLISE DE DADOS'!$A:$AM,11,0),""))</f>
        <v/>
      </c>
      <c r="N100" s="61" t="str">
        <f>IF(B100="","",IFERROR(VLOOKUP(B100,'ANÁLISE DE DADOS'!$A:$AM,12,0),""))</f>
        <v/>
      </c>
      <c r="O100" s="61" t="str">
        <f>IF(B100="","",IFERROR(VLOOKUP(B100,'ANÁLISE DE DADOS'!$A:$AM,13,0),""))</f>
        <v/>
      </c>
      <c r="P100" s="63" t="str">
        <f>IF(B100="","",IFERROR(VLOOKUP(B100,'ANÁLISE DE DADOS'!$A:$AM,14,0),""))</f>
        <v/>
      </c>
      <c r="Q100" s="61" t="str">
        <f>IF(B100="","",IFERROR(VLOOKUP(B100,'ANÁLISE DE DADOS'!$A:$AM,15,0),""))</f>
        <v/>
      </c>
      <c r="R100" s="61" t="str">
        <f>IF(B100="","",IFERROR(VLOOKUP(B100,'ANÁLISE DE DADOS'!$A:$AM,16,0),""))</f>
        <v/>
      </c>
      <c r="S100" s="61" t="str">
        <f>IF(B100="","",IFERROR(VLOOKUP(B100,'ANÁLISE DE DADOS'!$A:$AM,17,0),""))</f>
        <v/>
      </c>
      <c r="T100" s="61" t="str">
        <f>IF(B100="","",IFERROR(VLOOKUP(B100,'ANÁLISE DE DADOS'!$A:$AM,18,0),""))</f>
        <v/>
      </c>
      <c r="U100" s="61" t="str">
        <f>IF(B100="","",IFERROR(VLOOKUP(B100,'ANÁLISE DE DADOS'!$A:$AM,19,0),""))</f>
        <v/>
      </c>
      <c r="V100" s="61" t="str">
        <f>IF(B100="","",IFERROR(VLOOKUP(B100,'ANÁLISE DE DADOS'!$A:$AM,20,0),""))</f>
        <v/>
      </c>
      <c r="W100" s="61" t="str">
        <f>IF(B100="","",IFERROR(VLOOKUP(B100,'ANÁLISE DE DADOS'!$A:$AM,21,0),""))</f>
        <v/>
      </c>
      <c r="X100" s="61" t="str">
        <f>IF(B100="","",IFERROR(VLOOKUP(B100,'ANÁLISE DE DADOS'!$A:$AM,22,0),""))</f>
        <v/>
      </c>
      <c r="Y100" s="61" t="str">
        <f>IF(B100="","",IFERROR(VLOOKUP(B100,'ANÁLISE DE DADOS'!$A:$AM,23,0),""))</f>
        <v/>
      </c>
      <c r="Z100" s="61" t="str">
        <f>IF(B100="","",IFERROR(VLOOKUP(B100,'ANÁLISE DE DADOS'!$A:$AM,24,0),""))</f>
        <v/>
      </c>
      <c r="AA100" s="61" t="str">
        <f>IF(B100="","",IFERROR(VLOOKUP(B100,'ANÁLISE DE DADOS'!$A:$AM,25,0),""))</f>
        <v/>
      </c>
      <c r="AB100" s="61" t="str">
        <f>IF(B100="","",IFERROR(VLOOKUP(B100,'ANÁLISE DE DADOS'!$A:$AM,26,0),""))</f>
        <v/>
      </c>
      <c r="AC100" s="61" t="str">
        <f>IF(B100="","",IFERROR(VLOOKUP(B100,'ANÁLISE DE DADOS'!$A:$AM,27,0),""))</f>
        <v/>
      </c>
      <c r="AD100" s="62" t="str">
        <f>IF(B100="","",IFERROR(VLOOKUP(B100,'ANÁLISE DE DADOS'!$A:$AM,28,0),""))</f>
        <v/>
      </c>
      <c r="AE100" s="61" t="str">
        <f>IF(B100="","",IFERROR(VLOOKUP(B100,'ANÁLISE DE DADOS'!$A:$AM,29,0),""))</f>
        <v/>
      </c>
      <c r="AF100" s="61" t="str">
        <f>IF(B100="","",IFERROR(VLOOKUP(B100,'ANÁLISE DE DADOS'!$A:$AM,30,0),""))</f>
        <v/>
      </c>
      <c r="AG100" s="62" t="str">
        <f>IF(B100="","",IFERROR(VLOOKUP(B100,'ANÁLISE DE DADOS'!$A:$AM,31,0),""))</f>
        <v/>
      </c>
      <c r="AH100" s="61" t="str">
        <f>IF(B100="","",IFERROR(VLOOKUP(B100,'ANÁLISE DE DADOS'!$A:$AM,32,0),""))</f>
        <v/>
      </c>
      <c r="AI100" s="61" t="str">
        <f>IF(B100="","",IFERROR(VLOOKUP(B100,'ANÁLISE DE DADOS'!$A:$AM,33,0),""))</f>
        <v/>
      </c>
      <c r="AJ100" s="61" t="str">
        <f>IF(B100="","",IFERROR(VLOOKUP(B100,'ANÁLISE DE DADOS'!$A:$AM,34,0),""))</f>
        <v/>
      </c>
      <c r="AK100" s="63" t="str">
        <f>IF(B100="","",IFERROR(VLOOKUP(B100,'ANÁLISE DE DADOS'!$A:$AM,35,0),""))</f>
        <v/>
      </c>
      <c r="AL100" s="63" t="str">
        <f>IF(B100="","",IFERROR(VLOOKUP(B100,'ANÁLISE DE DADOS'!$A:$AM,36,0),""))</f>
        <v/>
      </c>
    </row>
    <row r="101" spans="3:38" x14ac:dyDescent="0.3">
      <c r="C101" s="61" t="str">
        <f>IF(B101="","",IFERROR(VLOOKUP(B101,'ANÁLISE DE DADOS'!$A:$AM,1,0),""))</f>
        <v/>
      </c>
      <c r="D101" s="61" t="str">
        <f>IF(B101="","",IFERROR(VLOOKUP(B101,'ANÁLISE DE DADOS'!$A:$AM,2,0),""))</f>
        <v/>
      </c>
      <c r="E101" s="61" t="str">
        <f>IF(B101="","",IFERROR(VLOOKUP(B101,'ANÁLISE DE DADOS'!$A:$AM,3,0),""))</f>
        <v/>
      </c>
      <c r="F101" s="61" t="str">
        <f>IF(B101="","",IFERROR(VLOOKUP(B101,'ANÁLISE DE DADOS'!$A:$AM,4,0),""))</f>
        <v/>
      </c>
      <c r="G101" s="62" t="str">
        <f>IF(B101="","",IFERROR(VLOOKUP(B101,'ANÁLISE DE DADOS'!$A:$AM,5,0),""))</f>
        <v/>
      </c>
      <c r="H101" s="62" t="str">
        <f>IF(B101="","",IFERROR(VLOOKUP(B101,'ANÁLISE DE DADOS'!$A:$AM,6,0),""))</f>
        <v/>
      </c>
      <c r="I101" s="62" t="str">
        <f>IF(B101="","",IFERROR(VLOOKUP(B101,'ANÁLISE DE DADOS'!$A:$AM,7,0),""))</f>
        <v/>
      </c>
      <c r="J101" s="62" t="str">
        <f>IF(B101="","",IFERROR(VLOOKUP(B101,'ANÁLISE DE DADOS'!$A:$AM,8,0),""))</f>
        <v/>
      </c>
      <c r="K101" s="61" t="str">
        <f>IF(B101="","",IFERROR(VLOOKUP(B101,'ANÁLISE DE DADOS'!$A:$AM,9,0),""))</f>
        <v/>
      </c>
      <c r="L101" s="61" t="str">
        <f>IF(B101="","",IFERROR(VLOOKUP(B101,'ANÁLISE DE DADOS'!$A:$AM,10,0),""))</f>
        <v/>
      </c>
      <c r="M101" s="62" t="str">
        <f>IF(B101="","",IFERROR(VLOOKUP(B101,'ANÁLISE DE DADOS'!$A:$AM,11,0),""))</f>
        <v/>
      </c>
      <c r="N101" s="61" t="str">
        <f>IF(B101="","",IFERROR(VLOOKUP(B101,'ANÁLISE DE DADOS'!$A:$AM,12,0),""))</f>
        <v/>
      </c>
      <c r="O101" s="61" t="str">
        <f>IF(B101="","",IFERROR(VLOOKUP(B101,'ANÁLISE DE DADOS'!$A:$AM,13,0),""))</f>
        <v/>
      </c>
      <c r="P101" s="63" t="str">
        <f>IF(B101="","",IFERROR(VLOOKUP(B101,'ANÁLISE DE DADOS'!$A:$AM,14,0),""))</f>
        <v/>
      </c>
      <c r="Q101" s="61" t="str">
        <f>IF(B101="","",IFERROR(VLOOKUP(B101,'ANÁLISE DE DADOS'!$A:$AM,15,0),""))</f>
        <v/>
      </c>
      <c r="R101" s="61" t="str">
        <f>IF(B101="","",IFERROR(VLOOKUP(B101,'ANÁLISE DE DADOS'!$A:$AM,16,0),""))</f>
        <v/>
      </c>
      <c r="S101" s="61" t="str">
        <f>IF(B101="","",IFERROR(VLOOKUP(B101,'ANÁLISE DE DADOS'!$A:$AM,17,0),""))</f>
        <v/>
      </c>
      <c r="T101" s="61" t="str">
        <f>IF(B101="","",IFERROR(VLOOKUP(B101,'ANÁLISE DE DADOS'!$A:$AM,18,0),""))</f>
        <v/>
      </c>
      <c r="U101" s="61" t="str">
        <f>IF(B101="","",IFERROR(VLOOKUP(B101,'ANÁLISE DE DADOS'!$A:$AM,19,0),""))</f>
        <v/>
      </c>
      <c r="V101" s="61" t="str">
        <f>IF(B101="","",IFERROR(VLOOKUP(B101,'ANÁLISE DE DADOS'!$A:$AM,20,0),""))</f>
        <v/>
      </c>
      <c r="W101" s="61" t="str">
        <f>IF(B101="","",IFERROR(VLOOKUP(B101,'ANÁLISE DE DADOS'!$A:$AM,21,0),""))</f>
        <v/>
      </c>
      <c r="X101" s="61" t="str">
        <f>IF(B101="","",IFERROR(VLOOKUP(B101,'ANÁLISE DE DADOS'!$A:$AM,22,0),""))</f>
        <v/>
      </c>
      <c r="Y101" s="61" t="str">
        <f>IF(B101="","",IFERROR(VLOOKUP(B101,'ANÁLISE DE DADOS'!$A:$AM,23,0),""))</f>
        <v/>
      </c>
      <c r="Z101" s="61" t="str">
        <f>IF(B101="","",IFERROR(VLOOKUP(B101,'ANÁLISE DE DADOS'!$A:$AM,24,0),""))</f>
        <v/>
      </c>
      <c r="AA101" s="61" t="str">
        <f>IF(B101="","",IFERROR(VLOOKUP(B101,'ANÁLISE DE DADOS'!$A:$AM,25,0),""))</f>
        <v/>
      </c>
      <c r="AB101" s="61" t="str">
        <f>IF(B101="","",IFERROR(VLOOKUP(B101,'ANÁLISE DE DADOS'!$A:$AM,26,0),""))</f>
        <v/>
      </c>
      <c r="AC101" s="61" t="str">
        <f>IF(B101="","",IFERROR(VLOOKUP(B101,'ANÁLISE DE DADOS'!$A:$AM,27,0),""))</f>
        <v/>
      </c>
      <c r="AD101" s="62" t="str">
        <f>IF(B101="","",IFERROR(VLOOKUP(B101,'ANÁLISE DE DADOS'!$A:$AM,28,0),""))</f>
        <v/>
      </c>
      <c r="AE101" s="61" t="str">
        <f>IF(B101="","",IFERROR(VLOOKUP(B101,'ANÁLISE DE DADOS'!$A:$AM,29,0),""))</f>
        <v/>
      </c>
      <c r="AF101" s="61" t="str">
        <f>IF(B101="","",IFERROR(VLOOKUP(B101,'ANÁLISE DE DADOS'!$A:$AM,30,0),""))</f>
        <v/>
      </c>
      <c r="AG101" s="62" t="str">
        <f>IF(B101="","",IFERROR(VLOOKUP(B101,'ANÁLISE DE DADOS'!$A:$AM,31,0),""))</f>
        <v/>
      </c>
      <c r="AH101" s="61" t="str">
        <f>IF(B101="","",IFERROR(VLOOKUP(B101,'ANÁLISE DE DADOS'!$A:$AM,32,0),""))</f>
        <v/>
      </c>
      <c r="AI101" s="61" t="str">
        <f>IF(B101="","",IFERROR(VLOOKUP(B101,'ANÁLISE DE DADOS'!$A:$AM,33,0),""))</f>
        <v/>
      </c>
      <c r="AJ101" s="61" t="str">
        <f>IF(B101="","",IFERROR(VLOOKUP(B101,'ANÁLISE DE DADOS'!$A:$AM,34,0),""))</f>
        <v/>
      </c>
      <c r="AK101" s="63" t="str">
        <f>IF(B101="","",IFERROR(VLOOKUP(B101,'ANÁLISE DE DADOS'!$A:$AM,35,0),""))</f>
        <v/>
      </c>
      <c r="AL101" s="63" t="str">
        <f>IF(B101="","",IFERROR(VLOOKUP(B101,'ANÁLISE DE DADOS'!$A:$AM,36,0),""))</f>
        <v/>
      </c>
    </row>
    <row r="102" spans="3:38" x14ac:dyDescent="0.3">
      <c r="C102" s="61" t="str">
        <f>IF(B102="","",IFERROR(VLOOKUP(B102,'ANÁLISE DE DADOS'!$A:$AM,1,0),""))</f>
        <v/>
      </c>
      <c r="D102" s="61" t="str">
        <f>IF(B102="","",IFERROR(VLOOKUP(B102,'ANÁLISE DE DADOS'!$A:$AM,2,0),""))</f>
        <v/>
      </c>
      <c r="E102" s="61" t="str">
        <f>IF(B102="","",IFERROR(VLOOKUP(B102,'ANÁLISE DE DADOS'!$A:$AM,3,0),""))</f>
        <v/>
      </c>
      <c r="F102" s="61" t="str">
        <f>IF(B102="","",IFERROR(VLOOKUP(B102,'ANÁLISE DE DADOS'!$A:$AM,4,0),""))</f>
        <v/>
      </c>
      <c r="G102" s="62" t="str">
        <f>IF(B102="","",IFERROR(VLOOKUP(B102,'ANÁLISE DE DADOS'!$A:$AM,5,0),""))</f>
        <v/>
      </c>
      <c r="H102" s="62" t="str">
        <f>IF(B102="","",IFERROR(VLOOKUP(B102,'ANÁLISE DE DADOS'!$A:$AM,6,0),""))</f>
        <v/>
      </c>
      <c r="I102" s="62" t="str">
        <f>IF(B102="","",IFERROR(VLOOKUP(B102,'ANÁLISE DE DADOS'!$A:$AM,7,0),""))</f>
        <v/>
      </c>
      <c r="J102" s="62" t="str">
        <f>IF(B102="","",IFERROR(VLOOKUP(B102,'ANÁLISE DE DADOS'!$A:$AM,8,0),""))</f>
        <v/>
      </c>
      <c r="K102" s="61" t="str">
        <f>IF(B102="","",IFERROR(VLOOKUP(B102,'ANÁLISE DE DADOS'!$A:$AM,9,0),""))</f>
        <v/>
      </c>
      <c r="L102" s="61" t="str">
        <f>IF(B102="","",IFERROR(VLOOKUP(B102,'ANÁLISE DE DADOS'!$A:$AM,10,0),""))</f>
        <v/>
      </c>
      <c r="M102" s="62" t="str">
        <f>IF(B102="","",IFERROR(VLOOKUP(B102,'ANÁLISE DE DADOS'!$A:$AM,11,0),""))</f>
        <v/>
      </c>
      <c r="N102" s="61" t="str">
        <f>IF(B102="","",IFERROR(VLOOKUP(B102,'ANÁLISE DE DADOS'!$A:$AM,12,0),""))</f>
        <v/>
      </c>
      <c r="O102" s="61" t="str">
        <f>IF(B102="","",IFERROR(VLOOKUP(B102,'ANÁLISE DE DADOS'!$A:$AM,13,0),""))</f>
        <v/>
      </c>
      <c r="P102" s="63" t="str">
        <f>IF(B102="","",IFERROR(VLOOKUP(B102,'ANÁLISE DE DADOS'!$A:$AM,14,0),""))</f>
        <v/>
      </c>
      <c r="Q102" s="61" t="str">
        <f>IF(B102="","",IFERROR(VLOOKUP(B102,'ANÁLISE DE DADOS'!$A:$AM,15,0),""))</f>
        <v/>
      </c>
      <c r="R102" s="61" t="str">
        <f>IF(B102="","",IFERROR(VLOOKUP(B102,'ANÁLISE DE DADOS'!$A:$AM,16,0),""))</f>
        <v/>
      </c>
      <c r="S102" s="61" t="str">
        <f>IF(B102="","",IFERROR(VLOOKUP(B102,'ANÁLISE DE DADOS'!$A:$AM,17,0),""))</f>
        <v/>
      </c>
      <c r="T102" s="61" t="str">
        <f>IF(B102="","",IFERROR(VLOOKUP(B102,'ANÁLISE DE DADOS'!$A:$AM,18,0),""))</f>
        <v/>
      </c>
      <c r="U102" s="61" t="str">
        <f>IF(B102="","",IFERROR(VLOOKUP(B102,'ANÁLISE DE DADOS'!$A:$AM,19,0),""))</f>
        <v/>
      </c>
      <c r="V102" s="61" t="str">
        <f>IF(B102="","",IFERROR(VLOOKUP(B102,'ANÁLISE DE DADOS'!$A:$AM,20,0),""))</f>
        <v/>
      </c>
      <c r="W102" s="61" t="str">
        <f>IF(B102="","",IFERROR(VLOOKUP(B102,'ANÁLISE DE DADOS'!$A:$AM,21,0),""))</f>
        <v/>
      </c>
      <c r="X102" s="61" t="str">
        <f>IF(B102="","",IFERROR(VLOOKUP(B102,'ANÁLISE DE DADOS'!$A:$AM,22,0),""))</f>
        <v/>
      </c>
      <c r="Y102" s="61" t="str">
        <f>IF(B102="","",IFERROR(VLOOKUP(B102,'ANÁLISE DE DADOS'!$A:$AM,23,0),""))</f>
        <v/>
      </c>
      <c r="Z102" s="61" t="str">
        <f>IF(B102="","",IFERROR(VLOOKUP(B102,'ANÁLISE DE DADOS'!$A:$AM,24,0),""))</f>
        <v/>
      </c>
      <c r="AA102" s="61" t="str">
        <f>IF(B102="","",IFERROR(VLOOKUP(B102,'ANÁLISE DE DADOS'!$A:$AM,25,0),""))</f>
        <v/>
      </c>
      <c r="AB102" s="61" t="str">
        <f>IF(B102="","",IFERROR(VLOOKUP(B102,'ANÁLISE DE DADOS'!$A:$AM,26,0),""))</f>
        <v/>
      </c>
      <c r="AC102" s="61" t="str">
        <f>IF(B102="","",IFERROR(VLOOKUP(B102,'ANÁLISE DE DADOS'!$A:$AM,27,0),""))</f>
        <v/>
      </c>
      <c r="AD102" s="62" t="str">
        <f>IF(B102="","",IFERROR(VLOOKUP(B102,'ANÁLISE DE DADOS'!$A:$AM,28,0),""))</f>
        <v/>
      </c>
      <c r="AE102" s="61" t="str">
        <f>IF(B102="","",IFERROR(VLOOKUP(B102,'ANÁLISE DE DADOS'!$A:$AM,29,0),""))</f>
        <v/>
      </c>
      <c r="AF102" s="61" t="str">
        <f>IF(B102="","",IFERROR(VLOOKUP(B102,'ANÁLISE DE DADOS'!$A:$AM,30,0),""))</f>
        <v/>
      </c>
      <c r="AG102" s="62" t="str">
        <f>IF(B102="","",IFERROR(VLOOKUP(B102,'ANÁLISE DE DADOS'!$A:$AM,31,0),""))</f>
        <v/>
      </c>
      <c r="AH102" s="61" t="str">
        <f>IF(B102="","",IFERROR(VLOOKUP(B102,'ANÁLISE DE DADOS'!$A:$AM,32,0),""))</f>
        <v/>
      </c>
      <c r="AI102" s="61" t="str">
        <f>IF(B102="","",IFERROR(VLOOKUP(B102,'ANÁLISE DE DADOS'!$A:$AM,33,0),""))</f>
        <v/>
      </c>
      <c r="AJ102" s="61" t="str">
        <f>IF(B102="","",IFERROR(VLOOKUP(B102,'ANÁLISE DE DADOS'!$A:$AM,34,0),""))</f>
        <v/>
      </c>
      <c r="AK102" s="63" t="str">
        <f>IF(B102="","",IFERROR(VLOOKUP(B102,'ANÁLISE DE DADOS'!$A:$AM,35,0),""))</f>
        <v/>
      </c>
      <c r="AL102" s="63" t="str">
        <f>IF(B102="","",IFERROR(VLOOKUP(B102,'ANÁLISE DE DADOS'!$A:$AM,36,0),""))</f>
        <v/>
      </c>
    </row>
    <row r="103" spans="3:38" x14ac:dyDescent="0.3">
      <c r="C103" s="61" t="str">
        <f>IF(B103="","",IFERROR(VLOOKUP(B103,'ANÁLISE DE DADOS'!$A:$AM,1,0),""))</f>
        <v/>
      </c>
      <c r="D103" s="61" t="str">
        <f>IF(B103="","",IFERROR(VLOOKUP(B103,'ANÁLISE DE DADOS'!$A:$AM,2,0),""))</f>
        <v/>
      </c>
      <c r="E103" s="61" t="str">
        <f>IF(B103="","",IFERROR(VLOOKUP(B103,'ANÁLISE DE DADOS'!$A:$AM,3,0),""))</f>
        <v/>
      </c>
      <c r="F103" s="61" t="str">
        <f>IF(B103="","",IFERROR(VLOOKUP(B103,'ANÁLISE DE DADOS'!$A:$AM,4,0),""))</f>
        <v/>
      </c>
      <c r="G103" s="62" t="str">
        <f>IF(B103="","",IFERROR(VLOOKUP(B103,'ANÁLISE DE DADOS'!$A:$AM,5,0),""))</f>
        <v/>
      </c>
      <c r="H103" s="62" t="str">
        <f>IF(B103="","",IFERROR(VLOOKUP(B103,'ANÁLISE DE DADOS'!$A:$AM,6,0),""))</f>
        <v/>
      </c>
      <c r="I103" s="62" t="str">
        <f>IF(B103="","",IFERROR(VLOOKUP(B103,'ANÁLISE DE DADOS'!$A:$AM,7,0),""))</f>
        <v/>
      </c>
      <c r="J103" s="62" t="str">
        <f>IF(B103="","",IFERROR(VLOOKUP(B103,'ANÁLISE DE DADOS'!$A:$AM,8,0),""))</f>
        <v/>
      </c>
      <c r="K103" s="61" t="str">
        <f>IF(B103="","",IFERROR(VLOOKUP(B103,'ANÁLISE DE DADOS'!$A:$AM,9,0),""))</f>
        <v/>
      </c>
      <c r="L103" s="61" t="str">
        <f>IF(B103="","",IFERROR(VLOOKUP(B103,'ANÁLISE DE DADOS'!$A:$AM,10,0),""))</f>
        <v/>
      </c>
      <c r="M103" s="62" t="str">
        <f>IF(B103="","",IFERROR(VLOOKUP(B103,'ANÁLISE DE DADOS'!$A:$AM,11,0),""))</f>
        <v/>
      </c>
      <c r="N103" s="61" t="str">
        <f>IF(B103="","",IFERROR(VLOOKUP(B103,'ANÁLISE DE DADOS'!$A:$AM,12,0),""))</f>
        <v/>
      </c>
      <c r="O103" s="61" t="str">
        <f>IF(B103="","",IFERROR(VLOOKUP(B103,'ANÁLISE DE DADOS'!$A:$AM,13,0),""))</f>
        <v/>
      </c>
      <c r="P103" s="63" t="str">
        <f>IF(B103="","",IFERROR(VLOOKUP(B103,'ANÁLISE DE DADOS'!$A:$AM,14,0),""))</f>
        <v/>
      </c>
      <c r="Q103" s="61" t="str">
        <f>IF(B103="","",IFERROR(VLOOKUP(B103,'ANÁLISE DE DADOS'!$A:$AM,15,0),""))</f>
        <v/>
      </c>
      <c r="R103" s="61" t="str">
        <f>IF(B103="","",IFERROR(VLOOKUP(B103,'ANÁLISE DE DADOS'!$A:$AM,16,0),""))</f>
        <v/>
      </c>
      <c r="S103" s="61" t="str">
        <f>IF(B103="","",IFERROR(VLOOKUP(B103,'ANÁLISE DE DADOS'!$A:$AM,17,0),""))</f>
        <v/>
      </c>
      <c r="T103" s="61" t="str">
        <f>IF(B103="","",IFERROR(VLOOKUP(B103,'ANÁLISE DE DADOS'!$A:$AM,18,0),""))</f>
        <v/>
      </c>
      <c r="U103" s="61" t="str">
        <f>IF(B103="","",IFERROR(VLOOKUP(B103,'ANÁLISE DE DADOS'!$A:$AM,19,0),""))</f>
        <v/>
      </c>
      <c r="V103" s="61" t="str">
        <f>IF(B103="","",IFERROR(VLOOKUP(B103,'ANÁLISE DE DADOS'!$A:$AM,20,0),""))</f>
        <v/>
      </c>
      <c r="W103" s="61" t="str">
        <f>IF(B103="","",IFERROR(VLOOKUP(B103,'ANÁLISE DE DADOS'!$A:$AM,21,0),""))</f>
        <v/>
      </c>
      <c r="X103" s="61" t="str">
        <f>IF(B103="","",IFERROR(VLOOKUP(B103,'ANÁLISE DE DADOS'!$A:$AM,22,0),""))</f>
        <v/>
      </c>
      <c r="Y103" s="61" t="str">
        <f>IF(B103="","",IFERROR(VLOOKUP(B103,'ANÁLISE DE DADOS'!$A:$AM,23,0),""))</f>
        <v/>
      </c>
      <c r="Z103" s="61" t="str">
        <f>IF(B103="","",IFERROR(VLOOKUP(B103,'ANÁLISE DE DADOS'!$A:$AM,24,0),""))</f>
        <v/>
      </c>
      <c r="AA103" s="61" t="str">
        <f>IF(B103="","",IFERROR(VLOOKUP(B103,'ANÁLISE DE DADOS'!$A:$AM,25,0),""))</f>
        <v/>
      </c>
      <c r="AB103" s="61" t="str">
        <f>IF(B103="","",IFERROR(VLOOKUP(B103,'ANÁLISE DE DADOS'!$A:$AM,26,0),""))</f>
        <v/>
      </c>
      <c r="AC103" s="61" t="str">
        <f>IF(B103="","",IFERROR(VLOOKUP(B103,'ANÁLISE DE DADOS'!$A:$AM,27,0),""))</f>
        <v/>
      </c>
      <c r="AD103" s="62" t="str">
        <f>IF(B103="","",IFERROR(VLOOKUP(B103,'ANÁLISE DE DADOS'!$A:$AM,28,0),""))</f>
        <v/>
      </c>
      <c r="AE103" s="61" t="str">
        <f>IF(B103="","",IFERROR(VLOOKUP(B103,'ANÁLISE DE DADOS'!$A:$AM,29,0),""))</f>
        <v/>
      </c>
      <c r="AF103" s="61" t="str">
        <f>IF(B103="","",IFERROR(VLOOKUP(B103,'ANÁLISE DE DADOS'!$A:$AM,30,0),""))</f>
        <v/>
      </c>
      <c r="AG103" s="62" t="str">
        <f>IF(B103="","",IFERROR(VLOOKUP(B103,'ANÁLISE DE DADOS'!$A:$AM,31,0),""))</f>
        <v/>
      </c>
      <c r="AH103" s="61" t="str">
        <f>IF(B103="","",IFERROR(VLOOKUP(B103,'ANÁLISE DE DADOS'!$A:$AM,32,0),""))</f>
        <v/>
      </c>
      <c r="AI103" s="61" t="str">
        <f>IF(B103="","",IFERROR(VLOOKUP(B103,'ANÁLISE DE DADOS'!$A:$AM,33,0),""))</f>
        <v/>
      </c>
      <c r="AJ103" s="61" t="str">
        <f>IF(B103="","",IFERROR(VLOOKUP(B103,'ANÁLISE DE DADOS'!$A:$AM,34,0),""))</f>
        <v/>
      </c>
      <c r="AK103" s="63" t="str">
        <f>IF(B103="","",IFERROR(VLOOKUP(B103,'ANÁLISE DE DADOS'!$A:$AM,35,0),""))</f>
        <v/>
      </c>
      <c r="AL103" s="63" t="str">
        <f>IF(B103="","",IFERROR(VLOOKUP(B103,'ANÁLISE DE DADOS'!$A:$AM,36,0),""))</f>
        <v/>
      </c>
    </row>
    <row r="104" spans="3:38" x14ac:dyDescent="0.3">
      <c r="C104" s="61" t="str">
        <f>IF(B104="","",IFERROR(VLOOKUP(B104,'ANÁLISE DE DADOS'!$A:$AM,1,0),""))</f>
        <v/>
      </c>
      <c r="D104" s="61" t="str">
        <f>IF(B104="","",IFERROR(VLOOKUP(B104,'ANÁLISE DE DADOS'!$A:$AM,2,0),""))</f>
        <v/>
      </c>
      <c r="E104" s="61" t="str">
        <f>IF(B104="","",IFERROR(VLOOKUP(B104,'ANÁLISE DE DADOS'!$A:$AM,3,0),""))</f>
        <v/>
      </c>
      <c r="F104" s="61" t="str">
        <f>IF(B104="","",IFERROR(VLOOKUP(B104,'ANÁLISE DE DADOS'!$A:$AM,4,0),""))</f>
        <v/>
      </c>
      <c r="G104" s="62" t="str">
        <f>IF(B104="","",IFERROR(VLOOKUP(B104,'ANÁLISE DE DADOS'!$A:$AM,5,0),""))</f>
        <v/>
      </c>
      <c r="H104" s="62" t="str">
        <f>IF(B104="","",IFERROR(VLOOKUP(B104,'ANÁLISE DE DADOS'!$A:$AM,6,0),""))</f>
        <v/>
      </c>
      <c r="I104" s="62" t="str">
        <f>IF(B104="","",IFERROR(VLOOKUP(B104,'ANÁLISE DE DADOS'!$A:$AM,7,0),""))</f>
        <v/>
      </c>
      <c r="J104" s="62" t="str">
        <f>IF(B104="","",IFERROR(VLOOKUP(B104,'ANÁLISE DE DADOS'!$A:$AM,8,0),""))</f>
        <v/>
      </c>
      <c r="K104" s="61" t="str">
        <f>IF(B104="","",IFERROR(VLOOKUP(B104,'ANÁLISE DE DADOS'!$A:$AM,9,0),""))</f>
        <v/>
      </c>
      <c r="L104" s="61" t="str">
        <f>IF(B104="","",IFERROR(VLOOKUP(B104,'ANÁLISE DE DADOS'!$A:$AM,10,0),""))</f>
        <v/>
      </c>
      <c r="M104" s="62" t="str">
        <f>IF(B104="","",IFERROR(VLOOKUP(B104,'ANÁLISE DE DADOS'!$A:$AM,11,0),""))</f>
        <v/>
      </c>
      <c r="N104" s="61" t="str">
        <f>IF(B104="","",IFERROR(VLOOKUP(B104,'ANÁLISE DE DADOS'!$A:$AM,12,0),""))</f>
        <v/>
      </c>
      <c r="O104" s="61" t="str">
        <f>IF(B104="","",IFERROR(VLOOKUP(B104,'ANÁLISE DE DADOS'!$A:$AM,13,0),""))</f>
        <v/>
      </c>
      <c r="P104" s="63" t="str">
        <f>IF(B104="","",IFERROR(VLOOKUP(B104,'ANÁLISE DE DADOS'!$A:$AM,14,0),""))</f>
        <v/>
      </c>
      <c r="Q104" s="61" t="str">
        <f>IF(B104="","",IFERROR(VLOOKUP(B104,'ANÁLISE DE DADOS'!$A:$AM,15,0),""))</f>
        <v/>
      </c>
      <c r="R104" s="61" t="str">
        <f>IF(B104="","",IFERROR(VLOOKUP(B104,'ANÁLISE DE DADOS'!$A:$AM,16,0),""))</f>
        <v/>
      </c>
      <c r="S104" s="61" t="str">
        <f>IF(B104="","",IFERROR(VLOOKUP(B104,'ANÁLISE DE DADOS'!$A:$AM,17,0),""))</f>
        <v/>
      </c>
      <c r="T104" s="61" t="str">
        <f>IF(B104="","",IFERROR(VLOOKUP(B104,'ANÁLISE DE DADOS'!$A:$AM,18,0),""))</f>
        <v/>
      </c>
      <c r="U104" s="61" t="str">
        <f>IF(B104="","",IFERROR(VLOOKUP(B104,'ANÁLISE DE DADOS'!$A:$AM,19,0),""))</f>
        <v/>
      </c>
      <c r="V104" s="61" t="str">
        <f>IF(B104="","",IFERROR(VLOOKUP(B104,'ANÁLISE DE DADOS'!$A:$AM,20,0),""))</f>
        <v/>
      </c>
      <c r="W104" s="61" t="str">
        <f>IF(B104="","",IFERROR(VLOOKUP(B104,'ANÁLISE DE DADOS'!$A:$AM,21,0),""))</f>
        <v/>
      </c>
      <c r="X104" s="61" t="str">
        <f>IF(B104="","",IFERROR(VLOOKUP(B104,'ANÁLISE DE DADOS'!$A:$AM,22,0),""))</f>
        <v/>
      </c>
      <c r="Y104" s="61" t="str">
        <f>IF(B104="","",IFERROR(VLOOKUP(B104,'ANÁLISE DE DADOS'!$A:$AM,23,0),""))</f>
        <v/>
      </c>
      <c r="Z104" s="61" t="str">
        <f>IF(B104="","",IFERROR(VLOOKUP(B104,'ANÁLISE DE DADOS'!$A:$AM,24,0),""))</f>
        <v/>
      </c>
      <c r="AA104" s="61" t="str">
        <f>IF(B104="","",IFERROR(VLOOKUP(B104,'ANÁLISE DE DADOS'!$A:$AM,25,0),""))</f>
        <v/>
      </c>
      <c r="AB104" s="61" t="str">
        <f>IF(B104="","",IFERROR(VLOOKUP(B104,'ANÁLISE DE DADOS'!$A:$AM,26,0),""))</f>
        <v/>
      </c>
      <c r="AC104" s="61" t="str">
        <f>IF(B104="","",IFERROR(VLOOKUP(B104,'ANÁLISE DE DADOS'!$A:$AM,27,0),""))</f>
        <v/>
      </c>
      <c r="AD104" s="62" t="str">
        <f>IF(B104="","",IFERROR(VLOOKUP(B104,'ANÁLISE DE DADOS'!$A:$AM,28,0),""))</f>
        <v/>
      </c>
      <c r="AE104" s="61" t="str">
        <f>IF(B104="","",IFERROR(VLOOKUP(B104,'ANÁLISE DE DADOS'!$A:$AM,29,0),""))</f>
        <v/>
      </c>
      <c r="AF104" s="61" t="str">
        <f>IF(B104="","",IFERROR(VLOOKUP(B104,'ANÁLISE DE DADOS'!$A:$AM,30,0),""))</f>
        <v/>
      </c>
      <c r="AG104" s="62" t="str">
        <f>IF(B104="","",IFERROR(VLOOKUP(B104,'ANÁLISE DE DADOS'!$A:$AM,31,0),""))</f>
        <v/>
      </c>
      <c r="AH104" s="61" t="str">
        <f>IF(B104="","",IFERROR(VLOOKUP(B104,'ANÁLISE DE DADOS'!$A:$AM,32,0),""))</f>
        <v/>
      </c>
      <c r="AI104" s="61" t="str">
        <f>IF(B104="","",IFERROR(VLOOKUP(B104,'ANÁLISE DE DADOS'!$A:$AM,33,0),""))</f>
        <v/>
      </c>
      <c r="AJ104" s="61" t="str">
        <f>IF(B104="","",IFERROR(VLOOKUP(B104,'ANÁLISE DE DADOS'!$A:$AM,34,0),""))</f>
        <v/>
      </c>
      <c r="AK104" s="63" t="str">
        <f>IF(B104="","",IFERROR(VLOOKUP(B104,'ANÁLISE DE DADOS'!$A:$AM,35,0),""))</f>
        <v/>
      </c>
      <c r="AL104" s="63" t="str">
        <f>IF(B104="","",IFERROR(VLOOKUP(B104,'ANÁLISE DE DADOS'!$A:$AM,36,0),""))</f>
        <v/>
      </c>
    </row>
    <row r="105" spans="3:38" x14ac:dyDescent="0.3">
      <c r="C105" s="61" t="str">
        <f>IF(B105="","",IFERROR(VLOOKUP(B105,'ANÁLISE DE DADOS'!$A:$AM,1,0),""))</f>
        <v/>
      </c>
      <c r="D105" s="61" t="str">
        <f>IF(B105="","",IFERROR(VLOOKUP(B105,'ANÁLISE DE DADOS'!$A:$AM,2,0),""))</f>
        <v/>
      </c>
      <c r="E105" s="61" t="str">
        <f>IF(B105="","",IFERROR(VLOOKUP(B105,'ANÁLISE DE DADOS'!$A:$AM,3,0),""))</f>
        <v/>
      </c>
      <c r="F105" s="61" t="str">
        <f>IF(B105="","",IFERROR(VLOOKUP(B105,'ANÁLISE DE DADOS'!$A:$AM,4,0),""))</f>
        <v/>
      </c>
      <c r="G105" s="62" t="str">
        <f>IF(B105="","",IFERROR(VLOOKUP(B105,'ANÁLISE DE DADOS'!$A:$AM,5,0),""))</f>
        <v/>
      </c>
      <c r="H105" s="62" t="str">
        <f>IF(B105="","",IFERROR(VLOOKUP(B105,'ANÁLISE DE DADOS'!$A:$AM,6,0),""))</f>
        <v/>
      </c>
      <c r="I105" s="62" t="str">
        <f>IF(B105="","",IFERROR(VLOOKUP(B105,'ANÁLISE DE DADOS'!$A:$AM,7,0),""))</f>
        <v/>
      </c>
      <c r="J105" s="62" t="str">
        <f>IF(B105="","",IFERROR(VLOOKUP(B105,'ANÁLISE DE DADOS'!$A:$AM,8,0),""))</f>
        <v/>
      </c>
      <c r="K105" s="61" t="str">
        <f>IF(B105="","",IFERROR(VLOOKUP(B105,'ANÁLISE DE DADOS'!$A:$AM,9,0),""))</f>
        <v/>
      </c>
      <c r="L105" s="61" t="str">
        <f>IF(B105="","",IFERROR(VLOOKUP(B105,'ANÁLISE DE DADOS'!$A:$AM,10,0),""))</f>
        <v/>
      </c>
      <c r="M105" s="62" t="str">
        <f>IF(B105="","",IFERROR(VLOOKUP(B105,'ANÁLISE DE DADOS'!$A:$AM,11,0),""))</f>
        <v/>
      </c>
      <c r="N105" s="61" t="str">
        <f>IF(B105="","",IFERROR(VLOOKUP(B105,'ANÁLISE DE DADOS'!$A:$AM,12,0),""))</f>
        <v/>
      </c>
      <c r="O105" s="61" t="str">
        <f>IF(B105="","",IFERROR(VLOOKUP(B105,'ANÁLISE DE DADOS'!$A:$AM,13,0),""))</f>
        <v/>
      </c>
      <c r="P105" s="63" t="str">
        <f>IF(B105="","",IFERROR(VLOOKUP(B105,'ANÁLISE DE DADOS'!$A:$AM,14,0),""))</f>
        <v/>
      </c>
      <c r="Q105" s="61" t="str">
        <f>IF(B105="","",IFERROR(VLOOKUP(B105,'ANÁLISE DE DADOS'!$A:$AM,15,0),""))</f>
        <v/>
      </c>
      <c r="R105" s="61" t="str">
        <f>IF(B105="","",IFERROR(VLOOKUP(B105,'ANÁLISE DE DADOS'!$A:$AM,16,0),""))</f>
        <v/>
      </c>
      <c r="S105" s="61" t="str">
        <f>IF(B105="","",IFERROR(VLOOKUP(B105,'ANÁLISE DE DADOS'!$A:$AM,17,0),""))</f>
        <v/>
      </c>
      <c r="T105" s="61" t="str">
        <f>IF(B105="","",IFERROR(VLOOKUP(B105,'ANÁLISE DE DADOS'!$A:$AM,18,0),""))</f>
        <v/>
      </c>
      <c r="U105" s="61" t="str">
        <f>IF(B105="","",IFERROR(VLOOKUP(B105,'ANÁLISE DE DADOS'!$A:$AM,19,0),""))</f>
        <v/>
      </c>
      <c r="V105" s="61" t="str">
        <f>IF(B105="","",IFERROR(VLOOKUP(B105,'ANÁLISE DE DADOS'!$A:$AM,20,0),""))</f>
        <v/>
      </c>
      <c r="W105" s="61" t="str">
        <f>IF(B105="","",IFERROR(VLOOKUP(B105,'ANÁLISE DE DADOS'!$A:$AM,21,0),""))</f>
        <v/>
      </c>
      <c r="X105" s="61" t="str">
        <f>IF(B105="","",IFERROR(VLOOKUP(B105,'ANÁLISE DE DADOS'!$A:$AM,22,0),""))</f>
        <v/>
      </c>
      <c r="Y105" s="61" t="str">
        <f>IF(B105="","",IFERROR(VLOOKUP(B105,'ANÁLISE DE DADOS'!$A:$AM,23,0),""))</f>
        <v/>
      </c>
      <c r="Z105" s="61" t="str">
        <f>IF(B105="","",IFERROR(VLOOKUP(B105,'ANÁLISE DE DADOS'!$A:$AM,24,0),""))</f>
        <v/>
      </c>
      <c r="AA105" s="61" t="str">
        <f>IF(B105="","",IFERROR(VLOOKUP(B105,'ANÁLISE DE DADOS'!$A:$AM,25,0),""))</f>
        <v/>
      </c>
      <c r="AB105" s="61" t="str">
        <f>IF(B105="","",IFERROR(VLOOKUP(B105,'ANÁLISE DE DADOS'!$A:$AM,26,0),""))</f>
        <v/>
      </c>
      <c r="AC105" s="61" t="str">
        <f>IF(B105="","",IFERROR(VLOOKUP(B105,'ANÁLISE DE DADOS'!$A:$AM,27,0),""))</f>
        <v/>
      </c>
      <c r="AD105" s="62" t="str">
        <f>IF(B105="","",IFERROR(VLOOKUP(B105,'ANÁLISE DE DADOS'!$A:$AM,28,0),""))</f>
        <v/>
      </c>
      <c r="AE105" s="61" t="str">
        <f>IF(B105="","",IFERROR(VLOOKUP(B105,'ANÁLISE DE DADOS'!$A:$AM,29,0),""))</f>
        <v/>
      </c>
      <c r="AF105" s="61" t="str">
        <f>IF(B105="","",IFERROR(VLOOKUP(B105,'ANÁLISE DE DADOS'!$A:$AM,30,0),""))</f>
        <v/>
      </c>
      <c r="AG105" s="62" t="str">
        <f>IF(B105="","",IFERROR(VLOOKUP(B105,'ANÁLISE DE DADOS'!$A:$AM,31,0),""))</f>
        <v/>
      </c>
      <c r="AH105" s="61" t="str">
        <f>IF(B105="","",IFERROR(VLOOKUP(B105,'ANÁLISE DE DADOS'!$A:$AM,32,0),""))</f>
        <v/>
      </c>
      <c r="AI105" s="61" t="str">
        <f>IF(B105="","",IFERROR(VLOOKUP(B105,'ANÁLISE DE DADOS'!$A:$AM,33,0),""))</f>
        <v/>
      </c>
      <c r="AJ105" s="61" t="str">
        <f>IF(B105="","",IFERROR(VLOOKUP(B105,'ANÁLISE DE DADOS'!$A:$AM,34,0),""))</f>
        <v/>
      </c>
      <c r="AK105" s="63" t="str">
        <f>IF(B105="","",IFERROR(VLOOKUP(B105,'ANÁLISE DE DADOS'!$A:$AM,35,0),""))</f>
        <v/>
      </c>
      <c r="AL105" s="63" t="str">
        <f>IF(B105="","",IFERROR(VLOOKUP(B105,'ANÁLISE DE DADOS'!$A:$AM,36,0),""))</f>
        <v/>
      </c>
    </row>
    <row r="106" spans="3:38" x14ac:dyDescent="0.3">
      <c r="C106" s="61" t="str">
        <f>IF(B106="","",IFERROR(VLOOKUP(B106,'ANÁLISE DE DADOS'!$A:$AM,1,0),""))</f>
        <v/>
      </c>
      <c r="D106" s="61" t="str">
        <f>IF(B106="","",IFERROR(VLOOKUP(B106,'ANÁLISE DE DADOS'!$A:$AM,2,0),""))</f>
        <v/>
      </c>
      <c r="E106" s="61" t="str">
        <f>IF(B106="","",IFERROR(VLOOKUP(B106,'ANÁLISE DE DADOS'!$A:$AM,3,0),""))</f>
        <v/>
      </c>
      <c r="F106" s="61" t="str">
        <f>IF(B106="","",IFERROR(VLOOKUP(B106,'ANÁLISE DE DADOS'!$A:$AM,4,0),""))</f>
        <v/>
      </c>
      <c r="G106" s="62" t="str">
        <f>IF(B106="","",IFERROR(VLOOKUP(B106,'ANÁLISE DE DADOS'!$A:$AM,5,0),""))</f>
        <v/>
      </c>
      <c r="H106" s="62" t="str">
        <f>IF(B106="","",IFERROR(VLOOKUP(B106,'ANÁLISE DE DADOS'!$A:$AM,6,0),""))</f>
        <v/>
      </c>
      <c r="I106" s="62" t="str">
        <f>IF(B106="","",IFERROR(VLOOKUP(B106,'ANÁLISE DE DADOS'!$A:$AM,7,0),""))</f>
        <v/>
      </c>
      <c r="J106" s="62" t="str">
        <f>IF(B106="","",IFERROR(VLOOKUP(B106,'ANÁLISE DE DADOS'!$A:$AM,8,0),""))</f>
        <v/>
      </c>
      <c r="K106" s="61" t="str">
        <f>IF(B106="","",IFERROR(VLOOKUP(B106,'ANÁLISE DE DADOS'!$A:$AM,9,0),""))</f>
        <v/>
      </c>
      <c r="L106" s="61" t="str">
        <f>IF(B106="","",IFERROR(VLOOKUP(B106,'ANÁLISE DE DADOS'!$A:$AM,10,0),""))</f>
        <v/>
      </c>
      <c r="M106" s="62" t="str">
        <f>IF(B106="","",IFERROR(VLOOKUP(B106,'ANÁLISE DE DADOS'!$A:$AM,11,0),""))</f>
        <v/>
      </c>
      <c r="N106" s="61" t="str">
        <f>IF(B106="","",IFERROR(VLOOKUP(B106,'ANÁLISE DE DADOS'!$A:$AM,12,0),""))</f>
        <v/>
      </c>
      <c r="O106" s="61" t="str">
        <f>IF(B106="","",IFERROR(VLOOKUP(B106,'ANÁLISE DE DADOS'!$A:$AM,13,0),""))</f>
        <v/>
      </c>
      <c r="P106" s="63" t="str">
        <f>IF(B106="","",IFERROR(VLOOKUP(B106,'ANÁLISE DE DADOS'!$A:$AM,14,0),""))</f>
        <v/>
      </c>
      <c r="Q106" s="61" t="str">
        <f>IF(B106="","",IFERROR(VLOOKUP(B106,'ANÁLISE DE DADOS'!$A:$AM,15,0),""))</f>
        <v/>
      </c>
      <c r="R106" s="61" t="str">
        <f>IF(B106="","",IFERROR(VLOOKUP(B106,'ANÁLISE DE DADOS'!$A:$AM,16,0),""))</f>
        <v/>
      </c>
      <c r="S106" s="61" t="str">
        <f>IF(B106="","",IFERROR(VLOOKUP(B106,'ANÁLISE DE DADOS'!$A:$AM,17,0),""))</f>
        <v/>
      </c>
      <c r="T106" s="61" t="str">
        <f>IF(B106="","",IFERROR(VLOOKUP(B106,'ANÁLISE DE DADOS'!$A:$AM,18,0),""))</f>
        <v/>
      </c>
      <c r="U106" s="61" t="str">
        <f>IF(B106="","",IFERROR(VLOOKUP(B106,'ANÁLISE DE DADOS'!$A:$AM,19,0),""))</f>
        <v/>
      </c>
      <c r="V106" s="61" t="str">
        <f>IF(B106="","",IFERROR(VLOOKUP(B106,'ANÁLISE DE DADOS'!$A:$AM,20,0),""))</f>
        <v/>
      </c>
      <c r="W106" s="61" t="str">
        <f>IF(B106="","",IFERROR(VLOOKUP(B106,'ANÁLISE DE DADOS'!$A:$AM,21,0),""))</f>
        <v/>
      </c>
      <c r="X106" s="61" t="str">
        <f>IF(B106="","",IFERROR(VLOOKUP(B106,'ANÁLISE DE DADOS'!$A:$AM,22,0),""))</f>
        <v/>
      </c>
      <c r="Y106" s="61" t="str">
        <f>IF(B106="","",IFERROR(VLOOKUP(B106,'ANÁLISE DE DADOS'!$A:$AM,23,0),""))</f>
        <v/>
      </c>
      <c r="Z106" s="61" t="str">
        <f>IF(B106="","",IFERROR(VLOOKUP(B106,'ANÁLISE DE DADOS'!$A:$AM,24,0),""))</f>
        <v/>
      </c>
      <c r="AA106" s="61" t="str">
        <f>IF(B106="","",IFERROR(VLOOKUP(B106,'ANÁLISE DE DADOS'!$A:$AM,25,0),""))</f>
        <v/>
      </c>
      <c r="AB106" s="61" t="str">
        <f>IF(B106="","",IFERROR(VLOOKUP(B106,'ANÁLISE DE DADOS'!$A:$AM,26,0),""))</f>
        <v/>
      </c>
      <c r="AC106" s="61" t="str">
        <f>IF(B106="","",IFERROR(VLOOKUP(B106,'ANÁLISE DE DADOS'!$A:$AM,27,0),""))</f>
        <v/>
      </c>
      <c r="AD106" s="62" t="str">
        <f>IF(B106="","",IFERROR(VLOOKUP(B106,'ANÁLISE DE DADOS'!$A:$AM,28,0),""))</f>
        <v/>
      </c>
      <c r="AE106" s="61" t="str">
        <f>IF(B106="","",IFERROR(VLOOKUP(B106,'ANÁLISE DE DADOS'!$A:$AM,29,0),""))</f>
        <v/>
      </c>
      <c r="AF106" s="61" t="str">
        <f>IF(B106="","",IFERROR(VLOOKUP(B106,'ANÁLISE DE DADOS'!$A:$AM,30,0),""))</f>
        <v/>
      </c>
      <c r="AG106" s="62" t="str">
        <f>IF(B106="","",IFERROR(VLOOKUP(B106,'ANÁLISE DE DADOS'!$A:$AM,31,0),""))</f>
        <v/>
      </c>
      <c r="AH106" s="61" t="str">
        <f>IF(B106="","",IFERROR(VLOOKUP(B106,'ANÁLISE DE DADOS'!$A:$AM,32,0),""))</f>
        <v/>
      </c>
      <c r="AI106" s="61" t="str">
        <f>IF(B106="","",IFERROR(VLOOKUP(B106,'ANÁLISE DE DADOS'!$A:$AM,33,0),""))</f>
        <v/>
      </c>
      <c r="AJ106" s="61" t="str">
        <f>IF(B106="","",IFERROR(VLOOKUP(B106,'ANÁLISE DE DADOS'!$A:$AM,34,0),""))</f>
        <v/>
      </c>
      <c r="AK106" s="63" t="str">
        <f>IF(B106="","",IFERROR(VLOOKUP(B106,'ANÁLISE DE DADOS'!$A:$AM,35,0),""))</f>
        <v/>
      </c>
      <c r="AL106" s="63" t="str">
        <f>IF(B106="","",IFERROR(VLOOKUP(B106,'ANÁLISE DE DADOS'!$A:$AM,36,0),""))</f>
        <v/>
      </c>
    </row>
    <row r="107" spans="3:38" x14ac:dyDescent="0.3">
      <c r="C107" s="61" t="str">
        <f>IF(B107="","",IFERROR(VLOOKUP(B107,'ANÁLISE DE DADOS'!$A:$AM,1,0),""))</f>
        <v/>
      </c>
      <c r="D107" s="61" t="str">
        <f>IF(B107="","",IFERROR(VLOOKUP(B107,'ANÁLISE DE DADOS'!$A:$AM,2,0),""))</f>
        <v/>
      </c>
      <c r="E107" s="61" t="str">
        <f>IF(B107="","",IFERROR(VLOOKUP(B107,'ANÁLISE DE DADOS'!$A:$AM,3,0),""))</f>
        <v/>
      </c>
      <c r="F107" s="61" t="str">
        <f>IF(B107="","",IFERROR(VLOOKUP(B107,'ANÁLISE DE DADOS'!$A:$AM,4,0),""))</f>
        <v/>
      </c>
      <c r="G107" s="62" t="str">
        <f>IF(B107="","",IFERROR(VLOOKUP(B107,'ANÁLISE DE DADOS'!$A:$AM,5,0),""))</f>
        <v/>
      </c>
      <c r="H107" s="62" t="str">
        <f>IF(B107="","",IFERROR(VLOOKUP(B107,'ANÁLISE DE DADOS'!$A:$AM,6,0),""))</f>
        <v/>
      </c>
      <c r="I107" s="62" t="str">
        <f>IF(B107="","",IFERROR(VLOOKUP(B107,'ANÁLISE DE DADOS'!$A:$AM,7,0),""))</f>
        <v/>
      </c>
      <c r="J107" s="62" t="str">
        <f>IF(B107="","",IFERROR(VLOOKUP(B107,'ANÁLISE DE DADOS'!$A:$AM,8,0),""))</f>
        <v/>
      </c>
      <c r="K107" s="61" t="str">
        <f>IF(B107="","",IFERROR(VLOOKUP(B107,'ANÁLISE DE DADOS'!$A:$AM,9,0),""))</f>
        <v/>
      </c>
      <c r="L107" s="61" t="str">
        <f>IF(B107="","",IFERROR(VLOOKUP(B107,'ANÁLISE DE DADOS'!$A:$AM,10,0),""))</f>
        <v/>
      </c>
      <c r="M107" s="62" t="str">
        <f>IF(B107="","",IFERROR(VLOOKUP(B107,'ANÁLISE DE DADOS'!$A:$AM,11,0),""))</f>
        <v/>
      </c>
      <c r="N107" s="61" t="str">
        <f>IF(B107="","",IFERROR(VLOOKUP(B107,'ANÁLISE DE DADOS'!$A:$AM,12,0),""))</f>
        <v/>
      </c>
      <c r="O107" s="61" t="str">
        <f>IF(B107="","",IFERROR(VLOOKUP(B107,'ANÁLISE DE DADOS'!$A:$AM,13,0),""))</f>
        <v/>
      </c>
      <c r="P107" s="63" t="str">
        <f>IF(B107="","",IFERROR(VLOOKUP(B107,'ANÁLISE DE DADOS'!$A:$AM,14,0),""))</f>
        <v/>
      </c>
      <c r="Q107" s="61" t="str">
        <f>IF(B107="","",IFERROR(VLOOKUP(B107,'ANÁLISE DE DADOS'!$A:$AM,15,0),""))</f>
        <v/>
      </c>
      <c r="R107" s="61" t="str">
        <f>IF(B107="","",IFERROR(VLOOKUP(B107,'ANÁLISE DE DADOS'!$A:$AM,16,0),""))</f>
        <v/>
      </c>
      <c r="S107" s="61" t="str">
        <f>IF(B107="","",IFERROR(VLOOKUP(B107,'ANÁLISE DE DADOS'!$A:$AM,17,0),""))</f>
        <v/>
      </c>
      <c r="T107" s="61" t="str">
        <f>IF(B107="","",IFERROR(VLOOKUP(B107,'ANÁLISE DE DADOS'!$A:$AM,18,0),""))</f>
        <v/>
      </c>
      <c r="U107" s="61" t="str">
        <f>IF(B107="","",IFERROR(VLOOKUP(B107,'ANÁLISE DE DADOS'!$A:$AM,19,0),""))</f>
        <v/>
      </c>
      <c r="V107" s="61" t="str">
        <f>IF(B107="","",IFERROR(VLOOKUP(B107,'ANÁLISE DE DADOS'!$A:$AM,20,0),""))</f>
        <v/>
      </c>
      <c r="W107" s="61" t="str">
        <f>IF(B107="","",IFERROR(VLOOKUP(B107,'ANÁLISE DE DADOS'!$A:$AM,21,0),""))</f>
        <v/>
      </c>
      <c r="X107" s="61" t="str">
        <f>IF(B107="","",IFERROR(VLOOKUP(B107,'ANÁLISE DE DADOS'!$A:$AM,22,0),""))</f>
        <v/>
      </c>
      <c r="Y107" s="61" t="str">
        <f>IF(B107="","",IFERROR(VLOOKUP(B107,'ANÁLISE DE DADOS'!$A:$AM,23,0),""))</f>
        <v/>
      </c>
      <c r="Z107" s="61" t="str">
        <f>IF(B107="","",IFERROR(VLOOKUP(B107,'ANÁLISE DE DADOS'!$A:$AM,24,0),""))</f>
        <v/>
      </c>
      <c r="AA107" s="61" t="str">
        <f>IF(B107="","",IFERROR(VLOOKUP(B107,'ANÁLISE DE DADOS'!$A:$AM,25,0),""))</f>
        <v/>
      </c>
      <c r="AB107" s="61" t="str">
        <f>IF(B107="","",IFERROR(VLOOKUP(B107,'ANÁLISE DE DADOS'!$A:$AM,26,0),""))</f>
        <v/>
      </c>
      <c r="AC107" s="61" t="str">
        <f>IF(B107="","",IFERROR(VLOOKUP(B107,'ANÁLISE DE DADOS'!$A:$AM,27,0),""))</f>
        <v/>
      </c>
      <c r="AD107" s="62" t="str">
        <f>IF(B107="","",IFERROR(VLOOKUP(B107,'ANÁLISE DE DADOS'!$A:$AM,28,0),""))</f>
        <v/>
      </c>
      <c r="AE107" s="61" t="str">
        <f>IF(B107="","",IFERROR(VLOOKUP(B107,'ANÁLISE DE DADOS'!$A:$AM,29,0),""))</f>
        <v/>
      </c>
      <c r="AF107" s="61" t="str">
        <f>IF(B107="","",IFERROR(VLOOKUP(B107,'ANÁLISE DE DADOS'!$A:$AM,30,0),""))</f>
        <v/>
      </c>
      <c r="AG107" s="62" t="str">
        <f>IF(B107="","",IFERROR(VLOOKUP(B107,'ANÁLISE DE DADOS'!$A:$AM,31,0),""))</f>
        <v/>
      </c>
      <c r="AH107" s="61" t="str">
        <f>IF(B107="","",IFERROR(VLOOKUP(B107,'ANÁLISE DE DADOS'!$A:$AM,32,0),""))</f>
        <v/>
      </c>
      <c r="AI107" s="61" t="str">
        <f>IF(B107="","",IFERROR(VLOOKUP(B107,'ANÁLISE DE DADOS'!$A:$AM,33,0),""))</f>
        <v/>
      </c>
      <c r="AJ107" s="61" t="str">
        <f>IF(B107="","",IFERROR(VLOOKUP(B107,'ANÁLISE DE DADOS'!$A:$AM,34,0),""))</f>
        <v/>
      </c>
      <c r="AK107" s="63" t="str">
        <f>IF(B107="","",IFERROR(VLOOKUP(B107,'ANÁLISE DE DADOS'!$A:$AM,35,0),""))</f>
        <v/>
      </c>
      <c r="AL107" s="63" t="str">
        <f>IF(B107="","",IFERROR(VLOOKUP(B107,'ANÁLISE DE DADOS'!$A:$AM,36,0),""))</f>
        <v/>
      </c>
    </row>
    <row r="108" spans="3:38" x14ac:dyDescent="0.3">
      <c r="C108" s="61" t="str">
        <f>IF(B108="","",IFERROR(VLOOKUP(B108,'ANÁLISE DE DADOS'!$A:$AM,1,0),""))</f>
        <v/>
      </c>
      <c r="D108" s="61" t="str">
        <f>IF(B108="","",IFERROR(VLOOKUP(B108,'ANÁLISE DE DADOS'!$A:$AM,2,0),""))</f>
        <v/>
      </c>
      <c r="E108" s="61" t="str">
        <f>IF(B108="","",IFERROR(VLOOKUP(B108,'ANÁLISE DE DADOS'!$A:$AM,3,0),""))</f>
        <v/>
      </c>
      <c r="F108" s="61" t="str">
        <f>IF(B108="","",IFERROR(VLOOKUP(B108,'ANÁLISE DE DADOS'!$A:$AM,4,0),""))</f>
        <v/>
      </c>
      <c r="G108" s="62" t="str">
        <f>IF(B108="","",IFERROR(VLOOKUP(B108,'ANÁLISE DE DADOS'!$A:$AM,5,0),""))</f>
        <v/>
      </c>
      <c r="H108" s="62" t="str">
        <f>IF(B108="","",IFERROR(VLOOKUP(B108,'ANÁLISE DE DADOS'!$A:$AM,6,0),""))</f>
        <v/>
      </c>
      <c r="I108" s="62" t="str">
        <f>IF(B108="","",IFERROR(VLOOKUP(B108,'ANÁLISE DE DADOS'!$A:$AM,7,0),""))</f>
        <v/>
      </c>
      <c r="J108" s="62" t="str">
        <f>IF(B108="","",IFERROR(VLOOKUP(B108,'ANÁLISE DE DADOS'!$A:$AM,8,0),""))</f>
        <v/>
      </c>
      <c r="K108" s="61" t="str">
        <f>IF(B108="","",IFERROR(VLOOKUP(B108,'ANÁLISE DE DADOS'!$A:$AM,9,0),""))</f>
        <v/>
      </c>
      <c r="L108" s="61" t="str">
        <f>IF(B108="","",IFERROR(VLOOKUP(B108,'ANÁLISE DE DADOS'!$A:$AM,10,0),""))</f>
        <v/>
      </c>
      <c r="M108" s="62" t="str">
        <f>IF(B108="","",IFERROR(VLOOKUP(B108,'ANÁLISE DE DADOS'!$A:$AM,11,0),""))</f>
        <v/>
      </c>
      <c r="N108" s="61" t="str">
        <f>IF(B108="","",IFERROR(VLOOKUP(B108,'ANÁLISE DE DADOS'!$A:$AM,12,0),""))</f>
        <v/>
      </c>
      <c r="O108" s="61" t="str">
        <f>IF(B108="","",IFERROR(VLOOKUP(B108,'ANÁLISE DE DADOS'!$A:$AM,13,0),""))</f>
        <v/>
      </c>
      <c r="P108" s="63" t="str">
        <f>IF(B108="","",IFERROR(VLOOKUP(B108,'ANÁLISE DE DADOS'!$A:$AM,14,0),""))</f>
        <v/>
      </c>
      <c r="Q108" s="61" t="str">
        <f>IF(B108="","",IFERROR(VLOOKUP(B108,'ANÁLISE DE DADOS'!$A:$AM,15,0),""))</f>
        <v/>
      </c>
      <c r="R108" s="61" t="str">
        <f>IF(B108="","",IFERROR(VLOOKUP(B108,'ANÁLISE DE DADOS'!$A:$AM,16,0),""))</f>
        <v/>
      </c>
      <c r="S108" s="61" t="str">
        <f>IF(B108="","",IFERROR(VLOOKUP(B108,'ANÁLISE DE DADOS'!$A:$AM,17,0),""))</f>
        <v/>
      </c>
      <c r="T108" s="61" t="str">
        <f>IF(B108="","",IFERROR(VLOOKUP(B108,'ANÁLISE DE DADOS'!$A:$AM,18,0),""))</f>
        <v/>
      </c>
      <c r="U108" s="61" t="str">
        <f>IF(B108="","",IFERROR(VLOOKUP(B108,'ANÁLISE DE DADOS'!$A:$AM,19,0),""))</f>
        <v/>
      </c>
      <c r="V108" s="61" t="str">
        <f>IF(B108="","",IFERROR(VLOOKUP(B108,'ANÁLISE DE DADOS'!$A:$AM,20,0),""))</f>
        <v/>
      </c>
      <c r="W108" s="61" t="str">
        <f>IF(B108="","",IFERROR(VLOOKUP(B108,'ANÁLISE DE DADOS'!$A:$AM,21,0),""))</f>
        <v/>
      </c>
      <c r="X108" s="61" t="str">
        <f>IF(B108="","",IFERROR(VLOOKUP(B108,'ANÁLISE DE DADOS'!$A:$AM,22,0),""))</f>
        <v/>
      </c>
      <c r="Y108" s="61" t="str">
        <f>IF(B108="","",IFERROR(VLOOKUP(B108,'ANÁLISE DE DADOS'!$A:$AM,23,0),""))</f>
        <v/>
      </c>
      <c r="Z108" s="61" t="str">
        <f>IF(B108="","",IFERROR(VLOOKUP(B108,'ANÁLISE DE DADOS'!$A:$AM,24,0),""))</f>
        <v/>
      </c>
      <c r="AA108" s="61" t="str">
        <f>IF(B108="","",IFERROR(VLOOKUP(B108,'ANÁLISE DE DADOS'!$A:$AM,25,0),""))</f>
        <v/>
      </c>
      <c r="AB108" s="61" t="str">
        <f>IF(B108="","",IFERROR(VLOOKUP(B108,'ANÁLISE DE DADOS'!$A:$AM,26,0),""))</f>
        <v/>
      </c>
      <c r="AC108" s="61" t="str">
        <f>IF(B108="","",IFERROR(VLOOKUP(B108,'ANÁLISE DE DADOS'!$A:$AM,27,0),""))</f>
        <v/>
      </c>
      <c r="AD108" s="62" t="str">
        <f>IF(B108="","",IFERROR(VLOOKUP(B108,'ANÁLISE DE DADOS'!$A:$AM,28,0),""))</f>
        <v/>
      </c>
      <c r="AE108" s="61" t="str">
        <f>IF(B108="","",IFERROR(VLOOKUP(B108,'ANÁLISE DE DADOS'!$A:$AM,29,0),""))</f>
        <v/>
      </c>
      <c r="AF108" s="61" t="str">
        <f>IF(B108="","",IFERROR(VLOOKUP(B108,'ANÁLISE DE DADOS'!$A:$AM,30,0),""))</f>
        <v/>
      </c>
      <c r="AG108" s="62" t="str">
        <f>IF(B108="","",IFERROR(VLOOKUP(B108,'ANÁLISE DE DADOS'!$A:$AM,31,0),""))</f>
        <v/>
      </c>
      <c r="AH108" s="61" t="str">
        <f>IF(B108="","",IFERROR(VLOOKUP(B108,'ANÁLISE DE DADOS'!$A:$AM,32,0),""))</f>
        <v/>
      </c>
      <c r="AI108" s="61" t="str">
        <f>IF(B108="","",IFERROR(VLOOKUP(B108,'ANÁLISE DE DADOS'!$A:$AM,33,0),""))</f>
        <v/>
      </c>
      <c r="AJ108" s="61" t="str">
        <f>IF(B108="","",IFERROR(VLOOKUP(B108,'ANÁLISE DE DADOS'!$A:$AM,34,0),""))</f>
        <v/>
      </c>
      <c r="AK108" s="63" t="str">
        <f>IF(B108="","",IFERROR(VLOOKUP(B108,'ANÁLISE DE DADOS'!$A:$AM,35,0),""))</f>
        <v/>
      </c>
      <c r="AL108" s="63" t="str">
        <f>IF(B108="","",IFERROR(VLOOKUP(B108,'ANÁLISE DE DADOS'!$A:$AM,36,0),""))</f>
        <v/>
      </c>
    </row>
    <row r="109" spans="3:38" x14ac:dyDescent="0.3">
      <c r="C109" s="61" t="str">
        <f>IF(B109="","",IFERROR(VLOOKUP(B109,'ANÁLISE DE DADOS'!$A:$AM,1,0),""))</f>
        <v/>
      </c>
      <c r="D109" s="61" t="str">
        <f>IF(B109="","",IFERROR(VLOOKUP(B109,'ANÁLISE DE DADOS'!$A:$AM,2,0),""))</f>
        <v/>
      </c>
      <c r="E109" s="61" t="str">
        <f>IF(B109="","",IFERROR(VLOOKUP(B109,'ANÁLISE DE DADOS'!$A:$AM,3,0),""))</f>
        <v/>
      </c>
      <c r="F109" s="61" t="str">
        <f>IF(B109="","",IFERROR(VLOOKUP(B109,'ANÁLISE DE DADOS'!$A:$AM,4,0),""))</f>
        <v/>
      </c>
      <c r="G109" s="62" t="str">
        <f>IF(B109="","",IFERROR(VLOOKUP(B109,'ANÁLISE DE DADOS'!$A:$AM,5,0),""))</f>
        <v/>
      </c>
      <c r="H109" s="62" t="str">
        <f>IF(B109="","",IFERROR(VLOOKUP(B109,'ANÁLISE DE DADOS'!$A:$AM,6,0),""))</f>
        <v/>
      </c>
      <c r="I109" s="62" t="str">
        <f>IF(B109="","",IFERROR(VLOOKUP(B109,'ANÁLISE DE DADOS'!$A:$AM,7,0),""))</f>
        <v/>
      </c>
      <c r="J109" s="62" t="str">
        <f>IF(B109="","",IFERROR(VLOOKUP(B109,'ANÁLISE DE DADOS'!$A:$AM,8,0),""))</f>
        <v/>
      </c>
      <c r="K109" s="61" t="str">
        <f>IF(B109="","",IFERROR(VLOOKUP(B109,'ANÁLISE DE DADOS'!$A:$AM,9,0),""))</f>
        <v/>
      </c>
      <c r="L109" s="61" t="str">
        <f>IF(B109="","",IFERROR(VLOOKUP(B109,'ANÁLISE DE DADOS'!$A:$AM,10,0),""))</f>
        <v/>
      </c>
      <c r="M109" s="62" t="str">
        <f>IF(B109="","",IFERROR(VLOOKUP(B109,'ANÁLISE DE DADOS'!$A:$AM,11,0),""))</f>
        <v/>
      </c>
      <c r="N109" s="61" t="str">
        <f>IF(B109="","",IFERROR(VLOOKUP(B109,'ANÁLISE DE DADOS'!$A:$AM,12,0),""))</f>
        <v/>
      </c>
      <c r="O109" s="61" t="str">
        <f>IF(B109="","",IFERROR(VLOOKUP(B109,'ANÁLISE DE DADOS'!$A:$AM,13,0),""))</f>
        <v/>
      </c>
      <c r="P109" s="63" t="str">
        <f>IF(B109="","",IFERROR(VLOOKUP(B109,'ANÁLISE DE DADOS'!$A:$AM,14,0),""))</f>
        <v/>
      </c>
      <c r="Q109" s="61" t="str">
        <f>IF(B109="","",IFERROR(VLOOKUP(B109,'ANÁLISE DE DADOS'!$A:$AM,15,0),""))</f>
        <v/>
      </c>
      <c r="R109" s="61" t="str">
        <f>IF(B109="","",IFERROR(VLOOKUP(B109,'ANÁLISE DE DADOS'!$A:$AM,16,0),""))</f>
        <v/>
      </c>
      <c r="S109" s="61" t="str">
        <f>IF(B109="","",IFERROR(VLOOKUP(B109,'ANÁLISE DE DADOS'!$A:$AM,17,0),""))</f>
        <v/>
      </c>
      <c r="T109" s="61" t="str">
        <f>IF(B109="","",IFERROR(VLOOKUP(B109,'ANÁLISE DE DADOS'!$A:$AM,18,0),""))</f>
        <v/>
      </c>
      <c r="U109" s="61" t="str">
        <f>IF(B109="","",IFERROR(VLOOKUP(B109,'ANÁLISE DE DADOS'!$A:$AM,19,0),""))</f>
        <v/>
      </c>
      <c r="V109" s="61" t="str">
        <f>IF(B109="","",IFERROR(VLOOKUP(B109,'ANÁLISE DE DADOS'!$A:$AM,20,0),""))</f>
        <v/>
      </c>
      <c r="W109" s="61" t="str">
        <f>IF(B109="","",IFERROR(VLOOKUP(B109,'ANÁLISE DE DADOS'!$A:$AM,21,0),""))</f>
        <v/>
      </c>
      <c r="X109" s="61" t="str">
        <f>IF(B109="","",IFERROR(VLOOKUP(B109,'ANÁLISE DE DADOS'!$A:$AM,22,0),""))</f>
        <v/>
      </c>
      <c r="Y109" s="61" t="str">
        <f>IF(B109="","",IFERROR(VLOOKUP(B109,'ANÁLISE DE DADOS'!$A:$AM,23,0),""))</f>
        <v/>
      </c>
      <c r="Z109" s="61" t="str">
        <f>IF(B109="","",IFERROR(VLOOKUP(B109,'ANÁLISE DE DADOS'!$A:$AM,24,0),""))</f>
        <v/>
      </c>
      <c r="AA109" s="61" t="str">
        <f>IF(B109="","",IFERROR(VLOOKUP(B109,'ANÁLISE DE DADOS'!$A:$AM,25,0),""))</f>
        <v/>
      </c>
      <c r="AB109" s="61" t="str">
        <f>IF(B109="","",IFERROR(VLOOKUP(B109,'ANÁLISE DE DADOS'!$A:$AM,26,0),""))</f>
        <v/>
      </c>
      <c r="AC109" s="61" t="str">
        <f>IF(B109="","",IFERROR(VLOOKUP(B109,'ANÁLISE DE DADOS'!$A:$AM,27,0),""))</f>
        <v/>
      </c>
      <c r="AD109" s="62" t="str">
        <f>IF(B109="","",IFERROR(VLOOKUP(B109,'ANÁLISE DE DADOS'!$A:$AM,28,0),""))</f>
        <v/>
      </c>
      <c r="AE109" s="61" t="str">
        <f>IF(B109="","",IFERROR(VLOOKUP(B109,'ANÁLISE DE DADOS'!$A:$AM,29,0),""))</f>
        <v/>
      </c>
      <c r="AF109" s="61" t="str">
        <f>IF(B109="","",IFERROR(VLOOKUP(B109,'ANÁLISE DE DADOS'!$A:$AM,30,0),""))</f>
        <v/>
      </c>
      <c r="AG109" s="62" t="str">
        <f>IF(B109="","",IFERROR(VLOOKUP(B109,'ANÁLISE DE DADOS'!$A:$AM,31,0),""))</f>
        <v/>
      </c>
      <c r="AH109" s="61" t="str">
        <f>IF(B109="","",IFERROR(VLOOKUP(B109,'ANÁLISE DE DADOS'!$A:$AM,32,0),""))</f>
        <v/>
      </c>
      <c r="AI109" s="61" t="str">
        <f>IF(B109="","",IFERROR(VLOOKUP(B109,'ANÁLISE DE DADOS'!$A:$AM,33,0),""))</f>
        <v/>
      </c>
      <c r="AJ109" s="61" t="str">
        <f>IF(B109="","",IFERROR(VLOOKUP(B109,'ANÁLISE DE DADOS'!$A:$AM,34,0),""))</f>
        <v/>
      </c>
      <c r="AK109" s="63" t="str">
        <f>IF(B109="","",IFERROR(VLOOKUP(B109,'ANÁLISE DE DADOS'!$A:$AM,35,0),""))</f>
        <v/>
      </c>
      <c r="AL109" s="63" t="str">
        <f>IF(B109="","",IFERROR(VLOOKUP(B109,'ANÁLISE DE DADOS'!$A:$AM,36,0),""))</f>
        <v/>
      </c>
    </row>
    <row r="110" spans="3:38" x14ac:dyDescent="0.3">
      <c r="C110" s="61" t="str">
        <f>IF(B110="","",IFERROR(VLOOKUP(B110,'ANÁLISE DE DADOS'!$A:$AM,1,0),""))</f>
        <v/>
      </c>
      <c r="D110" s="61" t="str">
        <f>IF(B110="","",IFERROR(VLOOKUP(B110,'ANÁLISE DE DADOS'!$A:$AM,2,0),""))</f>
        <v/>
      </c>
      <c r="E110" s="61" t="str">
        <f>IF(B110="","",IFERROR(VLOOKUP(B110,'ANÁLISE DE DADOS'!$A:$AM,3,0),""))</f>
        <v/>
      </c>
      <c r="F110" s="61" t="str">
        <f>IF(B110="","",IFERROR(VLOOKUP(B110,'ANÁLISE DE DADOS'!$A:$AM,4,0),""))</f>
        <v/>
      </c>
      <c r="G110" s="62" t="str">
        <f>IF(B110="","",IFERROR(VLOOKUP(B110,'ANÁLISE DE DADOS'!$A:$AM,5,0),""))</f>
        <v/>
      </c>
      <c r="H110" s="62" t="str">
        <f>IF(B110="","",IFERROR(VLOOKUP(B110,'ANÁLISE DE DADOS'!$A:$AM,6,0),""))</f>
        <v/>
      </c>
      <c r="I110" s="62" t="str">
        <f>IF(B110="","",IFERROR(VLOOKUP(B110,'ANÁLISE DE DADOS'!$A:$AM,7,0),""))</f>
        <v/>
      </c>
      <c r="J110" s="62" t="str">
        <f>IF(B110="","",IFERROR(VLOOKUP(B110,'ANÁLISE DE DADOS'!$A:$AM,8,0),""))</f>
        <v/>
      </c>
      <c r="K110" s="61" t="str">
        <f>IF(B110="","",IFERROR(VLOOKUP(B110,'ANÁLISE DE DADOS'!$A:$AM,9,0),""))</f>
        <v/>
      </c>
      <c r="L110" s="61" t="str">
        <f>IF(B110="","",IFERROR(VLOOKUP(B110,'ANÁLISE DE DADOS'!$A:$AM,10,0),""))</f>
        <v/>
      </c>
      <c r="M110" s="62" t="str">
        <f>IF(B110="","",IFERROR(VLOOKUP(B110,'ANÁLISE DE DADOS'!$A:$AM,11,0),""))</f>
        <v/>
      </c>
      <c r="N110" s="61" t="str">
        <f>IF(B110="","",IFERROR(VLOOKUP(B110,'ANÁLISE DE DADOS'!$A:$AM,12,0),""))</f>
        <v/>
      </c>
      <c r="O110" s="61" t="str">
        <f>IF(B110="","",IFERROR(VLOOKUP(B110,'ANÁLISE DE DADOS'!$A:$AM,13,0),""))</f>
        <v/>
      </c>
      <c r="P110" s="63" t="str">
        <f>IF(B110="","",IFERROR(VLOOKUP(B110,'ANÁLISE DE DADOS'!$A:$AM,14,0),""))</f>
        <v/>
      </c>
      <c r="Q110" s="61" t="str">
        <f>IF(B110="","",IFERROR(VLOOKUP(B110,'ANÁLISE DE DADOS'!$A:$AM,15,0),""))</f>
        <v/>
      </c>
      <c r="R110" s="61" t="str">
        <f>IF(B110="","",IFERROR(VLOOKUP(B110,'ANÁLISE DE DADOS'!$A:$AM,16,0),""))</f>
        <v/>
      </c>
      <c r="S110" s="61" t="str">
        <f>IF(B110="","",IFERROR(VLOOKUP(B110,'ANÁLISE DE DADOS'!$A:$AM,17,0),""))</f>
        <v/>
      </c>
      <c r="T110" s="61" t="str">
        <f>IF(B110="","",IFERROR(VLOOKUP(B110,'ANÁLISE DE DADOS'!$A:$AM,18,0),""))</f>
        <v/>
      </c>
      <c r="U110" s="61" t="str">
        <f>IF(B110="","",IFERROR(VLOOKUP(B110,'ANÁLISE DE DADOS'!$A:$AM,19,0),""))</f>
        <v/>
      </c>
      <c r="V110" s="61" t="str">
        <f>IF(B110="","",IFERROR(VLOOKUP(B110,'ANÁLISE DE DADOS'!$A:$AM,20,0),""))</f>
        <v/>
      </c>
      <c r="W110" s="61" t="str">
        <f>IF(B110="","",IFERROR(VLOOKUP(B110,'ANÁLISE DE DADOS'!$A:$AM,21,0),""))</f>
        <v/>
      </c>
      <c r="X110" s="61" t="str">
        <f>IF(B110="","",IFERROR(VLOOKUP(B110,'ANÁLISE DE DADOS'!$A:$AM,22,0),""))</f>
        <v/>
      </c>
      <c r="Y110" s="61" t="str">
        <f>IF(B110="","",IFERROR(VLOOKUP(B110,'ANÁLISE DE DADOS'!$A:$AM,23,0),""))</f>
        <v/>
      </c>
      <c r="Z110" s="61" t="str">
        <f>IF(B110="","",IFERROR(VLOOKUP(B110,'ANÁLISE DE DADOS'!$A:$AM,24,0),""))</f>
        <v/>
      </c>
      <c r="AA110" s="61" t="str">
        <f>IF(B110="","",IFERROR(VLOOKUP(B110,'ANÁLISE DE DADOS'!$A:$AM,25,0),""))</f>
        <v/>
      </c>
      <c r="AB110" s="61" t="str">
        <f>IF(B110="","",IFERROR(VLOOKUP(B110,'ANÁLISE DE DADOS'!$A:$AM,26,0),""))</f>
        <v/>
      </c>
      <c r="AC110" s="61" t="str">
        <f>IF(B110="","",IFERROR(VLOOKUP(B110,'ANÁLISE DE DADOS'!$A:$AM,27,0),""))</f>
        <v/>
      </c>
      <c r="AD110" s="62" t="str">
        <f>IF(B110="","",IFERROR(VLOOKUP(B110,'ANÁLISE DE DADOS'!$A:$AM,28,0),""))</f>
        <v/>
      </c>
      <c r="AE110" s="61" t="str">
        <f>IF(B110="","",IFERROR(VLOOKUP(B110,'ANÁLISE DE DADOS'!$A:$AM,29,0),""))</f>
        <v/>
      </c>
      <c r="AF110" s="61" t="str">
        <f>IF(B110="","",IFERROR(VLOOKUP(B110,'ANÁLISE DE DADOS'!$A:$AM,30,0),""))</f>
        <v/>
      </c>
      <c r="AG110" s="62" t="str">
        <f>IF(B110="","",IFERROR(VLOOKUP(B110,'ANÁLISE DE DADOS'!$A:$AM,31,0),""))</f>
        <v/>
      </c>
      <c r="AH110" s="61" t="str">
        <f>IF(B110="","",IFERROR(VLOOKUP(B110,'ANÁLISE DE DADOS'!$A:$AM,32,0),""))</f>
        <v/>
      </c>
      <c r="AI110" s="61" t="str">
        <f>IF(B110="","",IFERROR(VLOOKUP(B110,'ANÁLISE DE DADOS'!$A:$AM,33,0),""))</f>
        <v/>
      </c>
      <c r="AJ110" s="61" t="str">
        <f>IF(B110="","",IFERROR(VLOOKUP(B110,'ANÁLISE DE DADOS'!$A:$AM,34,0),""))</f>
        <v/>
      </c>
      <c r="AK110" s="63" t="str">
        <f>IF(B110="","",IFERROR(VLOOKUP(B110,'ANÁLISE DE DADOS'!$A:$AM,35,0),""))</f>
        <v/>
      </c>
      <c r="AL110" s="63" t="str">
        <f>IF(B110="","",IFERROR(VLOOKUP(B110,'ANÁLISE DE DADOS'!$A:$AM,36,0),""))</f>
        <v/>
      </c>
    </row>
    <row r="111" spans="3:38" x14ac:dyDescent="0.3">
      <c r="C111" s="61" t="str">
        <f>IF(B111="","",IFERROR(VLOOKUP(B111,'ANÁLISE DE DADOS'!$A:$AM,1,0),""))</f>
        <v/>
      </c>
      <c r="D111" s="61" t="str">
        <f>IF(B111="","",IFERROR(VLOOKUP(B111,'ANÁLISE DE DADOS'!$A:$AM,2,0),""))</f>
        <v/>
      </c>
      <c r="E111" s="61" t="str">
        <f>IF(B111="","",IFERROR(VLOOKUP(B111,'ANÁLISE DE DADOS'!$A:$AM,3,0),""))</f>
        <v/>
      </c>
      <c r="F111" s="61" t="str">
        <f>IF(B111="","",IFERROR(VLOOKUP(B111,'ANÁLISE DE DADOS'!$A:$AM,4,0),""))</f>
        <v/>
      </c>
      <c r="G111" s="62" t="str">
        <f>IF(B111="","",IFERROR(VLOOKUP(B111,'ANÁLISE DE DADOS'!$A:$AM,5,0),""))</f>
        <v/>
      </c>
      <c r="H111" s="62" t="str">
        <f>IF(B111="","",IFERROR(VLOOKUP(B111,'ANÁLISE DE DADOS'!$A:$AM,6,0),""))</f>
        <v/>
      </c>
      <c r="I111" s="62" t="str">
        <f>IF(B111="","",IFERROR(VLOOKUP(B111,'ANÁLISE DE DADOS'!$A:$AM,7,0),""))</f>
        <v/>
      </c>
      <c r="J111" s="62" t="str">
        <f>IF(B111="","",IFERROR(VLOOKUP(B111,'ANÁLISE DE DADOS'!$A:$AM,8,0),""))</f>
        <v/>
      </c>
      <c r="K111" s="61" t="str">
        <f>IF(B111="","",IFERROR(VLOOKUP(B111,'ANÁLISE DE DADOS'!$A:$AM,9,0),""))</f>
        <v/>
      </c>
      <c r="L111" s="61" t="str">
        <f>IF(B111="","",IFERROR(VLOOKUP(B111,'ANÁLISE DE DADOS'!$A:$AM,10,0),""))</f>
        <v/>
      </c>
      <c r="M111" s="62" t="str">
        <f>IF(B111="","",IFERROR(VLOOKUP(B111,'ANÁLISE DE DADOS'!$A:$AM,11,0),""))</f>
        <v/>
      </c>
      <c r="N111" s="61" t="str">
        <f>IF(B111="","",IFERROR(VLOOKUP(B111,'ANÁLISE DE DADOS'!$A:$AM,12,0),""))</f>
        <v/>
      </c>
      <c r="O111" s="61" t="str">
        <f>IF(B111="","",IFERROR(VLOOKUP(B111,'ANÁLISE DE DADOS'!$A:$AM,13,0),""))</f>
        <v/>
      </c>
      <c r="P111" s="63" t="str">
        <f>IF(B111="","",IFERROR(VLOOKUP(B111,'ANÁLISE DE DADOS'!$A:$AM,14,0),""))</f>
        <v/>
      </c>
      <c r="Q111" s="61" t="str">
        <f>IF(B111="","",IFERROR(VLOOKUP(B111,'ANÁLISE DE DADOS'!$A:$AM,15,0),""))</f>
        <v/>
      </c>
      <c r="R111" s="61" t="str">
        <f>IF(B111="","",IFERROR(VLOOKUP(B111,'ANÁLISE DE DADOS'!$A:$AM,16,0),""))</f>
        <v/>
      </c>
      <c r="S111" s="61" t="str">
        <f>IF(B111="","",IFERROR(VLOOKUP(B111,'ANÁLISE DE DADOS'!$A:$AM,17,0),""))</f>
        <v/>
      </c>
      <c r="T111" s="61" t="str">
        <f>IF(B111="","",IFERROR(VLOOKUP(B111,'ANÁLISE DE DADOS'!$A:$AM,18,0),""))</f>
        <v/>
      </c>
      <c r="U111" s="61" t="str">
        <f>IF(B111="","",IFERROR(VLOOKUP(B111,'ANÁLISE DE DADOS'!$A:$AM,19,0),""))</f>
        <v/>
      </c>
      <c r="V111" s="61" t="str">
        <f>IF(B111="","",IFERROR(VLOOKUP(B111,'ANÁLISE DE DADOS'!$A:$AM,20,0),""))</f>
        <v/>
      </c>
      <c r="W111" s="61" t="str">
        <f>IF(B111="","",IFERROR(VLOOKUP(B111,'ANÁLISE DE DADOS'!$A:$AM,21,0),""))</f>
        <v/>
      </c>
      <c r="X111" s="61" t="str">
        <f>IF(B111="","",IFERROR(VLOOKUP(B111,'ANÁLISE DE DADOS'!$A:$AM,22,0),""))</f>
        <v/>
      </c>
      <c r="Y111" s="61" t="str">
        <f>IF(B111="","",IFERROR(VLOOKUP(B111,'ANÁLISE DE DADOS'!$A:$AM,23,0),""))</f>
        <v/>
      </c>
      <c r="Z111" s="61" t="str">
        <f>IF(B111="","",IFERROR(VLOOKUP(B111,'ANÁLISE DE DADOS'!$A:$AM,24,0),""))</f>
        <v/>
      </c>
      <c r="AA111" s="61" t="str">
        <f>IF(B111="","",IFERROR(VLOOKUP(B111,'ANÁLISE DE DADOS'!$A:$AM,25,0),""))</f>
        <v/>
      </c>
      <c r="AB111" s="61" t="str">
        <f>IF(B111="","",IFERROR(VLOOKUP(B111,'ANÁLISE DE DADOS'!$A:$AM,26,0),""))</f>
        <v/>
      </c>
      <c r="AC111" s="61" t="str">
        <f>IF(B111="","",IFERROR(VLOOKUP(B111,'ANÁLISE DE DADOS'!$A:$AM,27,0),""))</f>
        <v/>
      </c>
      <c r="AD111" s="62" t="str">
        <f>IF(B111="","",IFERROR(VLOOKUP(B111,'ANÁLISE DE DADOS'!$A:$AM,28,0),""))</f>
        <v/>
      </c>
      <c r="AE111" s="61" t="str">
        <f>IF(B111="","",IFERROR(VLOOKUP(B111,'ANÁLISE DE DADOS'!$A:$AM,29,0),""))</f>
        <v/>
      </c>
      <c r="AF111" s="61" t="str">
        <f>IF(B111="","",IFERROR(VLOOKUP(B111,'ANÁLISE DE DADOS'!$A:$AM,30,0),""))</f>
        <v/>
      </c>
      <c r="AG111" s="62" t="str">
        <f>IF(B111="","",IFERROR(VLOOKUP(B111,'ANÁLISE DE DADOS'!$A:$AM,31,0),""))</f>
        <v/>
      </c>
      <c r="AH111" s="61" t="str">
        <f>IF(B111="","",IFERROR(VLOOKUP(B111,'ANÁLISE DE DADOS'!$A:$AM,32,0),""))</f>
        <v/>
      </c>
      <c r="AI111" s="61" t="str">
        <f>IF(B111="","",IFERROR(VLOOKUP(B111,'ANÁLISE DE DADOS'!$A:$AM,33,0),""))</f>
        <v/>
      </c>
      <c r="AJ111" s="61" t="str">
        <f>IF(B111="","",IFERROR(VLOOKUP(B111,'ANÁLISE DE DADOS'!$A:$AM,34,0),""))</f>
        <v/>
      </c>
      <c r="AK111" s="63" t="str">
        <f>IF(B111="","",IFERROR(VLOOKUP(B111,'ANÁLISE DE DADOS'!$A:$AM,35,0),""))</f>
        <v/>
      </c>
      <c r="AL111" s="63" t="str">
        <f>IF(B111="","",IFERROR(VLOOKUP(B111,'ANÁLISE DE DADOS'!$A:$AM,36,0),""))</f>
        <v/>
      </c>
    </row>
    <row r="112" spans="3:38" x14ac:dyDescent="0.3">
      <c r="C112" s="61" t="str">
        <f>IF(B112="","",IFERROR(VLOOKUP(B112,'ANÁLISE DE DADOS'!$A:$AM,1,0),""))</f>
        <v/>
      </c>
      <c r="D112" s="61" t="str">
        <f>IF(B112="","",IFERROR(VLOOKUP(B112,'ANÁLISE DE DADOS'!$A:$AM,2,0),""))</f>
        <v/>
      </c>
      <c r="E112" s="61" t="str">
        <f>IF(B112="","",IFERROR(VLOOKUP(B112,'ANÁLISE DE DADOS'!$A:$AM,3,0),""))</f>
        <v/>
      </c>
      <c r="F112" s="61" t="str">
        <f>IF(B112="","",IFERROR(VLOOKUP(B112,'ANÁLISE DE DADOS'!$A:$AM,4,0),""))</f>
        <v/>
      </c>
      <c r="G112" s="62" t="str">
        <f>IF(B112="","",IFERROR(VLOOKUP(B112,'ANÁLISE DE DADOS'!$A:$AM,5,0),""))</f>
        <v/>
      </c>
      <c r="H112" s="62" t="str">
        <f>IF(B112="","",IFERROR(VLOOKUP(B112,'ANÁLISE DE DADOS'!$A:$AM,6,0),""))</f>
        <v/>
      </c>
      <c r="I112" s="62" t="str">
        <f>IF(B112="","",IFERROR(VLOOKUP(B112,'ANÁLISE DE DADOS'!$A:$AM,7,0),""))</f>
        <v/>
      </c>
      <c r="J112" s="62" t="str">
        <f>IF(B112="","",IFERROR(VLOOKUP(B112,'ANÁLISE DE DADOS'!$A:$AM,8,0),""))</f>
        <v/>
      </c>
      <c r="K112" s="61" t="str">
        <f>IF(B112="","",IFERROR(VLOOKUP(B112,'ANÁLISE DE DADOS'!$A:$AM,9,0),""))</f>
        <v/>
      </c>
      <c r="L112" s="61" t="str">
        <f>IF(B112="","",IFERROR(VLOOKUP(B112,'ANÁLISE DE DADOS'!$A:$AM,10,0),""))</f>
        <v/>
      </c>
      <c r="M112" s="62" t="str">
        <f>IF(B112="","",IFERROR(VLOOKUP(B112,'ANÁLISE DE DADOS'!$A:$AM,11,0),""))</f>
        <v/>
      </c>
      <c r="N112" s="61" t="str">
        <f>IF(B112="","",IFERROR(VLOOKUP(B112,'ANÁLISE DE DADOS'!$A:$AM,12,0),""))</f>
        <v/>
      </c>
      <c r="O112" s="61" t="str">
        <f>IF(B112="","",IFERROR(VLOOKUP(B112,'ANÁLISE DE DADOS'!$A:$AM,13,0),""))</f>
        <v/>
      </c>
      <c r="P112" s="63" t="str">
        <f>IF(B112="","",IFERROR(VLOOKUP(B112,'ANÁLISE DE DADOS'!$A:$AM,14,0),""))</f>
        <v/>
      </c>
      <c r="Q112" s="61" t="str">
        <f>IF(B112="","",IFERROR(VLOOKUP(B112,'ANÁLISE DE DADOS'!$A:$AM,15,0),""))</f>
        <v/>
      </c>
      <c r="R112" s="61" t="str">
        <f>IF(B112="","",IFERROR(VLOOKUP(B112,'ANÁLISE DE DADOS'!$A:$AM,16,0),""))</f>
        <v/>
      </c>
      <c r="S112" s="61" t="str">
        <f>IF(B112="","",IFERROR(VLOOKUP(B112,'ANÁLISE DE DADOS'!$A:$AM,17,0),""))</f>
        <v/>
      </c>
      <c r="T112" s="61" t="str">
        <f>IF(B112="","",IFERROR(VLOOKUP(B112,'ANÁLISE DE DADOS'!$A:$AM,18,0),""))</f>
        <v/>
      </c>
      <c r="U112" s="61" t="str">
        <f>IF(B112="","",IFERROR(VLOOKUP(B112,'ANÁLISE DE DADOS'!$A:$AM,19,0),""))</f>
        <v/>
      </c>
      <c r="V112" s="61" t="str">
        <f>IF(B112="","",IFERROR(VLOOKUP(B112,'ANÁLISE DE DADOS'!$A:$AM,20,0),""))</f>
        <v/>
      </c>
      <c r="W112" s="61" t="str">
        <f>IF(B112="","",IFERROR(VLOOKUP(B112,'ANÁLISE DE DADOS'!$A:$AM,21,0),""))</f>
        <v/>
      </c>
      <c r="X112" s="61" t="str">
        <f>IF(B112="","",IFERROR(VLOOKUP(B112,'ANÁLISE DE DADOS'!$A:$AM,22,0),""))</f>
        <v/>
      </c>
      <c r="Y112" s="61" t="str">
        <f>IF(B112="","",IFERROR(VLOOKUP(B112,'ANÁLISE DE DADOS'!$A:$AM,23,0),""))</f>
        <v/>
      </c>
      <c r="Z112" s="61" t="str">
        <f>IF(B112="","",IFERROR(VLOOKUP(B112,'ANÁLISE DE DADOS'!$A:$AM,24,0),""))</f>
        <v/>
      </c>
      <c r="AA112" s="61" t="str">
        <f>IF(B112="","",IFERROR(VLOOKUP(B112,'ANÁLISE DE DADOS'!$A:$AM,25,0),""))</f>
        <v/>
      </c>
      <c r="AB112" s="61" t="str">
        <f>IF(B112="","",IFERROR(VLOOKUP(B112,'ANÁLISE DE DADOS'!$A:$AM,26,0),""))</f>
        <v/>
      </c>
      <c r="AC112" s="61" t="str">
        <f>IF(B112="","",IFERROR(VLOOKUP(B112,'ANÁLISE DE DADOS'!$A:$AM,27,0),""))</f>
        <v/>
      </c>
      <c r="AD112" s="62" t="str">
        <f>IF(B112="","",IFERROR(VLOOKUP(B112,'ANÁLISE DE DADOS'!$A:$AM,28,0),""))</f>
        <v/>
      </c>
      <c r="AE112" s="61" t="str">
        <f>IF(B112="","",IFERROR(VLOOKUP(B112,'ANÁLISE DE DADOS'!$A:$AM,29,0),""))</f>
        <v/>
      </c>
      <c r="AF112" s="61" t="str">
        <f>IF(B112="","",IFERROR(VLOOKUP(B112,'ANÁLISE DE DADOS'!$A:$AM,30,0),""))</f>
        <v/>
      </c>
      <c r="AG112" s="62" t="str">
        <f>IF(B112="","",IFERROR(VLOOKUP(B112,'ANÁLISE DE DADOS'!$A:$AM,31,0),""))</f>
        <v/>
      </c>
      <c r="AH112" s="61" t="str">
        <f>IF(B112="","",IFERROR(VLOOKUP(B112,'ANÁLISE DE DADOS'!$A:$AM,32,0),""))</f>
        <v/>
      </c>
      <c r="AI112" s="61" t="str">
        <f>IF(B112="","",IFERROR(VLOOKUP(B112,'ANÁLISE DE DADOS'!$A:$AM,33,0),""))</f>
        <v/>
      </c>
      <c r="AJ112" s="61" t="str">
        <f>IF(B112="","",IFERROR(VLOOKUP(B112,'ANÁLISE DE DADOS'!$A:$AM,34,0),""))</f>
        <v/>
      </c>
      <c r="AK112" s="63" t="str">
        <f>IF(B112="","",IFERROR(VLOOKUP(B112,'ANÁLISE DE DADOS'!$A:$AM,35,0),""))</f>
        <v/>
      </c>
      <c r="AL112" s="63" t="str">
        <f>IF(B112="","",IFERROR(VLOOKUP(B112,'ANÁLISE DE DADOS'!$A:$AM,36,0),""))</f>
        <v/>
      </c>
    </row>
    <row r="113" spans="3:38" x14ac:dyDescent="0.3">
      <c r="C113" s="61" t="str">
        <f>IF(B113="","",IFERROR(VLOOKUP(B113,'ANÁLISE DE DADOS'!$A:$AM,1,0),""))</f>
        <v/>
      </c>
      <c r="D113" s="61" t="str">
        <f>IF(B113="","",IFERROR(VLOOKUP(B113,'ANÁLISE DE DADOS'!$A:$AM,2,0),""))</f>
        <v/>
      </c>
      <c r="E113" s="61" t="str">
        <f>IF(B113="","",IFERROR(VLOOKUP(B113,'ANÁLISE DE DADOS'!$A:$AM,3,0),""))</f>
        <v/>
      </c>
      <c r="F113" s="61" t="str">
        <f>IF(B113="","",IFERROR(VLOOKUP(B113,'ANÁLISE DE DADOS'!$A:$AM,4,0),""))</f>
        <v/>
      </c>
      <c r="G113" s="62" t="str">
        <f>IF(B113="","",IFERROR(VLOOKUP(B113,'ANÁLISE DE DADOS'!$A:$AM,5,0),""))</f>
        <v/>
      </c>
      <c r="H113" s="62" t="str">
        <f>IF(B113="","",IFERROR(VLOOKUP(B113,'ANÁLISE DE DADOS'!$A:$AM,6,0),""))</f>
        <v/>
      </c>
      <c r="I113" s="62" t="str">
        <f>IF(B113="","",IFERROR(VLOOKUP(B113,'ANÁLISE DE DADOS'!$A:$AM,7,0),""))</f>
        <v/>
      </c>
      <c r="J113" s="62" t="str">
        <f>IF(B113="","",IFERROR(VLOOKUP(B113,'ANÁLISE DE DADOS'!$A:$AM,8,0),""))</f>
        <v/>
      </c>
      <c r="K113" s="61" t="str">
        <f>IF(B113="","",IFERROR(VLOOKUP(B113,'ANÁLISE DE DADOS'!$A:$AM,9,0),""))</f>
        <v/>
      </c>
      <c r="L113" s="61" t="str">
        <f>IF(B113="","",IFERROR(VLOOKUP(B113,'ANÁLISE DE DADOS'!$A:$AM,10,0),""))</f>
        <v/>
      </c>
      <c r="M113" s="62" t="str">
        <f>IF(B113="","",IFERROR(VLOOKUP(B113,'ANÁLISE DE DADOS'!$A:$AM,11,0),""))</f>
        <v/>
      </c>
      <c r="N113" s="61" t="str">
        <f>IF(B113="","",IFERROR(VLOOKUP(B113,'ANÁLISE DE DADOS'!$A:$AM,12,0),""))</f>
        <v/>
      </c>
      <c r="O113" s="61" t="str">
        <f>IF(B113="","",IFERROR(VLOOKUP(B113,'ANÁLISE DE DADOS'!$A:$AM,13,0),""))</f>
        <v/>
      </c>
      <c r="P113" s="63" t="str">
        <f>IF(B113="","",IFERROR(VLOOKUP(B113,'ANÁLISE DE DADOS'!$A:$AM,14,0),""))</f>
        <v/>
      </c>
      <c r="Q113" s="61" t="str">
        <f>IF(B113="","",IFERROR(VLOOKUP(B113,'ANÁLISE DE DADOS'!$A:$AM,15,0),""))</f>
        <v/>
      </c>
      <c r="R113" s="61" t="str">
        <f>IF(B113="","",IFERROR(VLOOKUP(B113,'ANÁLISE DE DADOS'!$A:$AM,16,0),""))</f>
        <v/>
      </c>
      <c r="S113" s="61" t="str">
        <f>IF(B113="","",IFERROR(VLOOKUP(B113,'ANÁLISE DE DADOS'!$A:$AM,17,0),""))</f>
        <v/>
      </c>
      <c r="T113" s="61" t="str">
        <f>IF(B113="","",IFERROR(VLOOKUP(B113,'ANÁLISE DE DADOS'!$A:$AM,18,0),""))</f>
        <v/>
      </c>
      <c r="U113" s="61" t="str">
        <f>IF(B113="","",IFERROR(VLOOKUP(B113,'ANÁLISE DE DADOS'!$A:$AM,19,0),""))</f>
        <v/>
      </c>
      <c r="V113" s="61" t="str">
        <f>IF(B113="","",IFERROR(VLOOKUP(B113,'ANÁLISE DE DADOS'!$A:$AM,20,0),""))</f>
        <v/>
      </c>
      <c r="W113" s="61" t="str">
        <f>IF(B113="","",IFERROR(VLOOKUP(B113,'ANÁLISE DE DADOS'!$A:$AM,21,0),""))</f>
        <v/>
      </c>
      <c r="X113" s="61" t="str">
        <f>IF(B113="","",IFERROR(VLOOKUP(B113,'ANÁLISE DE DADOS'!$A:$AM,22,0),""))</f>
        <v/>
      </c>
      <c r="Y113" s="61" t="str">
        <f>IF(B113="","",IFERROR(VLOOKUP(B113,'ANÁLISE DE DADOS'!$A:$AM,23,0),""))</f>
        <v/>
      </c>
      <c r="Z113" s="61" t="str">
        <f>IF(B113="","",IFERROR(VLOOKUP(B113,'ANÁLISE DE DADOS'!$A:$AM,24,0),""))</f>
        <v/>
      </c>
      <c r="AA113" s="61" t="str">
        <f>IF(B113="","",IFERROR(VLOOKUP(B113,'ANÁLISE DE DADOS'!$A:$AM,25,0),""))</f>
        <v/>
      </c>
      <c r="AB113" s="61" t="str">
        <f>IF(B113="","",IFERROR(VLOOKUP(B113,'ANÁLISE DE DADOS'!$A:$AM,26,0),""))</f>
        <v/>
      </c>
      <c r="AC113" s="61" t="str">
        <f>IF(B113="","",IFERROR(VLOOKUP(B113,'ANÁLISE DE DADOS'!$A:$AM,27,0),""))</f>
        <v/>
      </c>
      <c r="AD113" s="62" t="str">
        <f>IF(B113="","",IFERROR(VLOOKUP(B113,'ANÁLISE DE DADOS'!$A:$AM,28,0),""))</f>
        <v/>
      </c>
      <c r="AE113" s="61" t="str">
        <f>IF(B113="","",IFERROR(VLOOKUP(B113,'ANÁLISE DE DADOS'!$A:$AM,29,0),""))</f>
        <v/>
      </c>
      <c r="AF113" s="61" t="str">
        <f>IF(B113="","",IFERROR(VLOOKUP(B113,'ANÁLISE DE DADOS'!$A:$AM,30,0),""))</f>
        <v/>
      </c>
      <c r="AG113" s="62" t="str">
        <f>IF(B113="","",IFERROR(VLOOKUP(B113,'ANÁLISE DE DADOS'!$A:$AM,31,0),""))</f>
        <v/>
      </c>
      <c r="AH113" s="61" t="str">
        <f>IF(B113="","",IFERROR(VLOOKUP(B113,'ANÁLISE DE DADOS'!$A:$AM,32,0),""))</f>
        <v/>
      </c>
      <c r="AI113" s="61" t="str">
        <f>IF(B113="","",IFERROR(VLOOKUP(B113,'ANÁLISE DE DADOS'!$A:$AM,33,0),""))</f>
        <v/>
      </c>
      <c r="AJ113" s="61" t="str">
        <f>IF(B113="","",IFERROR(VLOOKUP(B113,'ANÁLISE DE DADOS'!$A:$AM,34,0),""))</f>
        <v/>
      </c>
      <c r="AK113" s="63" t="str">
        <f>IF(B113="","",IFERROR(VLOOKUP(B113,'ANÁLISE DE DADOS'!$A:$AM,35,0),""))</f>
        <v/>
      </c>
      <c r="AL113" s="63" t="str">
        <f>IF(B113="","",IFERROR(VLOOKUP(B113,'ANÁLISE DE DADOS'!$A:$AM,36,0),""))</f>
        <v/>
      </c>
    </row>
    <row r="114" spans="3:38" x14ac:dyDescent="0.3">
      <c r="C114" s="61" t="str">
        <f>IF(B114="","",IFERROR(VLOOKUP(B114,'ANÁLISE DE DADOS'!$A:$AM,1,0),""))</f>
        <v/>
      </c>
      <c r="D114" s="61" t="str">
        <f>IF(B114="","",IFERROR(VLOOKUP(B114,'ANÁLISE DE DADOS'!$A:$AM,2,0),""))</f>
        <v/>
      </c>
      <c r="E114" s="61" t="str">
        <f>IF(B114="","",IFERROR(VLOOKUP(B114,'ANÁLISE DE DADOS'!$A:$AM,3,0),""))</f>
        <v/>
      </c>
      <c r="F114" s="61" t="str">
        <f>IF(B114="","",IFERROR(VLOOKUP(B114,'ANÁLISE DE DADOS'!$A:$AM,4,0),""))</f>
        <v/>
      </c>
      <c r="G114" s="62" t="str">
        <f>IF(B114="","",IFERROR(VLOOKUP(B114,'ANÁLISE DE DADOS'!$A:$AM,5,0),""))</f>
        <v/>
      </c>
      <c r="H114" s="62" t="str">
        <f>IF(B114="","",IFERROR(VLOOKUP(B114,'ANÁLISE DE DADOS'!$A:$AM,6,0),""))</f>
        <v/>
      </c>
      <c r="I114" s="62" t="str">
        <f>IF(B114="","",IFERROR(VLOOKUP(B114,'ANÁLISE DE DADOS'!$A:$AM,7,0),""))</f>
        <v/>
      </c>
      <c r="J114" s="62" t="str">
        <f>IF(B114="","",IFERROR(VLOOKUP(B114,'ANÁLISE DE DADOS'!$A:$AM,8,0),""))</f>
        <v/>
      </c>
      <c r="K114" s="61" t="str">
        <f>IF(B114="","",IFERROR(VLOOKUP(B114,'ANÁLISE DE DADOS'!$A:$AM,9,0),""))</f>
        <v/>
      </c>
      <c r="L114" s="61" t="str">
        <f>IF(B114="","",IFERROR(VLOOKUP(B114,'ANÁLISE DE DADOS'!$A:$AM,10,0),""))</f>
        <v/>
      </c>
      <c r="M114" s="62" t="str">
        <f>IF(B114="","",IFERROR(VLOOKUP(B114,'ANÁLISE DE DADOS'!$A:$AM,11,0),""))</f>
        <v/>
      </c>
      <c r="N114" s="61" t="str">
        <f>IF(B114="","",IFERROR(VLOOKUP(B114,'ANÁLISE DE DADOS'!$A:$AM,12,0),""))</f>
        <v/>
      </c>
      <c r="O114" s="61" t="str">
        <f>IF(B114="","",IFERROR(VLOOKUP(B114,'ANÁLISE DE DADOS'!$A:$AM,13,0),""))</f>
        <v/>
      </c>
      <c r="P114" s="63" t="str">
        <f>IF(B114="","",IFERROR(VLOOKUP(B114,'ANÁLISE DE DADOS'!$A:$AM,14,0),""))</f>
        <v/>
      </c>
      <c r="Q114" s="61" t="str">
        <f>IF(B114="","",IFERROR(VLOOKUP(B114,'ANÁLISE DE DADOS'!$A:$AM,15,0),""))</f>
        <v/>
      </c>
      <c r="R114" s="61" t="str">
        <f>IF(B114="","",IFERROR(VLOOKUP(B114,'ANÁLISE DE DADOS'!$A:$AM,16,0),""))</f>
        <v/>
      </c>
      <c r="S114" s="61" t="str">
        <f>IF(B114="","",IFERROR(VLOOKUP(B114,'ANÁLISE DE DADOS'!$A:$AM,17,0),""))</f>
        <v/>
      </c>
      <c r="T114" s="61" t="str">
        <f>IF(B114="","",IFERROR(VLOOKUP(B114,'ANÁLISE DE DADOS'!$A:$AM,18,0),""))</f>
        <v/>
      </c>
      <c r="U114" s="61" t="str">
        <f>IF(B114="","",IFERROR(VLOOKUP(B114,'ANÁLISE DE DADOS'!$A:$AM,19,0),""))</f>
        <v/>
      </c>
      <c r="V114" s="61" t="str">
        <f>IF(B114="","",IFERROR(VLOOKUP(B114,'ANÁLISE DE DADOS'!$A:$AM,20,0),""))</f>
        <v/>
      </c>
      <c r="W114" s="61" t="str">
        <f>IF(B114="","",IFERROR(VLOOKUP(B114,'ANÁLISE DE DADOS'!$A:$AM,21,0),""))</f>
        <v/>
      </c>
      <c r="X114" s="61" t="str">
        <f>IF(B114="","",IFERROR(VLOOKUP(B114,'ANÁLISE DE DADOS'!$A:$AM,22,0),""))</f>
        <v/>
      </c>
      <c r="Y114" s="61" t="str">
        <f>IF(B114="","",IFERROR(VLOOKUP(B114,'ANÁLISE DE DADOS'!$A:$AM,23,0),""))</f>
        <v/>
      </c>
      <c r="Z114" s="61" t="str">
        <f>IF(B114="","",IFERROR(VLOOKUP(B114,'ANÁLISE DE DADOS'!$A:$AM,24,0),""))</f>
        <v/>
      </c>
      <c r="AA114" s="61" t="str">
        <f>IF(B114="","",IFERROR(VLOOKUP(B114,'ANÁLISE DE DADOS'!$A:$AM,25,0),""))</f>
        <v/>
      </c>
      <c r="AB114" s="61" t="str">
        <f>IF(B114="","",IFERROR(VLOOKUP(B114,'ANÁLISE DE DADOS'!$A:$AM,26,0),""))</f>
        <v/>
      </c>
      <c r="AC114" s="61" t="str">
        <f>IF(B114="","",IFERROR(VLOOKUP(B114,'ANÁLISE DE DADOS'!$A:$AM,27,0),""))</f>
        <v/>
      </c>
      <c r="AD114" s="62" t="str">
        <f>IF(B114="","",IFERROR(VLOOKUP(B114,'ANÁLISE DE DADOS'!$A:$AM,28,0),""))</f>
        <v/>
      </c>
      <c r="AE114" s="61" t="str">
        <f>IF(B114="","",IFERROR(VLOOKUP(B114,'ANÁLISE DE DADOS'!$A:$AM,29,0),""))</f>
        <v/>
      </c>
      <c r="AF114" s="61" t="str">
        <f>IF(B114="","",IFERROR(VLOOKUP(B114,'ANÁLISE DE DADOS'!$A:$AM,30,0),""))</f>
        <v/>
      </c>
      <c r="AG114" s="62" t="str">
        <f>IF(B114="","",IFERROR(VLOOKUP(B114,'ANÁLISE DE DADOS'!$A:$AM,31,0),""))</f>
        <v/>
      </c>
      <c r="AH114" s="61" t="str">
        <f>IF(B114="","",IFERROR(VLOOKUP(B114,'ANÁLISE DE DADOS'!$A:$AM,32,0),""))</f>
        <v/>
      </c>
      <c r="AI114" s="61" t="str">
        <f>IF(B114="","",IFERROR(VLOOKUP(B114,'ANÁLISE DE DADOS'!$A:$AM,33,0),""))</f>
        <v/>
      </c>
      <c r="AJ114" s="61" t="str">
        <f>IF(B114="","",IFERROR(VLOOKUP(B114,'ANÁLISE DE DADOS'!$A:$AM,34,0),""))</f>
        <v/>
      </c>
      <c r="AK114" s="63" t="str">
        <f>IF(B114="","",IFERROR(VLOOKUP(B114,'ANÁLISE DE DADOS'!$A:$AM,35,0),""))</f>
        <v/>
      </c>
      <c r="AL114" s="63" t="str">
        <f>IF(B114="","",IFERROR(VLOOKUP(B114,'ANÁLISE DE DADOS'!$A:$AM,36,0),""))</f>
        <v/>
      </c>
    </row>
    <row r="115" spans="3:38" x14ac:dyDescent="0.3">
      <c r="C115" s="61" t="str">
        <f>IF(B115="","",IFERROR(VLOOKUP(B115,'ANÁLISE DE DADOS'!$A:$AM,1,0),""))</f>
        <v/>
      </c>
      <c r="D115" s="61" t="str">
        <f>IF(B115="","",IFERROR(VLOOKUP(B115,'ANÁLISE DE DADOS'!$A:$AM,2,0),""))</f>
        <v/>
      </c>
      <c r="E115" s="61" t="str">
        <f>IF(B115="","",IFERROR(VLOOKUP(B115,'ANÁLISE DE DADOS'!$A:$AM,3,0),""))</f>
        <v/>
      </c>
      <c r="F115" s="61" t="str">
        <f>IF(B115="","",IFERROR(VLOOKUP(B115,'ANÁLISE DE DADOS'!$A:$AM,4,0),""))</f>
        <v/>
      </c>
      <c r="G115" s="62" t="str">
        <f>IF(B115="","",IFERROR(VLOOKUP(B115,'ANÁLISE DE DADOS'!$A:$AM,5,0),""))</f>
        <v/>
      </c>
      <c r="H115" s="62" t="str">
        <f>IF(B115="","",IFERROR(VLOOKUP(B115,'ANÁLISE DE DADOS'!$A:$AM,6,0),""))</f>
        <v/>
      </c>
      <c r="I115" s="62" t="str">
        <f>IF(B115="","",IFERROR(VLOOKUP(B115,'ANÁLISE DE DADOS'!$A:$AM,7,0),""))</f>
        <v/>
      </c>
      <c r="J115" s="62" t="str">
        <f>IF(B115="","",IFERROR(VLOOKUP(B115,'ANÁLISE DE DADOS'!$A:$AM,8,0),""))</f>
        <v/>
      </c>
      <c r="K115" s="61" t="str">
        <f>IF(B115="","",IFERROR(VLOOKUP(B115,'ANÁLISE DE DADOS'!$A:$AM,9,0),""))</f>
        <v/>
      </c>
      <c r="L115" s="61" t="str">
        <f>IF(B115="","",IFERROR(VLOOKUP(B115,'ANÁLISE DE DADOS'!$A:$AM,10,0),""))</f>
        <v/>
      </c>
      <c r="M115" s="62" t="str">
        <f>IF(B115="","",IFERROR(VLOOKUP(B115,'ANÁLISE DE DADOS'!$A:$AM,11,0),""))</f>
        <v/>
      </c>
      <c r="N115" s="61" t="str">
        <f>IF(B115="","",IFERROR(VLOOKUP(B115,'ANÁLISE DE DADOS'!$A:$AM,12,0),""))</f>
        <v/>
      </c>
      <c r="O115" s="61" t="str">
        <f>IF(B115="","",IFERROR(VLOOKUP(B115,'ANÁLISE DE DADOS'!$A:$AM,13,0),""))</f>
        <v/>
      </c>
      <c r="P115" s="63" t="str">
        <f>IF(B115="","",IFERROR(VLOOKUP(B115,'ANÁLISE DE DADOS'!$A:$AM,14,0),""))</f>
        <v/>
      </c>
      <c r="Q115" s="61" t="str">
        <f>IF(B115="","",IFERROR(VLOOKUP(B115,'ANÁLISE DE DADOS'!$A:$AM,15,0),""))</f>
        <v/>
      </c>
      <c r="R115" s="61" t="str">
        <f>IF(B115="","",IFERROR(VLOOKUP(B115,'ANÁLISE DE DADOS'!$A:$AM,16,0),""))</f>
        <v/>
      </c>
      <c r="S115" s="61" t="str">
        <f>IF(B115="","",IFERROR(VLOOKUP(B115,'ANÁLISE DE DADOS'!$A:$AM,17,0),""))</f>
        <v/>
      </c>
      <c r="T115" s="61" t="str">
        <f>IF(B115="","",IFERROR(VLOOKUP(B115,'ANÁLISE DE DADOS'!$A:$AM,18,0),""))</f>
        <v/>
      </c>
      <c r="U115" s="61" t="str">
        <f>IF(B115="","",IFERROR(VLOOKUP(B115,'ANÁLISE DE DADOS'!$A:$AM,19,0),""))</f>
        <v/>
      </c>
      <c r="V115" s="61" t="str">
        <f>IF(B115="","",IFERROR(VLOOKUP(B115,'ANÁLISE DE DADOS'!$A:$AM,20,0),""))</f>
        <v/>
      </c>
      <c r="W115" s="61" t="str">
        <f>IF(B115="","",IFERROR(VLOOKUP(B115,'ANÁLISE DE DADOS'!$A:$AM,21,0),""))</f>
        <v/>
      </c>
      <c r="X115" s="61" t="str">
        <f>IF(B115="","",IFERROR(VLOOKUP(B115,'ANÁLISE DE DADOS'!$A:$AM,22,0),""))</f>
        <v/>
      </c>
      <c r="Y115" s="61" t="str">
        <f>IF(B115="","",IFERROR(VLOOKUP(B115,'ANÁLISE DE DADOS'!$A:$AM,23,0),""))</f>
        <v/>
      </c>
      <c r="Z115" s="61" t="str">
        <f>IF(B115="","",IFERROR(VLOOKUP(B115,'ANÁLISE DE DADOS'!$A:$AM,24,0),""))</f>
        <v/>
      </c>
      <c r="AA115" s="61" t="str">
        <f>IF(B115="","",IFERROR(VLOOKUP(B115,'ANÁLISE DE DADOS'!$A:$AM,25,0),""))</f>
        <v/>
      </c>
      <c r="AB115" s="61" t="str">
        <f>IF(B115="","",IFERROR(VLOOKUP(B115,'ANÁLISE DE DADOS'!$A:$AM,26,0),""))</f>
        <v/>
      </c>
      <c r="AC115" s="61" t="str">
        <f>IF(B115="","",IFERROR(VLOOKUP(B115,'ANÁLISE DE DADOS'!$A:$AM,27,0),""))</f>
        <v/>
      </c>
      <c r="AD115" s="62" t="str">
        <f>IF(B115="","",IFERROR(VLOOKUP(B115,'ANÁLISE DE DADOS'!$A:$AM,28,0),""))</f>
        <v/>
      </c>
      <c r="AE115" s="61" t="str">
        <f>IF(B115="","",IFERROR(VLOOKUP(B115,'ANÁLISE DE DADOS'!$A:$AM,29,0),""))</f>
        <v/>
      </c>
      <c r="AF115" s="61" t="str">
        <f>IF(B115="","",IFERROR(VLOOKUP(B115,'ANÁLISE DE DADOS'!$A:$AM,30,0),""))</f>
        <v/>
      </c>
      <c r="AG115" s="62" t="str">
        <f>IF(B115="","",IFERROR(VLOOKUP(B115,'ANÁLISE DE DADOS'!$A:$AM,31,0),""))</f>
        <v/>
      </c>
      <c r="AH115" s="61" t="str">
        <f>IF(B115="","",IFERROR(VLOOKUP(B115,'ANÁLISE DE DADOS'!$A:$AM,32,0),""))</f>
        <v/>
      </c>
      <c r="AI115" s="61" t="str">
        <f>IF(B115="","",IFERROR(VLOOKUP(B115,'ANÁLISE DE DADOS'!$A:$AM,33,0),""))</f>
        <v/>
      </c>
      <c r="AJ115" s="61" t="str">
        <f>IF(B115="","",IFERROR(VLOOKUP(B115,'ANÁLISE DE DADOS'!$A:$AM,34,0),""))</f>
        <v/>
      </c>
      <c r="AK115" s="63" t="str">
        <f>IF(B115="","",IFERROR(VLOOKUP(B115,'ANÁLISE DE DADOS'!$A:$AM,35,0),""))</f>
        <v/>
      </c>
      <c r="AL115" s="63" t="str">
        <f>IF(B115="","",IFERROR(VLOOKUP(B115,'ANÁLISE DE DADOS'!$A:$AM,36,0),""))</f>
        <v/>
      </c>
    </row>
    <row r="116" spans="3:38" x14ac:dyDescent="0.3">
      <c r="C116" s="61" t="str">
        <f>IF(B116="","",IFERROR(VLOOKUP(B116,'ANÁLISE DE DADOS'!$A:$AM,1,0),""))</f>
        <v/>
      </c>
      <c r="D116" s="61" t="str">
        <f>IF(B116="","",IFERROR(VLOOKUP(B116,'ANÁLISE DE DADOS'!$A:$AM,2,0),""))</f>
        <v/>
      </c>
      <c r="E116" s="61" t="str">
        <f>IF(B116="","",IFERROR(VLOOKUP(B116,'ANÁLISE DE DADOS'!$A:$AM,3,0),""))</f>
        <v/>
      </c>
      <c r="F116" s="61" t="str">
        <f>IF(B116="","",IFERROR(VLOOKUP(B116,'ANÁLISE DE DADOS'!$A:$AM,4,0),""))</f>
        <v/>
      </c>
      <c r="G116" s="62" t="str">
        <f>IF(B116="","",IFERROR(VLOOKUP(B116,'ANÁLISE DE DADOS'!$A:$AM,5,0),""))</f>
        <v/>
      </c>
      <c r="H116" s="62" t="str">
        <f>IF(B116="","",IFERROR(VLOOKUP(B116,'ANÁLISE DE DADOS'!$A:$AM,6,0),""))</f>
        <v/>
      </c>
      <c r="I116" s="62" t="str">
        <f>IF(B116="","",IFERROR(VLOOKUP(B116,'ANÁLISE DE DADOS'!$A:$AM,7,0),""))</f>
        <v/>
      </c>
      <c r="J116" s="62" t="str">
        <f>IF(B116="","",IFERROR(VLOOKUP(B116,'ANÁLISE DE DADOS'!$A:$AM,8,0),""))</f>
        <v/>
      </c>
      <c r="K116" s="61" t="str">
        <f>IF(B116="","",IFERROR(VLOOKUP(B116,'ANÁLISE DE DADOS'!$A:$AM,9,0),""))</f>
        <v/>
      </c>
      <c r="L116" s="61" t="str">
        <f>IF(B116="","",IFERROR(VLOOKUP(B116,'ANÁLISE DE DADOS'!$A:$AM,10,0),""))</f>
        <v/>
      </c>
      <c r="M116" s="62" t="str">
        <f>IF(B116="","",IFERROR(VLOOKUP(B116,'ANÁLISE DE DADOS'!$A:$AM,11,0),""))</f>
        <v/>
      </c>
      <c r="N116" s="61" t="str">
        <f>IF(B116="","",IFERROR(VLOOKUP(B116,'ANÁLISE DE DADOS'!$A:$AM,12,0),""))</f>
        <v/>
      </c>
      <c r="O116" s="61" t="str">
        <f>IF(B116="","",IFERROR(VLOOKUP(B116,'ANÁLISE DE DADOS'!$A:$AM,13,0),""))</f>
        <v/>
      </c>
      <c r="P116" s="63" t="str">
        <f>IF(B116="","",IFERROR(VLOOKUP(B116,'ANÁLISE DE DADOS'!$A:$AM,14,0),""))</f>
        <v/>
      </c>
      <c r="Q116" s="61" t="str">
        <f>IF(B116="","",IFERROR(VLOOKUP(B116,'ANÁLISE DE DADOS'!$A:$AM,15,0),""))</f>
        <v/>
      </c>
      <c r="R116" s="61" t="str">
        <f>IF(B116="","",IFERROR(VLOOKUP(B116,'ANÁLISE DE DADOS'!$A:$AM,16,0),""))</f>
        <v/>
      </c>
      <c r="S116" s="61" t="str">
        <f>IF(B116="","",IFERROR(VLOOKUP(B116,'ANÁLISE DE DADOS'!$A:$AM,17,0),""))</f>
        <v/>
      </c>
      <c r="T116" s="61" t="str">
        <f>IF(B116="","",IFERROR(VLOOKUP(B116,'ANÁLISE DE DADOS'!$A:$AM,18,0),""))</f>
        <v/>
      </c>
      <c r="U116" s="61" t="str">
        <f>IF(B116="","",IFERROR(VLOOKUP(B116,'ANÁLISE DE DADOS'!$A:$AM,19,0),""))</f>
        <v/>
      </c>
      <c r="V116" s="61" t="str">
        <f>IF(B116="","",IFERROR(VLOOKUP(B116,'ANÁLISE DE DADOS'!$A:$AM,20,0),""))</f>
        <v/>
      </c>
      <c r="W116" s="61" t="str">
        <f>IF(B116="","",IFERROR(VLOOKUP(B116,'ANÁLISE DE DADOS'!$A:$AM,21,0),""))</f>
        <v/>
      </c>
      <c r="X116" s="61" t="str">
        <f>IF(B116="","",IFERROR(VLOOKUP(B116,'ANÁLISE DE DADOS'!$A:$AM,22,0),""))</f>
        <v/>
      </c>
      <c r="Y116" s="61" t="str">
        <f>IF(B116="","",IFERROR(VLOOKUP(B116,'ANÁLISE DE DADOS'!$A:$AM,23,0),""))</f>
        <v/>
      </c>
      <c r="Z116" s="61" t="str">
        <f>IF(B116="","",IFERROR(VLOOKUP(B116,'ANÁLISE DE DADOS'!$A:$AM,24,0),""))</f>
        <v/>
      </c>
      <c r="AA116" s="61" t="str">
        <f>IF(B116="","",IFERROR(VLOOKUP(B116,'ANÁLISE DE DADOS'!$A:$AM,25,0),""))</f>
        <v/>
      </c>
      <c r="AB116" s="61" t="str">
        <f>IF(B116="","",IFERROR(VLOOKUP(B116,'ANÁLISE DE DADOS'!$A:$AM,26,0),""))</f>
        <v/>
      </c>
      <c r="AC116" s="61" t="str">
        <f>IF(B116="","",IFERROR(VLOOKUP(B116,'ANÁLISE DE DADOS'!$A:$AM,27,0),""))</f>
        <v/>
      </c>
      <c r="AD116" s="62" t="str">
        <f>IF(B116="","",IFERROR(VLOOKUP(B116,'ANÁLISE DE DADOS'!$A:$AM,28,0),""))</f>
        <v/>
      </c>
      <c r="AE116" s="61" t="str">
        <f>IF(B116="","",IFERROR(VLOOKUP(B116,'ANÁLISE DE DADOS'!$A:$AM,29,0),""))</f>
        <v/>
      </c>
      <c r="AF116" s="61" t="str">
        <f>IF(B116="","",IFERROR(VLOOKUP(B116,'ANÁLISE DE DADOS'!$A:$AM,30,0),""))</f>
        <v/>
      </c>
      <c r="AG116" s="62" t="str">
        <f>IF(B116="","",IFERROR(VLOOKUP(B116,'ANÁLISE DE DADOS'!$A:$AM,31,0),""))</f>
        <v/>
      </c>
      <c r="AH116" s="61" t="str">
        <f>IF(B116="","",IFERROR(VLOOKUP(B116,'ANÁLISE DE DADOS'!$A:$AM,32,0),""))</f>
        <v/>
      </c>
      <c r="AI116" s="61" t="str">
        <f>IF(B116="","",IFERROR(VLOOKUP(B116,'ANÁLISE DE DADOS'!$A:$AM,33,0),""))</f>
        <v/>
      </c>
      <c r="AJ116" s="61" t="str">
        <f>IF(B116="","",IFERROR(VLOOKUP(B116,'ANÁLISE DE DADOS'!$A:$AM,34,0),""))</f>
        <v/>
      </c>
      <c r="AK116" s="63" t="str">
        <f>IF(B116="","",IFERROR(VLOOKUP(B116,'ANÁLISE DE DADOS'!$A:$AM,35,0),""))</f>
        <v/>
      </c>
      <c r="AL116" s="63" t="str">
        <f>IF(B116="","",IFERROR(VLOOKUP(B116,'ANÁLISE DE DADOS'!$A:$AM,36,0),""))</f>
        <v/>
      </c>
    </row>
    <row r="117" spans="3:38" x14ac:dyDescent="0.3">
      <c r="C117" s="61" t="str">
        <f>IF(B117="","",IFERROR(VLOOKUP(B117,'ANÁLISE DE DADOS'!$A:$AM,1,0),""))</f>
        <v/>
      </c>
      <c r="D117" s="61" t="str">
        <f>IF(B117="","",IFERROR(VLOOKUP(B117,'ANÁLISE DE DADOS'!$A:$AM,2,0),""))</f>
        <v/>
      </c>
      <c r="E117" s="61" t="str">
        <f>IF(B117="","",IFERROR(VLOOKUP(B117,'ANÁLISE DE DADOS'!$A:$AM,3,0),""))</f>
        <v/>
      </c>
      <c r="F117" s="61" t="str">
        <f>IF(B117="","",IFERROR(VLOOKUP(B117,'ANÁLISE DE DADOS'!$A:$AM,4,0),""))</f>
        <v/>
      </c>
      <c r="G117" s="62" t="str">
        <f>IF(B117="","",IFERROR(VLOOKUP(B117,'ANÁLISE DE DADOS'!$A:$AM,5,0),""))</f>
        <v/>
      </c>
      <c r="H117" s="62" t="str">
        <f>IF(B117="","",IFERROR(VLOOKUP(B117,'ANÁLISE DE DADOS'!$A:$AM,6,0),""))</f>
        <v/>
      </c>
      <c r="I117" s="62" t="str">
        <f>IF(B117="","",IFERROR(VLOOKUP(B117,'ANÁLISE DE DADOS'!$A:$AM,7,0),""))</f>
        <v/>
      </c>
      <c r="J117" s="62" t="str">
        <f>IF(B117="","",IFERROR(VLOOKUP(B117,'ANÁLISE DE DADOS'!$A:$AM,8,0),""))</f>
        <v/>
      </c>
      <c r="K117" s="61" t="str">
        <f>IF(B117="","",IFERROR(VLOOKUP(B117,'ANÁLISE DE DADOS'!$A:$AM,9,0),""))</f>
        <v/>
      </c>
      <c r="L117" s="61" t="str">
        <f>IF(B117="","",IFERROR(VLOOKUP(B117,'ANÁLISE DE DADOS'!$A:$AM,10,0),""))</f>
        <v/>
      </c>
      <c r="M117" s="62" t="str">
        <f>IF(B117="","",IFERROR(VLOOKUP(B117,'ANÁLISE DE DADOS'!$A:$AM,11,0),""))</f>
        <v/>
      </c>
      <c r="N117" s="61" t="str">
        <f>IF(B117="","",IFERROR(VLOOKUP(B117,'ANÁLISE DE DADOS'!$A:$AM,12,0),""))</f>
        <v/>
      </c>
      <c r="O117" s="61" t="str">
        <f>IF(B117="","",IFERROR(VLOOKUP(B117,'ANÁLISE DE DADOS'!$A:$AM,13,0),""))</f>
        <v/>
      </c>
      <c r="P117" s="63" t="str">
        <f>IF(B117="","",IFERROR(VLOOKUP(B117,'ANÁLISE DE DADOS'!$A:$AM,14,0),""))</f>
        <v/>
      </c>
      <c r="Q117" s="61" t="str">
        <f>IF(B117="","",IFERROR(VLOOKUP(B117,'ANÁLISE DE DADOS'!$A:$AM,15,0),""))</f>
        <v/>
      </c>
      <c r="R117" s="61" t="str">
        <f>IF(B117="","",IFERROR(VLOOKUP(B117,'ANÁLISE DE DADOS'!$A:$AM,16,0),""))</f>
        <v/>
      </c>
      <c r="S117" s="61" t="str">
        <f>IF(B117="","",IFERROR(VLOOKUP(B117,'ANÁLISE DE DADOS'!$A:$AM,17,0),""))</f>
        <v/>
      </c>
      <c r="T117" s="61" t="str">
        <f>IF(B117="","",IFERROR(VLOOKUP(B117,'ANÁLISE DE DADOS'!$A:$AM,18,0),""))</f>
        <v/>
      </c>
      <c r="U117" s="61" t="str">
        <f>IF(B117="","",IFERROR(VLOOKUP(B117,'ANÁLISE DE DADOS'!$A:$AM,19,0),""))</f>
        <v/>
      </c>
      <c r="V117" s="61" t="str">
        <f>IF(B117="","",IFERROR(VLOOKUP(B117,'ANÁLISE DE DADOS'!$A:$AM,20,0),""))</f>
        <v/>
      </c>
      <c r="W117" s="61" t="str">
        <f>IF(B117="","",IFERROR(VLOOKUP(B117,'ANÁLISE DE DADOS'!$A:$AM,21,0),""))</f>
        <v/>
      </c>
      <c r="X117" s="61" t="str">
        <f>IF(B117="","",IFERROR(VLOOKUP(B117,'ANÁLISE DE DADOS'!$A:$AM,22,0),""))</f>
        <v/>
      </c>
      <c r="Y117" s="61" t="str">
        <f>IF(B117="","",IFERROR(VLOOKUP(B117,'ANÁLISE DE DADOS'!$A:$AM,23,0),""))</f>
        <v/>
      </c>
      <c r="Z117" s="61" t="str">
        <f>IF(B117="","",IFERROR(VLOOKUP(B117,'ANÁLISE DE DADOS'!$A:$AM,24,0),""))</f>
        <v/>
      </c>
      <c r="AA117" s="61" t="str">
        <f>IF(B117="","",IFERROR(VLOOKUP(B117,'ANÁLISE DE DADOS'!$A:$AM,25,0),""))</f>
        <v/>
      </c>
      <c r="AB117" s="61" t="str">
        <f>IF(B117="","",IFERROR(VLOOKUP(B117,'ANÁLISE DE DADOS'!$A:$AM,26,0),""))</f>
        <v/>
      </c>
      <c r="AC117" s="61" t="str">
        <f>IF(B117="","",IFERROR(VLOOKUP(B117,'ANÁLISE DE DADOS'!$A:$AM,27,0),""))</f>
        <v/>
      </c>
      <c r="AD117" s="62" t="str">
        <f>IF(B117="","",IFERROR(VLOOKUP(B117,'ANÁLISE DE DADOS'!$A:$AM,28,0),""))</f>
        <v/>
      </c>
      <c r="AE117" s="61" t="str">
        <f>IF(B117="","",IFERROR(VLOOKUP(B117,'ANÁLISE DE DADOS'!$A:$AM,29,0),""))</f>
        <v/>
      </c>
      <c r="AF117" s="61" t="str">
        <f>IF(B117="","",IFERROR(VLOOKUP(B117,'ANÁLISE DE DADOS'!$A:$AM,30,0),""))</f>
        <v/>
      </c>
      <c r="AG117" s="62" t="str">
        <f>IF(B117="","",IFERROR(VLOOKUP(B117,'ANÁLISE DE DADOS'!$A:$AM,31,0),""))</f>
        <v/>
      </c>
      <c r="AH117" s="61" t="str">
        <f>IF(B117="","",IFERROR(VLOOKUP(B117,'ANÁLISE DE DADOS'!$A:$AM,32,0),""))</f>
        <v/>
      </c>
      <c r="AI117" s="61" t="str">
        <f>IF(B117="","",IFERROR(VLOOKUP(B117,'ANÁLISE DE DADOS'!$A:$AM,33,0),""))</f>
        <v/>
      </c>
      <c r="AJ117" s="61" t="str">
        <f>IF(B117="","",IFERROR(VLOOKUP(B117,'ANÁLISE DE DADOS'!$A:$AM,34,0),""))</f>
        <v/>
      </c>
      <c r="AK117" s="63" t="str">
        <f>IF(B117="","",IFERROR(VLOOKUP(B117,'ANÁLISE DE DADOS'!$A:$AM,35,0),""))</f>
        <v/>
      </c>
      <c r="AL117" s="63" t="str">
        <f>IF(B117="","",IFERROR(VLOOKUP(B117,'ANÁLISE DE DADOS'!$A:$AM,36,0),""))</f>
        <v/>
      </c>
    </row>
  </sheetData>
  <sheetProtection algorithmName="SHA-512" hashValue="5mRajAVKn8QM919V4gzmgAkqqhHyWEktq3P6y0zA7IGEck3o2DNbjAm0jp3BbbU4ET8TZjRiQLqJE3QeSrVAeQ==" saltValue="GcvOLf9BXP+VNK0EK7UERQ==" spinCount="100000" sheet="1" objects="1" scenarios="1"/>
  <conditionalFormatting sqref="D4:D117">
    <cfRule type="containsText" dxfId="27" priority="5" operator="containsText" text="FILIAL">
      <formula>NOT(ISERROR(SEARCH("FILIAL",D4)))</formula>
    </cfRule>
    <cfRule type="containsText" dxfId="26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25" priority="14" operator="containsText" text="NÃO">
      <formula>NOT(ISERROR(SEARCH("NÃO",S4)))</formula>
    </cfRule>
    <cfRule type="containsText" dxfId="24" priority="15" operator="containsText" text="sim">
      <formula>NOT(ISERROR(SEARCH("sim",S4)))</formula>
    </cfRule>
  </conditionalFormatting>
  <conditionalFormatting sqref="U4:U116">
    <cfRule type="containsText" dxfId="23" priority="11" operator="containsText" text="A VENCER">
      <formula>NOT(ISERROR(SEARCH("A VENCER",U4)))</formula>
    </cfRule>
    <cfRule type="containsText" dxfId="22" priority="12" operator="containsText" text="QUITADO">
      <formula>NOT(ISERROR(SEARCH("QUITADO",U4)))</formula>
    </cfRule>
    <cfRule type="containsText" dxfId="21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20" priority="7" operator="containsText" text="RECENTE">
      <formula>NOT(ISERROR(SEARCH("RECENTE",X4)))</formula>
    </cfRule>
    <cfRule type="containsText" dxfId="19" priority="8" operator="containsText" text="MÉDIO">
      <formula>NOT(ISERROR(SEARCH("MÉDIO",X4)))</formula>
    </cfRule>
    <cfRule type="containsText" dxfId="18" priority="9" operator="containsText" text="CRÍTICO">
      <formula>NOT(ISERROR(SEARCH("CRÍTICO",X4)))</formula>
    </cfRule>
  </conditionalFormatting>
  <conditionalFormatting sqref="Z4:Z117">
    <cfRule type="containsText" dxfId="17" priority="3" operator="containsText" text="NÃO">
      <formula>NOT(ISERROR(SEARCH("NÃO",Z4)))</formula>
    </cfRule>
    <cfRule type="containsText" dxfId="16" priority="4" operator="containsText" text="SIM">
      <formula>NOT(ISERROR(SEARCH("SIM",Z4)))</formula>
    </cfRule>
  </conditionalFormatting>
  <conditionalFormatting sqref="AC4:AC117">
    <cfRule type="containsText" dxfId="15" priority="1" operator="containsText" text="NÃO">
      <formula>NOT(ISERROR(SEARCH("NÃO",AC4)))</formula>
    </cfRule>
    <cfRule type="containsText" dxfId="14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598-1D03-4A40-A8BB-F34FF47ADFD3}">
  <sheetPr>
    <tabColor rgb="FF7030A0"/>
  </sheetPr>
  <dimension ref="B1:AM117"/>
  <sheetViews>
    <sheetView showGridLines="0" zoomScale="70" zoomScaleNormal="70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AH29" sqref="AH29"/>
    </sheetView>
  </sheetViews>
  <sheetFormatPr defaultRowHeight="14.4" x14ac:dyDescent="0.3"/>
  <cols>
    <col min="1" max="1" width="30.5546875" customWidth="1"/>
    <col min="2" max="2" width="21.88671875" style="30" hidden="1" customWidth="1"/>
    <col min="3" max="3" width="9.6640625" style="30" customWidth="1"/>
    <col min="4" max="4" width="8.88671875" style="30"/>
    <col min="5" max="5" width="13" style="30" bestFit="1" customWidth="1"/>
    <col min="6" max="6" width="15.33203125" style="30" bestFit="1" customWidth="1"/>
    <col min="7" max="7" width="16.6640625" style="30" hidden="1" customWidth="1"/>
    <col min="8" max="8" width="13" style="30" hidden="1" customWidth="1"/>
    <col min="9" max="9" width="13.109375" style="30" hidden="1" customWidth="1"/>
    <col min="10" max="10" width="16.6640625" style="44" hidden="1" customWidth="1"/>
    <col min="11" max="11" width="16.21875" style="30" hidden="1" customWidth="1"/>
    <col min="12" max="12" width="17.5546875" style="30" hidden="1" customWidth="1"/>
    <col min="13" max="13" width="15.88671875" style="44" hidden="1" customWidth="1"/>
    <col min="14" max="14" width="10.44140625" style="30" hidden="1" customWidth="1"/>
    <col min="15" max="15" width="10.6640625" style="30" hidden="1" customWidth="1"/>
    <col min="16" max="16" width="13.44140625" style="46" hidden="1" customWidth="1"/>
    <col min="17" max="17" width="12.33203125" style="30" hidden="1" customWidth="1"/>
    <col min="18" max="18" width="17.77734375" style="30" hidden="1" customWidth="1"/>
    <col min="19" max="19" width="8.33203125" style="30" hidden="1" customWidth="1"/>
    <col min="20" max="20" width="56.109375" style="30" hidden="1" customWidth="1"/>
    <col min="21" max="21" width="21.88671875" style="30" hidden="1" customWidth="1"/>
    <col min="22" max="22" width="13.33203125" style="30" hidden="1" customWidth="1"/>
    <col min="23" max="23" width="13.5546875" style="30" hidden="1" customWidth="1"/>
    <col min="24" max="24" width="14.5546875" style="30" hidden="1" customWidth="1"/>
    <col min="25" max="25" width="12" style="30" hidden="1" customWidth="1"/>
    <col min="26" max="26" width="14.109375" style="30" hidden="1" customWidth="1"/>
    <col min="27" max="27" width="15.109375" style="30" customWidth="1"/>
    <col min="28" max="28" width="19.33203125" style="30" customWidth="1"/>
    <col min="29" max="29" width="13.44140625" style="30" customWidth="1"/>
    <col min="30" max="30" width="15.109375" style="44" customWidth="1"/>
    <col min="31" max="31" width="13.109375" style="30" customWidth="1"/>
    <col min="32" max="32" width="13.5546875" style="30" customWidth="1"/>
    <col min="33" max="33" width="23.5546875" style="44" customWidth="1"/>
    <col min="34" max="34" width="14.77734375" style="30" customWidth="1"/>
    <col min="35" max="35" width="15.6640625" style="30" customWidth="1"/>
    <col min="36" max="36" width="17" style="30" customWidth="1"/>
    <col min="37" max="37" width="14.33203125" style="46" customWidth="1"/>
    <col min="38" max="38" width="13.77734375" style="46" customWidth="1"/>
    <col min="39" max="39" width="21.5546875" bestFit="1" customWidth="1"/>
  </cols>
  <sheetData>
    <row r="1" spans="2:39" s="66" customFormat="1" ht="27.6" customHeight="1" thickBot="1" x14ac:dyDescent="0.35">
      <c r="B1" s="65"/>
      <c r="C1" s="70"/>
      <c r="D1" s="71"/>
      <c r="E1" s="71"/>
      <c r="F1" s="71"/>
      <c r="G1" s="71"/>
      <c r="H1" s="71"/>
      <c r="I1" s="71"/>
      <c r="J1" s="72" t="s">
        <v>159</v>
      </c>
      <c r="K1" s="71"/>
      <c r="L1" s="71"/>
      <c r="M1" s="73"/>
      <c r="N1" s="71"/>
      <c r="O1" s="71"/>
      <c r="P1" s="74"/>
      <c r="Q1" s="71"/>
      <c r="R1" s="71"/>
      <c r="S1" s="75"/>
      <c r="T1" s="76"/>
      <c r="U1" s="77"/>
      <c r="V1" s="78" t="s">
        <v>160</v>
      </c>
      <c r="W1" s="77"/>
      <c r="X1" s="77"/>
      <c r="Y1" s="77"/>
      <c r="Z1" s="79"/>
      <c r="AA1" s="80"/>
      <c r="AB1" s="81"/>
      <c r="AC1" s="81"/>
      <c r="AD1" s="82"/>
      <c r="AE1" s="81"/>
      <c r="AF1" s="81"/>
      <c r="AG1" s="83" t="s">
        <v>161</v>
      </c>
      <c r="AH1" s="81"/>
      <c r="AI1" s="81"/>
      <c r="AJ1" s="81"/>
      <c r="AK1" s="81"/>
      <c r="AL1" s="100"/>
      <c r="AM1" s="85"/>
    </row>
    <row r="2" spans="2:39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 s="43"/>
    </row>
    <row r="3" spans="2:39" s="57" customFormat="1" ht="43.2" x14ac:dyDescent="0.3">
      <c r="B3" s="58" t="s">
        <v>145</v>
      </c>
      <c r="C3" s="58" t="str">
        <f>Tabela1[[#Headers],[DOC./NF]]</f>
        <v>DOC./NF</v>
      </c>
      <c r="D3" s="58" t="str">
        <f>Tabela1[[#Headers],[UNIDADE]]</f>
        <v>UNIDADE</v>
      </c>
      <c r="E3" s="58" t="str">
        <f>Tabela1[[#Headers],[GRUPO]]</f>
        <v>GRUPO</v>
      </c>
      <c r="F3" s="58" t="str">
        <f>Tabela1[[#Headers],[EMPRESA]]</f>
        <v>EMPRESA</v>
      </c>
      <c r="G3" s="58" t="str">
        <f>Tabela1[[#Headers],[DATA DE EMISSÃO]]</f>
        <v>DATA DE EMISSÃO</v>
      </c>
      <c r="H3" s="58" t="str">
        <f>Tabela1[[#Headers],[MÊS EMISSOR]]</f>
        <v>MÊS EMISSOR</v>
      </c>
      <c r="I3" s="58" t="str">
        <f>Tabela1[[#Headers],[ANO EMISSOR]]</f>
        <v>ANO EMISSOR</v>
      </c>
      <c r="J3" s="59" t="str">
        <f>Tabela1[[#Headers],[VENCIMENTO ORIGINAL]]</f>
        <v>VENCIMENTO ORIGINAL</v>
      </c>
      <c r="K3" s="58" t="str">
        <f>Tabela1[[#Headers],[MÊS VENCIMENTO ORIGINAL]]</f>
        <v>MÊS VENCIMENTO ORIGINAL</v>
      </c>
      <c r="L3" s="58" t="str">
        <f>Tabela1[[#Headers],[ANO VENCIMENTO ORIGINAL]]</f>
        <v>ANO VENCIMENTO ORIGINAL</v>
      </c>
      <c r="M3" s="59" t="str">
        <f>Tabela1[[#Headers],[VENCIMENTO ATUAL]]</f>
        <v>VENCIMENTO ATUAL</v>
      </c>
      <c r="N3" s="58" t="str">
        <f>Tabela1[[#Headers],[MÊS ATUAL]]</f>
        <v>MÊS ATUAL</v>
      </c>
      <c r="O3" s="58" t="str">
        <f>Tabela1[[#Headers],[ANO ATUAL]]</f>
        <v>ANO ATUAL</v>
      </c>
      <c r="P3" s="60" t="str">
        <f>Tabela1[[#Headers],[VALOR ORIGINAL]]</f>
        <v>VALOR ORIGINAL</v>
      </c>
      <c r="Q3" s="58" t="str">
        <f>Tabela1[[#Headers],[VENDEDORES]]</f>
        <v>VENDEDORES</v>
      </c>
      <c r="R3" s="58" t="str">
        <f>Tabela1[[#Headers],[CARTEIRA]]</f>
        <v>CARTEIRA</v>
      </c>
      <c r="S3" s="58" t="str">
        <f>Tabela1[[#Headers],[PAGO]]</f>
        <v>PAGO</v>
      </c>
      <c r="T3" s="64" t="str">
        <f>Tabela1[[#Headers],[Status de Cobrança]]</f>
        <v>Status de Cobrança</v>
      </c>
      <c r="U3" s="64" t="str">
        <f>Tabela1[[#Headers],[Status de Pagamento]]</f>
        <v>Status de Pagamento</v>
      </c>
      <c r="V3" s="64" t="str">
        <f>Tabela1[[#Headers],[Dias em Atraso]]</f>
        <v>Dias em Atraso</v>
      </c>
      <c r="W3" s="64" t="str">
        <f>Tabela1[[#Headers],[Faixa de Atraso]]</f>
        <v>Faixa de Atraso</v>
      </c>
      <c r="X3" s="64" t="str">
        <f>Tabela1[[#Headers],[Título Elegível]]</f>
        <v>Título Elegível</v>
      </c>
      <c r="Y3" s="64" t="str">
        <f>Tabela1[[#Headers],[Valor a Faturar]]</f>
        <v>Valor a Faturar</v>
      </c>
      <c r="Z3" s="64" t="str">
        <f>Tabela1[[#Headers],[Bloqueio de sistema ]]</f>
        <v xml:space="preserve">Bloqueio de sistema </v>
      </c>
      <c r="AA3" s="67" t="str">
        <f>Tabela1[[#Headers],[Statuts de Negociação]]</f>
        <v>Statuts de Negociação</v>
      </c>
      <c r="AB3" s="67" t="str">
        <f>Tabela1[[#Headers],[Número de Negociações Feitas]]</f>
        <v>Número de Negociações Feitas</v>
      </c>
      <c r="AC3" s="67" t="str">
        <f>Tabela1[[#Headers],[Acordo Fechado?]]</f>
        <v>Acordo Fechado?</v>
      </c>
      <c r="AD3" s="68" t="str">
        <f>Tabela1[[#Headers],[Data de Negociação]]</f>
        <v>Data de Negociação</v>
      </c>
      <c r="AE3" s="67" t="str">
        <f>Tabela1[[#Headers],[MÊS NEGOCIAÇÃO]]</f>
        <v>MÊS NEGOCIAÇÃO</v>
      </c>
      <c r="AF3" s="67" t="str">
        <f>Tabela1[[#Headers],[ANO NEGOCIAÇÃO]]</f>
        <v>ANO NEGOCIAÇÃO</v>
      </c>
      <c r="AG3" s="68" t="str">
        <f>Tabela1[[#Headers],[Data da Entrada/Primeira Parcela]]</f>
        <v>Data da Entrada/Primeira Parcela</v>
      </c>
      <c r="AH3" s="67" t="str">
        <f>Tabela1[[#Headers],[MÊS PRIMEIRA PARCELA]]</f>
        <v>MÊS PRIMEIRA PARCELA</v>
      </c>
      <c r="AI3" s="67" t="str">
        <f>Tabela1[[#Headers],[ANO PRIMERA PARCELA]]</f>
        <v>ANO PRIMERA PARCELA</v>
      </c>
      <c r="AJ3" s="67" t="str">
        <f>Tabela1[[#Headers],[Título Quitado? (Sim/Não)]]</f>
        <v>Título Quitado? (Sim/Não)</v>
      </c>
      <c r="AK3" s="69" t="str">
        <f>Tabela1[[#Headers],[Valores Vencidos]]</f>
        <v>Valores Vencidos</v>
      </c>
      <c r="AL3" s="69" t="str">
        <f>Tabela1[[#Headers],[Valores a Vencer]]</f>
        <v>Valores a Vencer</v>
      </c>
      <c r="AM3" s="102" t="str">
        <f>Tabela1[[#Headers],[Cobrança]]</f>
        <v>Cobrança</v>
      </c>
    </row>
    <row r="4" spans="2:39" x14ac:dyDescent="0.3">
      <c r="B4" s="30">
        <v>0</v>
      </c>
      <c r="C4" s="61">
        <f>IF(B4="","",IFERROR(VLOOKUP(B4,'ANÁLISE DE DADOS'!$A:$AM,1,0),""))</f>
        <v>0</v>
      </c>
      <c r="D4" s="61">
        <f>IF(B4="","",IFERROR(VLOOKUP(B4,'ANÁLISE DE DADOS'!$A:$AM,2,0),""))</f>
        <v>0</v>
      </c>
      <c r="E4" s="61">
        <f>IF(B4="","",IFERROR(VLOOKUP(B4,'ANÁLISE DE DADOS'!$A:$AM,3,0),""))</f>
        <v>0</v>
      </c>
      <c r="F4" s="61">
        <f>IF(B4="","",IFERROR(VLOOKUP(B4,'ANÁLISE DE DADOS'!$A:$AM,4,0),""))</f>
        <v>0</v>
      </c>
      <c r="G4" s="62">
        <f>IF(B4="","",IFERROR(VLOOKUP(B4,'ANÁLISE DE DADOS'!$A:$AM,5,0),""))</f>
        <v>0</v>
      </c>
      <c r="H4" s="62" t="str">
        <f>IF(B4="","",IFERROR(VLOOKUP(B4,'ANÁLISE DE DADOS'!$A:$AM,6,0),""))</f>
        <v>jan-00</v>
      </c>
      <c r="I4" s="62" t="str">
        <f>IF(B4="","",IFERROR(VLOOKUP(B4,'ANÁLISE DE DADOS'!$A:$AM,7,0),""))</f>
        <v>1900</v>
      </c>
      <c r="J4" s="62">
        <f>IF(B4="","",IFERROR(VLOOKUP(B4,'ANÁLISE DE DADOS'!$A:$AM,8,0),""))</f>
        <v>0</v>
      </c>
      <c r="K4" s="61" t="str">
        <f>IF(B4="","",IFERROR(VLOOKUP(B4,'ANÁLISE DE DADOS'!$A:$AM,9,0),""))</f>
        <v>jan-00</v>
      </c>
      <c r="L4" s="61" t="str">
        <f>IF(B4="","",IFERROR(VLOOKUP(B4,'ANÁLISE DE DADOS'!$A:$AM,10,0),""))</f>
        <v>1900</v>
      </c>
      <c r="M4" s="62">
        <f>IF(B4="","",IFERROR(VLOOKUP(B4,'ANÁLISE DE DADOS'!$A:$AM,11,0),""))</f>
        <v>0</v>
      </c>
      <c r="N4" s="61" t="str">
        <f>IF(B4="","",IFERROR(VLOOKUP(B4,'ANÁLISE DE DADOS'!$A:$AM,12,0),""))</f>
        <v>jan-00</v>
      </c>
      <c r="O4" s="61" t="str">
        <f>IF(B4="","",IFERROR(VLOOKUP(B4,'ANÁLISE DE DADOS'!$A:$AM,13,0),""))</f>
        <v>1900</v>
      </c>
      <c r="P4" s="63">
        <f>IF(B4="","",IFERROR(VLOOKUP(B4,'ANÁLISE DE DADOS'!$A:$AM,14,0),""))</f>
        <v>0</v>
      </c>
      <c r="Q4" s="61">
        <f>IF(B4="","",IFERROR(VLOOKUP(B4,'ANÁLISE DE DADOS'!$A:$AM,15,0),""))</f>
        <v>0</v>
      </c>
      <c r="R4" s="61">
        <f>IF(B4="","",IFERROR(VLOOKUP(B4,'ANÁLISE DE DADOS'!$A:$AM,16,0),""))</f>
        <v>0</v>
      </c>
      <c r="S4" s="61">
        <f>IF(B4="","",IFERROR(VLOOKUP(B4,'ANÁLISE DE DADOS'!$A:$AM,17,0),""))</f>
        <v>0</v>
      </c>
      <c r="T4" s="61">
        <f>IF(B4="","",IFERROR(VLOOKUP(B4,'ANÁLISE DE DADOS'!$A:$AM,18,0),""))</f>
        <v>0</v>
      </c>
      <c r="U4" s="61">
        <f>IF(B4="","",IFERROR(VLOOKUP(B4,'ANÁLISE DE DADOS'!$A:$AM,19,0),""))</f>
        <v>0</v>
      </c>
      <c r="V4" s="61">
        <f>IF(B4="","",IFERROR(VLOOKUP(B4,'ANÁLISE DE DADOS'!$A:$AM,20,0),""))</f>
        <v>0</v>
      </c>
      <c r="W4" s="61">
        <f>IF(B4="","",IFERROR(VLOOKUP(B4,'ANÁLISE DE DADOS'!$A:$AM,21,0),""))</f>
        <v>0</v>
      </c>
      <c r="X4" s="61">
        <f>IF(B4="","",IFERROR(VLOOKUP(B4,'ANÁLISE DE DADOS'!$A:$AM,22,0),""))</f>
        <v>0</v>
      </c>
      <c r="Y4" s="61">
        <f>IF(B4="","",IFERROR(VLOOKUP(B4,'ANÁLISE DE DADOS'!$A:$AM,23,0),""))</f>
        <v>0</v>
      </c>
      <c r="Z4" s="61">
        <f>IF(B4="","",IFERROR(VLOOKUP(B4,'ANÁLISE DE DADOS'!$A:$AM,24,0),""))</f>
        <v>0</v>
      </c>
      <c r="AA4" s="61">
        <f>IF(B4="","",IFERROR(VLOOKUP(B4,'ANÁLISE DE DADOS'!$A:$AM,25,0),""))</f>
        <v>0</v>
      </c>
      <c r="AB4" s="61">
        <f>IF(B4="","",IFERROR(VLOOKUP(B4,'ANÁLISE DE DADOS'!$A:$AM,26,0),""))</f>
        <v>0</v>
      </c>
      <c r="AC4" s="61">
        <f>IF(B4="","",IFERROR(VLOOKUP(B4,'ANÁLISE DE DADOS'!$A:$AM,27,0),""))</f>
        <v>0</v>
      </c>
      <c r="AD4" s="62">
        <f>IF(B4="","",IFERROR(VLOOKUP(B4,'ANÁLISE DE DADOS'!$A:$AM,28,0),""))</f>
        <v>0</v>
      </c>
      <c r="AE4" s="61" t="str">
        <f>IF(B4="","",IFERROR(VLOOKUP(B4,'ANÁLISE DE DADOS'!$A:$AM,29,0),""))</f>
        <v>jan-00</v>
      </c>
      <c r="AF4" s="61" t="str">
        <f>IF(B4="","",IFERROR(VLOOKUP(B4,'ANÁLISE DE DADOS'!$A:$AM,30,0),""))</f>
        <v>1900</v>
      </c>
      <c r="AG4" s="62">
        <f>IF(B4="","",IFERROR(VLOOKUP(B4,'ANÁLISE DE DADOS'!$A:$AM,31,0),""))</f>
        <v>0</v>
      </c>
      <c r="AH4" s="61" t="str">
        <f>IF(B4="","",IFERROR(VLOOKUP(B4,'ANÁLISE DE DADOS'!$A:$AM,32,0),""))</f>
        <v>jan-00</v>
      </c>
      <c r="AI4" s="61" t="str">
        <f>IF(B4="","",IFERROR(VLOOKUP(B4,'ANÁLISE DE DADOS'!$A:$AM,33,0),""))</f>
        <v>1900</v>
      </c>
      <c r="AJ4" s="61">
        <f>IF(B4="","",IFERROR(VLOOKUP(B4,'ANÁLISE DE DADOS'!$A:$AM,34,0),""))</f>
        <v>0</v>
      </c>
      <c r="AK4" s="63">
        <f>IF(B4="","",IFERROR(VLOOKUP(B4,'ANÁLISE DE DADOS'!$A:$AM,35,0),""))</f>
        <v>0</v>
      </c>
      <c r="AL4" s="63">
        <f>IF(B4="","",IFERROR(VLOOKUP(B4,'ANÁLISE DE DADOS'!$A:$AM,36,0),""))</f>
        <v>0</v>
      </c>
      <c r="AM4" s="101" t="str">
        <f>IF(B4="","",IFERROR(VLOOKUP(B4,'ANÁLISE DE DADOS'!$A:$AM,37,0),""))</f>
        <v/>
      </c>
    </row>
    <row r="5" spans="2:39" x14ac:dyDescent="0.3">
      <c r="B5" s="30">
        <v>1</v>
      </c>
      <c r="C5" s="61">
        <f>IF(B5="","",IFERROR(VLOOKUP(B5,'ANÁLISE DE DADOS'!$A:$AM,1,0),""))</f>
        <v>1</v>
      </c>
      <c r="D5" s="61" t="str">
        <f>IF(B5="","",IFERROR(VLOOKUP(B5,'ANÁLISE DE DADOS'!$A:$AM,2,0),""))</f>
        <v>Matriz</v>
      </c>
      <c r="E5" s="61" t="str">
        <f>IF(B5="","",IFERROR(VLOOKUP(B5,'ANÁLISE DE DADOS'!$A:$AM,3,0),""))</f>
        <v>Alpha &amp; CIA</v>
      </c>
      <c r="F5" s="61" t="str">
        <f>IF(B5="","",IFERROR(VLOOKUP(B5,'ANÁLISE DE DADOS'!$A:$AM,4,0),""))</f>
        <v>Alpha &amp; CIA</v>
      </c>
      <c r="G5" s="62">
        <f>IF(B5="","",IFERROR(VLOOKUP(B5,'ANÁLISE DE DADOS'!$A:$AM,5,0),""))</f>
        <v>45658</v>
      </c>
      <c r="H5" s="62" t="str">
        <f>IF(B5="","",IFERROR(VLOOKUP(B5,'ANÁLISE DE DADOS'!$A:$AM,6,0),""))</f>
        <v>jan-25</v>
      </c>
      <c r="I5" s="62" t="str">
        <f>IF(B5="","",IFERROR(VLOOKUP(B5,'ANÁLISE DE DADOS'!$A:$AM,7,0),""))</f>
        <v>2025</v>
      </c>
      <c r="J5" s="62">
        <f>IF(B5="","",IFERROR(VLOOKUP(B5,'ANÁLISE DE DADOS'!$A:$AM,8,0),""))</f>
        <v>45690</v>
      </c>
      <c r="K5" s="61" t="str">
        <f>IF(B5="","",IFERROR(VLOOKUP(B5,'ANÁLISE DE DADOS'!$A:$AM,9,0),""))</f>
        <v>fev-25</v>
      </c>
      <c r="L5" s="61" t="str">
        <f>IF(B5="","",IFERROR(VLOOKUP(B5,'ANÁLISE DE DADOS'!$A:$AM,10,0),""))</f>
        <v>2025</v>
      </c>
      <c r="M5" s="62">
        <f>IF(B5="","",IFERROR(VLOOKUP(B5,'ANÁLISE DE DADOS'!$A:$AM,11,0),""))</f>
        <v>45737</v>
      </c>
      <c r="N5" s="61" t="str">
        <f>IF(B5="","",IFERROR(VLOOKUP(B5,'ANÁLISE DE DADOS'!$A:$AM,12,0),""))</f>
        <v>mar-25</v>
      </c>
      <c r="O5" s="61" t="str">
        <f>IF(B5="","",IFERROR(VLOOKUP(B5,'ANÁLISE DE DADOS'!$A:$AM,13,0),""))</f>
        <v>2025</v>
      </c>
      <c r="P5" s="63">
        <f>IF(B5="","",IFERROR(VLOOKUP(B5,'ANÁLISE DE DADOS'!$A:$AM,14,0),""))</f>
        <v>1000</v>
      </c>
      <c r="Q5" s="61" t="str">
        <f>IF(B5="","",IFERROR(VLOOKUP(B5,'ANÁLISE DE DADOS'!$A:$AM,15,0),""))</f>
        <v>João</v>
      </c>
      <c r="R5" s="61" t="str">
        <f>IF(B5="","",IFERROR(VLOOKUP(B5,'ANÁLISE DE DADOS'!$A:$AM,16,0),""))</f>
        <v>ANALISTA SIMONE</v>
      </c>
      <c r="S5" s="61" t="str">
        <f>IF(B5="","",IFERROR(VLOOKUP(B5,'ANÁLISE DE DADOS'!$A:$AM,17,0),""))</f>
        <v>NÃO</v>
      </c>
      <c r="T5" s="61" t="str">
        <f>IF(B5="","",IFERROR(VLOOKUP(B5,'ANÁLISE DE DADOS'!$A:$AM,18,0),""))</f>
        <v>Situação com comercial (aguardando análise comercial)</v>
      </c>
      <c r="U5" s="61" t="str">
        <f ca="1">IF(B5="","",IFERROR(VLOOKUP(B5,'ANÁLISE DE DADOS'!$A:$AM,19,0),""))</f>
        <v>Vencido</v>
      </c>
      <c r="V5" s="61">
        <f ca="1">IF(B5="","",IFERROR(VLOOKUP(B5,'ANÁLISE DE DADOS'!$A:$AM,20,0),""))</f>
        <v>105</v>
      </c>
      <c r="W5" s="61" t="str">
        <f ca="1">IF(B5="","",IFERROR(VLOOKUP(B5,'ANÁLISE DE DADOS'!$A:$AM,21,0),""))</f>
        <v>61+ dias</v>
      </c>
      <c r="X5" s="61" t="str">
        <f ca="1">IF(B5="","",IFERROR(VLOOKUP(B5,'ANÁLISE DE DADOS'!$A:$AM,22,0),""))</f>
        <v>Atraso Crítico</v>
      </c>
      <c r="Y5" s="61" t="str">
        <f>IF(B5="","",IFERROR(VLOOKUP(B5,'ANÁLISE DE DADOS'!$A:$AM,23,0),""))</f>
        <v>-</v>
      </c>
      <c r="Z5" s="61" t="str">
        <f>IF(B5="","",IFERROR(VLOOKUP(B5,'ANÁLISE DE DADOS'!$A:$AM,24,0),""))</f>
        <v>Sim</v>
      </c>
      <c r="AA5" s="61">
        <f>IF(B5="","",IFERROR(VLOOKUP(B5,'ANÁLISE DE DADOS'!$A:$AM,25,0),""))</f>
        <v>0</v>
      </c>
      <c r="AB5" s="61">
        <f>IF(B5="","",IFERROR(VLOOKUP(B5,'ANÁLISE DE DADOS'!$A:$AM,26,0),""))</f>
        <v>1</v>
      </c>
      <c r="AC5" s="61" t="str">
        <f>IF(B5="","",IFERROR(VLOOKUP(B5,'ANÁLISE DE DADOS'!$A:$AM,27,0),""))</f>
        <v>Sim</v>
      </c>
      <c r="AD5" s="62">
        <f>IF(B5="","",IFERROR(VLOOKUP(B5,'ANÁLISE DE DADOS'!$A:$AM,28,0),""))</f>
        <v>45740</v>
      </c>
      <c r="AE5" s="61" t="str">
        <f>IF(B5="","",IFERROR(VLOOKUP(B5,'ANÁLISE DE DADOS'!$A:$AM,29,0),""))</f>
        <v>mar-25</v>
      </c>
      <c r="AF5" s="61" t="str">
        <f>IF(B5="","",IFERROR(VLOOKUP(B5,'ANÁLISE DE DADOS'!$A:$AM,30,0),""))</f>
        <v>2025</v>
      </c>
      <c r="AG5" s="62">
        <f>IF(B5="","",IFERROR(VLOOKUP(B5,'ANÁLISE DE DADOS'!$A:$AM,31,0),""))</f>
        <v>45772</v>
      </c>
      <c r="AH5" s="61" t="str">
        <f>IF(B5="","",IFERROR(VLOOKUP(B5,'ANÁLISE DE DADOS'!$A:$AM,32,0),""))</f>
        <v>abr-25</v>
      </c>
      <c r="AI5" s="61" t="str">
        <f>IF(B5="","",IFERROR(VLOOKUP(B5,'ANÁLISE DE DADOS'!$A:$AM,33,0),""))</f>
        <v>2025</v>
      </c>
      <c r="AJ5" s="61" t="str">
        <f>IF(B5="","",IFERROR(VLOOKUP(B5,'ANÁLISE DE DADOS'!$A:$AM,34,0),""))</f>
        <v>Acompanhando</v>
      </c>
      <c r="AK5" s="63">
        <f ca="1">IF(B5="","",IFERROR(VLOOKUP(B5,'ANÁLISE DE DADOS'!$A:$AM,35,0),""))</f>
        <v>1000</v>
      </c>
      <c r="AL5" s="63" t="str">
        <f ca="1">IF(B5="","",IFERROR(VLOOKUP(B5,'ANÁLISE DE DADOS'!$A:$AM,36,0),""))</f>
        <v>0</v>
      </c>
      <c r="AM5" s="101" t="str">
        <f ca="1">IF(B5="","",IFERROR(VLOOKUP(B5,'ANÁLISE DE DADOS'!$A:$AM,37,0),""))</f>
        <v>Cobrança Judicial</v>
      </c>
    </row>
    <row r="6" spans="2:39" x14ac:dyDescent="0.3">
      <c r="B6" s="30">
        <v>2</v>
      </c>
      <c r="C6" s="61">
        <f>IF(B6="","",IFERROR(VLOOKUP(B6,'ANÁLISE DE DADOS'!$A:$AM,1,0),""))</f>
        <v>2</v>
      </c>
      <c r="D6" s="61" t="str">
        <f>IF(B6="","",IFERROR(VLOOKUP(B6,'ANÁLISE DE DADOS'!$A:$AM,2,0),""))</f>
        <v>Matriz</v>
      </c>
      <c r="E6" s="61" t="str">
        <f>IF(B6="","",IFERROR(VLOOKUP(B6,'ANÁLISE DE DADOS'!$A:$AM,3,0),""))</f>
        <v>Alpha &amp; CIA</v>
      </c>
      <c r="F6" s="61" t="str">
        <f>IF(B6="","",IFERROR(VLOOKUP(B6,'ANÁLISE DE DADOS'!$A:$AM,4,0),""))</f>
        <v>Beta</v>
      </c>
      <c r="G6" s="62">
        <f>IF(B6="","",IFERROR(VLOOKUP(B6,'ANÁLISE DE DADOS'!$A:$AM,5,0),""))</f>
        <v>45658</v>
      </c>
      <c r="H6" s="62" t="str">
        <f>IF(B6="","",IFERROR(VLOOKUP(B6,'ANÁLISE DE DADOS'!$A:$AM,6,0),""))</f>
        <v>jan-25</v>
      </c>
      <c r="I6" s="62" t="str">
        <f>IF(B6="","",IFERROR(VLOOKUP(B6,'ANÁLISE DE DADOS'!$A:$AM,7,0),""))</f>
        <v>2025</v>
      </c>
      <c r="J6" s="62">
        <f>IF(B6="","",IFERROR(VLOOKUP(B6,'ANÁLISE DE DADOS'!$A:$AM,8,0),""))</f>
        <v>45690</v>
      </c>
      <c r="K6" s="61" t="str">
        <f>IF(B6="","",IFERROR(VLOOKUP(B6,'ANÁLISE DE DADOS'!$A:$AM,9,0),""))</f>
        <v>fev-25</v>
      </c>
      <c r="L6" s="61" t="str">
        <f>IF(B6="","",IFERROR(VLOOKUP(B6,'ANÁLISE DE DADOS'!$A:$AM,10,0),""))</f>
        <v>2025</v>
      </c>
      <c r="M6" s="62">
        <f>IF(B6="","",IFERROR(VLOOKUP(B6,'ANÁLISE DE DADOS'!$A:$AM,11,0),""))</f>
        <v>45737</v>
      </c>
      <c r="N6" s="61" t="str">
        <f>IF(B6="","",IFERROR(VLOOKUP(B6,'ANÁLISE DE DADOS'!$A:$AM,12,0),""))</f>
        <v>mar-25</v>
      </c>
      <c r="O6" s="61" t="str">
        <f>IF(B6="","",IFERROR(VLOOKUP(B6,'ANÁLISE DE DADOS'!$A:$AM,13,0),""))</f>
        <v>2025</v>
      </c>
      <c r="P6" s="63">
        <f>IF(B6="","",IFERROR(VLOOKUP(B6,'ANÁLISE DE DADOS'!$A:$AM,14,0),""))</f>
        <v>1000</v>
      </c>
      <c r="Q6" s="61" t="str">
        <f>IF(B6="","",IFERROR(VLOOKUP(B6,'ANÁLISE DE DADOS'!$A:$AM,15,0),""))</f>
        <v>João</v>
      </c>
      <c r="R6" s="61" t="str">
        <f>IF(B6="","",IFERROR(VLOOKUP(B6,'ANÁLISE DE DADOS'!$A:$AM,16,0),""))</f>
        <v>ANALISTA SIMONE</v>
      </c>
      <c r="S6" s="61" t="str">
        <f>IF(B6="","",IFERROR(VLOOKUP(B6,'ANÁLISE DE DADOS'!$A:$AM,17,0),""))</f>
        <v>NÃO</v>
      </c>
      <c r="T6" s="61" t="str">
        <f>IF(B6="","",IFERROR(VLOOKUP(B6,'ANÁLISE DE DADOS'!$A:$AM,18,0),""))</f>
        <v>Aguardando aprovação de crédito</v>
      </c>
      <c r="U6" s="61" t="str">
        <f ca="1">IF(B6="","",IFERROR(VLOOKUP(B6,'ANÁLISE DE DADOS'!$A:$AM,19,0),""))</f>
        <v>Vencido</v>
      </c>
      <c r="V6" s="61">
        <f ca="1">IF(B6="","",IFERROR(VLOOKUP(B6,'ANÁLISE DE DADOS'!$A:$AM,20,0),""))</f>
        <v>105</v>
      </c>
      <c r="W6" s="61" t="str">
        <f ca="1">IF(B6="","",IFERROR(VLOOKUP(B6,'ANÁLISE DE DADOS'!$A:$AM,21,0),""))</f>
        <v>61+ dias</v>
      </c>
      <c r="X6" s="61" t="str">
        <f ca="1">IF(B6="","",IFERROR(VLOOKUP(B6,'ANÁLISE DE DADOS'!$A:$AM,22,0),""))</f>
        <v>Atraso Crítico</v>
      </c>
      <c r="Y6" s="61" t="str">
        <f>IF(B6="","",IFERROR(VLOOKUP(B6,'ANÁLISE DE DADOS'!$A:$AM,23,0),""))</f>
        <v>-</v>
      </c>
      <c r="Z6" s="61" t="str">
        <f>IF(B6="","",IFERROR(VLOOKUP(B6,'ANÁLISE DE DADOS'!$A:$AM,24,0),""))</f>
        <v>Sim</v>
      </c>
      <c r="AA6" s="61">
        <f>IF(B6="","",IFERROR(VLOOKUP(B6,'ANÁLISE DE DADOS'!$A:$AM,25,0),""))</f>
        <v>0</v>
      </c>
      <c r="AB6" s="61">
        <f>IF(B6="","",IFERROR(VLOOKUP(B6,'ANÁLISE DE DADOS'!$A:$AM,26,0),""))</f>
        <v>1</v>
      </c>
      <c r="AC6" s="61" t="str">
        <f>IF(B6="","",IFERROR(VLOOKUP(B6,'ANÁLISE DE DADOS'!$A:$AM,27,0),""))</f>
        <v>Sim</v>
      </c>
      <c r="AD6" s="62">
        <f>IF(B6="","",IFERROR(VLOOKUP(B6,'ANÁLISE DE DADOS'!$A:$AM,28,0),""))</f>
        <v>45740</v>
      </c>
      <c r="AE6" s="61" t="str">
        <f>IF(B6="","",IFERROR(VLOOKUP(B6,'ANÁLISE DE DADOS'!$A:$AM,29,0),""))</f>
        <v>mar-25</v>
      </c>
      <c r="AF6" s="61" t="str">
        <f>IF(B6="","",IFERROR(VLOOKUP(B6,'ANÁLISE DE DADOS'!$A:$AM,30,0),""))</f>
        <v>2025</v>
      </c>
      <c r="AG6" s="62">
        <f>IF(B6="","",IFERROR(VLOOKUP(B6,'ANÁLISE DE DADOS'!$A:$AM,31,0),""))</f>
        <v>45802</v>
      </c>
      <c r="AH6" s="61" t="str">
        <f>IF(B6="","",IFERROR(VLOOKUP(B6,'ANÁLISE DE DADOS'!$A:$AM,32,0),""))</f>
        <v>mai-25</v>
      </c>
      <c r="AI6" s="61" t="str">
        <f>IF(B6="","",IFERROR(VLOOKUP(B6,'ANÁLISE DE DADOS'!$A:$AM,33,0),""))</f>
        <v>2025</v>
      </c>
      <c r="AJ6" s="61" t="str">
        <f>IF(B6="","",IFERROR(VLOOKUP(B6,'ANÁLISE DE DADOS'!$A:$AM,34,0),""))</f>
        <v>Acompanhando</v>
      </c>
      <c r="AK6" s="63">
        <f ca="1">IF(B6="","",IFERROR(VLOOKUP(B6,'ANÁLISE DE DADOS'!$A:$AM,35,0),""))</f>
        <v>1000</v>
      </c>
      <c r="AL6" s="63" t="str">
        <f ca="1">IF(B6="","",IFERROR(VLOOKUP(B6,'ANÁLISE DE DADOS'!$A:$AM,36,0),""))</f>
        <v>0</v>
      </c>
      <c r="AM6" s="101" t="str">
        <f ca="1">IF(B6="","",IFERROR(VLOOKUP(B6,'ANÁLISE DE DADOS'!$A:$AM,37,0),""))</f>
        <v>Cobrança Judicial</v>
      </c>
    </row>
    <row r="7" spans="2:39" x14ac:dyDescent="0.3">
      <c r="B7" s="30">
        <v>3</v>
      </c>
      <c r="C7" s="61">
        <f>IF(B7="","",IFERROR(VLOOKUP(B7,'ANÁLISE DE DADOS'!$A:$AM,1,0),""))</f>
        <v>3</v>
      </c>
      <c r="D7" s="61" t="str">
        <f>IF(B7="","",IFERROR(VLOOKUP(B7,'ANÁLISE DE DADOS'!$A:$AM,2,0),""))</f>
        <v>Filial</v>
      </c>
      <c r="E7" s="61" t="str">
        <f>IF(B7="","",IFERROR(VLOOKUP(B7,'ANÁLISE DE DADOS'!$A:$AM,3,0),""))</f>
        <v>Alpha &amp; CIA</v>
      </c>
      <c r="F7" s="61" t="str">
        <f>IF(B7="","",IFERROR(VLOOKUP(B7,'ANÁLISE DE DADOS'!$A:$AM,4,0),""))</f>
        <v>Delta</v>
      </c>
      <c r="G7" s="62">
        <f>IF(B7="","",IFERROR(VLOOKUP(B7,'ANÁLISE DE DADOS'!$A:$AM,5,0),""))</f>
        <v>45659</v>
      </c>
      <c r="H7" s="62" t="str">
        <f>IF(B7="","",IFERROR(VLOOKUP(B7,'ANÁLISE DE DADOS'!$A:$AM,6,0),""))</f>
        <v>jan-25</v>
      </c>
      <c r="I7" s="62" t="str">
        <f>IF(B7="","",IFERROR(VLOOKUP(B7,'ANÁLISE DE DADOS'!$A:$AM,7,0),""))</f>
        <v>2025</v>
      </c>
      <c r="J7" s="62">
        <f>IF(B7="","",IFERROR(VLOOKUP(B7,'ANÁLISE DE DADOS'!$A:$AM,8,0),""))</f>
        <v>45690</v>
      </c>
      <c r="K7" s="61" t="str">
        <f>IF(B7="","",IFERROR(VLOOKUP(B7,'ANÁLISE DE DADOS'!$A:$AM,9,0),""))</f>
        <v>fev-25</v>
      </c>
      <c r="L7" s="61" t="str">
        <f>IF(B7="","",IFERROR(VLOOKUP(B7,'ANÁLISE DE DADOS'!$A:$AM,10,0),""))</f>
        <v>2025</v>
      </c>
      <c r="M7" s="62">
        <f>IF(B7="","",IFERROR(VLOOKUP(B7,'ANÁLISE DE DADOS'!$A:$AM,11,0),""))</f>
        <v>45737</v>
      </c>
      <c r="N7" s="61" t="str">
        <f>IF(B7="","",IFERROR(VLOOKUP(B7,'ANÁLISE DE DADOS'!$A:$AM,12,0),""))</f>
        <v>mar-25</v>
      </c>
      <c r="O7" s="61" t="str">
        <f>IF(B7="","",IFERROR(VLOOKUP(B7,'ANÁLISE DE DADOS'!$A:$AM,13,0),""))</f>
        <v>2025</v>
      </c>
      <c r="P7" s="63">
        <f>IF(B7="","",IFERROR(VLOOKUP(B7,'ANÁLISE DE DADOS'!$A:$AM,14,0),""))</f>
        <v>2500</v>
      </c>
      <c r="Q7" s="61" t="str">
        <f>IF(B7="","",IFERROR(VLOOKUP(B7,'ANÁLISE DE DADOS'!$A:$AM,15,0),""))</f>
        <v>Maria</v>
      </c>
      <c r="R7" s="61" t="str">
        <f>IF(B7="","",IFERROR(VLOOKUP(B7,'ANÁLISE DE DADOS'!$A:$AM,16,0),""))</f>
        <v>ANALISTA SIMONE</v>
      </c>
      <c r="S7" s="61" t="str">
        <f>IF(B7="","",IFERROR(VLOOKUP(B7,'ANÁLISE DE DADOS'!$A:$AM,17,0),""))</f>
        <v>NÃO</v>
      </c>
      <c r="T7" s="61" t="str">
        <f>IF(B7="","",IFERROR(VLOOKUP(B7,'ANÁLISE DE DADOS'!$A:$AM,18,0),""))</f>
        <v>Cliente não localizado</v>
      </c>
      <c r="U7" s="61" t="str">
        <f ca="1">IF(B7="","",IFERROR(VLOOKUP(B7,'ANÁLISE DE DADOS'!$A:$AM,19,0),""))</f>
        <v>Vencido</v>
      </c>
      <c r="V7" s="61">
        <f ca="1">IF(B7="","",IFERROR(VLOOKUP(B7,'ANÁLISE DE DADOS'!$A:$AM,20,0),""))</f>
        <v>105</v>
      </c>
      <c r="W7" s="61" t="str">
        <f ca="1">IF(B7="","",IFERROR(VLOOKUP(B7,'ANÁLISE DE DADOS'!$A:$AM,21,0),""))</f>
        <v>61+ dias</v>
      </c>
      <c r="X7" s="61" t="str">
        <f ca="1">IF(B7="","",IFERROR(VLOOKUP(B7,'ANÁLISE DE DADOS'!$A:$AM,22,0),""))</f>
        <v>Atraso Crítico</v>
      </c>
      <c r="Y7" s="61" t="str">
        <f>IF(B7="","",IFERROR(VLOOKUP(B7,'ANÁLISE DE DADOS'!$A:$AM,23,0),""))</f>
        <v>-</v>
      </c>
      <c r="Z7" s="61" t="str">
        <f>IF(B7="","",IFERROR(VLOOKUP(B7,'ANÁLISE DE DADOS'!$A:$AM,24,0),""))</f>
        <v>Sim</v>
      </c>
      <c r="AA7" s="61">
        <f>IF(B7="","",IFERROR(VLOOKUP(B7,'ANÁLISE DE DADOS'!$A:$AM,25,0),""))</f>
        <v>0</v>
      </c>
      <c r="AB7" s="61">
        <f>IF(B7="","",IFERROR(VLOOKUP(B7,'ANÁLISE DE DADOS'!$A:$AM,26,0),""))</f>
        <v>1</v>
      </c>
      <c r="AC7" s="61" t="str">
        <f>IF(B7="","",IFERROR(VLOOKUP(B7,'ANÁLISE DE DADOS'!$A:$AM,27,0),""))</f>
        <v>Sim</v>
      </c>
      <c r="AD7" s="62">
        <f>IF(B7="","",IFERROR(VLOOKUP(B7,'ANÁLISE DE DADOS'!$A:$AM,28,0),""))</f>
        <v>45740</v>
      </c>
      <c r="AE7" s="61" t="str">
        <f>IF(B7="","",IFERROR(VLOOKUP(B7,'ANÁLISE DE DADOS'!$A:$AM,29,0),""))</f>
        <v>mar-25</v>
      </c>
      <c r="AF7" s="61" t="str">
        <f>IF(B7="","",IFERROR(VLOOKUP(B7,'ANÁLISE DE DADOS'!$A:$AM,30,0),""))</f>
        <v>2025</v>
      </c>
      <c r="AG7" s="62">
        <f>IF(B7="","",IFERROR(VLOOKUP(B7,'ANÁLISE DE DADOS'!$A:$AM,31,0),""))</f>
        <v>45802</v>
      </c>
      <c r="AH7" s="61" t="str">
        <f>IF(B7="","",IFERROR(VLOOKUP(B7,'ANÁLISE DE DADOS'!$A:$AM,32,0),""))</f>
        <v>mai-25</v>
      </c>
      <c r="AI7" s="61" t="str">
        <f>IF(B7="","",IFERROR(VLOOKUP(B7,'ANÁLISE DE DADOS'!$A:$AM,33,0),""))</f>
        <v>2025</v>
      </c>
      <c r="AJ7" s="61" t="str">
        <f>IF(B7="","",IFERROR(VLOOKUP(B7,'ANÁLISE DE DADOS'!$A:$AM,34,0),""))</f>
        <v>Acompanhando</v>
      </c>
      <c r="AK7" s="63">
        <f ca="1">IF(B7="","",IFERROR(VLOOKUP(B7,'ANÁLISE DE DADOS'!$A:$AM,35,0),""))</f>
        <v>2500</v>
      </c>
      <c r="AL7" s="63" t="str">
        <f ca="1">IF(B7="","",IFERROR(VLOOKUP(B7,'ANÁLISE DE DADOS'!$A:$AM,36,0),""))</f>
        <v>0</v>
      </c>
      <c r="AM7" s="101" t="str">
        <f ca="1">IF(B7="","",IFERROR(VLOOKUP(B7,'ANÁLISE DE DADOS'!$A:$AM,37,0),""))</f>
        <v>Cobrança Judicial</v>
      </c>
    </row>
    <row r="8" spans="2:39" x14ac:dyDescent="0.3">
      <c r="B8" s="30">
        <v>4</v>
      </c>
      <c r="C8" s="61">
        <f>IF(B8="","",IFERROR(VLOOKUP(B8,'ANÁLISE DE DADOS'!$A:$AM,1,0),""))</f>
        <v>4</v>
      </c>
      <c r="D8" s="61" t="str">
        <f>IF(B8="","",IFERROR(VLOOKUP(B8,'ANÁLISE DE DADOS'!$A:$AM,2,0),""))</f>
        <v>Filial</v>
      </c>
      <c r="E8" s="61" t="str">
        <f>IF(B8="","",IFERROR(VLOOKUP(B8,'ANÁLISE DE DADOS'!$A:$AM,3,0),""))</f>
        <v>Alpha &amp; CIA</v>
      </c>
      <c r="F8" s="61" t="str">
        <f>IF(B8="","",IFERROR(VLOOKUP(B8,'ANÁLISE DE DADOS'!$A:$AM,4,0),""))</f>
        <v>Delta</v>
      </c>
      <c r="G8" s="62">
        <f>IF(B8="","",IFERROR(VLOOKUP(B8,'ANÁLISE DE DADOS'!$A:$AM,5,0),""))</f>
        <v>45659</v>
      </c>
      <c r="H8" s="62" t="str">
        <f>IF(B8="","",IFERROR(VLOOKUP(B8,'ANÁLISE DE DADOS'!$A:$AM,6,0),""))</f>
        <v>jan-25</v>
      </c>
      <c r="I8" s="62" t="str">
        <f>IF(B8="","",IFERROR(VLOOKUP(B8,'ANÁLISE DE DADOS'!$A:$AM,7,0),""))</f>
        <v>2025</v>
      </c>
      <c r="J8" s="62">
        <f>IF(B8="","",IFERROR(VLOOKUP(B8,'ANÁLISE DE DADOS'!$A:$AM,8,0),""))</f>
        <v>45690</v>
      </c>
      <c r="K8" s="61" t="str">
        <f>IF(B8="","",IFERROR(VLOOKUP(B8,'ANÁLISE DE DADOS'!$A:$AM,9,0),""))</f>
        <v>fev-25</v>
      </c>
      <c r="L8" s="61" t="str">
        <f>IF(B8="","",IFERROR(VLOOKUP(B8,'ANÁLISE DE DADOS'!$A:$AM,10,0),""))</f>
        <v>2025</v>
      </c>
      <c r="M8" s="62">
        <f>IF(B8="","",IFERROR(VLOOKUP(B8,'ANÁLISE DE DADOS'!$A:$AM,11,0),""))</f>
        <v>45737</v>
      </c>
      <c r="N8" s="61" t="str">
        <f>IF(B8="","",IFERROR(VLOOKUP(B8,'ANÁLISE DE DADOS'!$A:$AM,12,0),""))</f>
        <v>mar-25</v>
      </c>
      <c r="O8" s="61" t="str">
        <f>IF(B8="","",IFERROR(VLOOKUP(B8,'ANÁLISE DE DADOS'!$A:$AM,13,0),""))</f>
        <v>2025</v>
      </c>
      <c r="P8" s="63">
        <f>IF(B8="","",IFERROR(VLOOKUP(B8,'ANÁLISE DE DADOS'!$A:$AM,14,0),""))</f>
        <v>2500</v>
      </c>
      <c r="Q8" s="61" t="str">
        <f>IF(B8="","",IFERROR(VLOOKUP(B8,'ANÁLISE DE DADOS'!$A:$AM,15,0),""))</f>
        <v>Maria</v>
      </c>
      <c r="R8" s="61" t="str">
        <f>IF(B8="","",IFERROR(VLOOKUP(B8,'ANÁLISE DE DADOS'!$A:$AM,16,0),""))</f>
        <v>ANALISTA SIMONE</v>
      </c>
      <c r="S8" s="61" t="str">
        <f>IF(B8="","",IFERROR(VLOOKUP(B8,'ANÁLISE DE DADOS'!$A:$AM,17,0),""))</f>
        <v>NÃO</v>
      </c>
      <c r="T8" s="61" t="str">
        <f>IF(B8="","",IFERROR(VLOOKUP(B8,'ANÁLISE DE DADOS'!$A:$AM,18,0),""))</f>
        <v>Promessa de pagamento refeito</v>
      </c>
      <c r="U8" s="61" t="str">
        <f ca="1">IF(B8="","",IFERROR(VLOOKUP(B8,'ANÁLISE DE DADOS'!$A:$AM,19,0),""))</f>
        <v>Vencido</v>
      </c>
      <c r="V8" s="61">
        <f ca="1">IF(B8="","",IFERROR(VLOOKUP(B8,'ANÁLISE DE DADOS'!$A:$AM,20,0),""))</f>
        <v>105</v>
      </c>
      <c r="W8" s="61" t="str">
        <f ca="1">IF(B8="","",IFERROR(VLOOKUP(B8,'ANÁLISE DE DADOS'!$A:$AM,21,0),""))</f>
        <v>61+ dias</v>
      </c>
      <c r="X8" s="61" t="str">
        <f ca="1">IF(B8="","",IFERROR(VLOOKUP(B8,'ANÁLISE DE DADOS'!$A:$AM,22,0),""))</f>
        <v>Atraso Crítico</v>
      </c>
      <c r="Y8" s="61" t="str">
        <f>IF(B8="","",IFERROR(VLOOKUP(B8,'ANÁLISE DE DADOS'!$A:$AM,23,0),""))</f>
        <v>-</v>
      </c>
      <c r="Z8" s="61" t="str">
        <f>IF(B8="","",IFERROR(VLOOKUP(B8,'ANÁLISE DE DADOS'!$A:$AM,24,0),""))</f>
        <v>Sim</v>
      </c>
      <c r="AA8" s="61">
        <f>IF(B8="","",IFERROR(VLOOKUP(B8,'ANÁLISE DE DADOS'!$A:$AM,25,0),""))</f>
        <v>0</v>
      </c>
      <c r="AB8" s="61">
        <f>IF(B8="","",IFERROR(VLOOKUP(B8,'ANÁLISE DE DADOS'!$A:$AM,26,0),""))</f>
        <v>1</v>
      </c>
      <c r="AC8" s="61" t="str">
        <f>IF(B8="","",IFERROR(VLOOKUP(B8,'ANÁLISE DE DADOS'!$A:$AM,27,0),""))</f>
        <v>Sim</v>
      </c>
      <c r="AD8" s="62">
        <f>IF(B8="","",IFERROR(VLOOKUP(B8,'ANÁLISE DE DADOS'!$A:$AM,28,0),""))</f>
        <v>45740</v>
      </c>
      <c r="AE8" s="61" t="str">
        <f>IF(B8="","",IFERROR(VLOOKUP(B8,'ANÁLISE DE DADOS'!$A:$AM,29,0),""))</f>
        <v>mar-25</v>
      </c>
      <c r="AF8" s="61" t="str">
        <f>IF(B8="","",IFERROR(VLOOKUP(B8,'ANÁLISE DE DADOS'!$A:$AM,30,0),""))</f>
        <v>2025</v>
      </c>
      <c r="AG8" s="62">
        <f>IF(B8="","",IFERROR(VLOOKUP(B8,'ANÁLISE DE DADOS'!$A:$AM,31,0),""))</f>
        <v>45802</v>
      </c>
      <c r="AH8" s="61" t="str">
        <f>IF(B8="","",IFERROR(VLOOKUP(B8,'ANÁLISE DE DADOS'!$A:$AM,32,0),""))</f>
        <v>mai-25</v>
      </c>
      <c r="AI8" s="61" t="str">
        <f>IF(B8="","",IFERROR(VLOOKUP(B8,'ANÁLISE DE DADOS'!$A:$AM,33,0),""))</f>
        <v>2025</v>
      </c>
      <c r="AJ8" s="61" t="str">
        <f>IF(B8="","",IFERROR(VLOOKUP(B8,'ANÁLISE DE DADOS'!$A:$AM,34,0),""))</f>
        <v>Acompanhando</v>
      </c>
      <c r="AK8" s="63">
        <f ca="1">IF(B8="","",IFERROR(VLOOKUP(B8,'ANÁLISE DE DADOS'!$A:$AM,35,0),""))</f>
        <v>2500</v>
      </c>
      <c r="AL8" s="63" t="str">
        <f ca="1">IF(B8="","",IFERROR(VLOOKUP(B8,'ANÁLISE DE DADOS'!$A:$AM,36,0),""))</f>
        <v>0</v>
      </c>
      <c r="AM8" s="101" t="str">
        <f ca="1">IF(B8="","",IFERROR(VLOOKUP(B8,'ANÁLISE DE DADOS'!$A:$AM,37,0),""))</f>
        <v>Cobrança Judicial</v>
      </c>
    </row>
    <row r="9" spans="2:39" x14ac:dyDescent="0.3">
      <c r="B9" s="30">
        <v>5</v>
      </c>
      <c r="C9" s="61">
        <f>IF(B9="","",IFERROR(VLOOKUP(B9,'ANÁLISE DE DADOS'!$A:$AM,1,0),""))</f>
        <v>5</v>
      </c>
      <c r="D9" s="61" t="str">
        <f>IF(B9="","",IFERROR(VLOOKUP(B9,'ANÁLISE DE DADOS'!$A:$AM,2,0),""))</f>
        <v>Matriz</v>
      </c>
      <c r="E9" s="61" t="str">
        <f>IF(B9="","",IFERROR(VLOOKUP(B9,'ANÁLISE DE DADOS'!$A:$AM,3,0),""))</f>
        <v>Alpha &amp; CIA</v>
      </c>
      <c r="F9" s="61" t="str">
        <f>IF(B9="","",IFERROR(VLOOKUP(B9,'ANÁLISE DE DADOS'!$A:$AM,4,0),""))</f>
        <v>Theta</v>
      </c>
      <c r="G9" s="62">
        <f>IF(B9="","",IFERROR(VLOOKUP(B9,'ANÁLISE DE DADOS'!$A:$AM,5,0),""))</f>
        <v>45662</v>
      </c>
      <c r="H9" s="62" t="str">
        <f>IF(B9="","",IFERROR(VLOOKUP(B9,'ANÁLISE DE DADOS'!$A:$AM,6,0),""))</f>
        <v>jan-25</v>
      </c>
      <c r="I9" s="62" t="str">
        <f>IF(B9="","",IFERROR(VLOOKUP(B9,'ANÁLISE DE DADOS'!$A:$AM,7,0),""))</f>
        <v>2025</v>
      </c>
      <c r="J9" s="62">
        <f>IF(B9="","",IFERROR(VLOOKUP(B9,'ANÁLISE DE DADOS'!$A:$AM,8,0),""))</f>
        <v>45690</v>
      </c>
      <c r="K9" s="61" t="str">
        <f>IF(B9="","",IFERROR(VLOOKUP(B9,'ANÁLISE DE DADOS'!$A:$AM,9,0),""))</f>
        <v>fev-25</v>
      </c>
      <c r="L9" s="61" t="str">
        <f>IF(B9="","",IFERROR(VLOOKUP(B9,'ANÁLISE DE DADOS'!$A:$AM,10,0),""))</f>
        <v>2025</v>
      </c>
      <c r="M9" s="62">
        <f>IF(B9="","",IFERROR(VLOOKUP(B9,'ANÁLISE DE DADOS'!$A:$AM,11,0),""))</f>
        <v>45737</v>
      </c>
      <c r="N9" s="61" t="str">
        <f>IF(B9="","",IFERROR(VLOOKUP(B9,'ANÁLISE DE DADOS'!$A:$AM,12,0),""))</f>
        <v>mar-25</v>
      </c>
      <c r="O9" s="61" t="str">
        <f>IF(B9="","",IFERROR(VLOOKUP(B9,'ANÁLISE DE DADOS'!$A:$AM,13,0),""))</f>
        <v>2025</v>
      </c>
      <c r="P9" s="63">
        <f>IF(B9="","",IFERROR(VLOOKUP(B9,'ANÁLISE DE DADOS'!$A:$AM,14,0),""))</f>
        <v>3000</v>
      </c>
      <c r="Q9" s="61" t="str">
        <f>IF(B9="","",IFERROR(VLOOKUP(B9,'ANÁLISE DE DADOS'!$A:$AM,15,0),""))</f>
        <v>Carlos</v>
      </c>
      <c r="R9" s="61" t="str">
        <f>IF(B9="","",IFERROR(VLOOKUP(B9,'ANÁLISE DE DADOS'!$A:$AM,16,0),""))</f>
        <v>ANALISTA SIMONE</v>
      </c>
      <c r="S9" s="61" t="str">
        <f>IF(B9="","",IFERROR(VLOOKUP(B9,'ANÁLISE DE DADOS'!$A:$AM,17,0),""))</f>
        <v>NÃO</v>
      </c>
      <c r="T9" s="61" t="str">
        <f>IF(B9="","",IFERROR(VLOOKUP(B9,'ANÁLISE DE DADOS'!$A:$AM,18,0),""))</f>
        <v>Proposta de renegociação pendente</v>
      </c>
      <c r="U9" s="61" t="str">
        <f ca="1">IF(B9="","",IFERROR(VLOOKUP(B9,'ANÁLISE DE DADOS'!$A:$AM,19,0),""))</f>
        <v>Vencido</v>
      </c>
      <c r="V9" s="61">
        <f ca="1">IF(B9="","",IFERROR(VLOOKUP(B9,'ANÁLISE DE DADOS'!$A:$AM,20,0),""))</f>
        <v>105</v>
      </c>
      <c r="W9" s="61" t="str">
        <f ca="1">IF(B9="","",IFERROR(VLOOKUP(B9,'ANÁLISE DE DADOS'!$A:$AM,21,0),""))</f>
        <v>61+ dias</v>
      </c>
      <c r="X9" s="61" t="str">
        <f ca="1">IF(B9="","",IFERROR(VLOOKUP(B9,'ANÁLISE DE DADOS'!$A:$AM,22,0),""))</f>
        <v>Atraso Crítico</v>
      </c>
      <c r="Y9" s="61" t="str">
        <f>IF(B9="","",IFERROR(VLOOKUP(B9,'ANÁLISE DE DADOS'!$A:$AM,23,0),""))</f>
        <v>-</v>
      </c>
      <c r="Z9" s="61" t="str">
        <f>IF(B9="","",IFERROR(VLOOKUP(B9,'ANÁLISE DE DADOS'!$A:$AM,24,0),""))</f>
        <v>Sim</v>
      </c>
      <c r="AA9" s="61">
        <f>IF(B9="","",IFERROR(VLOOKUP(B9,'ANÁLISE DE DADOS'!$A:$AM,25,0),""))</f>
        <v>0</v>
      </c>
      <c r="AB9" s="61">
        <f>IF(B9="","",IFERROR(VLOOKUP(B9,'ANÁLISE DE DADOS'!$A:$AM,26,0),""))</f>
        <v>1</v>
      </c>
      <c r="AC9" s="61" t="str">
        <f>IF(B9="","",IFERROR(VLOOKUP(B9,'ANÁLISE DE DADOS'!$A:$AM,27,0),""))</f>
        <v>Sim</v>
      </c>
      <c r="AD9" s="62">
        <f>IF(B9="","",IFERROR(VLOOKUP(B9,'ANÁLISE DE DADOS'!$A:$AM,28,0),""))</f>
        <v>45740</v>
      </c>
      <c r="AE9" s="61" t="str">
        <f>IF(B9="","",IFERROR(VLOOKUP(B9,'ANÁLISE DE DADOS'!$A:$AM,29,0),""))</f>
        <v>mar-25</v>
      </c>
      <c r="AF9" s="61" t="str">
        <f>IF(B9="","",IFERROR(VLOOKUP(B9,'ANÁLISE DE DADOS'!$A:$AM,30,0),""))</f>
        <v>2025</v>
      </c>
      <c r="AG9" s="62">
        <f>IF(B9="","",IFERROR(VLOOKUP(B9,'ANÁLISE DE DADOS'!$A:$AM,31,0),""))</f>
        <v>45802</v>
      </c>
      <c r="AH9" s="61" t="str">
        <f>IF(B9="","",IFERROR(VLOOKUP(B9,'ANÁLISE DE DADOS'!$A:$AM,32,0),""))</f>
        <v>mai-25</v>
      </c>
      <c r="AI9" s="61" t="str">
        <f>IF(B9="","",IFERROR(VLOOKUP(B9,'ANÁLISE DE DADOS'!$A:$AM,33,0),""))</f>
        <v>2025</v>
      </c>
      <c r="AJ9" s="61" t="str">
        <f>IF(B9="","",IFERROR(VLOOKUP(B9,'ANÁLISE DE DADOS'!$A:$AM,34,0),""))</f>
        <v>Acompanhando</v>
      </c>
      <c r="AK9" s="63">
        <f ca="1">IF(B9="","",IFERROR(VLOOKUP(B9,'ANÁLISE DE DADOS'!$A:$AM,35,0),""))</f>
        <v>3000</v>
      </c>
      <c r="AL9" s="63" t="str">
        <f ca="1">IF(B9="","",IFERROR(VLOOKUP(B9,'ANÁLISE DE DADOS'!$A:$AM,36,0),""))</f>
        <v>0</v>
      </c>
      <c r="AM9" s="101" t="str">
        <f ca="1">IF(B9="","",IFERROR(VLOOKUP(B9,'ANÁLISE DE DADOS'!$A:$AM,37,0),""))</f>
        <v>Cobrança Judicial</v>
      </c>
    </row>
    <row r="10" spans="2:39" x14ac:dyDescent="0.3">
      <c r="B10" s="30">
        <v>6</v>
      </c>
      <c r="C10" s="61">
        <f>IF(B10="","",IFERROR(VLOOKUP(B10,'ANÁLISE DE DADOS'!$A:$AM,1,0),""))</f>
        <v>6</v>
      </c>
      <c r="D10" s="61" t="str">
        <f>IF(B10="","",IFERROR(VLOOKUP(B10,'ANÁLISE DE DADOS'!$A:$AM,2,0),""))</f>
        <v>Matriz</v>
      </c>
      <c r="E10" s="61" t="str">
        <f>IF(B10="","",IFERROR(VLOOKUP(B10,'ANÁLISE DE DADOS'!$A:$AM,3,0),""))</f>
        <v>Alpha &amp; CIA</v>
      </c>
      <c r="F10" s="61" t="str">
        <f>IF(B10="","",IFERROR(VLOOKUP(B10,'ANÁLISE DE DADOS'!$A:$AM,4,0),""))</f>
        <v>Zeta</v>
      </c>
      <c r="G10" s="62">
        <f>IF(B10="","",IFERROR(VLOOKUP(B10,'ANÁLISE DE DADOS'!$A:$AM,5,0),""))</f>
        <v>45662</v>
      </c>
      <c r="H10" s="62" t="str">
        <f>IF(B10="","",IFERROR(VLOOKUP(B10,'ANÁLISE DE DADOS'!$A:$AM,6,0),""))</f>
        <v>jan-25</v>
      </c>
      <c r="I10" s="62" t="str">
        <f>IF(B10="","",IFERROR(VLOOKUP(B10,'ANÁLISE DE DADOS'!$A:$AM,7,0),""))</f>
        <v>2025</v>
      </c>
      <c r="J10" s="62">
        <f>IF(B10="","",IFERROR(VLOOKUP(B10,'ANÁLISE DE DADOS'!$A:$AM,8,0),""))</f>
        <v>45690</v>
      </c>
      <c r="K10" s="61" t="str">
        <f>IF(B10="","",IFERROR(VLOOKUP(B10,'ANÁLISE DE DADOS'!$A:$AM,9,0),""))</f>
        <v>fev-25</v>
      </c>
      <c r="L10" s="61" t="str">
        <f>IF(B10="","",IFERROR(VLOOKUP(B10,'ANÁLISE DE DADOS'!$A:$AM,10,0),""))</f>
        <v>2025</v>
      </c>
      <c r="M10" s="62">
        <f>IF(B10="","",IFERROR(VLOOKUP(B10,'ANÁLISE DE DADOS'!$A:$AM,11,0),""))</f>
        <v>45737</v>
      </c>
      <c r="N10" s="61" t="str">
        <f>IF(B10="","",IFERROR(VLOOKUP(B10,'ANÁLISE DE DADOS'!$A:$AM,12,0),""))</f>
        <v>mar-25</v>
      </c>
      <c r="O10" s="61" t="str">
        <f>IF(B10="","",IFERROR(VLOOKUP(B10,'ANÁLISE DE DADOS'!$A:$AM,13,0),""))</f>
        <v>2025</v>
      </c>
      <c r="P10" s="63">
        <f>IF(B10="","",IFERROR(VLOOKUP(B10,'ANÁLISE DE DADOS'!$A:$AM,14,0),""))</f>
        <v>3000</v>
      </c>
      <c r="Q10" s="61" t="str">
        <f>IF(B10="","",IFERROR(VLOOKUP(B10,'ANÁLISE DE DADOS'!$A:$AM,15,0),""))</f>
        <v>Carlos</v>
      </c>
      <c r="R10" s="61" t="str">
        <f>IF(B10="","",IFERROR(VLOOKUP(B10,'ANÁLISE DE DADOS'!$A:$AM,16,0),""))</f>
        <v>ANALISTA SIMONE</v>
      </c>
      <c r="S10" s="61" t="str">
        <f>IF(B10="","",IFERROR(VLOOKUP(B10,'ANÁLISE DE DADOS'!$A:$AM,17,0),""))</f>
        <v>NÃO</v>
      </c>
      <c r="T10" s="61" t="str">
        <f>IF(B10="","",IFERROR(VLOOKUP(B10,'ANÁLISE DE DADOS'!$A:$AM,18,0),""))</f>
        <v>Bloqueio de sistema por inadimplência</v>
      </c>
      <c r="U10" s="61" t="str">
        <f ca="1">IF(B10="","",IFERROR(VLOOKUP(B10,'ANÁLISE DE DADOS'!$A:$AM,19,0),""))</f>
        <v>Vencido</v>
      </c>
      <c r="V10" s="61">
        <f ca="1">IF(B10="","",IFERROR(VLOOKUP(B10,'ANÁLISE DE DADOS'!$A:$AM,20,0),""))</f>
        <v>105</v>
      </c>
      <c r="W10" s="61" t="str">
        <f ca="1">IF(B10="","",IFERROR(VLOOKUP(B10,'ANÁLISE DE DADOS'!$A:$AM,21,0),""))</f>
        <v>61+ dias</v>
      </c>
      <c r="X10" s="61" t="str">
        <f ca="1">IF(B10="","",IFERROR(VLOOKUP(B10,'ANÁLISE DE DADOS'!$A:$AM,22,0),""))</f>
        <v>Atraso Crítico</v>
      </c>
      <c r="Y10" s="61" t="str">
        <f>IF(B10="","",IFERROR(VLOOKUP(B10,'ANÁLISE DE DADOS'!$A:$AM,23,0),""))</f>
        <v>-</v>
      </c>
      <c r="Z10" s="61" t="str">
        <f>IF(B10="","",IFERROR(VLOOKUP(B10,'ANÁLISE DE DADOS'!$A:$AM,24,0),""))</f>
        <v>Sim</v>
      </c>
      <c r="AA10" s="61">
        <f>IF(B10="","",IFERROR(VLOOKUP(B10,'ANÁLISE DE DADOS'!$A:$AM,25,0),""))</f>
        <v>0</v>
      </c>
      <c r="AB10" s="61">
        <f>IF(B10="","",IFERROR(VLOOKUP(B10,'ANÁLISE DE DADOS'!$A:$AM,26,0),""))</f>
        <v>1</v>
      </c>
      <c r="AC10" s="61" t="str">
        <f>IF(B10="","",IFERROR(VLOOKUP(B10,'ANÁLISE DE DADOS'!$A:$AM,27,0),""))</f>
        <v>Sim</v>
      </c>
      <c r="AD10" s="62">
        <f>IF(B10="","",IFERROR(VLOOKUP(B10,'ANÁLISE DE DADOS'!$A:$AM,28,0),""))</f>
        <v>45740</v>
      </c>
      <c r="AE10" s="61" t="str">
        <f>IF(B10="","",IFERROR(VLOOKUP(B10,'ANÁLISE DE DADOS'!$A:$AM,29,0),""))</f>
        <v>mar-25</v>
      </c>
      <c r="AF10" s="61" t="str">
        <f>IF(B10="","",IFERROR(VLOOKUP(B10,'ANÁLISE DE DADOS'!$A:$AM,30,0),""))</f>
        <v>2025</v>
      </c>
      <c r="AG10" s="62">
        <f>IF(B10="","",IFERROR(VLOOKUP(B10,'ANÁLISE DE DADOS'!$A:$AM,31,0),""))</f>
        <v>45802</v>
      </c>
      <c r="AH10" s="61" t="str">
        <f>IF(B10="","",IFERROR(VLOOKUP(B10,'ANÁLISE DE DADOS'!$A:$AM,32,0),""))</f>
        <v>mai-25</v>
      </c>
      <c r="AI10" s="61" t="str">
        <f>IF(B10="","",IFERROR(VLOOKUP(B10,'ANÁLISE DE DADOS'!$A:$AM,33,0),""))</f>
        <v>2025</v>
      </c>
      <c r="AJ10" s="61" t="str">
        <f>IF(B10="","",IFERROR(VLOOKUP(B10,'ANÁLISE DE DADOS'!$A:$AM,34,0),""))</f>
        <v>Acompanhando</v>
      </c>
      <c r="AK10" s="63">
        <f ca="1">IF(B10="","",IFERROR(VLOOKUP(B10,'ANÁLISE DE DADOS'!$A:$AM,35,0),""))</f>
        <v>3000</v>
      </c>
      <c r="AL10" s="63" t="str">
        <f ca="1">IF(B10="","",IFERROR(VLOOKUP(B10,'ANÁLISE DE DADOS'!$A:$AM,36,0),""))</f>
        <v>0</v>
      </c>
      <c r="AM10" s="101" t="str">
        <f ca="1">IF(B10="","",IFERROR(VLOOKUP(B10,'ANÁLISE DE DADOS'!$A:$AM,37,0),""))</f>
        <v>Cobrança Judicial</v>
      </c>
    </row>
    <row r="11" spans="2:39" x14ac:dyDescent="0.3">
      <c r="B11" s="30">
        <v>7</v>
      </c>
      <c r="C11" s="61">
        <f>IF(B11="","",IFERROR(VLOOKUP(B11,'ANÁLISE DE DADOS'!$A:$AM,1,0),""))</f>
        <v>7</v>
      </c>
      <c r="D11" s="61" t="str">
        <f>IF(B11="","",IFERROR(VLOOKUP(B11,'ANÁLISE DE DADOS'!$A:$AM,2,0),""))</f>
        <v>Filial</v>
      </c>
      <c r="E11" s="61">
        <f>IF(B11="","",IFERROR(VLOOKUP(B11,'ANÁLISE DE DADOS'!$A:$AM,3,0),""))</f>
        <v>0</v>
      </c>
      <c r="F11" s="61" t="str">
        <f>IF(B11="","",IFERROR(VLOOKUP(B11,'ANÁLISE DE DADOS'!$A:$AM,4,0),""))</f>
        <v>BemEstar</v>
      </c>
      <c r="G11" s="62">
        <f>IF(B11="","",IFERROR(VLOOKUP(B11,'ANÁLISE DE DADOS'!$A:$AM,5,0),""))</f>
        <v>45663</v>
      </c>
      <c r="H11" s="62" t="str">
        <f>IF(B11="","",IFERROR(VLOOKUP(B11,'ANÁLISE DE DADOS'!$A:$AM,6,0),""))</f>
        <v>jan-25</v>
      </c>
      <c r="I11" s="62" t="str">
        <f>IF(B11="","",IFERROR(VLOOKUP(B11,'ANÁLISE DE DADOS'!$A:$AM,7,0),""))</f>
        <v>2025</v>
      </c>
      <c r="J11" s="62">
        <f>IF(B11="","",IFERROR(VLOOKUP(B11,'ANÁLISE DE DADOS'!$A:$AM,8,0),""))</f>
        <v>45690</v>
      </c>
      <c r="K11" s="61" t="str">
        <f>IF(B11="","",IFERROR(VLOOKUP(B11,'ANÁLISE DE DADOS'!$A:$AM,9,0),""))</f>
        <v>fev-25</v>
      </c>
      <c r="L11" s="61" t="str">
        <f>IF(B11="","",IFERROR(VLOOKUP(B11,'ANÁLISE DE DADOS'!$A:$AM,10,0),""))</f>
        <v>2025</v>
      </c>
      <c r="M11" s="62">
        <f>IF(B11="","",IFERROR(VLOOKUP(B11,'ANÁLISE DE DADOS'!$A:$AM,11,0),""))</f>
        <v>45737</v>
      </c>
      <c r="N11" s="61" t="str">
        <f>IF(B11="","",IFERROR(VLOOKUP(B11,'ANÁLISE DE DADOS'!$A:$AM,12,0),""))</f>
        <v>mar-25</v>
      </c>
      <c r="O11" s="61" t="str">
        <f>IF(B11="","",IFERROR(VLOOKUP(B11,'ANÁLISE DE DADOS'!$A:$AM,13,0),""))</f>
        <v>2025</v>
      </c>
      <c r="P11" s="63">
        <f>IF(B11="","",IFERROR(VLOOKUP(B11,'ANÁLISE DE DADOS'!$A:$AM,14,0),""))</f>
        <v>1500</v>
      </c>
      <c r="Q11" s="61" t="str">
        <f>IF(B11="","",IFERROR(VLOOKUP(B11,'ANÁLISE DE DADOS'!$A:$AM,15,0),""))</f>
        <v>Ana</v>
      </c>
      <c r="R11" s="61" t="str">
        <f>IF(B11="","",IFERROR(VLOOKUP(B11,'ANÁLISE DE DADOS'!$A:$AM,16,0),""))</f>
        <v>ANALISTA SIMONE</v>
      </c>
      <c r="S11" s="61" t="str">
        <f>IF(B11="","",IFERROR(VLOOKUP(B11,'ANÁLISE DE DADOS'!$A:$AM,17,0),""))</f>
        <v>NÃO</v>
      </c>
      <c r="T11" s="61" t="str">
        <f>IF(B11="","",IFERROR(VLOOKUP(B11,'ANÁLISE DE DADOS'!$A:$AM,18,0),""))</f>
        <v>Acordo em andamento (aguardando pagamento)</v>
      </c>
      <c r="U11" s="61" t="str">
        <f ca="1">IF(B11="","",IFERROR(VLOOKUP(B11,'ANÁLISE DE DADOS'!$A:$AM,19,0),""))</f>
        <v>Vencido</v>
      </c>
      <c r="V11" s="61">
        <f ca="1">IF(B11="","",IFERROR(VLOOKUP(B11,'ANÁLISE DE DADOS'!$A:$AM,20,0),""))</f>
        <v>105</v>
      </c>
      <c r="W11" s="61" t="str">
        <f ca="1">IF(B11="","",IFERROR(VLOOKUP(B11,'ANÁLISE DE DADOS'!$A:$AM,21,0),""))</f>
        <v>61+ dias</v>
      </c>
      <c r="X11" s="61" t="str">
        <f ca="1">IF(B11="","",IFERROR(VLOOKUP(B11,'ANÁLISE DE DADOS'!$A:$AM,22,0),""))</f>
        <v>Atraso Crítico</v>
      </c>
      <c r="Y11" s="61" t="str">
        <f>IF(B11="","",IFERROR(VLOOKUP(B11,'ANÁLISE DE DADOS'!$A:$AM,23,0),""))</f>
        <v>-</v>
      </c>
      <c r="Z11" s="61" t="str">
        <f>IF(B11="","",IFERROR(VLOOKUP(B11,'ANÁLISE DE DADOS'!$A:$AM,24,0),""))</f>
        <v>Sim</v>
      </c>
      <c r="AA11" s="61">
        <f>IF(B11="","",IFERROR(VLOOKUP(B11,'ANÁLISE DE DADOS'!$A:$AM,25,0),""))</f>
        <v>0</v>
      </c>
      <c r="AB11" s="61">
        <f>IF(B11="","",IFERROR(VLOOKUP(B11,'ANÁLISE DE DADOS'!$A:$AM,26,0),""))</f>
        <v>1</v>
      </c>
      <c r="AC11" s="61" t="str">
        <f>IF(B11="","",IFERROR(VLOOKUP(B11,'ANÁLISE DE DADOS'!$A:$AM,27,0),""))</f>
        <v>Sim</v>
      </c>
      <c r="AD11" s="62">
        <f>IF(B11="","",IFERROR(VLOOKUP(B11,'ANÁLISE DE DADOS'!$A:$AM,28,0),""))</f>
        <v>45740</v>
      </c>
      <c r="AE11" s="61" t="str">
        <f>IF(B11="","",IFERROR(VLOOKUP(B11,'ANÁLISE DE DADOS'!$A:$AM,29,0),""))</f>
        <v>mar-25</v>
      </c>
      <c r="AF11" s="61" t="str">
        <f>IF(B11="","",IFERROR(VLOOKUP(B11,'ANÁLISE DE DADOS'!$A:$AM,30,0),""))</f>
        <v>2025</v>
      </c>
      <c r="AG11" s="62">
        <f>IF(B11="","",IFERROR(VLOOKUP(B11,'ANÁLISE DE DADOS'!$A:$AM,31,0),""))</f>
        <v>45802</v>
      </c>
      <c r="AH11" s="61" t="str">
        <f>IF(B11="","",IFERROR(VLOOKUP(B11,'ANÁLISE DE DADOS'!$A:$AM,32,0),""))</f>
        <v>mai-25</v>
      </c>
      <c r="AI11" s="61" t="str">
        <f>IF(B11="","",IFERROR(VLOOKUP(B11,'ANÁLISE DE DADOS'!$A:$AM,33,0),""))</f>
        <v>2025</v>
      </c>
      <c r="AJ11" s="61" t="str">
        <f>IF(B11="","",IFERROR(VLOOKUP(B11,'ANÁLISE DE DADOS'!$A:$AM,34,0),""))</f>
        <v>Acompanhando</v>
      </c>
      <c r="AK11" s="63">
        <f ca="1">IF(B11="","",IFERROR(VLOOKUP(B11,'ANÁLISE DE DADOS'!$A:$AM,35,0),""))</f>
        <v>1500</v>
      </c>
      <c r="AL11" s="63" t="str">
        <f ca="1">IF(B11="","",IFERROR(VLOOKUP(B11,'ANÁLISE DE DADOS'!$A:$AM,36,0),""))</f>
        <v>0</v>
      </c>
      <c r="AM11" s="101" t="str">
        <f ca="1">IF(B11="","",IFERROR(VLOOKUP(B11,'ANÁLISE DE DADOS'!$A:$AM,37,0),""))</f>
        <v>Cobrança Judicial</v>
      </c>
    </row>
    <row r="12" spans="2:39" x14ac:dyDescent="0.3">
      <c r="B12" s="30">
        <v>8</v>
      </c>
      <c r="C12" s="61">
        <f>IF(B12="","",IFERROR(VLOOKUP(B12,'ANÁLISE DE DADOS'!$A:$AM,1,0),""))</f>
        <v>8</v>
      </c>
      <c r="D12" s="61" t="str">
        <f>IF(B12="","",IFERROR(VLOOKUP(B12,'ANÁLISE DE DADOS'!$A:$AM,2,0),""))</f>
        <v>Filial</v>
      </c>
      <c r="E12" s="61">
        <f>IF(B12="","",IFERROR(VLOOKUP(B12,'ANÁLISE DE DADOS'!$A:$AM,3,0),""))</f>
        <v>0</v>
      </c>
      <c r="F12" s="61" t="str">
        <f>IF(B12="","",IFERROR(VLOOKUP(B12,'ANÁLISE DE DADOS'!$A:$AM,4,0),""))</f>
        <v>BemEstar</v>
      </c>
      <c r="G12" s="62">
        <f>IF(B12="","",IFERROR(VLOOKUP(B12,'ANÁLISE DE DADOS'!$A:$AM,5,0),""))</f>
        <v>45663</v>
      </c>
      <c r="H12" s="62" t="str">
        <f>IF(B12="","",IFERROR(VLOOKUP(B12,'ANÁLISE DE DADOS'!$A:$AM,6,0),""))</f>
        <v>jan-25</v>
      </c>
      <c r="I12" s="62" t="str">
        <f>IF(B12="","",IFERROR(VLOOKUP(B12,'ANÁLISE DE DADOS'!$A:$AM,7,0),""))</f>
        <v>2025</v>
      </c>
      <c r="J12" s="62">
        <f>IF(B12="","",IFERROR(VLOOKUP(B12,'ANÁLISE DE DADOS'!$A:$AM,8,0),""))</f>
        <v>45690</v>
      </c>
      <c r="K12" s="61" t="str">
        <f>IF(B12="","",IFERROR(VLOOKUP(B12,'ANÁLISE DE DADOS'!$A:$AM,9,0),""))</f>
        <v>fev-25</v>
      </c>
      <c r="L12" s="61" t="str">
        <f>IF(B12="","",IFERROR(VLOOKUP(B12,'ANÁLISE DE DADOS'!$A:$AM,10,0),""))</f>
        <v>2025</v>
      </c>
      <c r="M12" s="62">
        <f>IF(B12="","",IFERROR(VLOOKUP(B12,'ANÁLISE DE DADOS'!$A:$AM,11,0),""))</f>
        <v>45737</v>
      </c>
      <c r="N12" s="61" t="str">
        <f>IF(B12="","",IFERROR(VLOOKUP(B12,'ANÁLISE DE DADOS'!$A:$AM,12,0),""))</f>
        <v>mar-25</v>
      </c>
      <c r="O12" s="61" t="str">
        <f>IF(B12="","",IFERROR(VLOOKUP(B12,'ANÁLISE DE DADOS'!$A:$AM,13,0),""))</f>
        <v>2025</v>
      </c>
      <c r="P12" s="63">
        <f>IF(B12="","",IFERROR(VLOOKUP(B12,'ANÁLISE DE DADOS'!$A:$AM,14,0),""))</f>
        <v>1500</v>
      </c>
      <c r="Q12" s="61" t="str">
        <f>IF(B12="","",IFERROR(VLOOKUP(B12,'ANÁLISE DE DADOS'!$A:$AM,15,0),""))</f>
        <v>Ana</v>
      </c>
      <c r="R12" s="61" t="str">
        <f>IF(B12="","",IFERROR(VLOOKUP(B12,'ANÁLISE DE DADOS'!$A:$AM,16,0),""))</f>
        <v>ANALISTA SIMONE</v>
      </c>
      <c r="S12" s="61" t="str">
        <f>IF(B12="","",IFERROR(VLOOKUP(B12,'ANÁLISE DE DADOS'!$A:$AM,17,0),""))</f>
        <v>NÃO</v>
      </c>
      <c r="T12" s="61" t="str">
        <f>IF(B12="","",IFERROR(VLOOKUP(B12,'ANÁLISE DE DADOS'!$A:$AM,18,0),""))</f>
        <v>Negociação finalizada, pendente de pagamento</v>
      </c>
      <c r="U12" s="61" t="str">
        <f ca="1">IF(B12="","",IFERROR(VLOOKUP(B12,'ANÁLISE DE DADOS'!$A:$AM,19,0),""))</f>
        <v>Vencido</v>
      </c>
      <c r="V12" s="61">
        <f ca="1">IF(B12="","",IFERROR(VLOOKUP(B12,'ANÁLISE DE DADOS'!$A:$AM,20,0),""))</f>
        <v>105</v>
      </c>
      <c r="W12" s="61" t="str">
        <f ca="1">IF(B12="","",IFERROR(VLOOKUP(B12,'ANÁLISE DE DADOS'!$A:$AM,21,0),""))</f>
        <v>61+ dias</v>
      </c>
      <c r="X12" s="61" t="str">
        <f ca="1">IF(B12="","",IFERROR(VLOOKUP(B12,'ANÁLISE DE DADOS'!$A:$AM,22,0),""))</f>
        <v>Atraso Crítico</v>
      </c>
      <c r="Y12" s="61" t="str">
        <f>IF(B12="","",IFERROR(VLOOKUP(B12,'ANÁLISE DE DADOS'!$A:$AM,23,0),""))</f>
        <v>-</v>
      </c>
      <c r="Z12" s="61" t="str">
        <f>IF(B12="","",IFERROR(VLOOKUP(B12,'ANÁLISE DE DADOS'!$A:$AM,24,0),""))</f>
        <v>Sim</v>
      </c>
      <c r="AA12" s="61">
        <f>IF(B12="","",IFERROR(VLOOKUP(B12,'ANÁLISE DE DADOS'!$A:$AM,25,0),""))</f>
        <v>0</v>
      </c>
      <c r="AB12" s="61">
        <f>IF(B12="","",IFERROR(VLOOKUP(B12,'ANÁLISE DE DADOS'!$A:$AM,26,0),""))</f>
        <v>1</v>
      </c>
      <c r="AC12" s="61" t="str">
        <f>IF(B12="","",IFERROR(VLOOKUP(B12,'ANÁLISE DE DADOS'!$A:$AM,27,0),""))</f>
        <v>Sim</v>
      </c>
      <c r="AD12" s="62">
        <f>IF(B12="","",IFERROR(VLOOKUP(B12,'ANÁLISE DE DADOS'!$A:$AM,28,0),""))</f>
        <v>45740</v>
      </c>
      <c r="AE12" s="61" t="str">
        <f>IF(B12="","",IFERROR(VLOOKUP(B12,'ANÁLISE DE DADOS'!$A:$AM,29,0),""))</f>
        <v>mar-25</v>
      </c>
      <c r="AF12" s="61" t="str">
        <f>IF(B12="","",IFERROR(VLOOKUP(B12,'ANÁLISE DE DADOS'!$A:$AM,30,0),""))</f>
        <v>2025</v>
      </c>
      <c r="AG12" s="62">
        <f>IF(B12="","",IFERROR(VLOOKUP(B12,'ANÁLISE DE DADOS'!$A:$AM,31,0),""))</f>
        <v>45802</v>
      </c>
      <c r="AH12" s="61" t="str">
        <f>IF(B12="","",IFERROR(VLOOKUP(B12,'ANÁLISE DE DADOS'!$A:$AM,32,0),""))</f>
        <v>mai-25</v>
      </c>
      <c r="AI12" s="61" t="str">
        <f>IF(B12="","",IFERROR(VLOOKUP(B12,'ANÁLISE DE DADOS'!$A:$AM,33,0),""))</f>
        <v>2025</v>
      </c>
      <c r="AJ12" s="61" t="str">
        <f>IF(B12="","",IFERROR(VLOOKUP(B12,'ANÁLISE DE DADOS'!$A:$AM,34,0),""))</f>
        <v>Acompanhando</v>
      </c>
      <c r="AK12" s="63">
        <f ca="1">IF(B12="","",IFERROR(VLOOKUP(B12,'ANÁLISE DE DADOS'!$A:$AM,35,0),""))</f>
        <v>1500</v>
      </c>
      <c r="AL12" s="63" t="str">
        <f ca="1">IF(B12="","",IFERROR(VLOOKUP(B12,'ANÁLISE DE DADOS'!$A:$AM,36,0),""))</f>
        <v>0</v>
      </c>
      <c r="AM12" s="101" t="str">
        <f ca="1">IF(B12="","",IFERROR(VLOOKUP(B12,'ANÁLISE DE DADOS'!$A:$AM,37,0),""))</f>
        <v>Cobrança Judicial</v>
      </c>
    </row>
    <row r="13" spans="2:39" x14ac:dyDescent="0.3">
      <c r="B13" s="30">
        <v>9</v>
      </c>
      <c r="C13" s="61">
        <f>IF(B13="","",IFERROR(VLOOKUP(B13,'ANÁLISE DE DADOS'!$A:$AM,1,0),""))</f>
        <v>9</v>
      </c>
      <c r="D13" s="61" t="str">
        <f>IF(B13="","",IFERROR(VLOOKUP(B13,'ANÁLISE DE DADOS'!$A:$AM,2,0),""))</f>
        <v>Matriz</v>
      </c>
      <c r="E13" s="61">
        <f>IF(B13="","",IFERROR(VLOOKUP(B13,'ANÁLISE DE DADOS'!$A:$AM,3,0),""))</f>
        <v>0</v>
      </c>
      <c r="F13" s="61" t="str">
        <f>IF(B13="","",IFERROR(VLOOKUP(B13,'ANÁLISE DE DADOS'!$A:$AM,4,0),""))</f>
        <v>BemEstar</v>
      </c>
      <c r="G13" s="62">
        <f>IF(B13="","",IFERROR(VLOOKUP(B13,'ANÁLISE DE DADOS'!$A:$AM,5,0),""))</f>
        <v>45667</v>
      </c>
      <c r="H13" s="62" t="str">
        <f>IF(B13="","",IFERROR(VLOOKUP(B13,'ANÁLISE DE DADOS'!$A:$AM,6,0),""))</f>
        <v>jan-25</v>
      </c>
      <c r="I13" s="62" t="str">
        <f>IF(B13="","",IFERROR(VLOOKUP(B13,'ANÁLISE DE DADOS'!$A:$AM,7,0),""))</f>
        <v>2025</v>
      </c>
      <c r="J13" s="62">
        <f>IF(B13="","",IFERROR(VLOOKUP(B13,'ANÁLISE DE DADOS'!$A:$AM,8,0),""))</f>
        <v>45698</v>
      </c>
      <c r="K13" s="61" t="str">
        <f>IF(B13="","",IFERROR(VLOOKUP(B13,'ANÁLISE DE DADOS'!$A:$AM,9,0),""))</f>
        <v>fev-25</v>
      </c>
      <c r="L13" s="61" t="str">
        <f>IF(B13="","",IFERROR(VLOOKUP(B13,'ANÁLISE DE DADOS'!$A:$AM,10,0),""))</f>
        <v>2025</v>
      </c>
      <c r="M13" s="62">
        <f>IF(B13="","",IFERROR(VLOOKUP(B13,'ANÁLISE DE DADOS'!$A:$AM,11,0),""))</f>
        <v>45737</v>
      </c>
      <c r="N13" s="61" t="str">
        <f>IF(B13="","",IFERROR(VLOOKUP(B13,'ANÁLISE DE DADOS'!$A:$AM,12,0),""))</f>
        <v>mar-25</v>
      </c>
      <c r="O13" s="61" t="str">
        <f>IF(B13="","",IFERROR(VLOOKUP(B13,'ANÁLISE DE DADOS'!$A:$AM,13,0),""))</f>
        <v>2025</v>
      </c>
      <c r="P13" s="63">
        <f>IF(B13="","",IFERROR(VLOOKUP(B13,'ANÁLISE DE DADOS'!$A:$AM,14,0),""))</f>
        <v>2200</v>
      </c>
      <c r="Q13" s="61" t="str">
        <f>IF(B13="","",IFERROR(VLOOKUP(B13,'ANÁLISE DE DADOS'!$A:$AM,15,0),""))</f>
        <v>Beatriz</v>
      </c>
      <c r="R13" s="61" t="str">
        <f>IF(B13="","",IFERROR(VLOOKUP(B13,'ANÁLISE DE DADOS'!$A:$AM,16,0),""))</f>
        <v>ANALISTA SIMONE</v>
      </c>
      <c r="S13" s="61" t="str">
        <f>IF(B13="","",IFERROR(VLOOKUP(B13,'ANÁLISE DE DADOS'!$A:$AM,17,0),""))</f>
        <v>NÃO</v>
      </c>
      <c r="T13" s="61" t="str">
        <f>IF(B13="","",IFERROR(VLOOKUP(B13,'ANÁLISE DE DADOS'!$A:$AM,18,0),""))</f>
        <v>Cliente em processo de análise para reativação</v>
      </c>
      <c r="U13" s="61" t="str">
        <f ca="1">IF(B13="","",IFERROR(VLOOKUP(B13,'ANÁLISE DE DADOS'!$A:$AM,19,0),""))</f>
        <v>Vencido</v>
      </c>
      <c r="V13" s="61">
        <f ca="1">IF(B13="","",IFERROR(VLOOKUP(B13,'ANÁLISE DE DADOS'!$A:$AM,20,0),""))</f>
        <v>97</v>
      </c>
      <c r="W13" s="61" t="str">
        <f ca="1">IF(B13="","",IFERROR(VLOOKUP(B13,'ANÁLISE DE DADOS'!$A:$AM,21,0),""))</f>
        <v>61+ dias</v>
      </c>
      <c r="X13" s="61" t="str">
        <f ca="1">IF(B13="","",IFERROR(VLOOKUP(B13,'ANÁLISE DE DADOS'!$A:$AM,22,0),""))</f>
        <v>Atraso Crítico</v>
      </c>
      <c r="Y13" s="61" t="str">
        <f>IF(B13="","",IFERROR(VLOOKUP(B13,'ANÁLISE DE DADOS'!$A:$AM,23,0),""))</f>
        <v>-</v>
      </c>
      <c r="Z13" s="61" t="str">
        <f>IF(B13="","",IFERROR(VLOOKUP(B13,'ANÁLISE DE DADOS'!$A:$AM,24,0),""))</f>
        <v>Sim</v>
      </c>
      <c r="AA13" s="61">
        <f>IF(B13="","",IFERROR(VLOOKUP(B13,'ANÁLISE DE DADOS'!$A:$AM,25,0),""))</f>
        <v>0</v>
      </c>
      <c r="AB13" s="61">
        <f>IF(B13="","",IFERROR(VLOOKUP(B13,'ANÁLISE DE DADOS'!$A:$AM,26,0),""))</f>
        <v>1</v>
      </c>
      <c r="AC13" s="61" t="str">
        <f>IF(B13="","",IFERROR(VLOOKUP(B13,'ANÁLISE DE DADOS'!$A:$AM,27,0),""))</f>
        <v>Sim</v>
      </c>
      <c r="AD13" s="62">
        <f>IF(B13="","",IFERROR(VLOOKUP(B13,'ANÁLISE DE DADOS'!$A:$AM,28,0),""))</f>
        <v>45740</v>
      </c>
      <c r="AE13" s="61" t="str">
        <f>IF(B13="","",IFERROR(VLOOKUP(B13,'ANÁLISE DE DADOS'!$A:$AM,29,0),""))</f>
        <v>mar-25</v>
      </c>
      <c r="AF13" s="61" t="str">
        <f>IF(B13="","",IFERROR(VLOOKUP(B13,'ANÁLISE DE DADOS'!$A:$AM,30,0),""))</f>
        <v>2025</v>
      </c>
      <c r="AG13" s="62">
        <f>IF(B13="","",IFERROR(VLOOKUP(B13,'ANÁLISE DE DADOS'!$A:$AM,31,0),""))</f>
        <v>45802</v>
      </c>
      <c r="AH13" s="61" t="str">
        <f>IF(B13="","",IFERROR(VLOOKUP(B13,'ANÁLISE DE DADOS'!$A:$AM,32,0),""))</f>
        <v>mai-25</v>
      </c>
      <c r="AI13" s="61" t="str">
        <f>IF(B13="","",IFERROR(VLOOKUP(B13,'ANÁLISE DE DADOS'!$A:$AM,33,0),""))</f>
        <v>2025</v>
      </c>
      <c r="AJ13" s="61" t="str">
        <f>IF(B13="","",IFERROR(VLOOKUP(B13,'ANÁLISE DE DADOS'!$A:$AM,34,0),""))</f>
        <v>Acompanhando</v>
      </c>
      <c r="AK13" s="63">
        <f ca="1">IF(B13="","",IFERROR(VLOOKUP(B13,'ANÁLISE DE DADOS'!$A:$AM,35,0),""))</f>
        <v>2200</v>
      </c>
      <c r="AL13" s="63" t="str">
        <f ca="1">IF(B13="","",IFERROR(VLOOKUP(B13,'ANÁLISE DE DADOS'!$A:$AM,36,0),""))</f>
        <v>0</v>
      </c>
      <c r="AM13" s="101" t="str">
        <f ca="1">IF(B13="","",IFERROR(VLOOKUP(B13,'ANÁLISE DE DADOS'!$A:$AM,37,0),""))</f>
        <v>Cobrança Judicial</v>
      </c>
    </row>
    <row r="14" spans="2:39" x14ac:dyDescent="0.3">
      <c r="B14" s="30">
        <v>10</v>
      </c>
      <c r="C14" s="61">
        <f>IF(B14="","",IFERROR(VLOOKUP(B14,'ANÁLISE DE DADOS'!$A:$AM,1,0),""))</f>
        <v>10</v>
      </c>
      <c r="D14" s="61" t="str">
        <f>IF(B14="","",IFERROR(VLOOKUP(B14,'ANÁLISE DE DADOS'!$A:$AM,2,0),""))</f>
        <v>Matriz</v>
      </c>
      <c r="E14" s="61">
        <f>IF(B14="","",IFERROR(VLOOKUP(B14,'ANÁLISE DE DADOS'!$A:$AM,3,0),""))</f>
        <v>0</v>
      </c>
      <c r="F14" s="61" t="str">
        <f>IF(B14="","",IFERROR(VLOOKUP(B14,'ANÁLISE DE DADOS'!$A:$AM,4,0),""))</f>
        <v>BemEstar</v>
      </c>
      <c r="G14" s="62">
        <f>IF(B14="","",IFERROR(VLOOKUP(B14,'ANÁLISE DE DADOS'!$A:$AM,5,0),""))</f>
        <v>45667</v>
      </c>
      <c r="H14" s="62" t="str">
        <f>IF(B14="","",IFERROR(VLOOKUP(B14,'ANÁLISE DE DADOS'!$A:$AM,6,0),""))</f>
        <v>jan-25</v>
      </c>
      <c r="I14" s="62" t="str">
        <f>IF(B14="","",IFERROR(VLOOKUP(B14,'ANÁLISE DE DADOS'!$A:$AM,7,0),""))</f>
        <v>2025</v>
      </c>
      <c r="J14" s="62">
        <f>IF(B14="","",IFERROR(VLOOKUP(B14,'ANÁLISE DE DADOS'!$A:$AM,8,0),""))</f>
        <v>45699</v>
      </c>
      <c r="K14" s="61" t="str">
        <f>IF(B14="","",IFERROR(VLOOKUP(B14,'ANÁLISE DE DADOS'!$A:$AM,9,0),""))</f>
        <v>fev-25</v>
      </c>
      <c r="L14" s="61" t="str">
        <f>IF(B14="","",IFERROR(VLOOKUP(B14,'ANÁLISE DE DADOS'!$A:$AM,10,0),""))</f>
        <v>2025</v>
      </c>
      <c r="M14" s="62">
        <f>IF(B14="","",IFERROR(VLOOKUP(B14,'ANÁLISE DE DADOS'!$A:$AM,11,0),""))</f>
        <v>45737</v>
      </c>
      <c r="N14" s="61" t="str">
        <f>IF(B14="","",IFERROR(VLOOKUP(B14,'ANÁLISE DE DADOS'!$A:$AM,12,0),""))</f>
        <v>mar-25</v>
      </c>
      <c r="O14" s="61" t="str">
        <f>IF(B14="","",IFERROR(VLOOKUP(B14,'ANÁLISE DE DADOS'!$A:$AM,13,0),""))</f>
        <v>2025</v>
      </c>
      <c r="P14" s="63">
        <f>IF(B14="","",IFERROR(VLOOKUP(B14,'ANÁLISE DE DADOS'!$A:$AM,14,0),""))</f>
        <v>2200</v>
      </c>
      <c r="Q14" s="61" t="str">
        <f>IF(B14="","",IFERROR(VLOOKUP(B14,'ANÁLISE DE DADOS'!$A:$AM,15,0),""))</f>
        <v>Beatriz</v>
      </c>
      <c r="R14" s="61" t="str">
        <f>IF(B14="","",IFERROR(VLOOKUP(B14,'ANÁLISE DE DADOS'!$A:$AM,16,0),""))</f>
        <v>ANALISTA SIMONE</v>
      </c>
      <c r="S14" s="61" t="str">
        <f>IF(B14="","",IFERROR(VLOOKUP(B14,'ANÁLISE DE DADOS'!$A:$AM,17,0),""))</f>
        <v>NÃO</v>
      </c>
      <c r="T14" s="61" t="str">
        <f>IF(B14="","",IFERROR(VLOOKUP(B14,'ANÁLISE DE DADOS'!$A:$AM,18,0),""))</f>
        <v>Acordo cumprido parcialmente</v>
      </c>
      <c r="U14" s="61" t="str">
        <f ca="1">IF(B14="","",IFERROR(VLOOKUP(B14,'ANÁLISE DE DADOS'!$A:$AM,19,0),""))</f>
        <v>Vencido</v>
      </c>
      <c r="V14" s="61">
        <f ca="1">IF(B14="","",IFERROR(VLOOKUP(B14,'ANÁLISE DE DADOS'!$A:$AM,20,0),""))</f>
        <v>96</v>
      </c>
      <c r="W14" s="61" t="str">
        <f ca="1">IF(B14="","",IFERROR(VLOOKUP(B14,'ANÁLISE DE DADOS'!$A:$AM,21,0),""))</f>
        <v>61+ dias</v>
      </c>
      <c r="X14" s="61" t="str">
        <f ca="1">IF(B14="","",IFERROR(VLOOKUP(B14,'ANÁLISE DE DADOS'!$A:$AM,22,0),""))</f>
        <v>Atraso Crítico</v>
      </c>
      <c r="Y14" s="61" t="str">
        <f>IF(B14="","",IFERROR(VLOOKUP(B14,'ANÁLISE DE DADOS'!$A:$AM,23,0),""))</f>
        <v>-</v>
      </c>
      <c r="Z14" s="61" t="str">
        <f>IF(B14="","",IFERROR(VLOOKUP(B14,'ANÁLISE DE DADOS'!$A:$AM,24,0),""))</f>
        <v>Sim</v>
      </c>
      <c r="AA14" s="61">
        <f>IF(B14="","",IFERROR(VLOOKUP(B14,'ANÁLISE DE DADOS'!$A:$AM,25,0),""))</f>
        <v>0</v>
      </c>
      <c r="AB14" s="61">
        <f>IF(B14="","",IFERROR(VLOOKUP(B14,'ANÁLISE DE DADOS'!$A:$AM,26,0),""))</f>
        <v>1</v>
      </c>
      <c r="AC14" s="61" t="str">
        <f>IF(B14="","",IFERROR(VLOOKUP(B14,'ANÁLISE DE DADOS'!$A:$AM,27,0),""))</f>
        <v>Sim</v>
      </c>
      <c r="AD14" s="62">
        <f>IF(B14="","",IFERROR(VLOOKUP(B14,'ANÁLISE DE DADOS'!$A:$AM,28,0),""))</f>
        <v>45740</v>
      </c>
      <c r="AE14" s="61" t="str">
        <f>IF(B14="","",IFERROR(VLOOKUP(B14,'ANÁLISE DE DADOS'!$A:$AM,29,0),""))</f>
        <v>mar-25</v>
      </c>
      <c r="AF14" s="61" t="str">
        <f>IF(B14="","",IFERROR(VLOOKUP(B14,'ANÁLISE DE DADOS'!$A:$AM,30,0),""))</f>
        <v>2025</v>
      </c>
      <c r="AG14" s="62">
        <f>IF(B14="","",IFERROR(VLOOKUP(B14,'ANÁLISE DE DADOS'!$A:$AM,31,0),""))</f>
        <v>45802</v>
      </c>
      <c r="AH14" s="61" t="str">
        <f>IF(B14="","",IFERROR(VLOOKUP(B14,'ANÁLISE DE DADOS'!$A:$AM,32,0),""))</f>
        <v>mai-25</v>
      </c>
      <c r="AI14" s="61" t="str">
        <f>IF(B14="","",IFERROR(VLOOKUP(B14,'ANÁLISE DE DADOS'!$A:$AM,33,0),""))</f>
        <v>2025</v>
      </c>
      <c r="AJ14" s="61" t="str">
        <f>IF(B14="","",IFERROR(VLOOKUP(B14,'ANÁLISE DE DADOS'!$A:$AM,34,0),""))</f>
        <v>Acompanhando</v>
      </c>
      <c r="AK14" s="63">
        <f ca="1">IF(B14="","",IFERROR(VLOOKUP(B14,'ANÁLISE DE DADOS'!$A:$AM,35,0),""))</f>
        <v>2200</v>
      </c>
      <c r="AL14" s="63" t="str">
        <f ca="1">IF(B14="","",IFERROR(VLOOKUP(B14,'ANÁLISE DE DADOS'!$A:$AM,36,0),""))</f>
        <v>0</v>
      </c>
      <c r="AM14" s="101" t="str">
        <f ca="1">IF(B14="","",IFERROR(VLOOKUP(B14,'ANÁLISE DE DADOS'!$A:$AM,37,0),""))</f>
        <v>Cobrança Judicial</v>
      </c>
    </row>
    <row r="15" spans="2:39" x14ac:dyDescent="0.3">
      <c r="B15" s="30">
        <v>11</v>
      </c>
      <c r="C15" s="61">
        <f>IF(B15="","",IFERROR(VLOOKUP(B15,'ANÁLISE DE DADOS'!$A:$AM,1,0),""))</f>
        <v>11</v>
      </c>
      <c r="D15" s="61" t="str">
        <f>IF(B15="","",IFERROR(VLOOKUP(B15,'ANÁLISE DE DADOS'!$A:$AM,2,0),""))</f>
        <v>Filial</v>
      </c>
      <c r="E15" s="61">
        <f>IF(B15="","",IFERROR(VLOOKUP(B15,'ANÁLISE DE DADOS'!$A:$AM,3,0),""))</f>
        <v>0</v>
      </c>
      <c r="F15" s="61" t="str">
        <f>IF(B15="","",IFERROR(VLOOKUP(B15,'ANÁLISE DE DADOS'!$A:$AM,4,0),""))</f>
        <v>BemEstar</v>
      </c>
      <c r="G15" s="62">
        <f>IF(B15="","",IFERROR(VLOOKUP(B15,'ANÁLISE DE DADOS'!$A:$AM,5,0),""))</f>
        <v>45669</v>
      </c>
      <c r="H15" s="62" t="str">
        <f>IF(B15="","",IFERROR(VLOOKUP(B15,'ANÁLISE DE DADOS'!$A:$AM,6,0),""))</f>
        <v>jan-25</v>
      </c>
      <c r="I15" s="62" t="str">
        <f>IF(B15="","",IFERROR(VLOOKUP(B15,'ANÁLISE DE DADOS'!$A:$AM,7,0),""))</f>
        <v>2025</v>
      </c>
      <c r="J15" s="62">
        <f>IF(B15="","",IFERROR(VLOOKUP(B15,'ANÁLISE DE DADOS'!$A:$AM,8,0),""))</f>
        <v>45700</v>
      </c>
      <c r="K15" s="61" t="str">
        <f>IF(B15="","",IFERROR(VLOOKUP(B15,'ANÁLISE DE DADOS'!$A:$AM,9,0),""))</f>
        <v>fev-25</v>
      </c>
      <c r="L15" s="61" t="str">
        <f>IF(B15="","",IFERROR(VLOOKUP(B15,'ANÁLISE DE DADOS'!$A:$AM,10,0),""))</f>
        <v>2025</v>
      </c>
      <c r="M15" s="62">
        <f>IF(B15="","",IFERROR(VLOOKUP(B15,'ANÁLISE DE DADOS'!$A:$AM,11,0),""))</f>
        <v>45701</v>
      </c>
      <c r="N15" s="61" t="str">
        <f>IF(B15="","",IFERROR(VLOOKUP(B15,'ANÁLISE DE DADOS'!$A:$AM,12,0),""))</f>
        <v>fev-25</v>
      </c>
      <c r="O15" s="61" t="str">
        <f>IF(B15="","",IFERROR(VLOOKUP(B15,'ANÁLISE DE DADOS'!$A:$AM,13,0),""))</f>
        <v>2025</v>
      </c>
      <c r="P15" s="63">
        <f>IF(B15="","",IFERROR(VLOOKUP(B15,'ANÁLISE DE DADOS'!$A:$AM,14,0),""))</f>
        <v>1000</v>
      </c>
      <c r="Q15" s="61" t="str">
        <f>IF(B15="","",IFERROR(VLOOKUP(B15,'ANÁLISE DE DADOS'!$A:$AM,15,0),""))</f>
        <v>Lucas</v>
      </c>
      <c r="R15" s="61" t="str">
        <f>IF(B15="","",IFERROR(VLOOKUP(B15,'ANÁLISE DE DADOS'!$A:$AM,16,0),""))</f>
        <v>ANALISTA SIMONE</v>
      </c>
      <c r="S15" s="61" t="str">
        <f>IF(B15="","",IFERROR(VLOOKUP(B15,'ANÁLISE DE DADOS'!$A:$AM,17,0),""))</f>
        <v>NÃO</v>
      </c>
      <c r="T15" s="61" t="str">
        <f>IF(B15="","",IFERROR(VLOOKUP(B15,'ANÁLISE DE DADOS'!$A:$AM,18,0),""))</f>
        <v>Aguardando liberação do financeiro</v>
      </c>
      <c r="U15" s="61" t="str">
        <f ca="1">IF(B15="","",IFERROR(VLOOKUP(B15,'ANÁLISE DE DADOS'!$A:$AM,19,0),""))</f>
        <v>Vencido</v>
      </c>
      <c r="V15" s="61">
        <f ca="1">IF(B15="","",IFERROR(VLOOKUP(B15,'ANÁLISE DE DADOS'!$A:$AM,20,0),""))</f>
        <v>95</v>
      </c>
      <c r="W15" s="61" t="str">
        <f ca="1">IF(B15="","",IFERROR(VLOOKUP(B15,'ANÁLISE DE DADOS'!$A:$AM,21,0),""))</f>
        <v>61+ dias</v>
      </c>
      <c r="X15" s="61" t="str">
        <f ca="1">IF(B15="","",IFERROR(VLOOKUP(B15,'ANÁLISE DE DADOS'!$A:$AM,22,0),""))</f>
        <v>Atraso Crítico</v>
      </c>
      <c r="Y15" s="61" t="str">
        <f>IF(B15="","",IFERROR(VLOOKUP(B15,'ANÁLISE DE DADOS'!$A:$AM,23,0),""))</f>
        <v>-</v>
      </c>
      <c r="Z15" s="61" t="str">
        <f>IF(B15="","",IFERROR(VLOOKUP(B15,'ANÁLISE DE DADOS'!$A:$AM,24,0),""))</f>
        <v>Sim</v>
      </c>
      <c r="AA15" s="61">
        <f>IF(B15="","",IFERROR(VLOOKUP(B15,'ANÁLISE DE DADOS'!$A:$AM,25,0),""))</f>
        <v>0</v>
      </c>
      <c r="AB15" s="61">
        <f>IF(B15="","",IFERROR(VLOOKUP(B15,'ANÁLISE DE DADOS'!$A:$AM,26,0),""))</f>
        <v>1</v>
      </c>
      <c r="AC15" s="61" t="str">
        <f>IF(B15="","",IFERROR(VLOOKUP(B15,'ANÁLISE DE DADOS'!$A:$AM,27,0),""))</f>
        <v>Sim</v>
      </c>
      <c r="AD15" s="62">
        <f>IF(B15="","",IFERROR(VLOOKUP(B15,'ANÁLISE DE DADOS'!$A:$AM,28,0),""))</f>
        <v>45740</v>
      </c>
      <c r="AE15" s="61" t="str">
        <f>IF(B15="","",IFERROR(VLOOKUP(B15,'ANÁLISE DE DADOS'!$A:$AM,29,0),""))</f>
        <v>mar-25</v>
      </c>
      <c r="AF15" s="61" t="str">
        <f>IF(B15="","",IFERROR(VLOOKUP(B15,'ANÁLISE DE DADOS'!$A:$AM,30,0),""))</f>
        <v>2025</v>
      </c>
      <c r="AG15" s="62">
        <f>IF(B15="","",IFERROR(VLOOKUP(B15,'ANÁLISE DE DADOS'!$A:$AM,31,0),""))</f>
        <v>45802</v>
      </c>
      <c r="AH15" s="61" t="str">
        <f>IF(B15="","",IFERROR(VLOOKUP(B15,'ANÁLISE DE DADOS'!$A:$AM,32,0),""))</f>
        <v>mai-25</v>
      </c>
      <c r="AI15" s="61" t="str">
        <f>IF(B15="","",IFERROR(VLOOKUP(B15,'ANÁLISE DE DADOS'!$A:$AM,33,0),""))</f>
        <v>2025</v>
      </c>
      <c r="AJ15" s="61" t="str">
        <f>IF(B15="","",IFERROR(VLOOKUP(B15,'ANÁLISE DE DADOS'!$A:$AM,34,0),""))</f>
        <v>Acompanhando</v>
      </c>
      <c r="AK15" s="63">
        <f ca="1">IF(B15="","",IFERROR(VLOOKUP(B15,'ANÁLISE DE DADOS'!$A:$AM,35,0),""))</f>
        <v>1000</v>
      </c>
      <c r="AL15" s="63" t="str">
        <f ca="1">IF(B15="","",IFERROR(VLOOKUP(B15,'ANÁLISE DE DADOS'!$A:$AM,36,0),""))</f>
        <v>0</v>
      </c>
      <c r="AM15" s="101" t="str">
        <f ca="1">IF(B15="","",IFERROR(VLOOKUP(B15,'ANÁLISE DE DADOS'!$A:$AM,37,0),""))</f>
        <v>Cobrança Judicial</v>
      </c>
    </row>
    <row r="16" spans="2:39" x14ac:dyDescent="0.3">
      <c r="B16" s="30">
        <v>12</v>
      </c>
      <c r="C16" s="61">
        <f>IF(B16="","",IFERROR(VLOOKUP(B16,'ANÁLISE DE DADOS'!$A:$AM,1,0),""))</f>
        <v>12</v>
      </c>
      <c r="D16" s="61" t="str">
        <f>IF(B16="","",IFERROR(VLOOKUP(B16,'ANÁLISE DE DADOS'!$A:$AM,2,0),""))</f>
        <v>Filial</v>
      </c>
      <c r="E16" s="61">
        <f>IF(B16="","",IFERROR(VLOOKUP(B16,'ANÁLISE DE DADOS'!$A:$AM,3,0),""))</f>
        <v>0</v>
      </c>
      <c r="F16" s="61" t="str">
        <f>IF(B16="","",IFERROR(VLOOKUP(B16,'ANÁLISE DE DADOS'!$A:$AM,4,0),""))</f>
        <v>MundoInovador</v>
      </c>
      <c r="G16" s="62">
        <f>IF(B16="","",IFERROR(VLOOKUP(B16,'ANÁLISE DE DADOS'!$A:$AM,5,0),""))</f>
        <v>45669</v>
      </c>
      <c r="H16" s="62" t="str">
        <f>IF(B16="","",IFERROR(VLOOKUP(B16,'ANÁLISE DE DADOS'!$A:$AM,6,0),""))</f>
        <v>jan-25</v>
      </c>
      <c r="I16" s="62" t="str">
        <f>IF(B16="","",IFERROR(VLOOKUP(B16,'ANÁLISE DE DADOS'!$A:$AM,7,0),""))</f>
        <v>2025</v>
      </c>
      <c r="J16" s="62">
        <f>IF(B16="","",IFERROR(VLOOKUP(B16,'ANÁLISE DE DADOS'!$A:$AM,8,0),""))</f>
        <v>45701</v>
      </c>
      <c r="K16" s="61" t="str">
        <f>IF(B16="","",IFERROR(VLOOKUP(B16,'ANÁLISE DE DADOS'!$A:$AM,9,0),""))</f>
        <v>fev-25</v>
      </c>
      <c r="L16" s="61" t="str">
        <f>IF(B16="","",IFERROR(VLOOKUP(B16,'ANÁLISE DE DADOS'!$A:$AM,10,0),""))</f>
        <v>2025</v>
      </c>
      <c r="M16" s="62">
        <f>IF(B16="","",IFERROR(VLOOKUP(B16,'ANÁLISE DE DADOS'!$A:$AM,11,0),""))</f>
        <v>45737</v>
      </c>
      <c r="N16" s="61" t="str">
        <f>IF(B16="","",IFERROR(VLOOKUP(B16,'ANÁLISE DE DADOS'!$A:$AM,12,0),""))</f>
        <v>mar-25</v>
      </c>
      <c r="O16" s="61" t="str">
        <f>IF(B16="","",IFERROR(VLOOKUP(B16,'ANÁLISE DE DADOS'!$A:$AM,13,0),""))</f>
        <v>2025</v>
      </c>
      <c r="P16" s="63">
        <f>IF(B16="","",IFERROR(VLOOKUP(B16,'ANÁLISE DE DADOS'!$A:$AM,14,0),""))</f>
        <v>1000</v>
      </c>
      <c r="Q16" s="61" t="str">
        <f>IF(B16="","",IFERROR(VLOOKUP(B16,'ANÁLISE DE DADOS'!$A:$AM,15,0),""))</f>
        <v>Lucas</v>
      </c>
      <c r="R16" s="61" t="str">
        <f>IF(B16="","",IFERROR(VLOOKUP(B16,'ANÁLISE DE DADOS'!$A:$AM,16,0),""))</f>
        <v>ANALISTA SIMONE</v>
      </c>
      <c r="S16" s="61" t="str">
        <f>IF(B16="","",IFERROR(VLOOKUP(B16,'ANÁLISE DE DADOS'!$A:$AM,17,0),""))</f>
        <v>NÃO</v>
      </c>
      <c r="T16" s="61" t="str">
        <f>IF(B16="","",IFERROR(VLOOKUP(B16,'ANÁLISE DE DADOS'!$A:$AM,18,0),""))</f>
        <v>Pagamento em processo (aguardando confirmação bancária)</v>
      </c>
      <c r="U16" s="61" t="str">
        <f ca="1">IF(B16="","",IFERROR(VLOOKUP(B16,'ANÁLISE DE DADOS'!$A:$AM,19,0),""))</f>
        <v>Vencido</v>
      </c>
      <c r="V16" s="61">
        <f ca="1">IF(B16="","",IFERROR(VLOOKUP(B16,'ANÁLISE DE DADOS'!$A:$AM,20,0),""))</f>
        <v>94</v>
      </c>
      <c r="W16" s="61" t="str">
        <f ca="1">IF(B16="","",IFERROR(VLOOKUP(B16,'ANÁLISE DE DADOS'!$A:$AM,21,0),""))</f>
        <v>61+ dias</v>
      </c>
      <c r="X16" s="61" t="str">
        <f ca="1">IF(B16="","",IFERROR(VLOOKUP(B16,'ANÁLISE DE DADOS'!$A:$AM,22,0),""))</f>
        <v>Atraso Crítico</v>
      </c>
      <c r="Y16" s="61" t="str">
        <f>IF(B16="","",IFERROR(VLOOKUP(B16,'ANÁLISE DE DADOS'!$A:$AM,23,0),""))</f>
        <v>-</v>
      </c>
      <c r="Z16" s="61" t="str">
        <f>IF(B16="","",IFERROR(VLOOKUP(B16,'ANÁLISE DE DADOS'!$A:$AM,24,0),""))</f>
        <v>Sim</v>
      </c>
      <c r="AA16" s="61">
        <f>IF(B16="","",IFERROR(VLOOKUP(B16,'ANÁLISE DE DADOS'!$A:$AM,25,0),""))</f>
        <v>0</v>
      </c>
      <c r="AB16" s="61">
        <f>IF(B16="","",IFERROR(VLOOKUP(B16,'ANÁLISE DE DADOS'!$A:$AM,26,0),""))</f>
        <v>1</v>
      </c>
      <c r="AC16" s="61" t="str">
        <f>IF(B16="","",IFERROR(VLOOKUP(B16,'ANÁLISE DE DADOS'!$A:$AM,27,0),""))</f>
        <v>Sim</v>
      </c>
      <c r="AD16" s="62">
        <f>IF(B16="","",IFERROR(VLOOKUP(B16,'ANÁLISE DE DADOS'!$A:$AM,28,0),""))</f>
        <v>45740</v>
      </c>
      <c r="AE16" s="61" t="str">
        <f>IF(B16="","",IFERROR(VLOOKUP(B16,'ANÁLISE DE DADOS'!$A:$AM,29,0),""))</f>
        <v>mar-25</v>
      </c>
      <c r="AF16" s="61" t="str">
        <f>IF(B16="","",IFERROR(VLOOKUP(B16,'ANÁLISE DE DADOS'!$A:$AM,30,0),""))</f>
        <v>2025</v>
      </c>
      <c r="AG16" s="62">
        <f>IF(B16="","",IFERROR(VLOOKUP(B16,'ANÁLISE DE DADOS'!$A:$AM,31,0),""))</f>
        <v>45802</v>
      </c>
      <c r="AH16" s="61" t="str">
        <f>IF(B16="","",IFERROR(VLOOKUP(B16,'ANÁLISE DE DADOS'!$A:$AM,32,0),""))</f>
        <v>mai-25</v>
      </c>
      <c r="AI16" s="61" t="str">
        <f>IF(B16="","",IFERROR(VLOOKUP(B16,'ANÁLISE DE DADOS'!$A:$AM,33,0),""))</f>
        <v>2025</v>
      </c>
      <c r="AJ16" s="61" t="str">
        <f>IF(B16="","",IFERROR(VLOOKUP(B16,'ANÁLISE DE DADOS'!$A:$AM,34,0),""))</f>
        <v>Acompanhando</v>
      </c>
      <c r="AK16" s="63">
        <f ca="1">IF(B16="","",IFERROR(VLOOKUP(B16,'ANÁLISE DE DADOS'!$A:$AM,35,0),""))</f>
        <v>1000</v>
      </c>
      <c r="AL16" s="63" t="str">
        <f ca="1">IF(B16="","",IFERROR(VLOOKUP(B16,'ANÁLISE DE DADOS'!$A:$AM,36,0),""))</f>
        <v>0</v>
      </c>
      <c r="AM16" s="101" t="str">
        <f ca="1">IF(B16="","",IFERROR(VLOOKUP(B16,'ANÁLISE DE DADOS'!$A:$AM,37,0),""))</f>
        <v>Cobrança Judicial</v>
      </c>
    </row>
    <row r="17" spans="2:39" x14ac:dyDescent="0.3">
      <c r="B17" s="30">
        <v>13</v>
      </c>
      <c r="C17" s="61">
        <f>IF(B17="","",IFERROR(VLOOKUP(B17,'ANÁLISE DE DADOS'!$A:$AM,1,0),""))</f>
        <v>13</v>
      </c>
      <c r="D17" s="61" t="str">
        <f>IF(B17="","",IFERROR(VLOOKUP(B17,'ANÁLISE DE DADOS'!$A:$AM,2,0),""))</f>
        <v>Matriz</v>
      </c>
      <c r="E17" s="61" t="str">
        <f>IF(B17="","",IFERROR(VLOOKUP(B17,'ANÁLISE DE DADOS'!$A:$AM,3,0),""))</f>
        <v>Alpha &amp; CIA</v>
      </c>
      <c r="F17" s="61" t="str">
        <f>IF(B17="","",IFERROR(VLOOKUP(B17,'ANÁLISE DE DADOS'!$A:$AM,4,0),""))</f>
        <v>Alpha &amp; CIA</v>
      </c>
      <c r="G17" s="62">
        <f>IF(B17="","",IFERROR(VLOOKUP(B17,'ANÁLISE DE DADOS'!$A:$AM,5,0),""))</f>
        <v>45672</v>
      </c>
      <c r="H17" s="62" t="str">
        <f>IF(B17="","",IFERROR(VLOOKUP(B17,'ANÁLISE DE DADOS'!$A:$AM,6,0),""))</f>
        <v>jan-25</v>
      </c>
      <c r="I17" s="62" t="str">
        <f>IF(B17="","",IFERROR(VLOOKUP(B17,'ANÁLISE DE DADOS'!$A:$AM,7,0),""))</f>
        <v>2025</v>
      </c>
      <c r="J17" s="62">
        <f>IF(B17="","",IFERROR(VLOOKUP(B17,'ANÁLISE DE DADOS'!$A:$AM,8,0),""))</f>
        <v>45702</v>
      </c>
      <c r="K17" s="61" t="str">
        <f>IF(B17="","",IFERROR(VLOOKUP(B17,'ANÁLISE DE DADOS'!$A:$AM,9,0),""))</f>
        <v>fev-25</v>
      </c>
      <c r="L17" s="61" t="str">
        <f>IF(B17="","",IFERROR(VLOOKUP(B17,'ANÁLISE DE DADOS'!$A:$AM,10,0),""))</f>
        <v>2025</v>
      </c>
      <c r="M17" s="62">
        <f>IF(B17="","",IFERROR(VLOOKUP(B17,'ANÁLISE DE DADOS'!$A:$AM,11,0),""))</f>
        <v>45737</v>
      </c>
      <c r="N17" s="61" t="str">
        <f>IF(B17="","",IFERROR(VLOOKUP(B17,'ANÁLISE DE DADOS'!$A:$AM,12,0),""))</f>
        <v>mar-25</v>
      </c>
      <c r="O17" s="61" t="str">
        <f>IF(B17="","",IFERROR(VLOOKUP(B17,'ANÁLISE DE DADOS'!$A:$AM,13,0),""))</f>
        <v>2025</v>
      </c>
      <c r="P17" s="63">
        <f>IF(B17="","",IFERROR(VLOOKUP(B17,'ANÁLISE DE DADOS'!$A:$AM,14,0),""))</f>
        <v>1500</v>
      </c>
      <c r="Q17" s="61" t="str">
        <f>IF(B17="","",IFERROR(VLOOKUP(B17,'ANÁLISE DE DADOS'!$A:$AM,15,0),""))</f>
        <v>Carla</v>
      </c>
      <c r="R17" s="61" t="str">
        <f>IF(B17="","",IFERROR(VLOOKUP(B17,'ANÁLISE DE DADOS'!$A:$AM,16,0),""))</f>
        <v>ANALISTA SIMONE</v>
      </c>
      <c r="S17" s="61" t="str">
        <f>IF(B17="","",IFERROR(VLOOKUP(B17,'ANÁLISE DE DADOS'!$A:$AM,17,0),""))</f>
        <v>NÃO</v>
      </c>
      <c r="T17" s="61" t="str">
        <f>IF(B17="","",IFERROR(VLOOKUP(B17,'ANÁLISE DE DADOS'!$A:$AM,18,0),""))</f>
        <v>Cliente em inadimplência sem previsão de pagamento</v>
      </c>
      <c r="U17" s="61" t="str">
        <f ca="1">IF(B17="","",IFERROR(VLOOKUP(B17,'ANÁLISE DE DADOS'!$A:$AM,19,0),""))</f>
        <v>Vencido</v>
      </c>
      <c r="V17" s="61">
        <f ca="1">IF(B17="","",IFERROR(VLOOKUP(B17,'ANÁLISE DE DADOS'!$A:$AM,20,0),""))</f>
        <v>93</v>
      </c>
      <c r="W17" s="61" t="str">
        <f ca="1">IF(B17="","",IFERROR(VLOOKUP(B17,'ANÁLISE DE DADOS'!$A:$AM,21,0),""))</f>
        <v>61+ dias</v>
      </c>
      <c r="X17" s="61" t="str">
        <f ca="1">IF(B17="","",IFERROR(VLOOKUP(B17,'ANÁLISE DE DADOS'!$A:$AM,22,0),""))</f>
        <v>Atraso Crítico</v>
      </c>
      <c r="Y17" s="61" t="str">
        <f>IF(B17="","",IFERROR(VLOOKUP(B17,'ANÁLISE DE DADOS'!$A:$AM,23,0),""))</f>
        <v>-</v>
      </c>
      <c r="Z17" s="61" t="str">
        <f>IF(B17="","",IFERROR(VLOOKUP(B17,'ANÁLISE DE DADOS'!$A:$AM,24,0),""))</f>
        <v>Sim</v>
      </c>
      <c r="AA17" s="61">
        <f>IF(B17="","",IFERROR(VLOOKUP(B17,'ANÁLISE DE DADOS'!$A:$AM,25,0),""))</f>
        <v>0</v>
      </c>
      <c r="AB17" s="61">
        <f>IF(B17="","",IFERROR(VLOOKUP(B17,'ANÁLISE DE DADOS'!$A:$AM,26,0),""))</f>
        <v>1</v>
      </c>
      <c r="AC17" s="61" t="str">
        <f>IF(B17="","",IFERROR(VLOOKUP(B17,'ANÁLISE DE DADOS'!$A:$AM,27,0),""))</f>
        <v>Sim</v>
      </c>
      <c r="AD17" s="62">
        <f>IF(B17="","",IFERROR(VLOOKUP(B17,'ANÁLISE DE DADOS'!$A:$AM,28,0),""))</f>
        <v>45740</v>
      </c>
      <c r="AE17" s="61" t="str">
        <f>IF(B17="","",IFERROR(VLOOKUP(B17,'ANÁLISE DE DADOS'!$A:$AM,29,0),""))</f>
        <v>mar-25</v>
      </c>
      <c r="AF17" s="61" t="str">
        <f>IF(B17="","",IFERROR(VLOOKUP(B17,'ANÁLISE DE DADOS'!$A:$AM,30,0),""))</f>
        <v>2025</v>
      </c>
      <c r="AG17" s="62">
        <f>IF(B17="","",IFERROR(VLOOKUP(B17,'ANÁLISE DE DADOS'!$A:$AM,31,0),""))</f>
        <v>45802</v>
      </c>
      <c r="AH17" s="61" t="str">
        <f>IF(B17="","",IFERROR(VLOOKUP(B17,'ANÁLISE DE DADOS'!$A:$AM,32,0),""))</f>
        <v>mai-25</v>
      </c>
      <c r="AI17" s="61" t="str">
        <f>IF(B17="","",IFERROR(VLOOKUP(B17,'ANÁLISE DE DADOS'!$A:$AM,33,0),""))</f>
        <v>2025</v>
      </c>
      <c r="AJ17" s="61" t="str">
        <f>IF(B17="","",IFERROR(VLOOKUP(B17,'ANÁLISE DE DADOS'!$A:$AM,34,0),""))</f>
        <v>Acompanhando</v>
      </c>
      <c r="AK17" s="63">
        <f ca="1">IF(B17="","",IFERROR(VLOOKUP(B17,'ANÁLISE DE DADOS'!$A:$AM,35,0),""))</f>
        <v>1500</v>
      </c>
      <c r="AL17" s="63" t="str">
        <f ca="1">IF(B17="","",IFERROR(VLOOKUP(B17,'ANÁLISE DE DADOS'!$A:$AM,36,0),""))</f>
        <v>0</v>
      </c>
      <c r="AM17" s="101" t="str">
        <f ca="1">IF(B17="","",IFERROR(VLOOKUP(B17,'ANÁLISE DE DADOS'!$A:$AM,37,0),""))</f>
        <v>Cobrança Judicial</v>
      </c>
    </row>
    <row r="18" spans="2:39" x14ac:dyDescent="0.3">
      <c r="B18" s="30">
        <v>14</v>
      </c>
      <c r="C18" s="61">
        <f>IF(B18="","",IFERROR(VLOOKUP(B18,'ANÁLISE DE DADOS'!$A:$AM,1,0),""))</f>
        <v>14</v>
      </c>
      <c r="D18" s="61" t="str">
        <f>IF(B18="","",IFERROR(VLOOKUP(B18,'ANÁLISE DE DADOS'!$A:$AM,2,0),""))</f>
        <v>Matriz</v>
      </c>
      <c r="E18" s="61">
        <f>IF(B18="","",IFERROR(VLOOKUP(B18,'ANÁLISE DE DADOS'!$A:$AM,3,0),""))</f>
        <v>0</v>
      </c>
      <c r="F18" s="61" t="str">
        <f>IF(B18="","",IFERROR(VLOOKUP(B18,'ANÁLISE DE DADOS'!$A:$AM,4,0),""))</f>
        <v>MundoInovador</v>
      </c>
      <c r="G18" s="62">
        <f>IF(B18="","",IFERROR(VLOOKUP(B18,'ANÁLISE DE DADOS'!$A:$AM,5,0),""))</f>
        <v>45672</v>
      </c>
      <c r="H18" s="62" t="str">
        <f>IF(B18="","",IFERROR(VLOOKUP(B18,'ANÁLISE DE DADOS'!$A:$AM,6,0),""))</f>
        <v>jan-25</v>
      </c>
      <c r="I18" s="62" t="str">
        <f>IF(B18="","",IFERROR(VLOOKUP(B18,'ANÁLISE DE DADOS'!$A:$AM,7,0),""))</f>
        <v>2025</v>
      </c>
      <c r="J18" s="62">
        <f>IF(B18="","",IFERROR(VLOOKUP(B18,'ANÁLISE DE DADOS'!$A:$AM,8,0),""))</f>
        <v>45703</v>
      </c>
      <c r="K18" s="61" t="str">
        <f>IF(B18="","",IFERROR(VLOOKUP(B18,'ANÁLISE DE DADOS'!$A:$AM,9,0),""))</f>
        <v>fev-25</v>
      </c>
      <c r="L18" s="61" t="str">
        <f>IF(B18="","",IFERROR(VLOOKUP(B18,'ANÁLISE DE DADOS'!$A:$AM,10,0),""))</f>
        <v>2025</v>
      </c>
      <c r="M18" s="62">
        <f>IF(B18="","",IFERROR(VLOOKUP(B18,'ANÁLISE DE DADOS'!$A:$AM,11,0),""))</f>
        <v>45737</v>
      </c>
      <c r="N18" s="61" t="str">
        <f>IF(B18="","",IFERROR(VLOOKUP(B18,'ANÁLISE DE DADOS'!$A:$AM,12,0),""))</f>
        <v>mar-25</v>
      </c>
      <c r="O18" s="61" t="str">
        <f>IF(B18="","",IFERROR(VLOOKUP(B18,'ANÁLISE DE DADOS'!$A:$AM,13,0),""))</f>
        <v>2025</v>
      </c>
      <c r="P18" s="63">
        <f>IF(B18="","",IFERROR(VLOOKUP(B18,'ANÁLISE DE DADOS'!$A:$AM,14,0),""))</f>
        <v>1500</v>
      </c>
      <c r="Q18" s="61" t="str">
        <f>IF(B18="","",IFERROR(VLOOKUP(B18,'ANÁLISE DE DADOS'!$A:$AM,15,0),""))</f>
        <v>Carla</v>
      </c>
      <c r="R18" s="61" t="str">
        <f>IF(B18="","",IFERROR(VLOOKUP(B18,'ANÁLISE DE DADOS'!$A:$AM,16,0),""))</f>
        <v>ANALISTA SIMONE</v>
      </c>
      <c r="S18" s="61" t="str">
        <f>IF(B18="","",IFERROR(VLOOKUP(B18,'ANÁLISE DE DADOS'!$A:$AM,17,0),""))</f>
        <v>NÃO</v>
      </c>
      <c r="T18" s="61" t="str">
        <f>IF(B18="","",IFERROR(VLOOKUP(B18,'ANÁLISE DE DADOS'!$A:$AM,18,0),""))</f>
        <v>Pagamento em processo (aguardando confirmação bancária)</v>
      </c>
      <c r="U18" s="61" t="str">
        <f ca="1">IF(B18="","",IFERROR(VLOOKUP(B18,'ANÁLISE DE DADOS'!$A:$AM,19,0),""))</f>
        <v>Vencido</v>
      </c>
      <c r="V18" s="61">
        <f ca="1">IF(B18="","",IFERROR(VLOOKUP(B18,'ANÁLISE DE DADOS'!$A:$AM,20,0),""))</f>
        <v>92</v>
      </c>
      <c r="W18" s="61" t="str">
        <f ca="1">IF(B18="","",IFERROR(VLOOKUP(B18,'ANÁLISE DE DADOS'!$A:$AM,21,0),""))</f>
        <v>61+ dias</v>
      </c>
      <c r="X18" s="61" t="str">
        <f ca="1">IF(B18="","",IFERROR(VLOOKUP(B18,'ANÁLISE DE DADOS'!$A:$AM,22,0),""))</f>
        <v>Atraso Crítico</v>
      </c>
      <c r="Y18" s="61" t="str">
        <f>IF(B18="","",IFERROR(VLOOKUP(B18,'ANÁLISE DE DADOS'!$A:$AM,23,0),""))</f>
        <v>-</v>
      </c>
      <c r="Z18" s="61" t="str">
        <f>IF(B18="","",IFERROR(VLOOKUP(B18,'ANÁLISE DE DADOS'!$A:$AM,24,0),""))</f>
        <v>Sim</v>
      </c>
      <c r="AA18" s="61">
        <f>IF(B18="","",IFERROR(VLOOKUP(B18,'ANÁLISE DE DADOS'!$A:$AM,25,0),""))</f>
        <v>0</v>
      </c>
      <c r="AB18" s="61">
        <f>IF(B18="","",IFERROR(VLOOKUP(B18,'ANÁLISE DE DADOS'!$A:$AM,26,0),""))</f>
        <v>1</v>
      </c>
      <c r="AC18" s="61" t="str">
        <f>IF(B18="","",IFERROR(VLOOKUP(B18,'ANÁLISE DE DADOS'!$A:$AM,27,0),""))</f>
        <v>Sim</v>
      </c>
      <c r="AD18" s="62">
        <f>IF(B18="","",IFERROR(VLOOKUP(B18,'ANÁLISE DE DADOS'!$A:$AM,28,0),""))</f>
        <v>45740</v>
      </c>
      <c r="AE18" s="61" t="str">
        <f>IF(B18="","",IFERROR(VLOOKUP(B18,'ANÁLISE DE DADOS'!$A:$AM,29,0),""))</f>
        <v>mar-25</v>
      </c>
      <c r="AF18" s="61" t="str">
        <f>IF(B18="","",IFERROR(VLOOKUP(B18,'ANÁLISE DE DADOS'!$A:$AM,30,0),""))</f>
        <v>2025</v>
      </c>
      <c r="AG18" s="62">
        <f>IF(B18="","",IFERROR(VLOOKUP(B18,'ANÁLISE DE DADOS'!$A:$AM,31,0),""))</f>
        <v>45802</v>
      </c>
      <c r="AH18" s="61" t="str">
        <f>IF(B18="","",IFERROR(VLOOKUP(B18,'ANÁLISE DE DADOS'!$A:$AM,32,0),""))</f>
        <v>mai-25</v>
      </c>
      <c r="AI18" s="61" t="str">
        <f>IF(B18="","",IFERROR(VLOOKUP(B18,'ANÁLISE DE DADOS'!$A:$AM,33,0),""))</f>
        <v>2025</v>
      </c>
      <c r="AJ18" s="61" t="str">
        <f>IF(B18="","",IFERROR(VLOOKUP(B18,'ANÁLISE DE DADOS'!$A:$AM,34,0),""))</f>
        <v>Acompanhando</v>
      </c>
      <c r="AK18" s="63">
        <f ca="1">IF(B18="","",IFERROR(VLOOKUP(B18,'ANÁLISE DE DADOS'!$A:$AM,35,0),""))</f>
        <v>1500</v>
      </c>
      <c r="AL18" s="63" t="str">
        <f ca="1">IF(B18="","",IFERROR(VLOOKUP(B18,'ANÁLISE DE DADOS'!$A:$AM,36,0),""))</f>
        <v>0</v>
      </c>
      <c r="AM18" s="101" t="str">
        <f ca="1">IF(B18="","",IFERROR(VLOOKUP(B18,'ANÁLISE DE DADOS'!$A:$AM,37,0),""))</f>
        <v>Cobrança Judicial</v>
      </c>
    </row>
    <row r="19" spans="2:39" x14ac:dyDescent="0.3">
      <c r="B19" s="30">
        <v>15</v>
      </c>
      <c r="C19" s="61">
        <f>IF(B19="","",IFERROR(VLOOKUP(B19,'ANÁLISE DE DADOS'!$A:$AM,1,0),""))</f>
        <v>15</v>
      </c>
      <c r="D19" s="61" t="str">
        <f>IF(B19="","",IFERROR(VLOOKUP(B19,'ANÁLISE DE DADOS'!$A:$AM,2,0),""))</f>
        <v>Filial</v>
      </c>
      <c r="E19" s="61" t="str">
        <f>IF(B19="","",IFERROR(VLOOKUP(B19,'ANÁLISE DE DADOS'!$A:$AM,3,0),""))</f>
        <v>Alpha &amp; CIA</v>
      </c>
      <c r="F19" s="61" t="str">
        <f>IF(B19="","",IFERROR(VLOOKUP(B19,'ANÁLISE DE DADOS'!$A:$AM,4,0),""))</f>
        <v>Alpha &amp; CIA</v>
      </c>
      <c r="G19" s="62">
        <f>IF(B19="","",IFERROR(VLOOKUP(B19,'ANÁLISE DE DADOS'!$A:$AM,5,0),""))</f>
        <v>45675</v>
      </c>
      <c r="H19" s="62" t="str">
        <f>IF(B19="","",IFERROR(VLOOKUP(B19,'ANÁLISE DE DADOS'!$A:$AM,6,0),""))</f>
        <v>jan-25</v>
      </c>
      <c r="I19" s="62" t="str">
        <f>IF(B19="","",IFERROR(VLOOKUP(B19,'ANÁLISE DE DADOS'!$A:$AM,7,0),""))</f>
        <v>2025</v>
      </c>
      <c r="J19" s="62">
        <f>IF(B19="","",IFERROR(VLOOKUP(B19,'ANÁLISE DE DADOS'!$A:$AM,8,0),""))</f>
        <v>45704</v>
      </c>
      <c r="K19" s="61" t="str">
        <f>IF(B19="","",IFERROR(VLOOKUP(B19,'ANÁLISE DE DADOS'!$A:$AM,9,0),""))</f>
        <v>fev-25</v>
      </c>
      <c r="L19" s="61" t="str">
        <f>IF(B19="","",IFERROR(VLOOKUP(B19,'ANÁLISE DE DADOS'!$A:$AM,10,0),""))</f>
        <v>2025</v>
      </c>
      <c r="M19" s="62">
        <f>IF(B19="","",IFERROR(VLOOKUP(B19,'ANÁLISE DE DADOS'!$A:$AM,11,0),""))</f>
        <v>45737</v>
      </c>
      <c r="N19" s="61" t="str">
        <f>IF(B19="","",IFERROR(VLOOKUP(B19,'ANÁLISE DE DADOS'!$A:$AM,12,0),""))</f>
        <v>mar-25</v>
      </c>
      <c r="O19" s="61" t="str">
        <f>IF(B19="","",IFERROR(VLOOKUP(B19,'ANÁLISE DE DADOS'!$A:$AM,13,0),""))</f>
        <v>2025</v>
      </c>
      <c r="P19" s="63">
        <f>IF(B19="","",IFERROR(VLOOKUP(B19,'ANÁLISE DE DADOS'!$A:$AM,14,0),""))</f>
        <v>3000</v>
      </c>
      <c r="Q19" s="61" t="str">
        <f>IF(B19="","",IFERROR(VLOOKUP(B19,'ANÁLISE DE DADOS'!$A:$AM,15,0),""))</f>
        <v>Roberto</v>
      </c>
      <c r="R19" s="61" t="str">
        <f>IF(B19="","",IFERROR(VLOOKUP(B19,'ANÁLISE DE DADOS'!$A:$AM,16,0),""))</f>
        <v>ANALISTA SIMONE</v>
      </c>
      <c r="S19" s="61" t="str">
        <f>IF(B19="","",IFERROR(VLOOKUP(B19,'ANÁLISE DE DADOS'!$A:$AM,17,0),""))</f>
        <v>NÃO</v>
      </c>
      <c r="T19" s="61" t="str">
        <f>IF(B19="","",IFERROR(VLOOKUP(B19,'ANÁLISE DE DADOS'!$A:$AM,18,0),""))</f>
        <v>Situação jurídica em andamento (em processo judicial)</v>
      </c>
      <c r="U19" s="61" t="str">
        <f ca="1">IF(B19="","",IFERROR(VLOOKUP(B19,'ANÁLISE DE DADOS'!$A:$AM,19,0),""))</f>
        <v>Vencido</v>
      </c>
      <c r="V19" s="61">
        <f ca="1">IF(B19="","",IFERROR(VLOOKUP(B19,'ANÁLISE DE DADOS'!$A:$AM,20,0),""))</f>
        <v>91</v>
      </c>
      <c r="W19" s="61" t="str">
        <f ca="1">IF(B19="","",IFERROR(VLOOKUP(B19,'ANÁLISE DE DADOS'!$A:$AM,21,0),""))</f>
        <v>61+ dias</v>
      </c>
      <c r="X19" s="61" t="str">
        <f ca="1">IF(B19="","",IFERROR(VLOOKUP(B19,'ANÁLISE DE DADOS'!$A:$AM,22,0),""))</f>
        <v>Atraso Crítico</v>
      </c>
      <c r="Y19" s="61" t="str">
        <f>IF(B19="","",IFERROR(VLOOKUP(B19,'ANÁLISE DE DADOS'!$A:$AM,23,0),""))</f>
        <v>-</v>
      </c>
      <c r="Z19" s="61" t="str">
        <f>IF(B19="","",IFERROR(VLOOKUP(B19,'ANÁLISE DE DADOS'!$A:$AM,24,0),""))</f>
        <v>Sim</v>
      </c>
      <c r="AA19" s="61">
        <f>IF(B19="","",IFERROR(VLOOKUP(B19,'ANÁLISE DE DADOS'!$A:$AM,25,0),""))</f>
        <v>0</v>
      </c>
      <c r="AB19" s="61">
        <f>IF(B19="","",IFERROR(VLOOKUP(B19,'ANÁLISE DE DADOS'!$A:$AM,26,0),""))</f>
        <v>1</v>
      </c>
      <c r="AC19" s="61" t="str">
        <f>IF(B19="","",IFERROR(VLOOKUP(B19,'ANÁLISE DE DADOS'!$A:$AM,27,0),""))</f>
        <v>Sim</v>
      </c>
      <c r="AD19" s="62">
        <f>IF(B19="","",IFERROR(VLOOKUP(B19,'ANÁLISE DE DADOS'!$A:$AM,28,0),""))</f>
        <v>45740</v>
      </c>
      <c r="AE19" s="61" t="str">
        <f>IF(B19="","",IFERROR(VLOOKUP(B19,'ANÁLISE DE DADOS'!$A:$AM,29,0),""))</f>
        <v>mar-25</v>
      </c>
      <c r="AF19" s="61" t="str">
        <f>IF(B19="","",IFERROR(VLOOKUP(B19,'ANÁLISE DE DADOS'!$A:$AM,30,0),""))</f>
        <v>2025</v>
      </c>
      <c r="AG19" s="62">
        <f>IF(B19="","",IFERROR(VLOOKUP(B19,'ANÁLISE DE DADOS'!$A:$AM,31,0),""))</f>
        <v>45802</v>
      </c>
      <c r="AH19" s="61" t="str">
        <f>IF(B19="","",IFERROR(VLOOKUP(B19,'ANÁLISE DE DADOS'!$A:$AM,32,0),""))</f>
        <v>mai-25</v>
      </c>
      <c r="AI19" s="61" t="str">
        <f>IF(B19="","",IFERROR(VLOOKUP(B19,'ANÁLISE DE DADOS'!$A:$AM,33,0),""))</f>
        <v>2025</v>
      </c>
      <c r="AJ19" s="61" t="str">
        <f>IF(B19="","",IFERROR(VLOOKUP(B19,'ANÁLISE DE DADOS'!$A:$AM,34,0),""))</f>
        <v>Acompanhando</v>
      </c>
      <c r="AK19" s="63">
        <f ca="1">IF(B19="","",IFERROR(VLOOKUP(B19,'ANÁLISE DE DADOS'!$A:$AM,35,0),""))</f>
        <v>3000</v>
      </c>
      <c r="AL19" s="63" t="str">
        <f ca="1">IF(B19="","",IFERROR(VLOOKUP(B19,'ANÁLISE DE DADOS'!$A:$AM,36,0),""))</f>
        <v>0</v>
      </c>
      <c r="AM19" s="101" t="str">
        <f ca="1">IF(B19="","",IFERROR(VLOOKUP(B19,'ANÁLISE DE DADOS'!$A:$AM,37,0),""))</f>
        <v>Cobrança Judicial</v>
      </c>
    </row>
    <row r="20" spans="2:39" x14ac:dyDescent="0.3">
      <c r="B20" s="30">
        <v>16</v>
      </c>
      <c r="C20" s="61">
        <f>IF(B20="","",IFERROR(VLOOKUP(B20,'ANÁLISE DE DADOS'!$A:$AM,1,0),""))</f>
        <v>16</v>
      </c>
      <c r="D20" s="61" t="str">
        <f>IF(B20="","",IFERROR(VLOOKUP(B20,'ANÁLISE DE DADOS'!$A:$AM,2,0),""))</f>
        <v>Filial</v>
      </c>
      <c r="E20" s="61">
        <f>IF(B20="","",IFERROR(VLOOKUP(B20,'ANÁLISE DE DADOS'!$A:$AM,3,0),""))</f>
        <v>0</v>
      </c>
      <c r="F20" s="61" t="str">
        <f>IF(B20="","",IFERROR(VLOOKUP(B20,'ANÁLISE DE DADOS'!$A:$AM,4,0),""))</f>
        <v>MundoInovador</v>
      </c>
      <c r="G20" s="62">
        <f>IF(B20="","",IFERROR(VLOOKUP(B20,'ANÁLISE DE DADOS'!$A:$AM,5,0),""))</f>
        <v>45675</v>
      </c>
      <c r="H20" s="62" t="str">
        <f>IF(B20="","",IFERROR(VLOOKUP(B20,'ANÁLISE DE DADOS'!$A:$AM,6,0),""))</f>
        <v>jan-25</v>
      </c>
      <c r="I20" s="62" t="str">
        <f>IF(B20="","",IFERROR(VLOOKUP(B20,'ANÁLISE DE DADOS'!$A:$AM,7,0),""))</f>
        <v>2025</v>
      </c>
      <c r="J20" s="62">
        <f>IF(B20="","",IFERROR(VLOOKUP(B20,'ANÁLISE DE DADOS'!$A:$AM,8,0),""))</f>
        <v>45705</v>
      </c>
      <c r="K20" s="61" t="str">
        <f>IF(B20="","",IFERROR(VLOOKUP(B20,'ANÁLISE DE DADOS'!$A:$AM,9,0),""))</f>
        <v>fev-25</v>
      </c>
      <c r="L20" s="61" t="str">
        <f>IF(B20="","",IFERROR(VLOOKUP(B20,'ANÁLISE DE DADOS'!$A:$AM,10,0),""))</f>
        <v>2025</v>
      </c>
      <c r="M20" s="62">
        <f>IF(B20="","",IFERROR(VLOOKUP(B20,'ANÁLISE DE DADOS'!$A:$AM,11,0),""))</f>
        <v>45737</v>
      </c>
      <c r="N20" s="61" t="str">
        <f>IF(B20="","",IFERROR(VLOOKUP(B20,'ANÁLISE DE DADOS'!$A:$AM,12,0),""))</f>
        <v>mar-25</v>
      </c>
      <c r="O20" s="61" t="str">
        <f>IF(B20="","",IFERROR(VLOOKUP(B20,'ANÁLISE DE DADOS'!$A:$AM,13,0),""))</f>
        <v>2025</v>
      </c>
      <c r="P20" s="63">
        <f>IF(B20="","",IFERROR(VLOOKUP(B20,'ANÁLISE DE DADOS'!$A:$AM,14,0),""))</f>
        <v>3000</v>
      </c>
      <c r="Q20" s="61" t="str">
        <f>IF(B20="","",IFERROR(VLOOKUP(B20,'ANÁLISE DE DADOS'!$A:$AM,15,0),""))</f>
        <v>Roberto</v>
      </c>
      <c r="R20" s="61" t="str">
        <f>IF(B20="","",IFERROR(VLOOKUP(B20,'ANÁLISE DE DADOS'!$A:$AM,16,0),""))</f>
        <v>ANALISTA SIMONE</v>
      </c>
      <c r="S20" s="61" t="str">
        <f>IF(B20="","",IFERROR(VLOOKUP(B20,'ANÁLISE DE DADOS'!$A:$AM,17,0),""))</f>
        <v>NÃO</v>
      </c>
      <c r="T20" s="61" t="str">
        <f>IF(B20="","",IFERROR(VLOOKUP(B20,'ANÁLISE DE DADOS'!$A:$AM,18,0),""))</f>
        <v>Cancelamento de cobrança solicitado</v>
      </c>
      <c r="U20" s="61" t="str">
        <f ca="1">IF(B20="","",IFERROR(VLOOKUP(B20,'ANÁLISE DE DADOS'!$A:$AM,19,0),""))</f>
        <v>Vencido</v>
      </c>
      <c r="V20" s="61">
        <f ca="1">IF(B20="","",IFERROR(VLOOKUP(B20,'ANÁLISE DE DADOS'!$A:$AM,20,0),""))</f>
        <v>90</v>
      </c>
      <c r="W20" s="61" t="str">
        <f ca="1">IF(B20="","",IFERROR(VLOOKUP(B20,'ANÁLISE DE DADOS'!$A:$AM,21,0),""))</f>
        <v>61+ dias</v>
      </c>
      <c r="X20" s="61" t="str">
        <f ca="1">IF(B20="","",IFERROR(VLOOKUP(B20,'ANÁLISE DE DADOS'!$A:$AM,22,0),""))</f>
        <v>Atraso Crítico</v>
      </c>
      <c r="Y20" s="61" t="str">
        <f>IF(B20="","",IFERROR(VLOOKUP(B20,'ANÁLISE DE DADOS'!$A:$AM,23,0),""))</f>
        <v>-</v>
      </c>
      <c r="Z20" s="61" t="str">
        <f>IF(B20="","",IFERROR(VLOOKUP(B20,'ANÁLISE DE DADOS'!$A:$AM,24,0),""))</f>
        <v>Sim</v>
      </c>
      <c r="AA20" s="61">
        <f>IF(B20="","",IFERROR(VLOOKUP(B20,'ANÁLISE DE DADOS'!$A:$AM,25,0),""))</f>
        <v>0</v>
      </c>
      <c r="AB20" s="61">
        <f>IF(B20="","",IFERROR(VLOOKUP(B20,'ANÁLISE DE DADOS'!$A:$AM,26,0),""))</f>
        <v>1</v>
      </c>
      <c r="AC20" s="61" t="str">
        <f>IF(B20="","",IFERROR(VLOOKUP(B20,'ANÁLISE DE DADOS'!$A:$AM,27,0),""))</f>
        <v>Sim</v>
      </c>
      <c r="AD20" s="62">
        <f>IF(B20="","",IFERROR(VLOOKUP(B20,'ANÁLISE DE DADOS'!$A:$AM,28,0),""))</f>
        <v>45740</v>
      </c>
      <c r="AE20" s="61" t="str">
        <f>IF(B20="","",IFERROR(VLOOKUP(B20,'ANÁLISE DE DADOS'!$A:$AM,29,0),""))</f>
        <v>mar-25</v>
      </c>
      <c r="AF20" s="61" t="str">
        <f>IF(B20="","",IFERROR(VLOOKUP(B20,'ANÁLISE DE DADOS'!$A:$AM,30,0),""))</f>
        <v>2025</v>
      </c>
      <c r="AG20" s="62">
        <f>IF(B20="","",IFERROR(VLOOKUP(B20,'ANÁLISE DE DADOS'!$A:$AM,31,0),""))</f>
        <v>45802</v>
      </c>
      <c r="AH20" s="61" t="str">
        <f>IF(B20="","",IFERROR(VLOOKUP(B20,'ANÁLISE DE DADOS'!$A:$AM,32,0),""))</f>
        <v>mai-25</v>
      </c>
      <c r="AI20" s="61" t="str">
        <f>IF(B20="","",IFERROR(VLOOKUP(B20,'ANÁLISE DE DADOS'!$A:$AM,33,0),""))</f>
        <v>2025</v>
      </c>
      <c r="AJ20" s="61" t="str">
        <f>IF(B20="","",IFERROR(VLOOKUP(B20,'ANÁLISE DE DADOS'!$A:$AM,34,0),""))</f>
        <v>Acompanhando</v>
      </c>
      <c r="AK20" s="63">
        <f ca="1">IF(B20="","",IFERROR(VLOOKUP(B20,'ANÁLISE DE DADOS'!$A:$AM,35,0),""))</f>
        <v>3000</v>
      </c>
      <c r="AL20" s="63" t="str">
        <f ca="1">IF(B20="","",IFERROR(VLOOKUP(B20,'ANÁLISE DE DADOS'!$A:$AM,36,0),""))</f>
        <v>0</v>
      </c>
      <c r="AM20" s="101" t="str">
        <f ca="1">IF(B20="","",IFERROR(VLOOKUP(B20,'ANÁLISE DE DADOS'!$A:$AM,37,0),""))</f>
        <v>Cobrança Extrajudicial</v>
      </c>
    </row>
    <row r="21" spans="2:39" x14ac:dyDescent="0.3">
      <c r="B21" s="30">
        <v>17</v>
      </c>
      <c r="C21" s="61">
        <f>IF(B21="","",IFERROR(VLOOKUP(B21,'ANÁLISE DE DADOS'!$A:$AM,1,0),""))</f>
        <v>17</v>
      </c>
      <c r="D21" s="61" t="str">
        <f>IF(B21="","",IFERROR(VLOOKUP(B21,'ANÁLISE DE DADOS'!$A:$AM,2,0),""))</f>
        <v>Matriz</v>
      </c>
      <c r="E21" s="61" t="str">
        <f>IF(B21="","",IFERROR(VLOOKUP(B21,'ANÁLISE DE DADOS'!$A:$AM,3,0),""))</f>
        <v>Alpha &amp; CIA</v>
      </c>
      <c r="F21" s="61" t="str">
        <f>IF(B21="","",IFERROR(VLOOKUP(B21,'ANÁLISE DE DADOS'!$A:$AM,4,0),""))</f>
        <v>Alpha &amp; CIA</v>
      </c>
      <c r="G21" s="62">
        <f>IF(B21="","",IFERROR(VLOOKUP(B21,'ANÁLISE DE DADOS'!$A:$AM,5,0),""))</f>
        <v>45677</v>
      </c>
      <c r="H21" s="62" t="str">
        <f>IF(B21="","",IFERROR(VLOOKUP(B21,'ANÁLISE DE DADOS'!$A:$AM,6,0),""))</f>
        <v>jan-25</v>
      </c>
      <c r="I21" s="62" t="str">
        <f>IF(B21="","",IFERROR(VLOOKUP(B21,'ANÁLISE DE DADOS'!$A:$AM,7,0),""))</f>
        <v>2025</v>
      </c>
      <c r="J21" s="62">
        <f>IF(B21="","",IFERROR(VLOOKUP(B21,'ANÁLISE DE DADOS'!$A:$AM,8,0),""))</f>
        <v>45706</v>
      </c>
      <c r="K21" s="61" t="str">
        <f>IF(B21="","",IFERROR(VLOOKUP(B21,'ANÁLISE DE DADOS'!$A:$AM,9,0),""))</f>
        <v>fev-25</v>
      </c>
      <c r="L21" s="61" t="str">
        <f>IF(B21="","",IFERROR(VLOOKUP(B21,'ANÁLISE DE DADOS'!$A:$AM,10,0),""))</f>
        <v>2025</v>
      </c>
      <c r="M21" s="62">
        <f>IF(B21="","",IFERROR(VLOOKUP(B21,'ANÁLISE DE DADOS'!$A:$AM,11,0),""))</f>
        <v>45737</v>
      </c>
      <c r="N21" s="61" t="str">
        <f>IF(B21="","",IFERROR(VLOOKUP(B21,'ANÁLISE DE DADOS'!$A:$AM,12,0),""))</f>
        <v>mar-25</v>
      </c>
      <c r="O21" s="61" t="str">
        <f>IF(B21="","",IFERROR(VLOOKUP(B21,'ANÁLISE DE DADOS'!$A:$AM,13,0),""))</f>
        <v>2025</v>
      </c>
      <c r="P21" s="63">
        <f>IF(B21="","",IFERROR(VLOOKUP(B21,'ANÁLISE DE DADOS'!$A:$AM,14,0),""))</f>
        <v>2800</v>
      </c>
      <c r="Q21" s="61" t="str">
        <f>IF(B21="","",IFERROR(VLOOKUP(B21,'ANÁLISE DE DADOS'!$A:$AM,15,0),""))</f>
        <v>Juliana</v>
      </c>
      <c r="R21" s="61" t="str">
        <f>IF(B21="","",IFERROR(VLOOKUP(B21,'ANÁLISE DE DADOS'!$A:$AM,16,0),""))</f>
        <v>ANALISTA SIMONE</v>
      </c>
      <c r="S21" s="61" t="str">
        <f>IF(B21="","",IFERROR(VLOOKUP(B21,'ANÁLISE DE DADOS'!$A:$AM,17,0),""))</f>
        <v>NÃO</v>
      </c>
      <c r="T21" s="61" t="str">
        <f>IF(B21="","",IFERROR(VLOOKUP(B21,'ANÁLISE DE DADOS'!$A:$AM,18,0),""))</f>
        <v>Cliente alegando dificuldades financeiras</v>
      </c>
      <c r="U21" s="61" t="str">
        <f ca="1">IF(B21="","",IFERROR(VLOOKUP(B21,'ANÁLISE DE DADOS'!$A:$AM,19,0),""))</f>
        <v>Vencido</v>
      </c>
      <c r="V21" s="61">
        <f ca="1">IF(B21="","",IFERROR(VLOOKUP(B21,'ANÁLISE DE DADOS'!$A:$AM,20,0),""))</f>
        <v>89</v>
      </c>
      <c r="W21" s="61" t="str">
        <f ca="1">IF(B21="","",IFERROR(VLOOKUP(B21,'ANÁLISE DE DADOS'!$A:$AM,21,0),""))</f>
        <v>61+ dias</v>
      </c>
      <c r="X21" s="61" t="str">
        <f ca="1">IF(B21="","",IFERROR(VLOOKUP(B21,'ANÁLISE DE DADOS'!$A:$AM,22,0),""))</f>
        <v>Atraso Crítico</v>
      </c>
      <c r="Y21" s="61" t="str">
        <f>IF(B21="","",IFERROR(VLOOKUP(B21,'ANÁLISE DE DADOS'!$A:$AM,23,0),""))</f>
        <v>-</v>
      </c>
      <c r="Z21" s="61" t="str">
        <f>IF(B21="","",IFERROR(VLOOKUP(B21,'ANÁLISE DE DADOS'!$A:$AM,24,0),""))</f>
        <v>Sim</v>
      </c>
      <c r="AA21" s="61">
        <f>IF(B21="","",IFERROR(VLOOKUP(B21,'ANÁLISE DE DADOS'!$A:$AM,25,0),""))</f>
        <v>0</v>
      </c>
      <c r="AB21" s="61">
        <f>IF(B21="","",IFERROR(VLOOKUP(B21,'ANÁLISE DE DADOS'!$A:$AM,26,0),""))</f>
        <v>1</v>
      </c>
      <c r="AC21" s="61" t="str">
        <f>IF(B21="","",IFERROR(VLOOKUP(B21,'ANÁLISE DE DADOS'!$A:$AM,27,0),""))</f>
        <v>Sim</v>
      </c>
      <c r="AD21" s="62">
        <f>IF(B21="","",IFERROR(VLOOKUP(B21,'ANÁLISE DE DADOS'!$A:$AM,28,0),""))</f>
        <v>45740</v>
      </c>
      <c r="AE21" s="61" t="str">
        <f>IF(B21="","",IFERROR(VLOOKUP(B21,'ANÁLISE DE DADOS'!$A:$AM,29,0),""))</f>
        <v>mar-25</v>
      </c>
      <c r="AF21" s="61" t="str">
        <f>IF(B21="","",IFERROR(VLOOKUP(B21,'ANÁLISE DE DADOS'!$A:$AM,30,0),""))</f>
        <v>2025</v>
      </c>
      <c r="AG21" s="62">
        <f>IF(B21="","",IFERROR(VLOOKUP(B21,'ANÁLISE DE DADOS'!$A:$AM,31,0),""))</f>
        <v>45802</v>
      </c>
      <c r="AH21" s="61" t="str">
        <f>IF(B21="","",IFERROR(VLOOKUP(B21,'ANÁLISE DE DADOS'!$A:$AM,32,0),""))</f>
        <v>mai-25</v>
      </c>
      <c r="AI21" s="61" t="str">
        <f>IF(B21="","",IFERROR(VLOOKUP(B21,'ANÁLISE DE DADOS'!$A:$AM,33,0),""))</f>
        <v>2025</v>
      </c>
      <c r="AJ21" s="61" t="str">
        <f>IF(B21="","",IFERROR(VLOOKUP(B21,'ANÁLISE DE DADOS'!$A:$AM,34,0),""))</f>
        <v>Acompanhando</v>
      </c>
      <c r="AK21" s="63">
        <f ca="1">IF(B21="","",IFERROR(VLOOKUP(B21,'ANÁLISE DE DADOS'!$A:$AM,35,0),""))</f>
        <v>2800</v>
      </c>
      <c r="AL21" s="63" t="str">
        <f ca="1">IF(B21="","",IFERROR(VLOOKUP(B21,'ANÁLISE DE DADOS'!$A:$AM,36,0),""))</f>
        <v>0</v>
      </c>
      <c r="AM21" s="101" t="str">
        <f ca="1">IF(B21="","",IFERROR(VLOOKUP(B21,'ANÁLISE DE DADOS'!$A:$AM,37,0),""))</f>
        <v>Cobrança Extrajudicial</v>
      </c>
    </row>
    <row r="22" spans="2:39" x14ac:dyDescent="0.3">
      <c r="B22" s="30">
        <v>18</v>
      </c>
      <c r="C22" s="61">
        <f>IF(B22="","",IFERROR(VLOOKUP(B22,'ANÁLISE DE DADOS'!$A:$AM,1,0),""))</f>
        <v>18</v>
      </c>
      <c r="D22" s="61" t="str">
        <f>IF(B22="","",IFERROR(VLOOKUP(B22,'ANÁLISE DE DADOS'!$A:$AM,2,0),""))</f>
        <v>Matriz</v>
      </c>
      <c r="E22" s="61">
        <f>IF(B22="","",IFERROR(VLOOKUP(B22,'ANÁLISE DE DADOS'!$A:$AM,3,0),""))</f>
        <v>0</v>
      </c>
      <c r="F22" s="61" t="str">
        <f>IF(B22="","",IFERROR(VLOOKUP(B22,'ANÁLISE DE DADOS'!$A:$AM,4,0),""))</f>
        <v>MundoInovador</v>
      </c>
      <c r="G22" s="62">
        <f>IF(B22="","",IFERROR(VLOOKUP(B22,'ANÁLISE DE DADOS'!$A:$AM,5,0),""))</f>
        <v>45677</v>
      </c>
      <c r="H22" s="62" t="str">
        <f>IF(B22="","",IFERROR(VLOOKUP(B22,'ANÁLISE DE DADOS'!$A:$AM,6,0),""))</f>
        <v>jan-25</v>
      </c>
      <c r="I22" s="62" t="str">
        <f>IF(B22="","",IFERROR(VLOOKUP(B22,'ANÁLISE DE DADOS'!$A:$AM,7,0),""))</f>
        <v>2025</v>
      </c>
      <c r="J22" s="62">
        <f>IF(B22="","",IFERROR(VLOOKUP(B22,'ANÁLISE DE DADOS'!$A:$AM,8,0),""))</f>
        <v>45707</v>
      </c>
      <c r="K22" s="61" t="str">
        <f>IF(B22="","",IFERROR(VLOOKUP(B22,'ANÁLISE DE DADOS'!$A:$AM,9,0),""))</f>
        <v>fev-25</v>
      </c>
      <c r="L22" s="61" t="str">
        <f>IF(B22="","",IFERROR(VLOOKUP(B22,'ANÁLISE DE DADOS'!$A:$AM,10,0),""))</f>
        <v>2025</v>
      </c>
      <c r="M22" s="62">
        <f>IF(B22="","",IFERROR(VLOOKUP(B22,'ANÁLISE DE DADOS'!$A:$AM,11,0),""))</f>
        <v>45737</v>
      </c>
      <c r="N22" s="61" t="str">
        <f>IF(B22="","",IFERROR(VLOOKUP(B22,'ANÁLISE DE DADOS'!$A:$AM,12,0),""))</f>
        <v>mar-25</v>
      </c>
      <c r="O22" s="61" t="str">
        <f>IF(B22="","",IFERROR(VLOOKUP(B22,'ANÁLISE DE DADOS'!$A:$AM,13,0),""))</f>
        <v>2025</v>
      </c>
      <c r="P22" s="63">
        <f>IF(B22="","",IFERROR(VLOOKUP(B22,'ANÁLISE DE DADOS'!$A:$AM,14,0),""))</f>
        <v>2800</v>
      </c>
      <c r="Q22" s="61" t="str">
        <f>IF(B22="","",IFERROR(VLOOKUP(B22,'ANÁLISE DE DADOS'!$A:$AM,15,0),""))</f>
        <v>Juliana</v>
      </c>
      <c r="R22" s="61" t="str">
        <f>IF(B22="","",IFERROR(VLOOKUP(B22,'ANÁLISE DE DADOS'!$A:$AM,16,0),""))</f>
        <v>ANALISTA SIMONE</v>
      </c>
      <c r="S22" s="61" t="str">
        <f>IF(B22="","",IFERROR(VLOOKUP(B22,'ANÁLISE DE DADOS'!$A:$AM,17,0),""))</f>
        <v>NÃO</v>
      </c>
      <c r="T22" s="61" t="str">
        <f>IF(B22="","",IFERROR(VLOOKUP(B22,'ANÁLISE DE DADOS'!$A:$AM,18,0),""))</f>
        <v>Aguardando resolução interna da empresa</v>
      </c>
      <c r="U22" s="61" t="str">
        <f ca="1">IF(B22="","",IFERROR(VLOOKUP(B22,'ANÁLISE DE DADOS'!$A:$AM,19,0),""))</f>
        <v>Vencido</v>
      </c>
      <c r="V22" s="61">
        <f ca="1">IF(B22="","",IFERROR(VLOOKUP(B22,'ANÁLISE DE DADOS'!$A:$AM,20,0),""))</f>
        <v>88</v>
      </c>
      <c r="W22" s="61" t="str">
        <f ca="1">IF(B22="","",IFERROR(VLOOKUP(B22,'ANÁLISE DE DADOS'!$A:$AM,21,0),""))</f>
        <v>61+ dias</v>
      </c>
      <c r="X22" s="61" t="str">
        <f ca="1">IF(B22="","",IFERROR(VLOOKUP(B22,'ANÁLISE DE DADOS'!$A:$AM,22,0),""))</f>
        <v>Atraso Crítico</v>
      </c>
      <c r="Y22" s="61" t="str">
        <f>IF(B22="","",IFERROR(VLOOKUP(B22,'ANÁLISE DE DADOS'!$A:$AM,23,0),""))</f>
        <v>-</v>
      </c>
      <c r="Z22" s="61" t="str">
        <f>IF(B22="","",IFERROR(VLOOKUP(B22,'ANÁLISE DE DADOS'!$A:$AM,24,0),""))</f>
        <v>Sim</v>
      </c>
      <c r="AA22" s="61">
        <f>IF(B22="","",IFERROR(VLOOKUP(B22,'ANÁLISE DE DADOS'!$A:$AM,25,0),""))</f>
        <v>0</v>
      </c>
      <c r="AB22" s="61">
        <f>IF(B22="","",IFERROR(VLOOKUP(B22,'ANÁLISE DE DADOS'!$A:$AM,26,0),""))</f>
        <v>1</v>
      </c>
      <c r="AC22" s="61" t="str">
        <f>IF(B22="","",IFERROR(VLOOKUP(B22,'ANÁLISE DE DADOS'!$A:$AM,27,0),""))</f>
        <v>Sim</v>
      </c>
      <c r="AD22" s="62">
        <f>IF(B22="","",IFERROR(VLOOKUP(B22,'ANÁLISE DE DADOS'!$A:$AM,28,0),""))</f>
        <v>45740</v>
      </c>
      <c r="AE22" s="61" t="str">
        <f>IF(B22="","",IFERROR(VLOOKUP(B22,'ANÁLISE DE DADOS'!$A:$AM,29,0),""))</f>
        <v>mar-25</v>
      </c>
      <c r="AF22" s="61" t="str">
        <f>IF(B22="","",IFERROR(VLOOKUP(B22,'ANÁLISE DE DADOS'!$A:$AM,30,0),""))</f>
        <v>2025</v>
      </c>
      <c r="AG22" s="62">
        <f>IF(B22="","",IFERROR(VLOOKUP(B22,'ANÁLISE DE DADOS'!$A:$AM,31,0),""))</f>
        <v>45802</v>
      </c>
      <c r="AH22" s="61" t="str">
        <f>IF(B22="","",IFERROR(VLOOKUP(B22,'ANÁLISE DE DADOS'!$A:$AM,32,0),""))</f>
        <v>mai-25</v>
      </c>
      <c r="AI22" s="61" t="str">
        <f>IF(B22="","",IFERROR(VLOOKUP(B22,'ANÁLISE DE DADOS'!$A:$AM,33,0),""))</f>
        <v>2025</v>
      </c>
      <c r="AJ22" s="61" t="str">
        <f>IF(B22="","",IFERROR(VLOOKUP(B22,'ANÁLISE DE DADOS'!$A:$AM,34,0),""))</f>
        <v>Acompanhando</v>
      </c>
      <c r="AK22" s="63">
        <f ca="1">IF(B22="","",IFERROR(VLOOKUP(B22,'ANÁLISE DE DADOS'!$A:$AM,35,0),""))</f>
        <v>2800</v>
      </c>
      <c r="AL22" s="63" t="str">
        <f ca="1">IF(B22="","",IFERROR(VLOOKUP(B22,'ANÁLISE DE DADOS'!$A:$AM,36,0),""))</f>
        <v>0</v>
      </c>
      <c r="AM22" s="101" t="str">
        <f ca="1">IF(B22="","",IFERROR(VLOOKUP(B22,'ANÁLISE DE DADOS'!$A:$AM,37,0),""))</f>
        <v>Cobrança Extrajudicial</v>
      </c>
    </row>
    <row r="23" spans="2:39" x14ac:dyDescent="0.3">
      <c r="B23" s="30">
        <v>19</v>
      </c>
      <c r="C23" s="61">
        <f>IF(B23="","",IFERROR(VLOOKUP(B23,'ANÁLISE DE DADOS'!$A:$AM,1,0),""))</f>
        <v>19</v>
      </c>
      <c r="D23" s="61" t="str">
        <f>IF(B23="","",IFERROR(VLOOKUP(B23,'ANÁLISE DE DADOS'!$A:$AM,2,0),""))</f>
        <v>Filial</v>
      </c>
      <c r="E23" s="61" t="str">
        <f>IF(B23="","",IFERROR(VLOOKUP(B23,'ANÁLISE DE DADOS'!$A:$AM,3,0),""))</f>
        <v>Alpha &amp; CIA</v>
      </c>
      <c r="F23" s="61" t="str">
        <f>IF(B23="","",IFERROR(VLOOKUP(B23,'ANÁLISE DE DADOS'!$A:$AM,4,0),""))</f>
        <v>Alpha &amp; CIA</v>
      </c>
      <c r="G23" s="62">
        <f>IF(B23="","",IFERROR(VLOOKUP(B23,'ANÁLISE DE DADOS'!$A:$AM,5,0),""))</f>
        <v>45682</v>
      </c>
      <c r="H23" s="62" t="str">
        <f>IF(B23="","",IFERROR(VLOOKUP(B23,'ANÁLISE DE DADOS'!$A:$AM,6,0),""))</f>
        <v>jan-25</v>
      </c>
      <c r="I23" s="62" t="str">
        <f>IF(B23="","",IFERROR(VLOOKUP(B23,'ANÁLISE DE DADOS'!$A:$AM,7,0),""))</f>
        <v>2025</v>
      </c>
      <c r="J23" s="62">
        <f>IF(B23="","",IFERROR(VLOOKUP(B23,'ANÁLISE DE DADOS'!$A:$AM,8,0),""))</f>
        <v>45708</v>
      </c>
      <c r="K23" s="61" t="str">
        <f>IF(B23="","",IFERROR(VLOOKUP(B23,'ANÁLISE DE DADOS'!$A:$AM,9,0),""))</f>
        <v>fev-25</v>
      </c>
      <c r="L23" s="61" t="str">
        <f>IF(B23="","",IFERROR(VLOOKUP(B23,'ANÁLISE DE DADOS'!$A:$AM,10,0),""))</f>
        <v>2025</v>
      </c>
      <c r="M23" s="62">
        <f>IF(B23="","",IFERROR(VLOOKUP(B23,'ANÁLISE DE DADOS'!$A:$AM,11,0),""))</f>
        <v>45737</v>
      </c>
      <c r="N23" s="61" t="str">
        <f>IF(B23="","",IFERROR(VLOOKUP(B23,'ANÁLISE DE DADOS'!$A:$AM,12,0),""))</f>
        <v>mar-25</v>
      </c>
      <c r="O23" s="61" t="str">
        <f>IF(B23="","",IFERROR(VLOOKUP(B23,'ANÁLISE DE DADOS'!$A:$AM,13,0),""))</f>
        <v>2025</v>
      </c>
      <c r="P23" s="63">
        <f>IF(B23="","",IFERROR(VLOOKUP(B23,'ANÁLISE DE DADOS'!$A:$AM,14,0),""))</f>
        <v>1200</v>
      </c>
      <c r="Q23" s="61" t="str">
        <f>IF(B23="","",IFERROR(VLOOKUP(B23,'ANÁLISE DE DADOS'!$A:$AM,15,0),""))</f>
        <v>Gustavo</v>
      </c>
      <c r="R23" s="61" t="str">
        <f>IF(B23="","",IFERROR(VLOOKUP(B23,'ANÁLISE DE DADOS'!$A:$AM,16,0),""))</f>
        <v>ANALISTA SIMONE</v>
      </c>
      <c r="S23" s="61" t="str">
        <f>IF(B23="","",IFERROR(VLOOKUP(B23,'ANÁLISE DE DADOS'!$A:$AM,17,0),""))</f>
        <v>NÃO</v>
      </c>
      <c r="T23" s="61" t="str">
        <f>IF(B23="","",IFERROR(VLOOKUP(B23,'ANÁLISE DE DADOS'!$A:$AM,18,0),""))</f>
        <v>Promessa de pagamento não cumprida</v>
      </c>
      <c r="U23" s="61" t="str">
        <f ca="1">IF(B23="","",IFERROR(VLOOKUP(B23,'ANÁLISE DE DADOS'!$A:$AM,19,0),""))</f>
        <v>Vencido</v>
      </c>
      <c r="V23" s="61">
        <f ca="1">IF(B23="","",IFERROR(VLOOKUP(B23,'ANÁLISE DE DADOS'!$A:$AM,20,0),""))</f>
        <v>87</v>
      </c>
      <c r="W23" s="61" t="str">
        <f ca="1">IF(B23="","",IFERROR(VLOOKUP(B23,'ANÁLISE DE DADOS'!$A:$AM,21,0),""))</f>
        <v>61+ dias</v>
      </c>
      <c r="X23" s="61" t="str">
        <f ca="1">IF(B23="","",IFERROR(VLOOKUP(B23,'ANÁLISE DE DADOS'!$A:$AM,22,0),""))</f>
        <v>Atraso Crítico</v>
      </c>
      <c r="Y23" s="61" t="str">
        <f>IF(B23="","",IFERROR(VLOOKUP(B23,'ANÁLISE DE DADOS'!$A:$AM,23,0),""))</f>
        <v>-</v>
      </c>
      <c r="Z23" s="61" t="str">
        <f>IF(B23="","",IFERROR(VLOOKUP(B23,'ANÁLISE DE DADOS'!$A:$AM,24,0),""))</f>
        <v>Sim</v>
      </c>
      <c r="AA23" s="61">
        <f>IF(B23="","",IFERROR(VLOOKUP(B23,'ANÁLISE DE DADOS'!$A:$AM,25,0),""))</f>
        <v>0</v>
      </c>
      <c r="AB23" s="61">
        <f>IF(B23="","",IFERROR(VLOOKUP(B23,'ANÁLISE DE DADOS'!$A:$AM,26,0),""))</f>
        <v>1</v>
      </c>
      <c r="AC23" s="61" t="str">
        <f>IF(B23="","",IFERROR(VLOOKUP(B23,'ANÁLISE DE DADOS'!$A:$AM,27,0),""))</f>
        <v>Sim</v>
      </c>
      <c r="AD23" s="62">
        <f>IF(B23="","",IFERROR(VLOOKUP(B23,'ANÁLISE DE DADOS'!$A:$AM,28,0),""))</f>
        <v>45740</v>
      </c>
      <c r="AE23" s="61" t="str">
        <f>IF(B23="","",IFERROR(VLOOKUP(B23,'ANÁLISE DE DADOS'!$A:$AM,29,0),""))</f>
        <v>mar-25</v>
      </c>
      <c r="AF23" s="61" t="str">
        <f>IF(B23="","",IFERROR(VLOOKUP(B23,'ANÁLISE DE DADOS'!$A:$AM,30,0),""))</f>
        <v>2025</v>
      </c>
      <c r="AG23" s="62">
        <f>IF(B23="","",IFERROR(VLOOKUP(B23,'ANÁLISE DE DADOS'!$A:$AM,31,0),""))</f>
        <v>45802</v>
      </c>
      <c r="AH23" s="61" t="str">
        <f>IF(B23="","",IFERROR(VLOOKUP(B23,'ANÁLISE DE DADOS'!$A:$AM,32,0),""))</f>
        <v>mai-25</v>
      </c>
      <c r="AI23" s="61" t="str">
        <f>IF(B23="","",IFERROR(VLOOKUP(B23,'ANÁLISE DE DADOS'!$A:$AM,33,0),""))</f>
        <v>2025</v>
      </c>
      <c r="AJ23" s="61" t="str">
        <f>IF(B23="","",IFERROR(VLOOKUP(B23,'ANÁLISE DE DADOS'!$A:$AM,34,0),""))</f>
        <v>Acompanhando</v>
      </c>
      <c r="AK23" s="63">
        <f ca="1">IF(B23="","",IFERROR(VLOOKUP(B23,'ANÁLISE DE DADOS'!$A:$AM,35,0),""))</f>
        <v>1200</v>
      </c>
      <c r="AL23" s="63" t="str">
        <f ca="1">IF(B23="","",IFERROR(VLOOKUP(B23,'ANÁLISE DE DADOS'!$A:$AM,36,0),""))</f>
        <v>0</v>
      </c>
      <c r="AM23" s="101" t="str">
        <f ca="1">IF(B23="","",IFERROR(VLOOKUP(B23,'ANÁLISE DE DADOS'!$A:$AM,37,0),""))</f>
        <v>Cobrança Extrajudicial</v>
      </c>
    </row>
    <row r="24" spans="2:39" x14ac:dyDescent="0.3">
      <c r="B24" s="30">
        <v>20</v>
      </c>
      <c r="C24" s="61">
        <f>IF(B24="","",IFERROR(VLOOKUP(B24,'ANÁLISE DE DADOS'!$A:$AM,1,0),""))</f>
        <v>20</v>
      </c>
      <c r="D24" s="61" t="str">
        <f>IF(B24="","",IFERROR(VLOOKUP(B24,'ANÁLISE DE DADOS'!$A:$AM,2,0),""))</f>
        <v>Filial</v>
      </c>
      <c r="E24" s="61">
        <f>IF(B24="","",IFERROR(VLOOKUP(B24,'ANÁLISE DE DADOS'!$A:$AM,3,0),""))</f>
        <v>0</v>
      </c>
      <c r="F24" s="61" t="str">
        <f>IF(B24="","",IFERROR(VLOOKUP(B24,'ANÁLISE DE DADOS'!$A:$AM,4,0),""))</f>
        <v>MundoInovador</v>
      </c>
      <c r="G24" s="62">
        <f>IF(B24="","",IFERROR(VLOOKUP(B24,'ANÁLISE DE DADOS'!$A:$AM,5,0),""))</f>
        <v>45682</v>
      </c>
      <c r="H24" s="62" t="str">
        <f>IF(B24="","",IFERROR(VLOOKUP(B24,'ANÁLISE DE DADOS'!$A:$AM,6,0),""))</f>
        <v>jan-25</v>
      </c>
      <c r="I24" s="62" t="str">
        <f>IF(B24="","",IFERROR(VLOOKUP(B24,'ANÁLISE DE DADOS'!$A:$AM,7,0),""))</f>
        <v>2025</v>
      </c>
      <c r="J24" s="62">
        <f>IF(B24="","",IFERROR(VLOOKUP(B24,'ANÁLISE DE DADOS'!$A:$AM,8,0),""))</f>
        <v>45709</v>
      </c>
      <c r="K24" s="61" t="str">
        <f>IF(B24="","",IFERROR(VLOOKUP(B24,'ANÁLISE DE DADOS'!$A:$AM,9,0),""))</f>
        <v>fev-25</v>
      </c>
      <c r="L24" s="61" t="str">
        <f>IF(B24="","",IFERROR(VLOOKUP(B24,'ANÁLISE DE DADOS'!$A:$AM,10,0),""))</f>
        <v>2025</v>
      </c>
      <c r="M24" s="62">
        <f>IF(B24="","",IFERROR(VLOOKUP(B24,'ANÁLISE DE DADOS'!$A:$AM,11,0),""))</f>
        <v>45709</v>
      </c>
      <c r="N24" s="61" t="str">
        <f>IF(B24="","",IFERROR(VLOOKUP(B24,'ANÁLISE DE DADOS'!$A:$AM,12,0),""))</f>
        <v>fev-25</v>
      </c>
      <c r="O24" s="61" t="str">
        <f>IF(B24="","",IFERROR(VLOOKUP(B24,'ANÁLISE DE DADOS'!$A:$AM,13,0),""))</f>
        <v>2025</v>
      </c>
      <c r="P24" s="63">
        <f>IF(B24="","",IFERROR(VLOOKUP(B24,'ANÁLISE DE DADOS'!$A:$AM,14,0),""))</f>
        <v>1200</v>
      </c>
      <c r="Q24" s="61" t="str">
        <f>IF(B24="","",IFERROR(VLOOKUP(B24,'ANÁLISE DE DADOS'!$A:$AM,15,0),""))</f>
        <v>Gustavo</v>
      </c>
      <c r="R24" s="61" t="str">
        <f>IF(B24="","",IFERROR(VLOOKUP(B24,'ANÁLISE DE DADOS'!$A:$AM,16,0),""))</f>
        <v>ANALISTA SIMONE</v>
      </c>
      <c r="S24" s="61" t="str">
        <f>IF(B24="","",IFERROR(VLOOKUP(B24,'ANÁLISE DE DADOS'!$A:$AM,17,0),""))</f>
        <v>NÃO</v>
      </c>
      <c r="T24" s="61" t="str">
        <f>IF(B24="","",IFERROR(VLOOKUP(B24,'ANÁLISE DE DADOS'!$A:$AM,18,0),""))</f>
        <v>Situação com comercial (aguardando análise comercial)</v>
      </c>
      <c r="U24" s="61" t="str">
        <f ca="1">IF(B24="","",IFERROR(VLOOKUP(B24,'ANÁLISE DE DADOS'!$A:$AM,19,0),""))</f>
        <v>Vencido</v>
      </c>
      <c r="V24" s="61">
        <f ca="1">IF(B24="","",IFERROR(VLOOKUP(B24,'ANÁLISE DE DADOS'!$A:$AM,20,0),""))</f>
        <v>86</v>
      </c>
      <c r="W24" s="61" t="str">
        <f ca="1">IF(B24="","",IFERROR(VLOOKUP(B24,'ANÁLISE DE DADOS'!$A:$AM,21,0),""))</f>
        <v>61+ dias</v>
      </c>
      <c r="X24" s="61" t="str">
        <f ca="1">IF(B24="","",IFERROR(VLOOKUP(B24,'ANÁLISE DE DADOS'!$A:$AM,22,0),""))</f>
        <v>Atraso Crítico</v>
      </c>
      <c r="Y24" s="61" t="str">
        <f>IF(B24="","",IFERROR(VLOOKUP(B24,'ANÁLISE DE DADOS'!$A:$AM,23,0),""))</f>
        <v>-</v>
      </c>
      <c r="Z24" s="61" t="str">
        <f>IF(B24="","",IFERROR(VLOOKUP(B24,'ANÁLISE DE DADOS'!$A:$AM,24,0),""))</f>
        <v>Sim</v>
      </c>
      <c r="AA24" s="61">
        <f>IF(B24="","",IFERROR(VLOOKUP(B24,'ANÁLISE DE DADOS'!$A:$AM,25,0),""))</f>
        <v>0</v>
      </c>
      <c r="AB24" s="61">
        <f>IF(B24="","",IFERROR(VLOOKUP(B24,'ANÁLISE DE DADOS'!$A:$AM,26,0),""))</f>
        <v>1</v>
      </c>
      <c r="AC24" s="61" t="str">
        <f>IF(B24="","",IFERROR(VLOOKUP(B24,'ANÁLISE DE DADOS'!$A:$AM,27,0),""))</f>
        <v>Sim</v>
      </c>
      <c r="AD24" s="62">
        <f>IF(B24="","",IFERROR(VLOOKUP(B24,'ANÁLISE DE DADOS'!$A:$AM,28,0),""))</f>
        <v>45740</v>
      </c>
      <c r="AE24" s="61" t="str">
        <f>IF(B24="","",IFERROR(VLOOKUP(B24,'ANÁLISE DE DADOS'!$A:$AM,29,0),""))</f>
        <v>mar-25</v>
      </c>
      <c r="AF24" s="61" t="str">
        <f>IF(B24="","",IFERROR(VLOOKUP(B24,'ANÁLISE DE DADOS'!$A:$AM,30,0),""))</f>
        <v>2025</v>
      </c>
      <c r="AG24" s="62">
        <f>IF(B24="","",IFERROR(VLOOKUP(B24,'ANÁLISE DE DADOS'!$A:$AM,31,0),""))</f>
        <v>45802</v>
      </c>
      <c r="AH24" s="61" t="str">
        <f>IF(B24="","",IFERROR(VLOOKUP(B24,'ANÁLISE DE DADOS'!$A:$AM,32,0),""))</f>
        <v>mai-25</v>
      </c>
      <c r="AI24" s="61" t="str">
        <f>IF(B24="","",IFERROR(VLOOKUP(B24,'ANÁLISE DE DADOS'!$A:$AM,33,0),""))</f>
        <v>2025</v>
      </c>
      <c r="AJ24" s="61" t="str">
        <f>IF(B24="","",IFERROR(VLOOKUP(B24,'ANÁLISE DE DADOS'!$A:$AM,34,0),""))</f>
        <v>Acompanhando</v>
      </c>
      <c r="AK24" s="63">
        <f ca="1">IF(B24="","",IFERROR(VLOOKUP(B24,'ANÁLISE DE DADOS'!$A:$AM,35,0),""))</f>
        <v>1200</v>
      </c>
      <c r="AL24" s="63" t="str">
        <f ca="1">IF(B24="","",IFERROR(VLOOKUP(B24,'ANÁLISE DE DADOS'!$A:$AM,36,0),""))</f>
        <v>0</v>
      </c>
      <c r="AM24" s="101" t="str">
        <f ca="1">IF(B24="","",IFERROR(VLOOKUP(B24,'ANÁLISE DE DADOS'!$A:$AM,37,0),""))</f>
        <v>Cobrança Extrajudicial</v>
      </c>
    </row>
    <row r="25" spans="2:39" x14ac:dyDescent="0.3">
      <c r="B25" s="30">
        <v>21</v>
      </c>
      <c r="C25" s="61">
        <f>IF(B25="","",IFERROR(VLOOKUP(B25,'ANÁLISE DE DADOS'!$A:$AM,1,0),""))</f>
        <v>21</v>
      </c>
      <c r="D25" s="61" t="str">
        <f>IF(B25="","",IFERROR(VLOOKUP(B25,'ANÁLISE DE DADOS'!$A:$AM,2,0),""))</f>
        <v>Matriz</v>
      </c>
      <c r="E25" s="61" t="str">
        <f>IF(B25="","",IFERROR(VLOOKUP(B25,'ANÁLISE DE DADOS'!$A:$AM,3,0),""))</f>
        <v>Gamma &amp; CIA</v>
      </c>
      <c r="F25" s="61" t="str">
        <f>IF(B25="","",IFERROR(VLOOKUP(B25,'ANÁLISE DE DADOS'!$A:$AM,4,0),""))</f>
        <v>Gamma &amp; CIA</v>
      </c>
      <c r="G25" s="62">
        <f>IF(B25="","",IFERROR(VLOOKUP(B25,'ANÁLISE DE DADOS'!$A:$AM,5,0),""))</f>
        <v>45689</v>
      </c>
      <c r="H25" s="62" t="str">
        <f>IF(B25="","",IFERROR(VLOOKUP(B25,'ANÁLISE DE DADOS'!$A:$AM,6,0),""))</f>
        <v>fev-25</v>
      </c>
      <c r="I25" s="62" t="str">
        <f>IF(B25="","",IFERROR(VLOOKUP(B25,'ANÁLISE DE DADOS'!$A:$AM,7,0),""))</f>
        <v>2025</v>
      </c>
      <c r="J25" s="62">
        <f>IF(B25="","",IFERROR(VLOOKUP(B25,'ANÁLISE DE DADOS'!$A:$AM,8,0),""))</f>
        <v>45708</v>
      </c>
      <c r="K25" s="61" t="str">
        <f>IF(B25="","",IFERROR(VLOOKUP(B25,'ANÁLISE DE DADOS'!$A:$AM,9,0),""))</f>
        <v>fev-25</v>
      </c>
      <c r="L25" s="61" t="str">
        <f>IF(B25="","",IFERROR(VLOOKUP(B25,'ANÁLISE DE DADOS'!$A:$AM,10,0),""))</f>
        <v>2025</v>
      </c>
      <c r="M25" s="62">
        <f>IF(B25="","",IFERROR(VLOOKUP(B25,'ANÁLISE DE DADOS'!$A:$AM,11,0),""))</f>
        <v>45708</v>
      </c>
      <c r="N25" s="61" t="str">
        <f>IF(B25="","",IFERROR(VLOOKUP(B25,'ANÁLISE DE DADOS'!$A:$AM,12,0),""))</f>
        <v>fev-25</v>
      </c>
      <c r="O25" s="61" t="str">
        <f>IF(B25="","",IFERROR(VLOOKUP(B25,'ANÁLISE DE DADOS'!$A:$AM,13,0),""))</f>
        <v>2025</v>
      </c>
      <c r="P25" s="63">
        <f>IF(B25="","",IFERROR(VLOOKUP(B25,'ANÁLISE DE DADOS'!$A:$AM,14,0),""))</f>
        <v>2500</v>
      </c>
      <c r="Q25" s="61" t="str">
        <f>IF(B25="","",IFERROR(VLOOKUP(B25,'ANÁLISE DE DADOS'!$A:$AM,15,0),""))</f>
        <v>Fernanda</v>
      </c>
      <c r="R25" s="61" t="str">
        <f>IF(B25="","",IFERROR(VLOOKUP(B25,'ANÁLISE DE DADOS'!$A:$AM,16,0),""))</f>
        <v>ANALISTA SIMONE</v>
      </c>
      <c r="S25" s="61" t="str">
        <f>IF(B25="","",IFERROR(VLOOKUP(B25,'ANÁLISE DE DADOS'!$A:$AM,17,0),""))</f>
        <v>NÃO</v>
      </c>
      <c r="T25" s="61" t="str">
        <f>IF(B25="","",IFERROR(VLOOKUP(B25,'ANÁLISE DE DADOS'!$A:$AM,18,0),""))</f>
        <v>Acordo de pagamento pendente</v>
      </c>
      <c r="U25" s="61" t="str">
        <f ca="1">IF(B25="","",IFERROR(VLOOKUP(B25,'ANÁLISE DE DADOS'!$A:$AM,19,0),""))</f>
        <v>Vencido</v>
      </c>
      <c r="V25" s="61">
        <f ca="1">IF(B25="","",IFERROR(VLOOKUP(B25,'ANÁLISE DE DADOS'!$A:$AM,20,0),""))</f>
        <v>87</v>
      </c>
      <c r="W25" s="61" t="str">
        <f ca="1">IF(B25="","",IFERROR(VLOOKUP(B25,'ANÁLISE DE DADOS'!$A:$AM,21,0),""))</f>
        <v>61+ dias</v>
      </c>
      <c r="X25" s="61" t="str">
        <f ca="1">IF(B25="","",IFERROR(VLOOKUP(B25,'ANÁLISE DE DADOS'!$A:$AM,22,0),""))</f>
        <v>Atraso Crítico</v>
      </c>
      <c r="Y25" s="61" t="str">
        <f>IF(B25="","",IFERROR(VLOOKUP(B25,'ANÁLISE DE DADOS'!$A:$AM,23,0),""))</f>
        <v>-</v>
      </c>
      <c r="Z25" s="61" t="str">
        <f>IF(B25="","",IFERROR(VLOOKUP(B25,'ANÁLISE DE DADOS'!$A:$AM,24,0),""))</f>
        <v>Sim</v>
      </c>
      <c r="AA25" s="61">
        <f>IF(B25="","",IFERROR(VLOOKUP(B25,'ANÁLISE DE DADOS'!$A:$AM,25,0),""))</f>
        <v>0</v>
      </c>
      <c r="AB25" s="61">
        <f>IF(B25="","",IFERROR(VLOOKUP(B25,'ANÁLISE DE DADOS'!$A:$AM,26,0),""))</f>
        <v>1</v>
      </c>
      <c r="AC25" s="61" t="str">
        <f>IF(B25="","",IFERROR(VLOOKUP(B25,'ANÁLISE DE DADOS'!$A:$AM,27,0),""))</f>
        <v>Sim</v>
      </c>
      <c r="AD25" s="62">
        <f>IF(B25="","",IFERROR(VLOOKUP(B25,'ANÁLISE DE DADOS'!$A:$AM,28,0),""))</f>
        <v>45740</v>
      </c>
      <c r="AE25" s="61" t="str">
        <f>IF(B25="","",IFERROR(VLOOKUP(B25,'ANÁLISE DE DADOS'!$A:$AM,29,0),""))</f>
        <v>mar-25</v>
      </c>
      <c r="AF25" s="61" t="str">
        <f>IF(B25="","",IFERROR(VLOOKUP(B25,'ANÁLISE DE DADOS'!$A:$AM,30,0),""))</f>
        <v>2025</v>
      </c>
      <c r="AG25" s="62">
        <f>IF(B25="","",IFERROR(VLOOKUP(B25,'ANÁLISE DE DADOS'!$A:$AM,31,0),""))</f>
        <v>45802</v>
      </c>
      <c r="AH25" s="61" t="str">
        <f>IF(B25="","",IFERROR(VLOOKUP(B25,'ANÁLISE DE DADOS'!$A:$AM,32,0),""))</f>
        <v>mai-25</v>
      </c>
      <c r="AI25" s="61" t="str">
        <f>IF(B25="","",IFERROR(VLOOKUP(B25,'ANÁLISE DE DADOS'!$A:$AM,33,0),""))</f>
        <v>2025</v>
      </c>
      <c r="AJ25" s="61" t="str">
        <f>IF(B25="","",IFERROR(VLOOKUP(B25,'ANÁLISE DE DADOS'!$A:$AM,34,0),""))</f>
        <v>Acompanhando</v>
      </c>
      <c r="AK25" s="63">
        <f ca="1">IF(B25="","",IFERROR(VLOOKUP(B25,'ANÁLISE DE DADOS'!$A:$AM,35,0),""))</f>
        <v>2500</v>
      </c>
      <c r="AL25" s="63" t="str">
        <f ca="1">IF(B25="","",IFERROR(VLOOKUP(B25,'ANÁLISE DE DADOS'!$A:$AM,36,0),""))</f>
        <v>0</v>
      </c>
      <c r="AM25" s="101" t="str">
        <f ca="1">IF(B25="","",IFERROR(VLOOKUP(B25,'ANÁLISE DE DADOS'!$A:$AM,37,0),""))</f>
        <v>Cobrança Extrajudicial</v>
      </c>
    </row>
    <row r="26" spans="2:39" x14ac:dyDescent="0.3">
      <c r="B26" s="30">
        <v>22</v>
      </c>
      <c r="C26" s="61">
        <f>IF(B26="","",IFERROR(VLOOKUP(B26,'ANÁLISE DE DADOS'!$A:$AM,1,0),""))</f>
        <v>22</v>
      </c>
      <c r="D26" s="61" t="str">
        <f>IF(B26="","",IFERROR(VLOOKUP(B26,'ANÁLISE DE DADOS'!$A:$AM,2,0),""))</f>
        <v>Matriz</v>
      </c>
      <c r="E26" s="61">
        <f>IF(B26="","",IFERROR(VLOOKUP(B26,'ANÁLISE DE DADOS'!$A:$AM,3,0),""))</f>
        <v>0</v>
      </c>
      <c r="F26" s="61" t="str">
        <f>IF(B26="","",IFERROR(VLOOKUP(B26,'ANÁLISE DE DADOS'!$A:$AM,4,0),""))</f>
        <v>MundoInovador</v>
      </c>
      <c r="G26" s="62">
        <f>IF(B26="","",IFERROR(VLOOKUP(B26,'ANÁLISE DE DADOS'!$A:$AM,5,0),""))</f>
        <v>45689</v>
      </c>
      <c r="H26" s="62" t="str">
        <f>IF(B26="","",IFERROR(VLOOKUP(B26,'ANÁLISE DE DADOS'!$A:$AM,6,0),""))</f>
        <v>fev-25</v>
      </c>
      <c r="I26" s="62" t="str">
        <f>IF(B26="","",IFERROR(VLOOKUP(B26,'ANÁLISE DE DADOS'!$A:$AM,7,0),""))</f>
        <v>2025</v>
      </c>
      <c r="J26" s="62">
        <f>IF(B26="","",IFERROR(VLOOKUP(B26,'ANÁLISE DE DADOS'!$A:$AM,8,0),""))</f>
        <v>45709</v>
      </c>
      <c r="K26" s="61" t="str">
        <f>IF(B26="","",IFERROR(VLOOKUP(B26,'ANÁLISE DE DADOS'!$A:$AM,9,0),""))</f>
        <v>fev-25</v>
      </c>
      <c r="L26" s="61" t="str">
        <f>IF(B26="","",IFERROR(VLOOKUP(B26,'ANÁLISE DE DADOS'!$A:$AM,10,0),""))</f>
        <v>2025</v>
      </c>
      <c r="M26" s="62">
        <f>IF(B26="","",IFERROR(VLOOKUP(B26,'ANÁLISE DE DADOS'!$A:$AM,11,0),""))</f>
        <v>45709</v>
      </c>
      <c r="N26" s="61" t="str">
        <f>IF(B26="","",IFERROR(VLOOKUP(B26,'ANÁLISE DE DADOS'!$A:$AM,12,0),""))</f>
        <v>fev-25</v>
      </c>
      <c r="O26" s="61" t="str">
        <f>IF(B26="","",IFERROR(VLOOKUP(B26,'ANÁLISE DE DADOS'!$A:$AM,13,0),""))</f>
        <v>2025</v>
      </c>
      <c r="P26" s="63">
        <f>IF(B26="","",IFERROR(VLOOKUP(B26,'ANÁLISE DE DADOS'!$A:$AM,14,0),""))</f>
        <v>2500</v>
      </c>
      <c r="Q26" s="61" t="str">
        <f>IF(B26="","",IFERROR(VLOOKUP(B26,'ANÁLISE DE DADOS'!$A:$AM,15,0),""))</f>
        <v>Fernanda</v>
      </c>
      <c r="R26" s="61" t="str">
        <f>IF(B26="","",IFERROR(VLOOKUP(B26,'ANÁLISE DE DADOS'!$A:$AM,16,0),""))</f>
        <v>ANALISTA SIMONE</v>
      </c>
      <c r="S26" s="61" t="str">
        <f>IF(B26="","",IFERROR(VLOOKUP(B26,'ANÁLISE DE DADOS'!$A:$AM,17,0),""))</f>
        <v>NÃO</v>
      </c>
      <c r="T26" s="61" t="str">
        <f>IF(B26="","",IFERROR(VLOOKUP(B26,'ANÁLISE DE DADOS'!$A:$AM,18,0),""))</f>
        <v>Aguardando aprovação de crédito</v>
      </c>
      <c r="U26" s="61" t="str">
        <f ca="1">IF(B26="","",IFERROR(VLOOKUP(B26,'ANÁLISE DE DADOS'!$A:$AM,19,0),""))</f>
        <v>Vencido</v>
      </c>
      <c r="V26" s="61">
        <f ca="1">IF(B26="","",IFERROR(VLOOKUP(B26,'ANÁLISE DE DADOS'!$A:$AM,20,0),""))</f>
        <v>86</v>
      </c>
      <c r="W26" s="61" t="str">
        <f ca="1">IF(B26="","",IFERROR(VLOOKUP(B26,'ANÁLISE DE DADOS'!$A:$AM,21,0),""))</f>
        <v>61+ dias</v>
      </c>
      <c r="X26" s="61" t="str">
        <f ca="1">IF(B26="","",IFERROR(VLOOKUP(B26,'ANÁLISE DE DADOS'!$A:$AM,22,0),""))</f>
        <v>Atraso Crítico</v>
      </c>
      <c r="Y26" s="61" t="str">
        <f>IF(B26="","",IFERROR(VLOOKUP(B26,'ANÁLISE DE DADOS'!$A:$AM,23,0),""))</f>
        <v>-</v>
      </c>
      <c r="Z26" s="61" t="str">
        <f>IF(B26="","",IFERROR(VLOOKUP(B26,'ANÁLISE DE DADOS'!$A:$AM,24,0),""))</f>
        <v>Sim</v>
      </c>
      <c r="AA26" s="61">
        <f>IF(B26="","",IFERROR(VLOOKUP(B26,'ANÁLISE DE DADOS'!$A:$AM,25,0),""))</f>
        <v>0</v>
      </c>
      <c r="AB26" s="61">
        <f>IF(B26="","",IFERROR(VLOOKUP(B26,'ANÁLISE DE DADOS'!$A:$AM,26,0),""))</f>
        <v>1</v>
      </c>
      <c r="AC26" s="61" t="str">
        <f>IF(B26="","",IFERROR(VLOOKUP(B26,'ANÁLISE DE DADOS'!$A:$AM,27,0),""))</f>
        <v>Sim</v>
      </c>
      <c r="AD26" s="62">
        <f>IF(B26="","",IFERROR(VLOOKUP(B26,'ANÁLISE DE DADOS'!$A:$AM,28,0),""))</f>
        <v>45740</v>
      </c>
      <c r="AE26" s="61" t="str">
        <f>IF(B26="","",IFERROR(VLOOKUP(B26,'ANÁLISE DE DADOS'!$A:$AM,29,0),""))</f>
        <v>mar-25</v>
      </c>
      <c r="AF26" s="61" t="str">
        <f>IF(B26="","",IFERROR(VLOOKUP(B26,'ANÁLISE DE DADOS'!$A:$AM,30,0),""))</f>
        <v>2025</v>
      </c>
      <c r="AG26" s="62">
        <f>IF(B26="","",IFERROR(VLOOKUP(B26,'ANÁLISE DE DADOS'!$A:$AM,31,0),""))</f>
        <v>45802</v>
      </c>
      <c r="AH26" s="61" t="str">
        <f>IF(B26="","",IFERROR(VLOOKUP(B26,'ANÁLISE DE DADOS'!$A:$AM,32,0),""))</f>
        <v>mai-25</v>
      </c>
      <c r="AI26" s="61" t="str">
        <f>IF(B26="","",IFERROR(VLOOKUP(B26,'ANÁLISE DE DADOS'!$A:$AM,33,0),""))</f>
        <v>2025</v>
      </c>
      <c r="AJ26" s="61" t="str">
        <f>IF(B26="","",IFERROR(VLOOKUP(B26,'ANÁLISE DE DADOS'!$A:$AM,34,0),""))</f>
        <v>Acompanhando</v>
      </c>
      <c r="AK26" s="63">
        <f ca="1">IF(B26="","",IFERROR(VLOOKUP(B26,'ANÁLISE DE DADOS'!$A:$AM,35,0),""))</f>
        <v>2500</v>
      </c>
      <c r="AL26" s="63" t="str">
        <f ca="1">IF(B26="","",IFERROR(VLOOKUP(B26,'ANÁLISE DE DADOS'!$A:$AM,36,0),""))</f>
        <v>0</v>
      </c>
      <c r="AM26" s="101" t="str">
        <f ca="1">IF(B26="","",IFERROR(VLOOKUP(B26,'ANÁLISE DE DADOS'!$A:$AM,37,0),""))</f>
        <v>Cobrança Extrajudicial</v>
      </c>
    </row>
    <row r="27" spans="2:39" x14ac:dyDescent="0.3">
      <c r="B27" s="30">
        <v>23</v>
      </c>
      <c r="C27" s="61">
        <f>IF(B27="","",IFERROR(VLOOKUP(B27,'ANÁLISE DE DADOS'!$A:$AM,1,0),""))</f>
        <v>23</v>
      </c>
      <c r="D27" s="61" t="str">
        <f>IF(B27="","",IFERROR(VLOOKUP(B27,'ANÁLISE DE DADOS'!$A:$AM,2,0),""))</f>
        <v>Filial</v>
      </c>
      <c r="E27" s="61" t="str">
        <f>IF(B27="","",IFERROR(VLOOKUP(B27,'ANÁLISE DE DADOS'!$A:$AM,3,0),""))</f>
        <v>Gamma &amp; CIA</v>
      </c>
      <c r="F27" s="61" t="str">
        <f>IF(B27="","",IFERROR(VLOOKUP(B27,'ANÁLISE DE DADOS'!$A:$AM,4,0),""))</f>
        <v>Gamma &amp; CIA</v>
      </c>
      <c r="G27" s="62">
        <f>IF(B27="","",IFERROR(VLOOKUP(B27,'ANÁLISE DE DADOS'!$A:$AM,5,0),""))</f>
        <v>45690</v>
      </c>
      <c r="H27" s="62" t="str">
        <f>IF(B27="","",IFERROR(VLOOKUP(B27,'ANÁLISE DE DADOS'!$A:$AM,6,0),""))</f>
        <v>fev-25</v>
      </c>
      <c r="I27" s="62" t="str">
        <f>IF(B27="","",IFERROR(VLOOKUP(B27,'ANÁLISE DE DADOS'!$A:$AM,7,0),""))</f>
        <v>2025</v>
      </c>
      <c r="J27" s="62">
        <f>IF(B27="","",IFERROR(VLOOKUP(B27,'ANÁLISE DE DADOS'!$A:$AM,8,0),""))</f>
        <v>45710</v>
      </c>
      <c r="K27" s="61" t="str">
        <f>IF(B27="","",IFERROR(VLOOKUP(B27,'ANÁLISE DE DADOS'!$A:$AM,9,0),""))</f>
        <v>fev-25</v>
      </c>
      <c r="L27" s="61" t="str">
        <f>IF(B27="","",IFERROR(VLOOKUP(B27,'ANÁLISE DE DADOS'!$A:$AM,10,0),""))</f>
        <v>2025</v>
      </c>
      <c r="M27" s="62">
        <f>IF(B27="","",IFERROR(VLOOKUP(B27,'ANÁLISE DE DADOS'!$A:$AM,11,0),""))</f>
        <v>45710</v>
      </c>
      <c r="N27" s="61" t="str">
        <f>IF(B27="","",IFERROR(VLOOKUP(B27,'ANÁLISE DE DADOS'!$A:$AM,12,0),""))</f>
        <v>fev-25</v>
      </c>
      <c r="O27" s="61" t="str">
        <f>IF(B27="","",IFERROR(VLOOKUP(B27,'ANÁLISE DE DADOS'!$A:$AM,13,0),""))</f>
        <v>2025</v>
      </c>
      <c r="P27" s="63">
        <f>IF(B27="","",IFERROR(VLOOKUP(B27,'ANÁLISE DE DADOS'!$A:$AM,14,0),""))</f>
        <v>3000</v>
      </c>
      <c r="Q27" s="61" t="str">
        <f>IF(B27="","",IFERROR(VLOOKUP(B27,'ANÁLISE DE DADOS'!$A:$AM,15,0),""))</f>
        <v>Felipe</v>
      </c>
      <c r="R27" s="61" t="str">
        <f>IF(B27="","",IFERROR(VLOOKUP(B27,'ANÁLISE DE DADOS'!$A:$AM,16,0),""))</f>
        <v>ANALISTA SIMONE</v>
      </c>
      <c r="S27" s="61" t="str">
        <f>IF(B27="","",IFERROR(VLOOKUP(B27,'ANÁLISE DE DADOS'!$A:$AM,17,0),""))</f>
        <v>NÃO</v>
      </c>
      <c r="T27" s="61" t="str">
        <f>IF(B27="","",IFERROR(VLOOKUP(B27,'ANÁLISE DE DADOS'!$A:$AM,18,0),""))</f>
        <v>Cliente não localizado</v>
      </c>
      <c r="U27" s="61" t="str">
        <f ca="1">IF(B27="","",IFERROR(VLOOKUP(B27,'ANÁLISE DE DADOS'!$A:$AM,19,0),""))</f>
        <v>Vencido</v>
      </c>
      <c r="V27" s="61">
        <f ca="1">IF(B27="","",IFERROR(VLOOKUP(B27,'ANÁLISE DE DADOS'!$A:$AM,20,0),""))</f>
        <v>85</v>
      </c>
      <c r="W27" s="61" t="str">
        <f ca="1">IF(B27="","",IFERROR(VLOOKUP(B27,'ANÁLISE DE DADOS'!$A:$AM,21,0),""))</f>
        <v>61+ dias</v>
      </c>
      <c r="X27" s="61" t="str">
        <f ca="1">IF(B27="","",IFERROR(VLOOKUP(B27,'ANÁLISE DE DADOS'!$A:$AM,22,0),""))</f>
        <v>Atraso Crítico</v>
      </c>
      <c r="Y27" s="61" t="str">
        <f>IF(B27="","",IFERROR(VLOOKUP(B27,'ANÁLISE DE DADOS'!$A:$AM,23,0),""))</f>
        <v>-</v>
      </c>
      <c r="Z27" s="61" t="str">
        <f>IF(B27="","",IFERROR(VLOOKUP(B27,'ANÁLISE DE DADOS'!$A:$AM,24,0),""))</f>
        <v>Sim</v>
      </c>
      <c r="AA27" s="61">
        <f>IF(B27="","",IFERROR(VLOOKUP(B27,'ANÁLISE DE DADOS'!$A:$AM,25,0),""))</f>
        <v>0</v>
      </c>
      <c r="AB27" s="61">
        <f>IF(B27="","",IFERROR(VLOOKUP(B27,'ANÁLISE DE DADOS'!$A:$AM,26,0),""))</f>
        <v>1</v>
      </c>
      <c r="AC27" s="61" t="str">
        <f>IF(B27="","",IFERROR(VLOOKUP(B27,'ANÁLISE DE DADOS'!$A:$AM,27,0),""))</f>
        <v>Sim</v>
      </c>
      <c r="AD27" s="62">
        <f>IF(B27="","",IFERROR(VLOOKUP(B27,'ANÁLISE DE DADOS'!$A:$AM,28,0),""))</f>
        <v>45740</v>
      </c>
      <c r="AE27" s="61" t="str">
        <f>IF(B27="","",IFERROR(VLOOKUP(B27,'ANÁLISE DE DADOS'!$A:$AM,29,0),""))</f>
        <v>mar-25</v>
      </c>
      <c r="AF27" s="61" t="str">
        <f>IF(B27="","",IFERROR(VLOOKUP(B27,'ANÁLISE DE DADOS'!$A:$AM,30,0),""))</f>
        <v>2025</v>
      </c>
      <c r="AG27" s="62">
        <f>IF(B27="","",IFERROR(VLOOKUP(B27,'ANÁLISE DE DADOS'!$A:$AM,31,0),""))</f>
        <v>45740</v>
      </c>
      <c r="AH27" s="61" t="str">
        <f>IF(B27="","",IFERROR(VLOOKUP(B27,'ANÁLISE DE DADOS'!$A:$AM,32,0),""))</f>
        <v>mar-25</v>
      </c>
      <c r="AI27" s="61" t="str">
        <f>IF(B27="","",IFERROR(VLOOKUP(B27,'ANÁLISE DE DADOS'!$A:$AM,33,0),""))</f>
        <v>2025</v>
      </c>
      <c r="AJ27" s="61" t="str">
        <f>IF(B27="","",IFERROR(VLOOKUP(B27,'ANÁLISE DE DADOS'!$A:$AM,34,0),""))</f>
        <v>Acompanhando</v>
      </c>
      <c r="AK27" s="63">
        <f ca="1">IF(B27="","",IFERROR(VLOOKUP(B27,'ANÁLISE DE DADOS'!$A:$AM,35,0),""))</f>
        <v>3000</v>
      </c>
      <c r="AL27" s="63" t="str">
        <f ca="1">IF(B27="","",IFERROR(VLOOKUP(B27,'ANÁLISE DE DADOS'!$A:$AM,36,0),""))</f>
        <v>0</v>
      </c>
      <c r="AM27" s="101" t="str">
        <f ca="1">IF(B27="","",IFERROR(VLOOKUP(B27,'ANÁLISE DE DADOS'!$A:$AM,37,0),""))</f>
        <v>Cobrança Extrajudicial</v>
      </c>
    </row>
    <row r="28" spans="2:39" x14ac:dyDescent="0.3">
      <c r="B28" s="30">
        <v>24</v>
      </c>
      <c r="C28" s="61">
        <f>IF(B28="","",IFERROR(VLOOKUP(B28,'ANÁLISE DE DADOS'!$A:$AM,1,0),""))</f>
        <v>24</v>
      </c>
      <c r="D28" s="61" t="str">
        <f>IF(B28="","",IFERROR(VLOOKUP(B28,'ANÁLISE DE DADOS'!$A:$AM,2,0),""))</f>
        <v>Filial</v>
      </c>
      <c r="E28" s="61">
        <f>IF(B28="","",IFERROR(VLOOKUP(B28,'ANÁLISE DE DADOS'!$A:$AM,3,0),""))</f>
        <v>0</v>
      </c>
      <c r="F28" s="61" t="str">
        <f>IF(B28="","",IFERROR(VLOOKUP(B28,'ANÁLISE DE DADOS'!$A:$AM,4,0),""))</f>
        <v>MundoInovador</v>
      </c>
      <c r="G28" s="62">
        <f>IF(B28="","",IFERROR(VLOOKUP(B28,'ANÁLISE DE DADOS'!$A:$AM,5,0),""))</f>
        <v>45690</v>
      </c>
      <c r="H28" s="62" t="str">
        <f>IF(B28="","",IFERROR(VLOOKUP(B28,'ANÁLISE DE DADOS'!$A:$AM,6,0),""))</f>
        <v>fev-25</v>
      </c>
      <c r="I28" s="62" t="str">
        <f>IF(B28="","",IFERROR(VLOOKUP(B28,'ANÁLISE DE DADOS'!$A:$AM,7,0),""))</f>
        <v>2025</v>
      </c>
      <c r="J28" s="62">
        <f>IF(B28="","",IFERROR(VLOOKUP(B28,'ANÁLISE DE DADOS'!$A:$AM,8,0),""))</f>
        <v>45711</v>
      </c>
      <c r="K28" s="61" t="str">
        <f>IF(B28="","",IFERROR(VLOOKUP(B28,'ANÁLISE DE DADOS'!$A:$AM,9,0),""))</f>
        <v>fev-25</v>
      </c>
      <c r="L28" s="61" t="str">
        <f>IF(B28="","",IFERROR(VLOOKUP(B28,'ANÁLISE DE DADOS'!$A:$AM,10,0),""))</f>
        <v>2025</v>
      </c>
      <c r="M28" s="62">
        <f>IF(B28="","",IFERROR(VLOOKUP(B28,'ANÁLISE DE DADOS'!$A:$AM,11,0),""))</f>
        <v>45711</v>
      </c>
      <c r="N28" s="61" t="str">
        <f>IF(B28="","",IFERROR(VLOOKUP(B28,'ANÁLISE DE DADOS'!$A:$AM,12,0),""))</f>
        <v>fev-25</v>
      </c>
      <c r="O28" s="61" t="str">
        <f>IF(B28="","",IFERROR(VLOOKUP(B28,'ANÁLISE DE DADOS'!$A:$AM,13,0),""))</f>
        <v>2025</v>
      </c>
      <c r="P28" s="63">
        <f>IF(B28="","",IFERROR(VLOOKUP(B28,'ANÁLISE DE DADOS'!$A:$AM,14,0),""))</f>
        <v>3000</v>
      </c>
      <c r="Q28" s="61" t="str">
        <f>IF(B28="","",IFERROR(VLOOKUP(B28,'ANÁLISE DE DADOS'!$A:$AM,15,0),""))</f>
        <v>Felipe</v>
      </c>
      <c r="R28" s="61" t="str">
        <f>IF(B28="","",IFERROR(VLOOKUP(B28,'ANÁLISE DE DADOS'!$A:$AM,16,0),""))</f>
        <v>ANALISTA GUSTAVO</v>
      </c>
      <c r="S28" s="61" t="str">
        <f>IF(B28="","",IFERROR(VLOOKUP(B28,'ANÁLISE DE DADOS'!$A:$AM,17,0),""))</f>
        <v>NÃO</v>
      </c>
      <c r="T28" s="61" t="str">
        <f>IF(B28="","",IFERROR(VLOOKUP(B28,'ANÁLISE DE DADOS'!$A:$AM,18,0),""))</f>
        <v>Promessa de pagamento refeito</v>
      </c>
      <c r="U28" s="61" t="str">
        <f ca="1">IF(B28="","",IFERROR(VLOOKUP(B28,'ANÁLISE DE DADOS'!$A:$AM,19,0),""))</f>
        <v>Vencido</v>
      </c>
      <c r="V28" s="61">
        <f ca="1">IF(B28="","",IFERROR(VLOOKUP(B28,'ANÁLISE DE DADOS'!$A:$AM,20,0),""))</f>
        <v>84</v>
      </c>
      <c r="W28" s="61" t="str">
        <f ca="1">IF(B28="","",IFERROR(VLOOKUP(B28,'ANÁLISE DE DADOS'!$A:$AM,21,0),""))</f>
        <v>61+ dias</v>
      </c>
      <c r="X28" s="61" t="str">
        <f ca="1">IF(B28="","",IFERROR(VLOOKUP(B28,'ANÁLISE DE DADOS'!$A:$AM,22,0),""))</f>
        <v>Atraso Crítico</v>
      </c>
      <c r="Y28" s="61" t="str">
        <f>IF(B28="","",IFERROR(VLOOKUP(B28,'ANÁLISE DE DADOS'!$A:$AM,23,0),""))</f>
        <v>-</v>
      </c>
      <c r="Z28" s="61" t="str">
        <f>IF(B28="","",IFERROR(VLOOKUP(B28,'ANÁLISE DE DADOS'!$A:$AM,24,0),""))</f>
        <v>Sim</v>
      </c>
      <c r="AA28" s="61">
        <f>IF(B28="","",IFERROR(VLOOKUP(B28,'ANÁLISE DE DADOS'!$A:$AM,25,0),""))</f>
        <v>0</v>
      </c>
      <c r="AB28" s="61">
        <f>IF(B28="","",IFERROR(VLOOKUP(B28,'ANÁLISE DE DADOS'!$A:$AM,26,0),""))</f>
        <v>1</v>
      </c>
      <c r="AC28" s="61" t="str">
        <f>IF(B28="","",IFERROR(VLOOKUP(B28,'ANÁLISE DE DADOS'!$A:$AM,27,0),""))</f>
        <v>Sim</v>
      </c>
      <c r="AD28" s="62">
        <f>IF(B28="","",IFERROR(VLOOKUP(B28,'ANÁLISE DE DADOS'!$A:$AM,28,0),""))</f>
        <v>45740</v>
      </c>
      <c r="AE28" s="61" t="str">
        <f>IF(B28="","",IFERROR(VLOOKUP(B28,'ANÁLISE DE DADOS'!$A:$AM,29,0),""))</f>
        <v>mar-25</v>
      </c>
      <c r="AF28" s="61" t="str">
        <f>IF(B28="","",IFERROR(VLOOKUP(B28,'ANÁLISE DE DADOS'!$A:$AM,30,0),""))</f>
        <v>2025</v>
      </c>
      <c r="AG28" s="62">
        <f>IF(B28="","",IFERROR(VLOOKUP(B28,'ANÁLISE DE DADOS'!$A:$AM,31,0),""))</f>
        <v>45740</v>
      </c>
      <c r="AH28" s="61" t="str">
        <f>IF(B28="","",IFERROR(VLOOKUP(B28,'ANÁLISE DE DADOS'!$A:$AM,32,0),""))</f>
        <v>mar-25</v>
      </c>
      <c r="AI28" s="61" t="str">
        <f>IF(B28="","",IFERROR(VLOOKUP(B28,'ANÁLISE DE DADOS'!$A:$AM,33,0),""))</f>
        <v>2025</v>
      </c>
      <c r="AJ28" s="61" t="str">
        <f>IF(B28="","",IFERROR(VLOOKUP(B28,'ANÁLISE DE DADOS'!$A:$AM,34,0),""))</f>
        <v>Acompanhando</v>
      </c>
      <c r="AK28" s="63">
        <f ca="1">IF(B28="","",IFERROR(VLOOKUP(B28,'ANÁLISE DE DADOS'!$A:$AM,35,0),""))</f>
        <v>3000</v>
      </c>
      <c r="AL28" s="63" t="str">
        <f ca="1">IF(B28="","",IFERROR(VLOOKUP(B28,'ANÁLISE DE DADOS'!$A:$AM,36,0),""))</f>
        <v>0</v>
      </c>
      <c r="AM28" s="101" t="str">
        <f ca="1">IF(B28="","",IFERROR(VLOOKUP(B28,'ANÁLISE DE DADOS'!$A:$AM,37,0),""))</f>
        <v>Cobrança Extrajudicial</v>
      </c>
    </row>
    <row r="29" spans="2:39" x14ac:dyDescent="0.3">
      <c r="B29" s="30">
        <v>25</v>
      </c>
      <c r="C29" s="61">
        <f>IF(B29="","",IFERROR(VLOOKUP(B29,'ANÁLISE DE DADOS'!$A:$AM,1,0),""))</f>
        <v>25</v>
      </c>
      <c r="D29" s="61" t="str">
        <f>IF(B29="","",IFERROR(VLOOKUP(B29,'ANÁLISE DE DADOS'!$A:$AM,2,0),""))</f>
        <v>Matriz</v>
      </c>
      <c r="E29" s="61" t="str">
        <f>IF(B29="","",IFERROR(VLOOKUP(B29,'ANÁLISE DE DADOS'!$A:$AM,3,0),""))</f>
        <v>Gamma &amp; CIA</v>
      </c>
      <c r="F29" s="61" t="str">
        <f>IF(B29="","",IFERROR(VLOOKUP(B29,'ANÁLISE DE DADOS'!$A:$AM,4,0),""))</f>
        <v>Gamma &amp; CIA</v>
      </c>
      <c r="G29" s="62">
        <f>IF(B29="","",IFERROR(VLOOKUP(B29,'ANÁLISE DE DADOS'!$A:$AM,5,0),""))</f>
        <v>45693</v>
      </c>
      <c r="H29" s="62" t="str">
        <f>IF(B29="","",IFERROR(VLOOKUP(B29,'ANÁLISE DE DADOS'!$A:$AM,6,0),""))</f>
        <v>fev-25</v>
      </c>
      <c r="I29" s="62" t="str">
        <f>IF(B29="","",IFERROR(VLOOKUP(B29,'ANÁLISE DE DADOS'!$A:$AM,7,0),""))</f>
        <v>2025</v>
      </c>
      <c r="J29" s="62">
        <f>IF(B29="","",IFERROR(VLOOKUP(B29,'ANÁLISE DE DADOS'!$A:$AM,8,0),""))</f>
        <v>45712</v>
      </c>
      <c r="K29" s="61" t="str">
        <f>IF(B29="","",IFERROR(VLOOKUP(B29,'ANÁLISE DE DADOS'!$A:$AM,9,0),""))</f>
        <v>fev-25</v>
      </c>
      <c r="L29" s="61" t="str">
        <f>IF(B29="","",IFERROR(VLOOKUP(B29,'ANÁLISE DE DADOS'!$A:$AM,10,0),""))</f>
        <v>2025</v>
      </c>
      <c r="M29" s="62">
        <f>IF(B29="","",IFERROR(VLOOKUP(B29,'ANÁLISE DE DADOS'!$A:$AM,11,0),""))</f>
        <v>45712</v>
      </c>
      <c r="N29" s="61" t="str">
        <f>IF(B29="","",IFERROR(VLOOKUP(B29,'ANÁLISE DE DADOS'!$A:$AM,12,0),""))</f>
        <v>fev-25</v>
      </c>
      <c r="O29" s="61" t="str">
        <f>IF(B29="","",IFERROR(VLOOKUP(B29,'ANÁLISE DE DADOS'!$A:$AM,13,0),""))</f>
        <v>2025</v>
      </c>
      <c r="P29" s="63">
        <f>IF(B29="","",IFERROR(VLOOKUP(B29,'ANÁLISE DE DADOS'!$A:$AM,14,0),""))</f>
        <v>1200</v>
      </c>
      <c r="Q29" s="61" t="str">
        <f>IF(B29="","",IFERROR(VLOOKUP(B29,'ANÁLISE DE DADOS'!$A:$AM,15,0),""))</f>
        <v>Camila</v>
      </c>
      <c r="R29" s="61" t="str">
        <f>IF(B29="","",IFERROR(VLOOKUP(B29,'ANÁLISE DE DADOS'!$A:$AM,16,0),""))</f>
        <v>ANALISTA GUSTAVO</v>
      </c>
      <c r="S29" s="61" t="str">
        <f>IF(B29="","",IFERROR(VLOOKUP(B29,'ANÁLISE DE DADOS'!$A:$AM,17,0),""))</f>
        <v>NÃO</v>
      </c>
      <c r="T29" s="61" t="str">
        <f>IF(B29="","",IFERROR(VLOOKUP(B29,'ANÁLISE DE DADOS'!$A:$AM,18,0),""))</f>
        <v>Proposta de renegociação pendente</v>
      </c>
      <c r="U29" s="61" t="str">
        <f ca="1">IF(B29="","",IFERROR(VLOOKUP(B29,'ANÁLISE DE DADOS'!$A:$AM,19,0),""))</f>
        <v>Vencido</v>
      </c>
      <c r="V29" s="61">
        <f ca="1">IF(B29="","",IFERROR(VLOOKUP(B29,'ANÁLISE DE DADOS'!$A:$AM,20,0),""))</f>
        <v>83</v>
      </c>
      <c r="W29" s="61" t="str">
        <f ca="1">IF(B29="","",IFERROR(VLOOKUP(B29,'ANÁLISE DE DADOS'!$A:$AM,21,0),""))</f>
        <v>61+ dias</v>
      </c>
      <c r="X29" s="61" t="str">
        <f ca="1">IF(B29="","",IFERROR(VLOOKUP(B29,'ANÁLISE DE DADOS'!$A:$AM,22,0),""))</f>
        <v>Atraso Crítico</v>
      </c>
      <c r="Y29" s="61" t="str">
        <f>IF(B29="","",IFERROR(VLOOKUP(B29,'ANÁLISE DE DADOS'!$A:$AM,23,0),""))</f>
        <v>-</v>
      </c>
      <c r="Z29" s="61" t="str">
        <f>IF(B29="","",IFERROR(VLOOKUP(B29,'ANÁLISE DE DADOS'!$A:$AM,24,0),""))</f>
        <v>Sim</v>
      </c>
      <c r="AA29" s="61">
        <f>IF(B29="","",IFERROR(VLOOKUP(B29,'ANÁLISE DE DADOS'!$A:$AM,25,0),""))</f>
        <v>0</v>
      </c>
      <c r="AB29" s="61">
        <f>IF(B29="","",IFERROR(VLOOKUP(B29,'ANÁLISE DE DADOS'!$A:$AM,26,0),""))</f>
        <v>1</v>
      </c>
      <c r="AC29" s="61" t="str">
        <f>IF(B29="","",IFERROR(VLOOKUP(B29,'ANÁLISE DE DADOS'!$A:$AM,27,0),""))</f>
        <v>Sim</v>
      </c>
      <c r="AD29" s="62">
        <f>IF(B29="","",IFERROR(VLOOKUP(B29,'ANÁLISE DE DADOS'!$A:$AM,28,0),""))</f>
        <v>45740</v>
      </c>
      <c r="AE29" s="61" t="str">
        <f>IF(B29="","",IFERROR(VLOOKUP(B29,'ANÁLISE DE DADOS'!$A:$AM,29,0),""))</f>
        <v>mar-25</v>
      </c>
      <c r="AF29" s="61" t="str">
        <f>IF(B29="","",IFERROR(VLOOKUP(B29,'ANÁLISE DE DADOS'!$A:$AM,30,0),""))</f>
        <v>2025</v>
      </c>
      <c r="AG29" s="62">
        <f>IF(B29="","",IFERROR(VLOOKUP(B29,'ANÁLISE DE DADOS'!$A:$AM,31,0),""))</f>
        <v>45740</v>
      </c>
      <c r="AH29" s="61" t="str">
        <f>IF(B29="","",IFERROR(VLOOKUP(B29,'ANÁLISE DE DADOS'!$A:$AM,32,0),""))</f>
        <v>mar-25</v>
      </c>
      <c r="AI29" s="61" t="str">
        <f>IF(B29="","",IFERROR(VLOOKUP(B29,'ANÁLISE DE DADOS'!$A:$AM,33,0),""))</f>
        <v>2025</v>
      </c>
      <c r="AJ29" s="61" t="str">
        <f>IF(B29="","",IFERROR(VLOOKUP(B29,'ANÁLISE DE DADOS'!$A:$AM,34,0),""))</f>
        <v>Acompanhando</v>
      </c>
      <c r="AK29" s="63">
        <f ca="1">IF(B29="","",IFERROR(VLOOKUP(B29,'ANÁLISE DE DADOS'!$A:$AM,35,0),""))</f>
        <v>1200</v>
      </c>
      <c r="AL29" s="63" t="str">
        <f ca="1">IF(B29="","",IFERROR(VLOOKUP(B29,'ANÁLISE DE DADOS'!$A:$AM,36,0),""))</f>
        <v>0</v>
      </c>
      <c r="AM29" s="101" t="str">
        <f ca="1">IF(B29="","",IFERROR(VLOOKUP(B29,'ANÁLISE DE DADOS'!$A:$AM,37,0),""))</f>
        <v>Cobrança Extrajudicial</v>
      </c>
    </row>
    <row r="30" spans="2:39" x14ac:dyDescent="0.3">
      <c r="B30" s="30">
        <v>26</v>
      </c>
      <c r="C30" s="61">
        <f>IF(B30="","",IFERROR(VLOOKUP(B30,'ANÁLISE DE DADOS'!$A:$AM,1,0),""))</f>
        <v>26</v>
      </c>
      <c r="D30" s="61" t="str">
        <f>IF(B30="","",IFERROR(VLOOKUP(B30,'ANÁLISE DE DADOS'!$A:$AM,2,0),""))</f>
        <v>Matriz</v>
      </c>
      <c r="E30" s="61">
        <f>IF(B30="","",IFERROR(VLOOKUP(B30,'ANÁLISE DE DADOS'!$A:$AM,3,0),""))</f>
        <v>0</v>
      </c>
      <c r="F30" s="61" t="str">
        <f>IF(B30="","",IFERROR(VLOOKUP(B30,'ANÁLISE DE DADOS'!$A:$AM,4,0),""))</f>
        <v>MundoInovador</v>
      </c>
      <c r="G30" s="62">
        <f>IF(B30="","",IFERROR(VLOOKUP(B30,'ANÁLISE DE DADOS'!$A:$AM,5,0),""))</f>
        <v>45693</v>
      </c>
      <c r="H30" s="62" t="str">
        <f>IF(B30="","",IFERROR(VLOOKUP(B30,'ANÁLISE DE DADOS'!$A:$AM,6,0),""))</f>
        <v>fev-25</v>
      </c>
      <c r="I30" s="62" t="str">
        <f>IF(B30="","",IFERROR(VLOOKUP(B30,'ANÁLISE DE DADOS'!$A:$AM,7,0),""))</f>
        <v>2025</v>
      </c>
      <c r="J30" s="62">
        <f>IF(B30="","",IFERROR(VLOOKUP(B30,'ANÁLISE DE DADOS'!$A:$AM,8,0),""))</f>
        <v>45713</v>
      </c>
      <c r="K30" s="61" t="str">
        <f>IF(B30="","",IFERROR(VLOOKUP(B30,'ANÁLISE DE DADOS'!$A:$AM,9,0),""))</f>
        <v>fev-25</v>
      </c>
      <c r="L30" s="61" t="str">
        <f>IF(B30="","",IFERROR(VLOOKUP(B30,'ANÁLISE DE DADOS'!$A:$AM,10,0),""))</f>
        <v>2025</v>
      </c>
      <c r="M30" s="62">
        <f>IF(B30="","",IFERROR(VLOOKUP(B30,'ANÁLISE DE DADOS'!$A:$AM,11,0),""))</f>
        <v>45713</v>
      </c>
      <c r="N30" s="61" t="str">
        <f>IF(B30="","",IFERROR(VLOOKUP(B30,'ANÁLISE DE DADOS'!$A:$AM,12,0),""))</f>
        <v>fev-25</v>
      </c>
      <c r="O30" s="61" t="str">
        <f>IF(B30="","",IFERROR(VLOOKUP(B30,'ANÁLISE DE DADOS'!$A:$AM,13,0),""))</f>
        <v>2025</v>
      </c>
      <c r="P30" s="63">
        <f>IF(B30="","",IFERROR(VLOOKUP(B30,'ANÁLISE DE DADOS'!$A:$AM,14,0),""))</f>
        <v>1200</v>
      </c>
      <c r="Q30" s="61" t="str">
        <f>IF(B30="","",IFERROR(VLOOKUP(B30,'ANÁLISE DE DADOS'!$A:$AM,15,0),""))</f>
        <v>Camila</v>
      </c>
      <c r="R30" s="61" t="str">
        <f>IF(B30="","",IFERROR(VLOOKUP(B30,'ANÁLISE DE DADOS'!$A:$AM,16,0),""))</f>
        <v>ANALISTA GUSTAVO</v>
      </c>
      <c r="S30" s="61" t="str">
        <f>IF(B30="","",IFERROR(VLOOKUP(B30,'ANÁLISE DE DADOS'!$A:$AM,17,0),""))</f>
        <v>NÃO</v>
      </c>
      <c r="T30" s="61" t="str">
        <f>IF(B30="","",IFERROR(VLOOKUP(B30,'ANÁLISE DE DADOS'!$A:$AM,18,0),""))</f>
        <v>Bloqueio de sistema por inadimplência</v>
      </c>
      <c r="U30" s="61" t="str">
        <f ca="1">IF(B30="","",IFERROR(VLOOKUP(B30,'ANÁLISE DE DADOS'!$A:$AM,19,0),""))</f>
        <v>Vencido</v>
      </c>
      <c r="V30" s="61">
        <f ca="1">IF(B30="","",IFERROR(VLOOKUP(B30,'ANÁLISE DE DADOS'!$A:$AM,20,0),""))</f>
        <v>82</v>
      </c>
      <c r="W30" s="61" t="str">
        <f ca="1">IF(B30="","",IFERROR(VLOOKUP(B30,'ANÁLISE DE DADOS'!$A:$AM,21,0),""))</f>
        <v>61+ dias</v>
      </c>
      <c r="X30" s="61" t="str">
        <f ca="1">IF(B30="","",IFERROR(VLOOKUP(B30,'ANÁLISE DE DADOS'!$A:$AM,22,0),""))</f>
        <v>Atraso Crítico</v>
      </c>
      <c r="Y30" s="61" t="str">
        <f>IF(B30="","",IFERROR(VLOOKUP(B30,'ANÁLISE DE DADOS'!$A:$AM,23,0),""))</f>
        <v>-</v>
      </c>
      <c r="Z30" s="61" t="str">
        <f>IF(B30="","",IFERROR(VLOOKUP(B30,'ANÁLISE DE DADOS'!$A:$AM,24,0),""))</f>
        <v>Sim</v>
      </c>
      <c r="AA30" s="61">
        <f>IF(B30="","",IFERROR(VLOOKUP(B30,'ANÁLISE DE DADOS'!$A:$AM,25,0),""))</f>
        <v>0</v>
      </c>
      <c r="AB30" s="61">
        <f>IF(B30="","",IFERROR(VLOOKUP(B30,'ANÁLISE DE DADOS'!$A:$AM,26,0),""))</f>
        <v>1</v>
      </c>
      <c r="AC30" s="61" t="str">
        <f>IF(B30="","",IFERROR(VLOOKUP(B30,'ANÁLISE DE DADOS'!$A:$AM,27,0),""))</f>
        <v>Sim</v>
      </c>
      <c r="AD30" s="62">
        <f>IF(B30="","",IFERROR(VLOOKUP(B30,'ANÁLISE DE DADOS'!$A:$AM,28,0),""))</f>
        <v>45740</v>
      </c>
      <c r="AE30" s="61" t="str">
        <f>IF(B30="","",IFERROR(VLOOKUP(B30,'ANÁLISE DE DADOS'!$A:$AM,29,0),""))</f>
        <v>mar-25</v>
      </c>
      <c r="AF30" s="61" t="str">
        <f>IF(B30="","",IFERROR(VLOOKUP(B30,'ANÁLISE DE DADOS'!$A:$AM,30,0),""))</f>
        <v>2025</v>
      </c>
      <c r="AG30" s="62">
        <f>IF(B30="","",IFERROR(VLOOKUP(B30,'ANÁLISE DE DADOS'!$A:$AM,31,0),""))</f>
        <v>45740</v>
      </c>
      <c r="AH30" s="61" t="str">
        <f>IF(B30="","",IFERROR(VLOOKUP(B30,'ANÁLISE DE DADOS'!$A:$AM,32,0),""))</f>
        <v>mar-25</v>
      </c>
      <c r="AI30" s="61" t="str">
        <f>IF(B30="","",IFERROR(VLOOKUP(B30,'ANÁLISE DE DADOS'!$A:$AM,33,0),""))</f>
        <v>2025</v>
      </c>
      <c r="AJ30" s="61" t="str">
        <f>IF(B30="","",IFERROR(VLOOKUP(B30,'ANÁLISE DE DADOS'!$A:$AM,34,0),""))</f>
        <v>Acompanhando</v>
      </c>
      <c r="AK30" s="63">
        <f ca="1">IF(B30="","",IFERROR(VLOOKUP(B30,'ANÁLISE DE DADOS'!$A:$AM,35,0),""))</f>
        <v>1200</v>
      </c>
      <c r="AL30" s="63" t="str">
        <f ca="1">IF(B30="","",IFERROR(VLOOKUP(B30,'ANÁLISE DE DADOS'!$A:$AM,36,0),""))</f>
        <v>0</v>
      </c>
      <c r="AM30" s="101" t="str">
        <f ca="1">IF(B30="","",IFERROR(VLOOKUP(B30,'ANÁLISE DE DADOS'!$A:$AM,37,0),""))</f>
        <v>Cobrança Extrajudicial</v>
      </c>
    </row>
    <row r="31" spans="2:39" x14ac:dyDescent="0.3">
      <c r="B31" s="30">
        <v>27</v>
      </c>
      <c r="C31" s="61">
        <f>IF(B31="","",IFERROR(VLOOKUP(B31,'ANÁLISE DE DADOS'!$A:$AM,1,0),""))</f>
        <v>27</v>
      </c>
      <c r="D31" s="61" t="str">
        <f>IF(B31="","",IFERROR(VLOOKUP(B31,'ANÁLISE DE DADOS'!$A:$AM,2,0),""))</f>
        <v>Filial</v>
      </c>
      <c r="E31" s="61" t="str">
        <f>IF(B31="","",IFERROR(VLOOKUP(B31,'ANÁLISE DE DADOS'!$A:$AM,3,0),""))</f>
        <v>Gamma &amp; CIA</v>
      </c>
      <c r="F31" s="61" t="str">
        <f>IF(B31="","",IFERROR(VLOOKUP(B31,'ANÁLISE DE DADOS'!$A:$AM,4,0),""))</f>
        <v>Gamma &amp; CIA</v>
      </c>
      <c r="G31" s="62">
        <f>IF(B31="","",IFERROR(VLOOKUP(B31,'ANÁLISE DE DADOS'!$A:$AM,5,0),""))</f>
        <v>45694</v>
      </c>
      <c r="H31" s="62" t="str">
        <f>IF(B31="","",IFERROR(VLOOKUP(B31,'ANÁLISE DE DADOS'!$A:$AM,6,0),""))</f>
        <v>fev-25</v>
      </c>
      <c r="I31" s="62" t="str">
        <f>IF(B31="","",IFERROR(VLOOKUP(B31,'ANÁLISE DE DADOS'!$A:$AM,7,0),""))</f>
        <v>2025</v>
      </c>
      <c r="J31" s="62">
        <f>IF(B31="","",IFERROR(VLOOKUP(B31,'ANÁLISE DE DADOS'!$A:$AM,8,0),""))</f>
        <v>45714</v>
      </c>
      <c r="K31" s="61" t="str">
        <f>IF(B31="","",IFERROR(VLOOKUP(B31,'ANÁLISE DE DADOS'!$A:$AM,9,0),""))</f>
        <v>fev-25</v>
      </c>
      <c r="L31" s="61" t="str">
        <f>IF(B31="","",IFERROR(VLOOKUP(B31,'ANÁLISE DE DADOS'!$A:$AM,10,0),""))</f>
        <v>2025</v>
      </c>
      <c r="M31" s="62">
        <f>IF(B31="","",IFERROR(VLOOKUP(B31,'ANÁLISE DE DADOS'!$A:$AM,11,0),""))</f>
        <v>45714</v>
      </c>
      <c r="N31" s="61" t="str">
        <f>IF(B31="","",IFERROR(VLOOKUP(B31,'ANÁLISE DE DADOS'!$A:$AM,12,0),""))</f>
        <v>fev-25</v>
      </c>
      <c r="O31" s="61" t="str">
        <f>IF(B31="","",IFERROR(VLOOKUP(B31,'ANÁLISE DE DADOS'!$A:$AM,13,0),""))</f>
        <v>2025</v>
      </c>
      <c r="P31" s="63">
        <f>IF(B31="","",IFERROR(VLOOKUP(B31,'ANÁLISE DE DADOS'!$A:$AM,14,0),""))</f>
        <v>2000</v>
      </c>
      <c r="Q31" s="61" t="str">
        <f>IF(B31="","",IFERROR(VLOOKUP(B31,'ANÁLISE DE DADOS'!$A:$AM,15,0),""))</f>
        <v>Patrícia</v>
      </c>
      <c r="R31" s="61" t="str">
        <f>IF(B31="","",IFERROR(VLOOKUP(B31,'ANÁLISE DE DADOS'!$A:$AM,16,0),""))</f>
        <v>ANALISTA GUSTAVO</v>
      </c>
      <c r="S31" s="61" t="str">
        <f>IF(B31="","",IFERROR(VLOOKUP(B31,'ANÁLISE DE DADOS'!$A:$AM,17,0),""))</f>
        <v>NÃO</v>
      </c>
      <c r="T31" s="61" t="str">
        <f>IF(B31="","",IFERROR(VLOOKUP(B31,'ANÁLISE DE DADOS'!$A:$AM,18,0),""))</f>
        <v>Acordo em andamento (aguardando pagamento)</v>
      </c>
      <c r="U31" s="61" t="str">
        <f ca="1">IF(B31="","",IFERROR(VLOOKUP(B31,'ANÁLISE DE DADOS'!$A:$AM,19,0),""))</f>
        <v>Vencido</v>
      </c>
      <c r="V31" s="61">
        <f ca="1">IF(B31="","",IFERROR(VLOOKUP(B31,'ANÁLISE DE DADOS'!$A:$AM,20,0),""))</f>
        <v>81</v>
      </c>
      <c r="W31" s="61" t="str">
        <f ca="1">IF(B31="","",IFERROR(VLOOKUP(B31,'ANÁLISE DE DADOS'!$A:$AM,21,0),""))</f>
        <v>61+ dias</v>
      </c>
      <c r="X31" s="61" t="str">
        <f ca="1">IF(B31="","",IFERROR(VLOOKUP(B31,'ANÁLISE DE DADOS'!$A:$AM,22,0),""))</f>
        <v>Atraso Crítico</v>
      </c>
      <c r="Y31" s="61" t="str">
        <f>IF(B31="","",IFERROR(VLOOKUP(B31,'ANÁLISE DE DADOS'!$A:$AM,23,0),""))</f>
        <v>-</v>
      </c>
      <c r="Z31" s="61" t="str">
        <f>IF(B31="","",IFERROR(VLOOKUP(B31,'ANÁLISE DE DADOS'!$A:$AM,24,0),""))</f>
        <v>Sim</v>
      </c>
      <c r="AA31" s="61">
        <f>IF(B31="","",IFERROR(VLOOKUP(B31,'ANÁLISE DE DADOS'!$A:$AM,25,0),""))</f>
        <v>0</v>
      </c>
      <c r="AB31" s="61">
        <f>IF(B31="","",IFERROR(VLOOKUP(B31,'ANÁLISE DE DADOS'!$A:$AM,26,0),""))</f>
        <v>1</v>
      </c>
      <c r="AC31" s="61" t="str">
        <f>IF(B31="","",IFERROR(VLOOKUP(B31,'ANÁLISE DE DADOS'!$A:$AM,27,0),""))</f>
        <v>Sim</v>
      </c>
      <c r="AD31" s="62">
        <f>IF(B31="","",IFERROR(VLOOKUP(B31,'ANÁLISE DE DADOS'!$A:$AM,28,0),""))</f>
        <v>45740</v>
      </c>
      <c r="AE31" s="61" t="str">
        <f>IF(B31="","",IFERROR(VLOOKUP(B31,'ANÁLISE DE DADOS'!$A:$AM,29,0),""))</f>
        <v>mar-25</v>
      </c>
      <c r="AF31" s="61" t="str">
        <f>IF(B31="","",IFERROR(VLOOKUP(B31,'ANÁLISE DE DADOS'!$A:$AM,30,0),""))</f>
        <v>2025</v>
      </c>
      <c r="AG31" s="62">
        <f>IF(B31="","",IFERROR(VLOOKUP(B31,'ANÁLISE DE DADOS'!$A:$AM,31,0),""))</f>
        <v>45740</v>
      </c>
      <c r="AH31" s="61" t="str">
        <f>IF(B31="","",IFERROR(VLOOKUP(B31,'ANÁLISE DE DADOS'!$A:$AM,32,0),""))</f>
        <v>mar-25</v>
      </c>
      <c r="AI31" s="61" t="str">
        <f>IF(B31="","",IFERROR(VLOOKUP(B31,'ANÁLISE DE DADOS'!$A:$AM,33,0),""))</f>
        <v>2025</v>
      </c>
      <c r="AJ31" s="61" t="str">
        <f>IF(B31="","",IFERROR(VLOOKUP(B31,'ANÁLISE DE DADOS'!$A:$AM,34,0),""))</f>
        <v>Acompanhando</v>
      </c>
      <c r="AK31" s="63">
        <f ca="1">IF(B31="","",IFERROR(VLOOKUP(B31,'ANÁLISE DE DADOS'!$A:$AM,35,0),""))</f>
        <v>2000</v>
      </c>
      <c r="AL31" s="63" t="str">
        <f ca="1">IF(B31="","",IFERROR(VLOOKUP(B31,'ANÁLISE DE DADOS'!$A:$AM,36,0),""))</f>
        <v>0</v>
      </c>
      <c r="AM31" s="101" t="str">
        <f ca="1">IF(B31="","",IFERROR(VLOOKUP(B31,'ANÁLISE DE DADOS'!$A:$AM,37,0),""))</f>
        <v>Cobrança Extrajudicial</v>
      </c>
    </row>
    <row r="32" spans="2:39" x14ac:dyDescent="0.3">
      <c r="B32" s="30">
        <v>28</v>
      </c>
      <c r="C32" s="61">
        <f>IF(B32="","",IFERROR(VLOOKUP(B32,'ANÁLISE DE DADOS'!$A:$AM,1,0),""))</f>
        <v>28</v>
      </c>
      <c r="D32" s="61" t="str">
        <f>IF(B32="","",IFERROR(VLOOKUP(B32,'ANÁLISE DE DADOS'!$A:$AM,2,0),""))</f>
        <v>Filial</v>
      </c>
      <c r="E32" s="61">
        <f>IF(B32="","",IFERROR(VLOOKUP(B32,'ANÁLISE DE DADOS'!$A:$AM,3,0),""))</f>
        <v>0</v>
      </c>
      <c r="F32" s="61" t="str">
        <f>IF(B32="","",IFERROR(VLOOKUP(B32,'ANÁLISE DE DADOS'!$A:$AM,4,0),""))</f>
        <v>MundoInovador</v>
      </c>
      <c r="G32" s="62">
        <f>IF(B32="","",IFERROR(VLOOKUP(B32,'ANÁLISE DE DADOS'!$A:$AM,5,0),""))</f>
        <v>45694</v>
      </c>
      <c r="H32" s="62" t="str">
        <f>IF(B32="","",IFERROR(VLOOKUP(B32,'ANÁLISE DE DADOS'!$A:$AM,6,0),""))</f>
        <v>fev-25</v>
      </c>
      <c r="I32" s="62" t="str">
        <f>IF(B32="","",IFERROR(VLOOKUP(B32,'ANÁLISE DE DADOS'!$A:$AM,7,0),""))</f>
        <v>2025</v>
      </c>
      <c r="J32" s="62">
        <f>IF(B32="","",IFERROR(VLOOKUP(B32,'ANÁLISE DE DADOS'!$A:$AM,8,0),""))</f>
        <v>45715</v>
      </c>
      <c r="K32" s="61" t="str">
        <f>IF(B32="","",IFERROR(VLOOKUP(B32,'ANÁLISE DE DADOS'!$A:$AM,9,0),""))</f>
        <v>fev-25</v>
      </c>
      <c r="L32" s="61" t="str">
        <f>IF(B32="","",IFERROR(VLOOKUP(B32,'ANÁLISE DE DADOS'!$A:$AM,10,0),""))</f>
        <v>2025</v>
      </c>
      <c r="M32" s="62">
        <f>IF(B32="","",IFERROR(VLOOKUP(B32,'ANÁLISE DE DADOS'!$A:$AM,11,0),""))</f>
        <v>45715</v>
      </c>
      <c r="N32" s="61" t="str">
        <f>IF(B32="","",IFERROR(VLOOKUP(B32,'ANÁLISE DE DADOS'!$A:$AM,12,0),""))</f>
        <v>fev-25</v>
      </c>
      <c r="O32" s="61" t="str">
        <f>IF(B32="","",IFERROR(VLOOKUP(B32,'ANÁLISE DE DADOS'!$A:$AM,13,0),""))</f>
        <v>2025</v>
      </c>
      <c r="P32" s="63">
        <f>IF(B32="","",IFERROR(VLOOKUP(B32,'ANÁLISE DE DADOS'!$A:$AM,14,0),""))</f>
        <v>2000</v>
      </c>
      <c r="Q32" s="61" t="str">
        <f>IF(B32="","",IFERROR(VLOOKUP(B32,'ANÁLISE DE DADOS'!$A:$AM,15,0),""))</f>
        <v>Patrícia</v>
      </c>
      <c r="R32" s="61" t="str">
        <f>IF(B32="","",IFERROR(VLOOKUP(B32,'ANÁLISE DE DADOS'!$A:$AM,16,0),""))</f>
        <v>ANALISTA GUSTAVO</v>
      </c>
      <c r="S32" s="61" t="str">
        <f>IF(B32="","",IFERROR(VLOOKUP(B32,'ANÁLISE DE DADOS'!$A:$AM,17,0),""))</f>
        <v>NÃO</v>
      </c>
      <c r="T32" s="61" t="str">
        <f>IF(B32="","",IFERROR(VLOOKUP(B32,'ANÁLISE DE DADOS'!$A:$AM,18,0),""))</f>
        <v>Negociação finalizada, pendente de pagamento</v>
      </c>
      <c r="U32" s="61" t="str">
        <f ca="1">IF(B32="","",IFERROR(VLOOKUP(B32,'ANÁLISE DE DADOS'!$A:$AM,19,0),""))</f>
        <v>Vencido</v>
      </c>
      <c r="V32" s="61">
        <f ca="1">IF(B32="","",IFERROR(VLOOKUP(B32,'ANÁLISE DE DADOS'!$A:$AM,20,0),""))</f>
        <v>80</v>
      </c>
      <c r="W32" s="61" t="str">
        <f ca="1">IF(B32="","",IFERROR(VLOOKUP(B32,'ANÁLISE DE DADOS'!$A:$AM,21,0),""))</f>
        <v>61+ dias</v>
      </c>
      <c r="X32" s="61" t="str">
        <f ca="1">IF(B32="","",IFERROR(VLOOKUP(B32,'ANÁLISE DE DADOS'!$A:$AM,22,0),""))</f>
        <v>Atraso Crítico</v>
      </c>
      <c r="Y32" s="61" t="str">
        <f>IF(B32="","",IFERROR(VLOOKUP(B32,'ANÁLISE DE DADOS'!$A:$AM,23,0),""))</f>
        <v>-</v>
      </c>
      <c r="Z32" s="61" t="str">
        <f>IF(B32="","",IFERROR(VLOOKUP(B32,'ANÁLISE DE DADOS'!$A:$AM,24,0),""))</f>
        <v>Sim</v>
      </c>
      <c r="AA32" s="61">
        <f>IF(B32="","",IFERROR(VLOOKUP(B32,'ANÁLISE DE DADOS'!$A:$AM,25,0),""))</f>
        <v>0</v>
      </c>
      <c r="AB32" s="61">
        <f>IF(B32="","",IFERROR(VLOOKUP(B32,'ANÁLISE DE DADOS'!$A:$AM,26,0),""))</f>
        <v>1</v>
      </c>
      <c r="AC32" s="61" t="str">
        <f>IF(B32="","",IFERROR(VLOOKUP(B32,'ANÁLISE DE DADOS'!$A:$AM,27,0),""))</f>
        <v>Sim</v>
      </c>
      <c r="AD32" s="62">
        <f>IF(B32="","",IFERROR(VLOOKUP(B32,'ANÁLISE DE DADOS'!$A:$AM,28,0),""))</f>
        <v>45740</v>
      </c>
      <c r="AE32" s="61" t="str">
        <f>IF(B32="","",IFERROR(VLOOKUP(B32,'ANÁLISE DE DADOS'!$A:$AM,29,0),""))</f>
        <v>mar-25</v>
      </c>
      <c r="AF32" s="61" t="str">
        <f>IF(B32="","",IFERROR(VLOOKUP(B32,'ANÁLISE DE DADOS'!$A:$AM,30,0),""))</f>
        <v>2025</v>
      </c>
      <c r="AG32" s="62">
        <f>IF(B32="","",IFERROR(VLOOKUP(B32,'ANÁLISE DE DADOS'!$A:$AM,31,0),""))</f>
        <v>45740</v>
      </c>
      <c r="AH32" s="61" t="str">
        <f>IF(B32="","",IFERROR(VLOOKUP(B32,'ANÁLISE DE DADOS'!$A:$AM,32,0),""))</f>
        <v>mar-25</v>
      </c>
      <c r="AI32" s="61" t="str">
        <f>IF(B32="","",IFERROR(VLOOKUP(B32,'ANÁLISE DE DADOS'!$A:$AM,33,0),""))</f>
        <v>2025</v>
      </c>
      <c r="AJ32" s="61" t="str">
        <f>IF(B32="","",IFERROR(VLOOKUP(B32,'ANÁLISE DE DADOS'!$A:$AM,34,0),""))</f>
        <v>Acompanhando</v>
      </c>
      <c r="AK32" s="63">
        <f ca="1">IF(B32="","",IFERROR(VLOOKUP(B32,'ANÁLISE DE DADOS'!$A:$AM,35,0),""))</f>
        <v>2000</v>
      </c>
      <c r="AL32" s="63" t="str">
        <f ca="1">IF(B32="","",IFERROR(VLOOKUP(B32,'ANÁLISE DE DADOS'!$A:$AM,36,0),""))</f>
        <v>0</v>
      </c>
      <c r="AM32" s="101" t="str">
        <f ca="1">IF(B32="","",IFERROR(VLOOKUP(B32,'ANÁLISE DE DADOS'!$A:$AM,37,0),""))</f>
        <v>Cobrança Extrajudicial</v>
      </c>
    </row>
    <row r="33" spans="2:39" x14ac:dyDescent="0.3">
      <c r="B33" s="30">
        <v>29</v>
      </c>
      <c r="C33" s="61">
        <f>IF(B33="","",IFERROR(VLOOKUP(B33,'ANÁLISE DE DADOS'!$A:$AM,1,0),""))</f>
        <v>29</v>
      </c>
      <c r="D33" s="61" t="str">
        <f>IF(B33="","",IFERROR(VLOOKUP(B33,'ANÁLISE DE DADOS'!$A:$AM,2,0),""))</f>
        <v>Matriz</v>
      </c>
      <c r="E33" s="61" t="str">
        <f>IF(B33="","",IFERROR(VLOOKUP(B33,'ANÁLISE DE DADOS'!$A:$AM,3,0),""))</f>
        <v>Gamma &amp; CIA</v>
      </c>
      <c r="F33" s="61" t="str">
        <f>IF(B33="","",IFERROR(VLOOKUP(B33,'ANÁLISE DE DADOS'!$A:$AM,4,0),""))</f>
        <v>Gamma &amp; CIA</v>
      </c>
      <c r="G33" s="62">
        <f>IF(B33="","",IFERROR(VLOOKUP(B33,'ANÁLISE DE DADOS'!$A:$AM,5,0),""))</f>
        <v>45698</v>
      </c>
      <c r="H33" s="62" t="str">
        <f>IF(B33="","",IFERROR(VLOOKUP(B33,'ANÁLISE DE DADOS'!$A:$AM,6,0),""))</f>
        <v>fev-25</v>
      </c>
      <c r="I33" s="62" t="str">
        <f>IF(B33="","",IFERROR(VLOOKUP(B33,'ANÁLISE DE DADOS'!$A:$AM,7,0),""))</f>
        <v>2025</v>
      </c>
      <c r="J33" s="62">
        <f>IF(B33="","",IFERROR(VLOOKUP(B33,'ANÁLISE DE DADOS'!$A:$AM,8,0),""))</f>
        <v>45715</v>
      </c>
      <c r="K33" s="61" t="str">
        <f>IF(B33="","",IFERROR(VLOOKUP(B33,'ANÁLISE DE DADOS'!$A:$AM,9,0),""))</f>
        <v>fev-25</v>
      </c>
      <c r="L33" s="61" t="str">
        <f>IF(B33="","",IFERROR(VLOOKUP(B33,'ANÁLISE DE DADOS'!$A:$AM,10,0),""))</f>
        <v>2025</v>
      </c>
      <c r="M33" s="62">
        <f>IF(B33="","",IFERROR(VLOOKUP(B33,'ANÁLISE DE DADOS'!$A:$AM,11,0),""))</f>
        <v>45715</v>
      </c>
      <c r="N33" s="61" t="str">
        <f>IF(B33="","",IFERROR(VLOOKUP(B33,'ANÁLISE DE DADOS'!$A:$AM,12,0),""))</f>
        <v>fev-25</v>
      </c>
      <c r="O33" s="61" t="str">
        <f>IF(B33="","",IFERROR(VLOOKUP(B33,'ANÁLISE DE DADOS'!$A:$AM,13,0),""))</f>
        <v>2025</v>
      </c>
      <c r="P33" s="63">
        <f>IF(B33="","",IFERROR(VLOOKUP(B33,'ANÁLISE DE DADOS'!$A:$AM,14,0),""))</f>
        <v>3200</v>
      </c>
      <c r="Q33" s="61" t="str">
        <f>IF(B33="","",IFERROR(VLOOKUP(B33,'ANÁLISE DE DADOS'!$A:$AM,15,0),""))</f>
        <v>Tiago</v>
      </c>
      <c r="R33" s="61" t="str">
        <f>IF(B33="","",IFERROR(VLOOKUP(B33,'ANÁLISE DE DADOS'!$A:$AM,16,0),""))</f>
        <v>ANALISTA GUSTAVO</v>
      </c>
      <c r="S33" s="61" t="str">
        <f>IF(B33="","",IFERROR(VLOOKUP(B33,'ANÁLISE DE DADOS'!$A:$AM,17,0),""))</f>
        <v>NÃO</v>
      </c>
      <c r="T33" s="61" t="str">
        <f>IF(B33="","",IFERROR(VLOOKUP(B33,'ANÁLISE DE DADOS'!$A:$AM,18,0),""))</f>
        <v>Cliente em processo de análise para reativação</v>
      </c>
      <c r="U33" s="61" t="str">
        <f ca="1">IF(B33="","",IFERROR(VLOOKUP(B33,'ANÁLISE DE DADOS'!$A:$AM,19,0),""))</f>
        <v>Vencido</v>
      </c>
      <c r="V33" s="61">
        <f ca="1">IF(B33="","",IFERROR(VLOOKUP(B33,'ANÁLISE DE DADOS'!$A:$AM,20,0),""))</f>
        <v>80</v>
      </c>
      <c r="W33" s="61" t="str">
        <f ca="1">IF(B33="","",IFERROR(VLOOKUP(B33,'ANÁLISE DE DADOS'!$A:$AM,21,0),""))</f>
        <v>61+ dias</v>
      </c>
      <c r="X33" s="61" t="str">
        <f ca="1">IF(B33="","",IFERROR(VLOOKUP(B33,'ANÁLISE DE DADOS'!$A:$AM,22,0),""))</f>
        <v>Atraso Crítico</v>
      </c>
      <c r="Y33" s="61" t="str">
        <f>IF(B33="","",IFERROR(VLOOKUP(B33,'ANÁLISE DE DADOS'!$A:$AM,23,0),""))</f>
        <v>-</v>
      </c>
      <c r="Z33" s="61" t="str">
        <f>IF(B33="","",IFERROR(VLOOKUP(B33,'ANÁLISE DE DADOS'!$A:$AM,24,0),""))</f>
        <v>Sim</v>
      </c>
      <c r="AA33" s="61">
        <f>IF(B33="","",IFERROR(VLOOKUP(B33,'ANÁLISE DE DADOS'!$A:$AM,25,0),""))</f>
        <v>0</v>
      </c>
      <c r="AB33" s="61">
        <f>IF(B33="","",IFERROR(VLOOKUP(B33,'ANÁLISE DE DADOS'!$A:$AM,26,0),""))</f>
        <v>1</v>
      </c>
      <c r="AC33" s="61" t="str">
        <f>IF(B33="","",IFERROR(VLOOKUP(B33,'ANÁLISE DE DADOS'!$A:$AM,27,0),""))</f>
        <v>Sim</v>
      </c>
      <c r="AD33" s="62">
        <f>IF(B33="","",IFERROR(VLOOKUP(B33,'ANÁLISE DE DADOS'!$A:$AM,28,0),""))</f>
        <v>45740</v>
      </c>
      <c r="AE33" s="61" t="str">
        <f>IF(B33="","",IFERROR(VLOOKUP(B33,'ANÁLISE DE DADOS'!$A:$AM,29,0),""))</f>
        <v>mar-25</v>
      </c>
      <c r="AF33" s="61" t="str">
        <f>IF(B33="","",IFERROR(VLOOKUP(B33,'ANÁLISE DE DADOS'!$A:$AM,30,0),""))</f>
        <v>2025</v>
      </c>
      <c r="AG33" s="62">
        <f>IF(B33="","",IFERROR(VLOOKUP(B33,'ANÁLISE DE DADOS'!$A:$AM,31,0),""))</f>
        <v>45740</v>
      </c>
      <c r="AH33" s="61" t="str">
        <f>IF(B33="","",IFERROR(VLOOKUP(B33,'ANÁLISE DE DADOS'!$A:$AM,32,0),""))</f>
        <v>mar-25</v>
      </c>
      <c r="AI33" s="61" t="str">
        <f>IF(B33="","",IFERROR(VLOOKUP(B33,'ANÁLISE DE DADOS'!$A:$AM,33,0),""))</f>
        <v>2025</v>
      </c>
      <c r="AJ33" s="61" t="str">
        <f>IF(B33="","",IFERROR(VLOOKUP(B33,'ANÁLISE DE DADOS'!$A:$AM,34,0),""))</f>
        <v>Acompanhando</v>
      </c>
      <c r="AK33" s="63">
        <f ca="1">IF(B33="","",IFERROR(VLOOKUP(B33,'ANÁLISE DE DADOS'!$A:$AM,35,0),""))</f>
        <v>3200</v>
      </c>
      <c r="AL33" s="63" t="str">
        <f ca="1">IF(B33="","",IFERROR(VLOOKUP(B33,'ANÁLISE DE DADOS'!$A:$AM,36,0),""))</f>
        <v>0</v>
      </c>
      <c r="AM33" s="101" t="str">
        <f ca="1">IF(B33="","",IFERROR(VLOOKUP(B33,'ANÁLISE DE DADOS'!$A:$AM,37,0),""))</f>
        <v>Cobrança Extrajudicial</v>
      </c>
    </row>
    <row r="34" spans="2:39" x14ac:dyDescent="0.3">
      <c r="B34" s="30">
        <v>30</v>
      </c>
      <c r="C34" s="61">
        <f>IF(B34="","",IFERROR(VLOOKUP(B34,'ANÁLISE DE DADOS'!$A:$AM,1,0),""))</f>
        <v>30</v>
      </c>
      <c r="D34" s="61" t="str">
        <f>IF(B34="","",IFERROR(VLOOKUP(B34,'ANÁLISE DE DADOS'!$A:$AM,2,0),""))</f>
        <v>Matriz</v>
      </c>
      <c r="E34" s="61">
        <f>IF(B34="","",IFERROR(VLOOKUP(B34,'ANÁLISE DE DADOS'!$A:$AM,3,0),""))</f>
        <v>0</v>
      </c>
      <c r="F34" s="61" t="str">
        <f>IF(B34="","",IFERROR(VLOOKUP(B34,'ANÁLISE DE DADOS'!$A:$AM,4,0),""))</f>
        <v>SoftLink</v>
      </c>
      <c r="G34" s="62">
        <f>IF(B34="","",IFERROR(VLOOKUP(B34,'ANÁLISE DE DADOS'!$A:$AM,5,0),""))</f>
        <v>45698</v>
      </c>
      <c r="H34" s="62" t="str">
        <f>IF(B34="","",IFERROR(VLOOKUP(B34,'ANÁLISE DE DADOS'!$A:$AM,6,0),""))</f>
        <v>fev-25</v>
      </c>
      <c r="I34" s="62" t="str">
        <f>IF(B34="","",IFERROR(VLOOKUP(B34,'ANÁLISE DE DADOS'!$A:$AM,7,0),""))</f>
        <v>2025</v>
      </c>
      <c r="J34" s="62">
        <f>IF(B34="","",IFERROR(VLOOKUP(B34,'ANÁLISE DE DADOS'!$A:$AM,8,0),""))</f>
        <v>45715</v>
      </c>
      <c r="K34" s="61" t="str">
        <f>IF(B34="","",IFERROR(VLOOKUP(B34,'ANÁLISE DE DADOS'!$A:$AM,9,0),""))</f>
        <v>fev-25</v>
      </c>
      <c r="L34" s="61" t="str">
        <f>IF(B34="","",IFERROR(VLOOKUP(B34,'ANÁLISE DE DADOS'!$A:$AM,10,0),""))</f>
        <v>2025</v>
      </c>
      <c r="M34" s="62">
        <f>IF(B34="","",IFERROR(VLOOKUP(B34,'ANÁLISE DE DADOS'!$A:$AM,11,0),""))</f>
        <v>45715</v>
      </c>
      <c r="N34" s="61" t="str">
        <f>IF(B34="","",IFERROR(VLOOKUP(B34,'ANÁLISE DE DADOS'!$A:$AM,12,0),""))</f>
        <v>fev-25</v>
      </c>
      <c r="O34" s="61" t="str">
        <f>IF(B34="","",IFERROR(VLOOKUP(B34,'ANÁLISE DE DADOS'!$A:$AM,13,0),""))</f>
        <v>2025</v>
      </c>
      <c r="P34" s="63">
        <f>IF(B34="","",IFERROR(VLOOKUP(B34,'ANÁLISE DE DADOS'!$A:$AM,14,0),""))</f>
        <v>3200</v>
      </c>
      <c r="Q34" s="61" t="str">
        <f>IF(B34="","",IFERROR(VLOOKUP(B34,'ANÁLISE DE DADOS'!$A:$AM,15,0),""))</f>
        <v>Tiago</v>
      </c>
      <c r="R34" s="61" t="str">
        <f>IF(B34="","",IFERROR(VLOOKUP(B34,'ANÁLISE DE DADOS'!$A:$AM,16,0),""))</f>
        <v>ANALISTA GUSTAVO</v>
      </c>
      <c r="S34" s="61" t="str">
        <f>IF(B34="","",IFERROR(VLOOKUP(B34,'ANÁLISE DE DADOS'!$A:$AM,17,0),""))</f>
        <v>NÃO</v>
      </c>
      <c r="T34" s="61" t="str">
        <f>IF(B34="","",IFERROR(VLOOKUP(B34,'ANÁLISE DE DADOS'!$A:$AM,18,0),""))</f>
        <v>Acordo cumprido parcialmente</v>
      </c>
      <c r="U34" s="61" t="str">
        <f ca="1">IF(B34="","",IFERROR(VLOOKUP(B34,'ANÁLISE DE DADOS'!$A:$AM,19,0),""))</f>
        <v>Vencido</v>
      </c>
      <c r="V34" s="61">
        <f ca="1">IF(B34="","",IFERROR(VLOOKUP(B34,'ANÁLISE DE DADOS'!$A:$AM,20,0),""))</f>
        <v>80</v>
      </c>
      <c r="W34" s="61" t="str">
        <f ca="1">IF(B34="","",IFERROR(VLOOKUP(B34,'ANÁLISE DE DADOS'!$A:$AM,21,0),""))</f>
        <v>61+ dias</v>
      </c>
      <c r="X34" s="61" t="str">
        <f ca="1">IF(B34="","",IFERROR(VLOOKUP(B34,'ANÁLISE DE DADOS'!$A:$AM,22,0),""))</f>
        <v>Atraso Crítico</v>
      </c>
      <c r="Y34" s="61" t="str">
        <f>IF(B34="","",IFERROR(VLOOKUP(B34,'ANÁLISE DE DADOS'!$A:$AM,23,0),""))</f>
        <v>-</v>
      </c>
      <c r="Z34" s="61" t="str">
        <f>IF(B34="","",IFERROR(VLOOKUP(B34,'ANÁLISE DE DADOS'!$A:$AM,24,0),""))</f>
        <v>Sim</v>
      </c>
      <c r="AA34" s="61">
        <f>IF(B34="","",IFERROR(VLOOKUP(B34,'ANÁLISE DE DADOS'!$A:$AM,25,0),""))</f>
        <v>0</v>
      </c>
      <c r="AB34" s="61">
        <f>IF(B34="","",IFERROR(VLOOKUP(B34,'ANÁLISE DE DADOS'!$A:$AM,26,0),""))</f>
        <v>1</v>
      </c>
      <c r="AC34" s="61" t="str">
        <f>IF(B34="","",IFERROR(VLOOKUP(B34,'ANÁLISE DE DADOS'!$A:$AM,27,0),""))</f>
        <v>Sim</v>
      </c>
      <c r="AD34" s="62">
        <f>IF(B34="","",IFERROR(VLOOKUP(B34,'ANÁLISE DE DADOS'!$A:$AM,28,0),""))</f>
        <v>45740</v>
      </c>
      <c r="AE34" s="61" t="str">
        <f>IF(B34="","",IFERROR(VLOOKUP(B34,'ANÁLISE DE DADOS'!$A:$AM,29,0),""))</f>
        <v>mar-25</v>
      </c>
      <c r="AF34" s="61" t="str">
        <f>IF(B34="","",IFERROR(VLOOKUP(B34,'ANÁLISE DE DADOS'!$A:$AM,30,0),""))</f>
        <v>2025</v>
      </c>
      <c r="AG34" s="62">
        <f>IF(B34="","",IFERROR(VLOOKUP(B34,'ANÁLISE DE DADOS'!$A:$AM,31,0),""))</f>
        <v>45740</v>
      </c>
      <c r="AH34" s="61" t="str">
        <f>IF(B34="","",IFERROR(VLOOKUP(B34,'ANÁLISE DE DADOS'!$A:$AM,32,0),""))</f>
        <v>mar-25</v>
      </c>
      <c r="AI34" s="61" t="str">
        <f>IF(B34="","",IFERROR(VLOOKUP(B34,'ANÁLISE DE DADOS'!$A:$AM,33,0),""))</f>
        <v>2025</v>
      </c>
      <c r="AJ34" s="61" t="str">
        <f>IF(B34="","",IFERROR(VLOOKUP(B34,'ANÁLISE DE DADOS'!$A:$AM,34,0),""))</f>
        <v>Acompanhando</v>
      </c>
      <c r="AK34" s="63">
        <f ca="1">IF(B34="","",IFERROR(VLOOKUP(B34,'ANÁLISE DE DADOS'!$A:$AM,35,0),""))</f>
        <v>3200</v>
      </c>
      <c r="AL34" s="63" t="str">
        <f ca="1">IF(B34="","",IFERROR(VLOOKUP(B34,'ANÁLISE DE DADOS'!$A:$AM,36,0),""))</f>
        <v>0</v>
      </c>
      <c r="AM34" s="101" t="str">
        <f ca="1">IF(B34="","",IFERROR(VLOOKUP(B34,'ANÁLISE DE DADOS'!$A:$AM,37,0),""))</f>
        <v>Cobrança Extrajudicial</v>
      </c>
    </row>
    <row r="35" spans="2:39" x14ac:dyDescent="0.3">
      <c r="B35" s="30">
        <v>31</v>
      </c>
      <c r="C35" s="61">
        <f>IF(B35="","",IFERROR(VLOOKUP(B35,'ANÁLISE DE DADOS'!$A:$AM,1,0),""))</f>
        <v>31</v>
      </c>
      <c r="D35" s="61" t="str">
        <f>IF(B35="","",IFERROR(VLOOKUP(B35,'ANÁLISE DE DADOS'!$A:$AM,2,0),""))</f>
        <v>Filial</v>
      </c>
      <c r="E35" s="61" t="str">
        <f>IF(B35="","",IFERROR(VLOOKUP(B35,'ANÁLISE DE DADOS'!$A:$AM,3,0),""))</f>
        <v>Gamma &amp; CIA</v>
      </c>
      <c r="F35" s="61" t="str">
        <f>IF(B35="","",IFERROR(VLOOKUP(B35,'ANÁLISE DE DADOS'!$A:$AM,4,0),""))</f>
        <v>Gamma &amp; CIA</v>
      </c>
      <c r="G35" s="62">
        <f>IF(B35="","",IFERROR(VLOOKUP(B35,'ANÁLISE DE DADOS'!$A:$AM,5,0),""))</f>
        <v>45700</v>
      </c>
      <c r="H35" s="62" t="str">
        <f>IF(B35="","",IFERROR(VLOOKUP(B35,'ANÁLISE DE DADOS'!$A:$AM,6,0),""))</f>
        <v>fev-25</v>
      </c>
      <c r="I35" s="62" t="str">
        <f>IF(B35="","",IFERROR(VLOOKUP(B35,'ANÁLISE DE DADOS'!$A:$AM,7,0),""))</f>
        <v>2025</v>
      </c>
      <c r="J35" s="62">
        <f>IF(B35="","",IFERROR(VLOOKUP(B35,'ANÁLISE DE DADOS'!$A:$AM,8,0),""))</f>
        <v>45715</v>
      </c>
      <c r="K35" s="61" t="str">
        <f>IF(B35="","",IFERROR(VLOOKUP(B35,'ANÁLISE DE DADOS'!$A:$AM,9,0),""))</f>
        <v>fev-25</v>
      </c>
      <c r="L35" s="61" t="str">
        <f>IF(B35="","",IFERROR(VLOOKUP(B35,'ANÁLISE DE DADOS'!$A:$AM,10,0),""))</f>
        <v>2025</v>
      </c>
      <c r="M35" s="62">
        <f>IF(B35="","",IFERROR(VLOOKUP(B35,'ANÁLISE DE DADOS'!$A:$AM,11,0),""))</f>
        <v>45715</v>
      </c>
      <c r="N35" s="61" t="str">
        <f>IF(B35="","",IFERROR(VLOOKUP(B35,'ANÁLISE DE DADOS'!$A:$AM,12,0),""))</f>
        <v>fev-25</v>
      </c>
      <c r="O35" s="61" t="str">
        <f>IF(B35="","",IFERROR(VLOOKUP(B35,'ANÁLISE DE DADOS'!$A:$AM,13,0),""))</f>
        <v>2025</v>
      </c>
      <c r="P35" s="63">
        <f>IF(B35="","",IFERROR(VLOOKUP(B35,'ANÁLISE DE DADOS'!$A:$AM,14,0),""))</f>
        <v>1500</v>
      </c>
      <c r="Q35" s="61" t="str">
        <f>IF(B35="","",IFERROR(VLOOKUP(B35,'ANÁLISE DE DADOS'!$A:$AM,15,0),""))</f>
        <v>André</v>
      </c>
      <c r="R35" s="61" t="str">
        <f>IF(B35="","",IFERROR(VLOOKUP(B35,'ANÁLISE DE DADOS'!$A:$AM,16,0),""))</f>
        <v>ANALISTA GUSTAVO</v>
      </c>
      <c r="S35" s="61" t="str">
        <f>IF(B35="","",IFERROR(VLOOKUP(B35,'ANÁLISE DE DADOS'!$A:$AM,17,0),""))</f>
        <v>NÃO</v>
      </c>
      <c r="T35" s="61" t="str">
        <f>IF(B35="","",IFERROR(VLOOKUP(B35,'ANÁLISE DE DADOS'!$A:$AM,18,0),""))</f>
        <v>Aguardando liberação do financeiro</v>
      </c>
      <c r="U35" s="61" t="str">
        <f ca="1">IF(B35="","",IFERROR(VLOOKUP(B35,'ANÁLISE DE DADOS'!$A:$AM,19,0),""))</f>
        <v>Vencido</v>
      </c>
      <c r="V35" s="61">
        <f ca="1">IF(B35="","",IFERROR(VLOOKUP(B35,'ANÁLISE DE DADOS'!$A:$AM,20,0),""))</f>
        <v>80</v>
      </c>
      <c r="W35" s="61" t="str">
        <f ca="1">IF(B35="","",IFERROR(VLOOKUP(B35,'ANÁLISE DE DADOS'!$A:$AM,21,0),""))</f>
        <v>61+ dias</v>
      </c>
      <c r="X35" s="61" t="str">
        <f ca="1">IF(B35="","",IFERROR(VLOOKUP(B35,'ANÁLISE DE DADOS'!$A:$AM,22,0),""))</f>
        <v>Atraso Crítico</v>
      </c>
      <c r="Y35" s="61" t="str">
        <f>IF(B35="","",IFERROR(VLOOKUP(B35,'ANÁLISE DE DADOS'!$A:$AM,23,0),""))</f>
        <v>-</v>
      </c>
      <c r="Z35" s="61" t="str">
        <f>IF(B35="","",IFERROR(VLOOKUP(B35,'ANÁLISE DE DADOS'!$A:$AM,24,0),""))</f>
        <v>Sim</v>
      </c>
      <c r="AA35" s="61">
        <f>IF(B35="","",IFERROR(VLOOKUP(B35,'ANÁLISE DE DADOS'!$A:$AM,25,0),""))</f>
        <v>0</v>
      </c>
      <c r="AB35" s="61">
        <f>IF(B35="","",IFERROR(VLOOKUP(B35,'ANÁLISE DE DADOS'!$A:$AM,26,0),""))</f>
        <v>1</v>
      </c>
      <c r="AC35" s="61" t="str">
        <f>IF(B35="","",IFERROR(VLOOKUP(B35,'ANÁLISE DE DADOS'!$A:$AM,27,0),""))</f>
        <v>Sim</v>
      </c>
      <c r="AD35" s="62">
        <f>IF(B35="","",IFERROR(VLOOKUP(B35,'ANÁLISE DE DADOS'!$A:$AM,28,0),""))</f>
        <v>45740</v>
      </c>
      <c r="AE35" s="61" t="str">
        <f>IF(B35="","",IFERROR(VLOOKUP(B35,'ANÁLISE DE DADOS'!$A:$AM,29,0),""))</f>
        <v>mar-25</v>
      </c>
      <c r="AF35" s="61" t="str">
        <f>IF(B35="","",IFERROR(VLOOKUP(B35,'ANÁLISE DE DADOS'!$A:$AM,30,0),""))</f>
        <v>2025</v>
      </c>
      <c r="AG35" s="62">
        <f>IF(B35="","",IFERROR(VLOOKUP(B35,'ANÁLISE DE DADOS'!$A:$AM,31,0),""))</f>
        <v>45740</v>
      </c>
      <c r="AH35" s="61" t="str">
        <f>IF(B35="","",IFERROR(VLOOKUP(B35,'ANÁLISE DE DADOS'!$A:$AM,32,0),""))</f>
        <v>mar-25</v>
      </c>
      <c r="AI35" s="61" t="str">
        <f>IF(B35="","",IFERROR(VLOOKUP(B35,'ANÁLISE DE DADOS'!$A:$AM,33,0),""))</f>
        <v>2025</v>
      </c>
      <c r="AJ35" s="61" t="str">
        <f>IF(B35="","",IFERROR(VLOOKUP(B35,'ANÁLISE DE DADOS'!$A:$AM,34,0),""))</f>
        <v>Acompanhando</v>
      </c>
      <c r="AK35" s="63">
        <f ca="1">IF(B35="","",IFERROR(VLOOKUP(B35,'ANÁLISE DE DADOS'!$A:$AM,35,0),""))</f>
        <v>1500</v>
      </c>
      <c r="AL35" s="63" t="str">
        <f ca="1">IF(B35="","",IFERROR(VLOOKUP(B35,'ANÁLISE DE DADOS'!$A:$AM,36,0),""))</f>
        <v>0</v>
      </c>
      <c r="AM35" s="101" t="str">
        <f ca="1">IF(B35="","",IFERROR(VLOOKUP(B35,'ANÁLISE DE DADOS'!$A:$AM,37,0),""))</f>
        <v>Cobrança Extrajudicial</v>
      </c>
    </row>
    <row r="36" spans="2:39" x14ac:dyDescent="0.3">
      <c r="B36" s="30">
        <v>32</v>
      </c>
      <c r="C36" s="61">
        <f>IF(B36="","",IFERROR(VLOOKUP(B36,'ANÁLISE DE DADOS'!$A:$AM,1,0),""))</f>
        <v>32</v>
      </c>
      <c r="D36" s="61" t="str">
        <f>IF(B36="","",IFERROR(VLOOKUP(B36,'ANÁLISE DE DADOS'!$A:$AM,2,0),""))</f>
        <v>Filial</v>
      </c>
      <c r="E36" s="61">
        <f>IF(B36="","",IFERROR(VLOOKUP(B36,'ANÁLISE DE DADOS'!$A:$AM,3,0),""))</f>
        <v>0</v>
      </c>
      <c r="F36" s="61" t="str">
        <f>IF(B36="","",IFERROR(VLOOKUP(B36,'ANÁLISE DE DADOS'!$A:$AM,4,0),""))</f>
        <v>SoftLink</v>
      </c>
      <c r="G36" s="62">
        <f>IF(B36="","",IFERROR(VLOOKUP(B36,'ANÁLISE DE DADOS'!$A:$AM,5,0),""))</f>
        <v>45700</v>
      </c>
      <c r="H36" s="62" t="str">
        <f>IF(B36="","",IFERROR(VLOOKUP(B36,'ANÁLISE DE DADOS'!$A:$AM,6,0),""))</f>
        <v>fev-25</v>
      </c>
      <c r="I36" s="62" t="str">
        <f>IF(B36="","",IFERROR(VLOOKUP(B36,'ANÁLISE DE DADOS'!$A:$AM,7,0),""))</f>
        <v>2025</v>
      </c>
      <c r="J36" s="62">
        <f>IF(B36="","",IFERROR(VLOOKUP(B36,'ANÁLISE DE DADOS'!$A:$AM,8,0),""))</f>
        <v>45715</v>
      </c>
      <c r="K36" s="61" t="str">
        <f>IF(B36="","",IFERROR(VLOOKUP(B36,'ANÁLISE DE DADOS'!$A:$AM,9,0),""))</f>
        <v>fev-25</v>
      </c>
      <c r="L36" s="61" t="str">
        <f>IF(B36="","",IFERROR(VLOOKUP(B36,'ANÁLISE DE DADOS'!$A:$AM,10,0),""))</f>
        <v>2025</v>
      </c>
      <c r="M36" s="62">
        <f>IF(B36="","",IFERROR(VLOOKUP(B36,'ANÁLISE DE DADOS'!$A:$AM,11,0),""))</f>
        <v>45715</v>
      </c>
      <c r="N36" s="61" t="str">
        <f>IF(B36="","",IFERROR(VLOOKUP(B36,'ANÁLISE DE DADOS'!$A:$AM,12,0),""))</f>
        <v>fev-25</v>
      </c>
      <c r="O36" s="61" t="str">
        <f>IF(B36="","",IFERROR(VLOOKUP(B36,'ANÁLISE DE DADOS'!$A:$AM,13,0),""))</f>
        <v>2025</v>
      </c>
      <c r="P36" s="63">
        <f>IF(B36="","",IFERROR(VLOOKUP(B36,'ANÁLISE DE DADOS'!$A:$AM,14,0),""))</f>
        <v>1500</v>
      </c>
      <c r="Q36" s="61" t="str">
        <f>IF(B36="","",IFERROR(VLOOKUP(B36,'ANÁLISE DE DADOS'!$A:$AM,15,0),""))</f>
        <v>André</v>
      </c>
      <c r="R36" s="61" t="str">
        <f>IF(B36="","",IFERROR(VLOOKUP(B36,'ANÁLISE DE DADOS'!$A:$AM,16,0),""))</f>
        <v>ANALISTA GUSTAVO</v>
      </c>
      <c r="S36" s="61" t="str">
        <f>IF(B36="","",IFERROR(VLOOKUP(B36,'ANÁLISE DE DADOS'!$A:$AM,17,0),""))</f>
        <v>NÃO</v>
      </c>
      <c r="T36" s="61" t="str">
        <f>IF(B36="","",IFERROR(VLOOKUP(B36,'ANÁLISE DE DADOS'!$A:$AM,18,0),""))</f>
        <v>Pagamento em processo (aguardando confirmação bancária)</v>
      </c>
      <c r="U36" s="61" t="str">
        <f ca="1">IF(B36="","",IFERROR(VLOOKUP(B36,'ANÁLISE DE DADOS'!$A:$AM,19,0),""))</f>
        <v>Vencido</v>
      </c>
      <c r="V36" s="61">
        <f ca="1">IF(B36="","",IFERROR(VLOOKUP(B36,'ANÁLISE DE DADOS'!$A:$AM,20,0),""))</f>
        <v>80</v>
      </c>
      <c r="W36" s="61" t="str">
        <f ca="1">IF(B36="","",IFERROR(VLOOKUP(B36,'ANÁLISE DE DADOS'!$A:$AM,21,0),""))</f>
        <v>61+ dias</v>
      </c>
      <c r="X36" s="61" t="str">
        <f ca="1">IF(B36="","",IFERROR(VLOOKUP(B36,'ANÁLISE DE DADOS'!$A:$AM,22,0),""))</f>
        <v>Atraso Crítico</v>
      </c>
      <c r="Y36" s="61" t="str">
        <f>IF(B36="","",IFERROR(VLOOKUP(B36,'ANÁLISE DE DADOS'!$A:$AM,23,0),""))</f>
        <v>-</v>
      </c>
      <c r="Z36" s="61" t="str">
        <f>IF(B36="","",IFERROR(VLOOKUP(B36,'ANÁLISE DE DADOS'!$A:$AM,24,0),""))</f>
        <v>Sim</v>
      </c>
      <c r="AA36" s="61">
        <f>IF(B36="","",IFERROR(VLOOKUP(B36,'ANÁLISE DE DADOS'!$A:$AM,25,0),""))</f>
        <v>0</v>
      </c>
      <c r="AB36" s="61">
        <f>IF(B36="","",IFERROR(VLOOKUP(B36,'ANÁLISE DE DADOS'!$A:$AM,26,0),""))</f>
        <v>1</v>
      </c>
      <c r="AC36" s="61" t="str">
        <f>IF(B36="","",IFERROR(VLOOKUP(B36,'ANÁLISE DE DADOS'!$A:$AM,27,0),""))</f>
        <v>Sim</v>
      </c>
      <c r="AD36" s="62">
        <f>IF(B36="","",IFERROR(VLOOKUP(B36,'ANÁLISE DE DADOS'!$A:$AM,28,0),""))</f>
        <v>45740</v>
      </c>
      <c r="AE36" s="61" t="str">
        <f>IF(B36="","",IFERROR(VLOOKUP(B36,'ANÁLISE DE DADOS'!$A:$AM,29,0),""))</f>
        <v>mar-25</v>
      </c>
      <c r="AF36" s="61" t="str">
        <f>IF(B36="","",IFERROR(VLOOKUP(B36,'ANÁLISE DE DADOS'!$A:$AM,30,0),""))</f>
        <v>2025</v>
      </c>
      <c r="AG36" s="62">
        <f>IF(B36="","",IFERROR(VLOOKUP(B36,'ANÁLISE DE DADOS'!$A:$AM,31,0),""))</f>
        <v>45740</v>
      </c>
      <c r="AH36" s="61" t="str">
        <f>IF(B36="","",IFERROR(VLOOKUP(B36,'ANÁLISE DE DADOS'!$A:$AM,32,0),""))</f>
        <v>mar-25</v>
      </c>
      <c r="AI36" s="61" t="str">
        <f>IF(B36="","",IFERROR(VLOOKUP(B36,'ANÁLISE DE DADOS'!$A:$AM,33,0),""))</f>
        <v>2025</v>
      </c>
      <c r="AJ36" s="61" t="str">
        <f>IF(B36="","",IFERROR(VLOOKUP(B36,'ANÁLISE DE DADOS'!$A:$AM,34,0),""))</f>
        <v>Acompanhando</v>
      </c>
      <c r="AK36" s="63">
        <f ca="1">IF(B36="","",IFERROR(VLOOKUP(B36,'ANÁLISE DE DADOS'!$A:$AM,35,0),""))</f>
        <v>1500</v>
      </c>
      <c r="AL36" s="63" t="str">
        <f ca="1">IF(B36="","",IFERROR(VLOOKUP(B36,'ANÁLISE DE DADOS'!$A:$AM,36,0),""))</f>
        <v>0</v>
      </c>
      <c r="AM36" s="101" t="str">
        <f ca="1">IF(B36="","",IFERROR(VLOOKUP(B36,'ANÁLISE DE DADOS'!$A:$AM,37,0),""))</f>
        <v>Cobrança Extrajudicial</v>
      </c>
    </row>
    <row r="37" spans="2:39" x14ac:dyDescent="0.3">
      <c r="B37" s="30">
        <v>33</v>
      </c>
      <c r="C37" s="61">
        <f>IF(B37="","",IFERROR(VLOOKUP(B37,'ANÁLISE DE DADOS'!$A:$AM,1,0),""))</f>
        <v>33</v>
      </c>
      <c r="D37" s="61" t="str">
        <f>IF(B37="","",IFERROR(VLOOKUP(B37,'ANÁLISE DE DADOS'!$A:$AM,2,0),""))</f>
        <v>Matriz</v>
      </c>
      <c r="E37" s="61" t="str">
        <f>IF(B37="","",IFERROR(VLOOKUP(B37,'ANÁLISE DE DADOS'!$A:$AM,3,0),""))</f>
        <v>Gamma &amp; CIA</v>
      </c>
      <c r="F37" s="61" t="str">
        <f>IF(B37="","",IFERROR(VLOOKUP(B37,'ANÁLISE DE DADOS'!$A:$AM,4,0),""))</f>
        <v>Gamma &amp; CIA</v>
      </c>
      <c r="G37" s="62">
        <f>IF(B37="","",IFERROR(VLOOKUP(B37,'ANÁLISE DE DADOS'!$A:$AM,5,0),""))</f>
        <v>45337</v>
      </c>
      <c r="H37" s="62" t="str">
        <f>IF(B37="","",IFERROR(VLOOKUP(B37,'ANÁLISE DE DADOS'!$A:$AM,6,0),""))</f>
        <v>fev-24</v>
      </c>
      <c r="I37" s="62" t="str">
        <f>IF(B37="","",IFERROR(VLOOKUP(B37,'ANÁLISE DE DADOS'!$A:$AM,7,0),""))</f>
        <v>2024</v>
      </c>
      <c r="J37" s="62" t="str">
        <f>IF(B37="","",IFERROR(VLOOKUP(B37,'ANÁLISE DE DADOS'!$A:$AM,8,0),""))</f>
        <v xml:space="preserve"> </v>
      </c>
      <c r="K37" s="61" t="str">
        <f>IF(B37="","",IFERROR(VLOOKUP(B37,'ANÁLISE DE DADOS'!$A:$AM,9,0),""))</f>
        <v xml:space="preserve"> </v>
      </c>
      <c r="L37" s="61" t="str">
        <f>IF(B37="","",IFERROR(VLOOKUP(B37,'ANÁLISE DE DADOS'!$A:$AM,10,0),""))</f>
        <v xml:space="preserve"> </v>
      </c>
      <c r="M37" s="62">
        <f>IF(B37="","",IFERROR(VLOOKUP(B37,'ANÁLISE DE DADOS'!$A:$AM,11,0),""))</f>
        <v>45339</v>
      </c>
      <c r="N37" s="61" t="str">
        <f>IF(B37="","",IFERROR(VLOOKUP(B37,'ANÁLISE DE DADOS'!$A:$AM,12,0),""))</f>
        <v>fev-24</v>
      </c>
      <c r="O37" s="61" t="str">
        <f>IF(B37="","",IFERROR(VLOOKUP(B37,'ANÁLISE DE DADOS'!$A:$AM,13,0),""))</f>
        <v>2024</v>
      </c>
      <c r="P37" s="63">
        <f>IF(B37="","",IFERROR(VLOOKUP(B37,'ANÁLISE DE DADOS'!$A:$AM,14,0),""))</f>
        <v>2000</v>
      </c>
      <c r="Q37" s="61" t="str">
        <f>IF(B37="","",IFERROR(VLOOKUP(B37,'ANÁLISE DE DADOS'!$A:$AM,15,0),""))</f>
        <v>Luana</v>
      </c>
      <c r="R37" s="61" t="str">
        <f>IF(B37="","",IFERROR(VLOOKUP(B37,'ANÁLISE DE DADOS'!$A:$AM,16,0),""))</f>
        <v>ANALISTA GUSTAVO</v>
      </c>
      <c r="S37" s="61" t="str">
        <f>IF(B37="","",IFERROR(VLOOKUP(B37,'ANÁLISE DE DADOS'!$A:$AM,17,0),""))</f>
        <v>NÃO</v>
      </c>
      <c r="T37" s="61" t="str">
        <f>IF(B37="","",IFERROR(VLOOKUP(B37,'ANÁLISE DE DADOS'!$A:$AM,18,0),""))</f>
        <v>Cliente em inadimplência sem previsão de pagamento</v>
      </c>
      <c r="U37" s="61" t="str">
        <f ca="1">IF(B37="","",IFERROR(VLOOKUP(B37,'ANÁLISE DE DADOS'!$A:$AM,19,0),""))</f>
        <v>A Vencer</v>
      </c>
      <c r="V37" s="61" t="str">
        <f ca="1">IF(B37="","",IFERROR(VLOOKUP(B37,'ANÁLISE DE DADOS'!$A:$AM,20,0),""))</f>
        <v/>
      </c>
      <c r="W37" s="61" t="str">
        <f ca="1">IF(B37="","",IFERROR(VLOOKUP(B37,'ANÁLISE DE DADOS'!$A:$AM,21,0),""))</f>
        <v/>
      </c>
      <c r="X37" s="61" t="str">
        <f ca="1">IF(B37="","",IFERROR(VLOOKUP(B37,'ANÁLISE DE DADOS'!$A:$AM,22,0),""))</f>
        <v/>
      </c>
      <c r="Y37" s="61" t="str">
        <f>IF(B37="","",IFERROR(VLOOKUP(B37,'ANÁLISE DE DADOS'!$A:$AM,23,0),""))</f>
        <v>-</v>
      </c>
      <c r="Z37" s="61" t="str">
        <f>IF(B37="","",IFERROR(VLOOKUP(B37,'ANÁLISE DE DADOS'!$A:$AM,24,0),""))</f>
        <v>Sim</v>
      </c>
      <c r="AA37" s="61">
        <f>IF(B37="","",IFERROR(VLOOKUP(B37,'ANÁLISE DE DADOS'!$A:$AM,25,0),""))</f>
        <v>0</v>
      </c>
      <c r="AB37" s="61">
        <f>IF(B37="","",IFERROR(VLOOKUP(B37,'ANÁLISE DE DADOS'!$A:$AM,26,0),""))</f>
        <v>1</v>
      </c>
      <c r="AC37" s="61" t="str">
        <f>IF(B37="","",IFERROR(VLOOKUP(B37,'ANÁLISE DE DADOS'!$A:$AM,27,0),""))</f>
        <v>Sim</v>
      </c>
      <c r="AD37" s="62">
        <f>IF(B37="","",IFERROR(VLOOKUP(B37,'ANÁLISE DE DADOS'!$A:$AM,28,0),""))</f>
        <v>45740</v>
      </c>
      <c r="AE37" s="61" t="str">
        <f>IF(B37="","",IFERROR(VLOOKUP(B37,'ANÁLISE DE DADOS'!$A:$AM,29,0),""))</f>
        <v>mar-25</v>
      </c>
      <c r="AF37" s="61" t="str">
        <f>IF(B37="","",IFERROR(VLOOKUP(B37,'ANÁLISE DE DADOS'!$A:$AM,30,0),""))</f>
        <v>2025</v>
      </c>
      <c r="AG37" s="62">
        <f>IF(B37="","",IFERROR(VLOOKUP(B37,'ANÁLISE DE DADOS'!$A:$AM,31,0),""))</f>
        <v>45772</v>
      </c>
      <c r="AH37" s="61" t="str">
        <f>IF(B37="","",IFERROR(VLOOKUP(B37,'ANÁLISE DE DADOS'!$A:$AM,32,0),""))</f>
        <v>abr-25</v>
      </c>
      <c r="AI37" s="61" t="str">
        <f>IF(B37="","",IFERROR(VLOOKUP(B37,'ANÁLISE DE DADOS'!$A:$AM,33,0),""))</f>
        <v>2025</v>
      </c>
      <c r="AJ37" s="61" t="str">
        <f>IF(B37="","",IFERROR(VLOOKUP(B37,'ANÁLISE DE DADOS'!$A:$AM,34,0),""))</f>
        <v>Acompanhando</v>
      </c>
      <c r="AK37" s="63" t="str">
        <f ca="1">IF(B37="","",IFERROR(VLOOKUP(B37,'ANÁLISE DE DADOS'!$A:$AM,35,0),""))</f>
        <v>0</v>
      </c>
      <c r="AL37" s="63">
        <f ca="1">IF(B37="","",IFERROR(VLOOKUP(B37,'ANÁLISE DE DADOS'!$A:$AM,36,0),""))</f>
        <v>2000</v>
      </c>
      <c r="AM37" s="101" t="str">
        <f ca="1">IF(B37="","",IFERROR(VLOOKUP(B37,'ANÁLISE DE DADOS'!$A:$AM,37,0),""))</f>
        <v>Cobrança Judicial</v>
      </c>
    </row>
    <row r="38" spans="2:39" x14ac:dyDescent="0.3">
      <c r="B38" s="30">
        <v>34</v>
      </c>
      <c r="C38" s="61">
        <f>IF(B38="","",IFERROR(VLOOKUP(B38,'ANÁLISE DE DADOS'!$A:$AM,1,0),""))</f>
        <v>34</v>
      </c>
      <c r="D38" s="61" t="str">
        <f>IF(B38="","",IFERROR(VLOOKUP(B38,'ANÁLISE DE DADOS'!$A:$AM,2,0),""))</f>
        <v>Matriz</v>
      </c>
      <c r="E38" s="61">
        <f>IF(B38="","",IFERROR(VLOOKUP(B38,'ANÁLISE DE DADOS'!$A:$AM,3,0),""))</f>
        <v>0</v>
      </c>
      <c r="F38" s="61" t="str">
        <f>IF(B38="","",IFERROR(VLOOKUP(B38,'ANÁLISE DE DADOS'!$A:$AM,4,0),""))</f>
        <v>BemEstar</v>
      </c>
      <c r="G38" s="62">
        <f>IF(B38="","",IFERROR(VLOOKUP(B38,'ANÁLISE DE DADOS'!$A:$AM,5,0),""))</f>
        <v>45658</v>
      </c>
      <c r="H38" s="62" t="str">
        <f>IF(B38="","",IFERROR(VLOOKUP(B38,'ANÁLISE DE DADOS'!$A:$AM,6,0),""))</f>
        <v>jan-25</v>
      </c>
      <c r="I38" s="62" t="str">
        <f>IF(B38="","",IFERROR(VLOOKUP(B38,'ANÁLISE DE DADOS'!$A:$AM,7,0),""))</f>
        <v>2025</v>
      </c>
      <c r="J38" s="62">
        <f>IF(B38="","",IFERROR(VLOOKUP(B38,'ANÁLISE DE DADOS'!$A:$AM,8,0),""))</f>
        <v>45689</v>
      </c>
      <c r="K38" s="61" t="str">
        <f>IF(B38="","",IFERROR(VLOOKUP(B38,'ANÁLISE DE DADOS'!$A:$AM,9,0),""))</f>
        <v>fev-25</v>
      </c>
      <c r="L38" s="61" t="str">
        <f>IF(B38="","",IFERROR(VLOOKUP(B38,'ANÁLISE DE DADOS'!$A:$AM,10,0),""))</f>
        <v>2025</v>
      </c>
      <c r="M38" s="62">
        <f>IF(B38="","",IFERROR(VLOOKUP(B38,'ANÁLISE DE DADOS'!$A:$AM,11,0),""))</f>
        <v>45737</v>
      </c>
      <c r="N38" s="61" t="str">
        <f>IF(B38="","",IFERROR(VLOOKUP(B38,'ANÁLISE DE DADOS'!$A:$AM,12,0),""))</f>
        <v>mar-25</v>
      </c>
      <c r="O38" s="61" t="str">
        <f>IF(B38="","",IFERROR(VLOOKUP(B38,'ANÁLISE DE DADOS'!$A:$AM,13,0),""))</f>
        <v>2025</v>
      </c>
      <c r="P38" s="63">
        <f>IF(B38="","",IFERROR(VLOOKUP(B38,'ANÁLISE DE DADOS'!$A:$AM,14,0),""))</f>
        <v>2000</v>
      </c>
      <c r="Q38" s="61" t="str">
        <f>IF(B38="","",IFERROR(VLOOKUP(B38,'ANÁLISE DE DADOS'!$A:$AM,15,0),""))</f>
        <v>Luana</v>
      </c>
      <c r="R38" s="61" t="str">
        <f>IF(B38="","",IFERROR(VLOOKUP(B38,'ANÁLISE DE DADOS'!$A:$AM,16,0),""))</f>
        <v>ANALISTA GUSTAVO</v>
      </c>
      <c r="S38" s="61" t="str">
        <f>IF(B38="","",IFERROR(VLOOKUP(B38,'ANÁLISE DE DADOS'!$A:$AM,17,0),""))</f>
        <v>NÃO</v>
      </c>
      <c r="T38" s="61" t="str">
        <f>IF(B38="","",IFERROR(VLOOKUP(B38,'ANÁLISE DE DADOS'!$A:$AM,18,0),""))</f>
        <v>Pagamento em processo (aguardando confirmação bancária)</v>
      </c>
      <c r="U38" s="61" t="str">
        <f ca="1">IF(B38="","",IFERROR(VLOOKUP(B38,'ANÁLISE DE DADOS'!$A:$AM,19,0),""))</f>
        <v>Vencido</v>
      </c>
      <c r="V38" s="61">
        <f ca="1">IF(B38="","",IFERROR(VLOOKUP(B38,'ANÁLISE DE DADOS'!$A:$AM,20,0),""))</f>
        <v>106</v>
      </c>
      <c r="W38" s="61" t="str">
        <f ca="1">IF(B38="","",IFERROR(VLOOKUP(B38,'ANÁLISE DE DADOS'!$A:$AM,21,0),""))</f>
        <v>61+ dias</v>
      </c>
      <c r="X38" s="61" t="str">
        <f ca="1">IF(B38="","",IFERROR(VLOOKUP(B38,'ANÁLISE DE DADOS'!$A:$AM,22,0),""))</f>
        <v>Atraso Crítico</v>
      </c>
      <c r="Y38" s="61" t="str">
        <f>IF(B38="","",IFERROR(VLOOKUP(B38,'ANÁLISE DE DADOS'!$A:$AM,23,0),""))</f>
        <v>-</v>
      </c>
      <c r="Z38" s="61" t="str">
        <f>IF(B38="","",IFERROR(VLOOKUP(B38,'ANÁLISE DE DADOS'!$A:$AM,24,0),""))</f>
        <v>Sim</v>
      </c>
      <c r="AA38" s="61">
        <f>IF(B38="","",IFERROR(VLOOKUP(B38,'ANÁLISE DE DADOS'!$A:$AM,25,0),""))</f>
        <v>0</v>
      </c>
      <c r="AB38" s="61">
        <f>IF(B38="","",IFERROR(VLOOKUP(B38,'ANÁLISE DE DADOS'!$A:$AM,26,0),""))</f>
        <v>1</v>
      </c>
      <c r="AC38" s="61" t="str">
        <f>IF(B38="","",IFERROR(VLOOKUP(B38,'ANÁLISE DE DADOS'!$A:$AM,27,0),""))</f>
        <v>Sim</v>
      </c>
      <c r="AD38" s="62">
        <f>IF(B38="","",IFERROR(VLOOKUP(B38,'ANÁLISE DE DADOS'!$A:$AM,28,0),""))</f>
        <v>45740</v>
      </c>
      <c r="AE38" s="61" t="str">
        <f>IF(B38="","",IFERROR(VLOOKUP(B38,'ANÁLISE DE DADOS'!$A:$AM,29,0),""))</f>
        <v>mar-25</v>
      </c>
      <c r="AF38" s="61" t="str">
        <f>IF(B38="","",IFERROR(VLOOKUP(B38,'ANÁLISE DE DADOS'!$A:$AM,30,0),""))</f>
        <v>2025</v>
      </c>
      <c r="AG38" s="62">
        <f>IF(B38="","",IFERROR(VLOOKUP(B38,'ANÁLISE DE DADOS'!$A:$AM,31,0),""))</f>
        <v>45772</v>
      </c>
      <c r="AH38" s="61" t="str">
        <f>IF(B38="","",IFERROR(VLOOKUP(B38,'ANÁLISE DE DADOS'!$A:$AM,32,0),""))</f>
        <v>abr-25</v>
      </c>
      <c r="AI38" s="61" t="str">
        <f>IF(B38="","",IFERROR(VLOOKUP(B38,'ANÁLISE DE DADOS'!$A:$AM,33,0),""))</f>
        <v>2025</v>
      </c>
      <c r="AJ38" s="61" t="str">
        <f>IF(B38="","",IFERROR(VLOOKUP(B38,'ANÁLISE DE DADOS'!$A:$AM,34,0),""))</f>
        <v>Acompanhando</v>
      </c>
      <c r="AK38" s="63">
        <f ca="1">IF(B38="","",IFERROR(VLOOKUP(B38,'ANÁLISE DE DADOS'!$A:$AM,35,0),""))</f>
        <v>2000</v>
      </c>
      <c r="AL38" s="63" t="str">
        <f ca="1">IF(B38="","",IFERROR(VLOOKUP(B38,'ANÁLISE DE DADOS'!$A:$AM,36,0),""))</f>
        <v>0</v>
      </c>
      <c r="AM38" s="101" t="str">
        <f ca="1">IF(B38="","",IFERROR(VLOOKUP(B38,'ANÁLISE DE DADOS'!$A:$AM,37,0),""))</f>
        <v>Cobrança Judicial</v>
      </c>
    </row>
    <row r="39" spans="2:39" x14ac:dyDescent="0.3">
      <c r="B39" s="30">
        <v>35</v>
      </c>
      <c r="C39" s="61">
        <f>IF(B39="","",IFERROR(VLOOKUP(B39,'ANÁLISE DE DADOS'!$A:$AM,1,0),""))</f>
        <v>35</v>
      </c>
      <c r="D39" s="61" t="str">
        <f>IF(B39="","",IFERROR(VLOOKUP(B39,'ANÁLISE DE DADOS'!$A:$AM,2,0),""))</f>
        <v>Filial</v>
      </c>
      <c r="E39" s="61" t="str">
        <f>IF(B39="","",IFERROR(VLOOKUP(B39,'ANÁLISE DE DADOS'!$A:$AM,3,0),""))</f>
        <v>Gamma &amp; CIA</v>
      </c>
      <c r="F39" s="61" t="str">
        <f>IF(B39="","",IFERROR(VLOOKUP(B39,'ANÁLISE DE DADOS'!$A:$AM,4,0),""))</f>
        <v>Gamma &amp; CIA</v>
      </c>
      <c r="G39" s="62">
        <f>IF(B39="","",IFERROR(VLOOKUP(B39,'ANÁLISE DE DADOS'!$A:$AM,5,0),""))</f>
        <v>45706</v>
      </c>
      <c r="H39" s="62" t="str">
        <f>IF(B39="","",IFERROR(VLOOKUP(B39,'ANÁLISE DE DADOS'!$A:$AM,6,0),""))</f>
        <v>fev-25</v>
      </c>
      <c r="I39" s="62" t="str">
        <f>IF(B39="","",IFERROR(VLOOKUP(B39,'ANÁLISE DE DADOS'!$A:$AM,7,0),""))</f>
        <v>2025</v>
      </c>
      <c r="J39" s="62">
        <f>IF(B39="","",IFERROR(VLOOKUP(B39,'ANÁLISE DE DADOS'!$A:$AM,8,0),""))</f>
        <v>45715</v>
      </c>
      <c r="K39" s="61" t="str">
        <f>IF(B39="","",IFERROR(VLOOKUP(B39,'ANÁLISE DE DADOS'!$A:$AM,9,0),""))</f>
        <v>fev-25</v>
      </c>
      <c r="L39" s="61" t="str">
        <f>IF(B39="","",IFERROR(VLOOKUP(B39,'ANÁLISE DE DADOS'!$A:$AM,10,0),""))</f>
        <v>2025</v>
      </c>
      <c r="M39" s="62">
        <f>IF(B39="","",IFERROR(VLOOKUP(B39,'ANÁLISE DE DADOS'!$A:$AM,11,0),""))</f>
        <v>45715</v>
      </c>
      <c r="N39" s="61" t="str">
        <f>IF(B39="","",IFERROR(VLOOKUP(B39,'ANÁLISE DE DADOS'!$A:$AM,12,0),""))</f>
        <v>fev-25</v>
      </c>
      <c r="O39" s="61" t="str">
        <f>IF(B39="","",IFERROR(VLOOKUP(B39,'ANÁLISE DE DADOS'!$A:$AM,13,0),""))</f>
        <v>2025</v>
      </c>
      <c r="P39" s="63">
        <f>IF(B39="","",IFERROR(VLOOKUP(B39,'ANÁLISE DE DADOS'!$A:$AM,14,0),""))</f>
        <v>1000</v>
      </c>
      <c r="Q39" s="61" t="str">
        <f>IF(B39="","",IFERROR(VLOOKUP(B39,'ANÁLISE DE DADOS'!$A:$AM,15,0),""))</f>
        <v>Pedro</v>
      </c>
      <c r="R39" s="61" t="str">
        <f>IF(B39="","",IFERROR(VLOOKUP(B39,'ANÁLISE DE DADOS'!$A:$AM,16,0),""))</f>
        <v>ANALISTA GUSTAVO</v>
      </c>
      <c r="S39" s="61" t="str">
        <f>IF(B39="","",IFERROR(VLOOKUP(B39,'ANÁLISE DE DADOS'!$A:$AM,17,0),""))</f>
        <v>NÃO</v>
      </c>
      <c r="T39" s="61" t="str">
        <f>IF(B39="","",IFERROR(VLOOKUP(B39,'ANÁLISE DE DADOS'!$A:$AM,18,0),""))</f>
        <v>Situação jurídica em andamento (em processo judicial)</v>
      </c>
      <c r="U39" s="61" t="str">
        <f ca="1">IF(B39="","",IFERROR(VLOOKUP(B39,'ANÁLISE DE DADOS'!$A:$AM,19,0),""))</f>
        <v>Vencido</v>
      </c>
      <c r="V39" s="61">
        <f ca="1">IF(B39="","",IFERROR(VLOOKUP(B39,'ANÁLISE DE DADOS'!$A:$AM,20,0),""))</f>
        <v>80</v>
      </c>
      <c r="W39" s="61" t="str">
        <f ca="1">IF(B39="","",IFERROR(VLOOKUP(B39,'ANÁLISE DE DADOS'!$A:$AM,21,0),""))</f>
        <v>61+ dias</v>
      </c>
      <c r="X39" s="61" t="str">
        <f ca="1">IF(B39="","",IFERROR(VLOOKUP(B39,'ANÁLISE DE DADOS'!$A:$AM,22,0),""))</f>
        <v>Atraso Crítico</v>
      </c>
      <c r="Y39" s="61" t="str">
        <f>IF(B39="","",IFERROR(VLOOKUP(B39,'ANÁLISE DE DADOS'!$A:$AM,23,0),""))</f>
        <v>-</v>
      </c>
      <c r="Z39" s="61" t="str">
        <f>IF(B39="","",IFERROR(VLOOKUP(B39,'ANÁLISE DE DADOS'!$A:$AM,24,0),""))</f>
        <v>Sim</v>
      </c>
      <c r="AA39" s="61">
        <f>IF(B39="","",IFERROR(VLOOKUP(B39,'ANÁLISE DE DADOS'!$A:$AM,25,0),""))</f>
        <v>0</v>
      </c>
      <c r="AB39" s="61">
        <f>IF(B39="","",IFERROR(VLOOKUP(B39,'ANÁLISE DE DADOS'!$A:$AM,26,0),""))</f>
        <v>1</v>
      </c>
      <c r="AC39" s="61" t="str">
        <f>IF(B39="","",IFERROR(VLOOKUP(B39,'ANÁLISE DE DADOS'!$A:$AM,27,0),""))</f>
        <v>Sim</v>
      </c>
      <c r="AD39" s="62">
        <f>IF(B39="","",IFERROR(VLOOKUP(B39,'ANÁLISE DE DADOS'!$A:$AM,28,0),""))</f>
        <v>45740</v>
      </c>
      <c r="AE39" s="61" t="str">
        <f>IF(B39="","",IFERROR(VLOOKUP(B39,'ANÁLISE DE DADOS'!$A:$AM,29,0),""))</f>
        <v>mar-25</v>
      </c>
      <c r="AF39" s="61" t="str">
        <f>IF(B39="","",IFERROR(VLOOKUP(B39,'ANÁLISE DE DADOS'!$A:$AM,30,0),""))</f>
        <v>2025</v>
      </c>
      <c r="AG39" s="62">
        <f>IF(B39="","",IFERROR(VLOOKUP(B39,'ANÁLISE DE DADOS'!$A:$AM,31,0),""))</f>
        <v>45740</v>
      </c>
      <c r="AH39" s="61" t="str">
        <f>IF(B39="","",IFERROR(VLOOKUP(B39,'ANÁLISE DE DADOS'!$A:$AM,32,0),""))</f>
        <v>mar-25</v>
      </c>
      <c r="AI39" s="61" t="str">
        <f>IF(B39="","",IFERROR(VLOOKUP(B39,'ANÁLISE DE DADOS'!$A:$AM,33,0),""))</f>
        <v>2025</v>
      </c>
      <c r="AJ39" s="61" t="str">
        <f>IF(B39="","",IFERROR(VLOOKUP(B39,'ANÁLISE DE DADOS'!$A:$AM,34,0),""))</f>
        <v>Acompanhando</v>
      </c>
      <c r="AK39" s="63">
        <f ca="1">IF(B39="","",IFERROR(VLOOKUP(B39,'ANÁLISE DE DADOS'!$A:$AM,35,0),""))</f>
        <v>1000</v>
      </c>
      <c r="AL39" s="63" t="str">
        <f ca="1">IF(B39="","",IFERROR(VLOOKUP(B39,'ANÁLISE DE DADOS'!$A:$AM,36,0),""))</f>
        <v>0</v>
      </c>
      <c r="AM39" s="101" t="str">
        <f ca="1">IF(B39="","",IFERROR(VLOOKUP(B39,'ANÁLISE DE DADOS'!$A:$AM,37,0),""))</f>
        <v>Cobrança Extrajudicial</v>
      </c>
    </row>
    <row r="40" spans="2:39" x14ac:dyDescent="0.3">
      <c r="B40" s="30">
        <v>36</v>
      </c>
      <c r="C40" s="61">
        <f>IF(B40="","",IFERROR(VLOOKUP(B40,'ANÁLISE DE DADOS'!$A:$AM,1,0),""))</f>
        <v>36</v>
      </c>
      <c r="D40" s="61" t="str">
        <f>IF(B40="","",IFERROR(VLOOKUP(B40,'ANÁLISE DE DADOS'!$A:$AM,2,0),""))</f>
        <v>Filial</v>
      </c>
      <c r="E40" s="61">
        <f>IF(B40="","",IFERROR(VLOOKUP(B40,'ANÁLISE DE DADOS'!$A:$AM,3,0),""))</f>
        <v>0</v>
      </c>
      <c r="F40" s="61" t="str">
        <f>IF(B40="","",IFERROR(VLOOKUP(B40,'ANÁLISE DE DADOS'!$A:$AM,4,0),""))</f>
        <v>SoftLink</v>
      </c>
      <c r="G40" s="62">
        <f>IF(B40="","",IFERROR(VLOOKUP(B40,'ANÁLISE DE DADOS'!$A:$AM,5,0),""))</f>
        <v>45706</v>
      </c>
      <c r="H40" s="62" t="str">
        <f>IF(B40="","",IFERROR(VLOOKUP(B40,'ANÁLISE DE DADOS'!$A:$AM,6,0),""))</f>
        <v>fev-25</v>
      </c>
      <c r="I40" s="62" t="str">
        <f>IF(B40="","",IFERROR(VLOOKUP(B40,'ANÁLISE DE DADOS'!$A:$AM,7,0),""))</f>
        <v>2025</v>
      </c>
      <c r="J40" s="62">
        <f>IF(B40="","",IFERROR(VLOOKUP(B40,'ANÁLISE DE DADOS'!$A:$AM,8,0),""))</f>
        <v>45715</v>
      </c>
      <c r="K40" s="61" t="str">
        <f>IF(B40="","",IFERROR(VLOOKUP(B40,'ANÁLISE DE DADOS'!$A:$AM,9,0),""))</f>
        <v>fev-25</v>
      </c>
      <c r="L40" s="61" t="str">
        <f>IF(B40="","",IFERROR(VLOOKUP(B40,'ANÁLISE DE DADOS'!$A:$AM,10,0),""))</f>
        <v>2025</v>
      </c>
      <c r="M40" s="62">
        <f>IF(B40="","",IFERROR(VLOOKUP(B40,'ANÁLISE DE DADOS'!$A:$AM,11,0),""))</f>
        <v>45715</v>
      </c>
      <c r="N40" s="61" t="str">
        <f>IF(B40="","",IFERROR(VLOOKUP(B40,'ANÁLISE DE DADOS'!$A:$AM,12,0),""))</f>
        <v>fev-25</v>
      </c>
      <c r="O40" s="61" t="str">
        <f>IF(B40="","",IFERROR(VLOOKUP(B40,'ANÁLISE DE DADOS'!$A:$AM,13,0),""))</f>
        <v>2025</v>
      </c>
      <c r="P40" s="63">
        <f>IF(B40="","",IFERROR(VLOOKUP(B40,'ANÁLISE DE DADOS'!$A:$AM,14,0),""))</f>
        <v>1000</v>
      </c>
      <c r="Q40" s="61" t="str">
        <f>IF(B40="","",IFERROR(VLOOKUP(B40,'ANÁLISE DE DADOS'!$A:$AM,15,0),""))</f>
        <v>Pedro</v>
      </c>
      <c r="R40" s="61" t="str">
        <f>IF(B40="","",IFERROR(VLOOKUP(B40,'ANÁLISE DE DADOS'!$A:$AM,16,0),""))</f>
        <v>ANALISTA GUSTAVO</v>
      </c>
      <c r="S40" s="61" t="str">
        <f>IF(B40="","",IFERROR(VLOOKUP(B40,'ANÁLISE DE DADOS'!$A:$AM,17,0),""))</f>
        <v>NÃO</v>
      </c>
      <c r="T40" s="61" t="str">
        <f>IF(B40="","",IFERROR(VLOOKUP(B40,'ANÁLISE DE DADOS'!$A:$AM,18,0),""))</f>
        <v>Cancelamento de cobrança solicitado</v>
      </c>
      <c r="U40" s="61" t="str">
        <f ca="1">IF(B40="","",IFERROR(VLOOKUP(B40,'ANÁLISE DE DADOS'!$A:$AM,19,0),""))</f>
        <v>Vencido</v>
      </c>
      <c r="V40" s="61">
        <f ca="1">IF(B40="","",IFERROR(VLOOKUP(B40,'ANÁLISE DE DADOS'!$A:$AM,20,0),""))</f>
        <v>80</v>
      </c>
      <c r="W40" s="61" t="str">
        <f ca="1">IF(B40="","",IFERROR(VLOOKUP(B40,'ANÁLISE DE DADOS'!$A:$AM,21,0),""))</f>
        <v>61+ dias</v>
      </c>
      <c r="X40" s="61" t="str">
        <f ca="1">IF(B40="","",IFERROR(VLOOKUP(B40,'ANÁLISE DE DADOS'!$A:$AM,22,0),""))</f>
        <v>Atraso Crítico</v>
      </c>
      <c r="Y40" s="61" t="str">
        <f>IF(B40="","",IFERROR(VLOOKUP(B40,'ANÁLISE DE DADOS'!$A:$AM,23,0),""))</f>
        <v>-</v>
      </c>
      <c r="Z40" s="61" t="str">
        <f>IF(B40="","",IFERROR(VLOOKUP(B40,'ANÁLISE DE DADOS'!$A:$AM,24,0),""))</f>
        <v>Sim</v>
      </c>
      <c r="AA40" s="61">
        <f>IF(B40="","",IFERROR(VLOOKUP(B40,'ANÁLISE DE DADOS'!$A:$AM,25,0),""))</f>
        <v>0</v>
      </c>
      <c r="AB40" s="61">
        <f>IF(B40="","",IFERROR(VLOOKUP(B40,'ANÁLISE DE DADOS'!$A:$AM,26,0),""))</f>
        <v>1</v>
      </c>
      <c r="AC40" s="61" t="str">
        <f>IF(B40="","",IFERROR(VLOOKUP(B40,'ANÁLISE DE DADOS'!$A:$AM,27,0),""))</f>
        <v>Sim</v>
      </c>
      <c r="AD40" s="62">
        <f>IF(B40="","",IFERROR(VLOOKUP(B40,'ANÁLISE DE DADOS'!$A:$AM,28,0),""))</f>
        <v>45740</v>
      </c>
      <c r="AE40" s="61" t="str">
        <f>IF(B40="","",IFERROR(VLOOKUP(B40,'ANÁLISE DE DADOS'!$A:$AM,29,0),""))</f>
        <v>mar-25</v>
      </c>
      <c r="AF40" s="61" t="str">
        <f>IF(B40="","",IFERROR(VLOOKUP(B40,'ANÁLISE DE DADOS'!$A:$AM,30,0),""))</f>
        <v>2025</v>
      </c>
      <c r="AG40" s="62">
        <f>IF(B40="","",IFERROR(VLOOKUP(B40,'ANÁLISE DE DADOS'!$A:$AM,31,0),""))</f>
        <v>45740</v>
      </c>
      <c r="AH40" s="61" t="str">
        <f>IF(B40="","",IFERROR(VLOOKUP(B40,'ANÁLISE DE DADOS'!$A:$AM,32,0),""))</f>
        <v>mar-25</v>
      </c>
      <c r="AI40" s="61" t="str">
        <f>IF(B40="","",IFERROR(VLOOKUP(B40,'ANÁLISE DE DADOS'!$A:$AM,33,0),""))</f>
        <v>2025</v>
      </c>
      <c r="AJ40" s="61" t="str">
        <f>IF(B40="","",IFERROR(VLOOKUP(B40,'ANÁLISE DE DADOS'!$A:$AM,34,0),""))</f>
        <v>Acompanhando</v>
      </c>
      <c r="AK40" s="63">
        <f ca="1">IF(B40="","",IFERROR(VLOOKUP(B40,'ANÁLISE DE DADOS'!$A:$AM,35,0),""))</f>
        <v>1000</v>
      </c>
      <c r="AL40" s="63" t="str">
        <f ca="1">IF(B40="","",IFERROR(VLOOKUP(B40,'ANÁLISE DE DADOS'!$A:$AM,36,0),""))</f>
        <v>0</v>
      </c>
      <c r="AM40" s="101" t="str">
        <f ca="1">IF(B40="","",IFERROR(VLOOKUP(B40,'ANÁLISE DE DADOS'!$A:$AM,37,0),""))</f>
        <v>Cobrança Extrajudicial</v>
      </c>
    </row>
    <row r="41" spans="2:39" x14ac:dyDescent="0.3">
      <c r="B41" s="30">
        <v>37</v>
      </c>
      <c r="C41" s="61">
        <f>IF(B41="","",IFERROR(VLOOKUP(B41,'ANÁLISE DE DADOS'!$A:$AM,1,0),""))</f>
        <v>37</v>
      </c>
      <c r="D41" s="61" t="str">
        <f>IF(B41="","",IFERROR(VLOOKUP(B41,'ANÁLISE DE DADOS'!$A:$AM,2,0),""))</f>
        <v>Matriz</v>
      </c>
      <c r="E41" s="61" t="str">
        <f>IF(B41="","",IFERROR(VLOOKUP(B41,'ANÁLISE DE DADOS'!$A:$AM,3,0),""))</f>
        <v>Gamma &amp; CIA</v>
      </c>
      <c r="F41" s="61" t="str">
        <f>IF(B41="","",IFERROR(VLOOKUP(B41,'ANÁLISE DE DADOS'!$A:$AM,4,0),""))</f>
        <v>Gamma &amp; CIA</v>
      </c>
      <c r="G41" s="62">
        <f>IF(B41="","",IFERROR(VLOOKUP(B41,'ANÁLISE DE DADOS'!$A:$AM,5,0),""))</f>
        <v>45708</v>
      </c>
      <c r="H41" s="62" t="str">
        <f>IF(B41="","",IFERROR(VLOOKUP(B41,'ANÁLISE DE DADOS'!$A:$AM,6,0),""))</f>
        <v>fev-25</v>
      </c>
      <c r="I41" s="62" t="str">
        <f>IF(B41="","",IFERROR(VLOOKUP(B41,'ANÁLISE DE DADOS'!$A:$AM,7,0),""))</f>
        <v>2025</v>
      </c>
      <c r="J41" s="62">
        <f>IF(B41="","",IFERROR(VLOOKUP(B41,'ANÁLISE DE DADOS'!$A:$AM,8,0),""))</f>
        <v>45715</v>
      </c>
      <c r="K41" s="61" t="str">
        <f>IF(B41="","",IFERROR(VLOOKUP(B41,'ANÁLISE DE DADOS'!$A:$AM,9,0),""))</f>
        <v>fev-25</v>
      </c>
      <c r="L41" s="61" t="str">
        <f>IF(B41="","",IFERROR(VLOOKUP(B41,'ANÁLISE DE DADOS'!$A:$AM,10,0),""))</f>
        <v>2025</v>
      </c>
      <c r="M41" s="62">
        <f>IF(B41="","",IFERROR(VLOOKUP(B41,'ANÁLISE DE DADOS'!$A:$AM,11,0),""))</f>
        <v>45715</v>
      </c>
      <c r="N41" s="61" t="str">
        <f>IF(B41="","",IFERROR(VLOOKUP(B41,'ANÁLISE DE DADOS'!$A:$AM,12,0),""))</f>
        <v>fev-25</v>
      </c>
      <c r="O41" s="61" t="str">
        <f>IF(B41="","",IFERROR(VLOOKUP(B41,'ANÁLISE DE DADOS'!$A:$AM,13,0),""))</f>
        <v>2025</v>
      </c>
      <c r="P41" s="63">
        <f>IF(B41="","",IFERROR(VLOOKUP(B41,'ANÁLISE DE DADOS'!$A:$AM,14,0),""))</f>
        <v>1800</v>
      </c>
      <c r="Q41" s="61" t="str">
        <f>IF(B41="","",IFERROR(VLOOKUP(B41,'ANÁLISE DE DADOS'!$A:$AM,15,0),""))</f>
        <v>Sabrina</v>
      </c>
      <c r="R41" s="61" t="str">
        <f>IF(B41="","",IFERROR(VLOOKUP(B41,'ANÁLISE DE DADOS'!$A:$AM,16,0),""))</f>
        <v>ANALISTA GUSTAVO</v>
      </c>
      <c r="S41" s="61" t="str">
        <f>IF(B41="","",IFERROR(VLOOKUP(B41,'ANÁLISE DE DADOS'!$A:$AM,17,0),""))</f>
        <v>NÃO</v>
      </c>
      <c r="T41" s="61" t="str">
        <f>IF(B41="","",IFERROR(VLOOKUP(B41,'ANÁLISE DE DADOS'!$A:$AM,18,0),""))</f>
        <v>Cliente alegando dificuldades financeiras</v>
      </c>
      <c r="U41" s="61" t="str">
        <f ca="1">IF(B41="","",IFERROR(VLOOKUP(B41,'ANÁLISE DE DADOS'!$A:$AM,19,0),""))</f>
        <v>Vencido</v>
      </c>
      <c r="V41" s="61">
        <f ca="1">IF(B41="","",IFERROR(VLOOKUP(B41,'ANÁLISE DE DADOS'!$A:$AM,20,0),""))</f>
        <v>80</v>
      </c>
      <c r="W41" s="61" t="str">
        <f ca="1">IF(B41="","",IFERROR(VLOOKUP(B41,'ANÁLISE DE DADOS'!$A:$AM,21,0),""))</f>
        <v>61+ dias</v>
      </c>
      <c r="X41" s="61" t="str">
        <f ca="1">IF(B41="","",IFERROR(VLOOKUP(B41,'ANÁLISE DE DADOS'!$A:$AM,22,0),""))</f>
        <v>Atraso Crítico</v>
      </c>
      <c r="Y41" s="61" t="str">
        <f>IF(B41="","",IFERROR(VLOOKUP(B41,'ANÁLISE DE DADOS'!$A:$AM,23,0),""))</f>
        <v>-</v>
      </c>
      <c r="Z41" s="61" t="str">
        <f>IF(B41="","",IFERROR(VLOOKUP(B41,'ANÁLISE DE DADOS'!$A:$AM,24,0),""))</f>
        <v>Sim</v>
      </c>
      <c r="AA41" s="61">
        <f>IF(B41="","",IFERROR(VLOOKUP(B41,'ANÁLISE DE DADOS'!$A:$AM,25,0),""))</f>
        <v>0</v>
      </c>
      <c r="AB41" s="61">
        <f>IF(B41="","",IFERROR(VLOOKUP(B41,'ANÁLISE DE DADOS'!$A:$AM,26,0),""))</f>
        <v>1</v>
      </c>
      <c r="AC41" s="61" t="str">
        <f>IF(B41="","",IFERROR(VLOOKUP(B41,'ANÁLISE DE DADOS'!$A:$AM,27,0),""))</f>
        <v>Sim</v>
      </c>
      <c r="AD41" s="62">
        <f>IF(B41="","",IFERROR(VLOOKUP(B41,'ANÁLISE DE DADOS'!$A:$AM,28,0),""))</f>
        <v>45740</v>
      </c>
      <c r="AE41" s="61" t="str">
        <f>IF(B41="","",IFERROR(VLOOKUP(B41,'ANÁLISE DE DADOS'!$A:$AM,29,0),""))</f>
        <v>mar-25</v>
      </c>
      <c r="AF41" s="61" t="str">
        <f>IF(B41="","",IFERROR(VLOOKUP(B41,'ANÁLISE DE DADOS'!$A:$AM,30,0),""))</f>
        <v>2025</v>
      </c>
      <c r="AG41" s="62">
        <f>IF(B41="","",IFERROR(VLOOKUP(B41,'ANÁLISE DE DADOS'!$A:$AM,31,0),""))</f>
        <v>45740</v>
      </c>
      <c r="AH41" s="61" t="str">
        <f>IF(B41="","",IFERROR(VLOOKUP(B41,'ANÁLISE DE DADOS'!$A:$AM,32,0),""))</f>
        <v>mar-25</v>
      </c>
      <c r="AI41" s="61" t="str">
        <f>IF(B41="","",IFERROR(VLOOKUP(B41,'ANÁLISE DE DADOS'!$A:$AM,33,0),""))</f>
        <v>2025</v>
      </c>
      <c r="AJ41" s="61" t="str">
        <f>IF(B41="","",IFERROR(VLOOKUP(B41,'ANÁLISE DE DADOS'!$A:$AM,34,0),""))</f>
        <v>Acompanhando</v>
      </c>
      <c r="AK41" s="63">
        <f ca="1">IF(B41="","",IFERROR(VLOOKUP(B41,'ANÁLISE DE DADOS'!$A:$AM,35,0),""))</f>
        <v>1800</v>
      </c>
      <c r="AL41" s="63" t="str">
        <f ca="1">IF(B41="","",IFERROR(VLOOKUP(B41,'ANÁLISE DE DADOS'!$A:$AM,36,0),""))</f>
        <v>0</v>
      </c>
      <c r="AM41" s="101" t="str">
        <f ca="1">IF(B41="","",IFERROR(VLOOKUP(B41,'ANÁLISE DE DADOS'!$A:$AM,37,0),""))</f>
        <v>Cobrança Extrajudicial</v>
      </c>
    </row>
    <row r="42" spans="2:39" x14ac:dyDescent="0.3">
      <c r="B42" s="30">
        <v>38</v>
      </c>
      <c r="C42" s="61">
        <f>IF(B42="","",IFERROR(VLOOKUP(B42,'ANÁLISE DE DADOS'!$A:$AM,1,0),""))</f>
        <v>38</v>
      </c>
      <c r="D42" s="61" t="str">
        <f>IF(B42="","",IFERROR(VLOOKUP(B42,'ANÁLISE DE DADOS'!$A:$AM,2,0),""))</f>
        <v>Matriz</v>
      </c>
      <c r="E42" s="61">
        <f>IF(B42="","",IFERROR(VLOOKUP(B42,'ANÁLISE DE DADOS'!$A:$AM,3,0),""))</f>
        <v>0</v>
      </c>
      <c r="F42" s="61" t="str">
        <f>IF(B42="","",IFERROR(VLOOKUP(B42,'ANÁLISE DE DADOS'!$A:$AM,4,0),""))</f>
        <v>SoftLink</v>
      </c>
      <c r="G42" s="62">
        <f>IF(B42="","",IFERROR(VLOOKUP(B42,'ANÁLISE DE DADOS'!$A:$AM,5,0),""))</f>
        <v>45708</v>
      </c>
      <c r="H42" s="62" t="str">
        <f>IF(B42="","",IFERROR(VLOOKUP(B42,'ANÁLISE DE DADOS'!$A:$AM,6,0),""))</f>
        <v>fev-25</v>
      </c>
      <c r="I42" s="62" t="str">
        <f>IF(B42="","",IFERROR(VLOOKUP(B42,'ANÁLISE DE DADOS'!$A:$AM,7,0),""))</f>
        <v>2025</v>
      </c>
      <c r="J42" s="62">
        <f>IF(B42="","",IFERROR(VLOOKUP(B42,'ANÁLISE DE DADOS'!$A:$AM,8,0),""))</f>
        <v>45715</v>
      </c>
      <c r="K42" s="61" t="str">
        <f>IF(B42="","",IFERROR(VLOOKUP(B42,'ANÁLISE DE DADOS'!$A:$AM,9,0),""))</f>
        <v>fev-25</v>
      </c>
      <c r="L42" s="61" t="str">
        <f>IF(B42="","",IFERROR(VLOOKUP(B42,'ANÁLISE DE DADOS'!$A:$AM,10,0),""))</f>
        <v>2025</v>
      </c>
      <c r="M42" s="62">
        <f>IF(B42="","",IFERROR(VLOOKUP(B42,'ANÁLISE DE DADOS'!$A:$AM,11,0),""))</f>
        <v>45715</v>
      </c>
      <c r="N42" s="61" t="str">
        <f>IF(B42="","",IFERROR(VLOOKUP(B42,'ANÁLISE DE DADOS'!$A:$AM,12,0),""))</f>
        <v>fev-25</v>
      </c>
      <c r="O42" s="61" t="str">
        <f>IF(B42="","",IFERROR(VLOOKUP(B42,'ANÁLISE DE DADOS'!$A:$AM,13,0),""))</f>
        <v>2025</v>
      </c>
      <c r="P42" s="63">
        <f>IF(B42="","",IFERROR(VLOOKUP(B42,'ANÁLISE DE DADOS'!$A:$AM,14,0),""))</f>
        <v>1800</v>
      </c>
      <c r="Q42" s="61" t="str">
        <f>IF(B42="","",IFERROR(VLOOKUP(B42,'ANÁLISE DE DADOS'!$A:$AM,15,0),""))</f>
        <v>Sabrina</v>
      </c>
      <c r="R42" s="61" t="str">
        <f>IF(B42="","",IFERROR(VLOOKUP(B42,'ANÁLISE DE DADOS'!$A:$AM,16,0),""))</f>
        <v>ANALISTA GUSTAVO</v>
      </c>
      <c r="S42" s="61" t="str">
        <f>IF(B42="","",IFERROR(VLOOKUP(B42,'ANÁLISE DE DADOS'!$A:$AM,17,0),""))</f>
        <v>NÃO</v>
      </c>
      <c r="T42" s="61" t="str">
        <f>IF(B42="","",IFERROR(VLOOKUP(B42,'ANÁLISE DE DADOS'!$A:$AM,18,0),""))</f>
        <v>Aguardando resolução interna da empresa</v>
      </c>
      <c r="U42" s="61" t="str">
        <f ca="1">IF(B42="","",IFERROR(VLOOKUP(B42,'ANÁLISE DE DADOS'!$A:$AM,19,0),""))</f>
        <v>Vencido</v>
      </c>
      <c r="V42" s="61">
        <f ca="1">IF(B42="","",IFERROR(VLOOKUP(B42,'ANÁLISE DE DADOS'!$A:$AM,20,0),""))</f>
        <v>80</v>
      </c>
      <c r="W42" s="61" t="str">
        <f ca="1">IF(B42="","",IFERROR(VLOOKUP(B42,'ANÁLISE DE DADOS'!$A:$AM,21,0),""))</f>
        <v>61+ dias</v>
      </c>
      <c r="X42" s="61" t="str">
        <f ca="1">IF(B42="","",IFERROR(VLOOKUP(B42,'ANÁLISE DE DADOS'!$A:$AM,22,0),""))</f>
        <v>Atraso Crítico</v>
      </c>
      <c r="Y42" s="61" t="str">
        <f>IF(B42="","",IFERROR(VLOOKUP(B42,'ANÁLISE DE DADOS'!$A:$AM,23,0),""))</f>
        <v>-</v>
      </c>
      <c r="Z42" s="61" t="str">
        <f>IF(B42="","",IFERROR(VLOOKUP(B42,'ANÁLISE DE DADOS'!$A:$AM,24,0),""))</f>
        <v>Sim</v>
      </c>
      <c r="AA42" s="61">
        <f>IF(B42="","",IFERROR(VLOOKUP(B42,'ANÁLISE DE DADOS'!$A:$AM,25,0),""))</f>
        <v>0</v>
      </c>
      <c r="AB42" s="61">
        <f>IF(B42="","",IFERROR(VLOOKUP(B42,'ANÁLISE DE DADOS'!$A:$AM,26,0),""))</f>
        <v>1</v>
      </c>
      <c r="AC42" s="61" t="str">
        <f>IF(B42="","",IFERROR(VLOOKUP(B42,'ANÁLISE DE DADOS'!$A:$AM,27,0),""))</f>
        <v>Sim</v>
      </c>
      <c r="AD42" s="62">
        <f>IF(B42="","",IFERROR(VLOOKUP(B42,'ANÁLISE DE DADOS'!$A:$AM,28,0),""))</f>
        <v>45740</v>
      </c>
      <c r="AE42" s="61" t="str">
        <f>IF(B42="","",IFERROR(VLOOKUP(B42,'ANÁLISE DE DADOS'!$A:$AM,29,0),""))</f>
        <v>mar-25</v>
      </c>
      <c r="AF42" s="61" t="str">
        <f>IF(B42="","",IFERROR(VLOOKUP(B42,'ANÁLISE DE DADOS'!$A:$AM,30,0),""))</f>
        <v>2025</v>
      </c>
      <c r="AG42" s="62">
        <f>IF(B42="","",IFERROR(VLOOKUP(B42,'ANÁLISE DE DADOS'!$A:$AM,31,0),""))</f>
        <v>45740</v>
      </c>
      <c r="AH42" s="61" t="str">
        <f>IF(B42="","",IFERROR(VLOOKUP(B42,'ANÁLISE DE DADOS'!$A:$AM,32,0),""))</f>
        <v>mar-25</v>
      </c>
      <c r="AI42" s="61" t="str">
        <f>IF(B42="","",IFERROR(VLOOKUP(B42,'ANÁLISE DE DADOS'!$A:$AM,33,0),""))</f>
        <v>2025</v>
      </c>
      <c r="AJ42" s="61" t="str">
        <f>IF(B42="","",IFERROR(VLOOKUP(B42,'ANÁLISE DE DADOS'!$A:$AM,34,0),""))</f>
        <v>Acompanhando</v>
      </c>
      <c r="AK42" s="63">
        <f ca="1">IF(B42="","",IFERROR(VLOOKUP(B42,'ANÁLISE DE DADOS'!$A:$AM,35,0),""))</f>
        <v>1800</v>
      </c>
      <c r="AL42" s="63" t="str">
        <f ca="1">IF(B42="","",IFERROR(VLOOKUP(B42,'ANÁLISE DE DADOS'!$A:$AM,36,0),""))</f>
        <v>0</v>
      </c>
      <c r="AM42" s="101" t="str">
        <f ca="1">IF(B42="","",IFERROR(VLOOKUP(B42,'ANÁLISE DE DADOS'!$A:$AM,37,0),""))</f>
        <v>Cobrança Extrajudicial</v>
      </c>
    </row>
    <row r="43" spans="2:39" x14ac:dyDescent="0.3">
      <c r="B43" s="30">
        <v>39</v>
      </c>
      <c r="C43" s="61">
        <f>IF(B43="","",IFERROR(VLOOKUP(B43,'ANÁLISE DE DADOS'!$A:$AM,1,0),""))</f>
        <v>39</v>
      </c>
      <c r="D43" s="61" t="str">
        <f>IF(B43="","",IFERROR(VLOOKUP(B43,'ANÁLISE DE DADOS'!$A:$AM,2,0),""))</f>
        <v>Filial</v>
      </c>
      <c r="E43" s="61" t="str">
        <f>IF(B43="","",IFERROR(VLOOKUP(B43,'ANÁLISE DE DADOS'!$A:$AM,3,0),""))</f>
        <v>Gamma &amp; CIA</v>
      </c>
      <c r="F43" s="61" t="str">
        <f>IF(B43="","",IFERROR(VLOOKUP(B43,'ANÁLISE DE DADOS'!$A:$AM,4,0),""))</f>
        <v>Gamma &amp; CIA</v>
      </c>
      <c r="G43" s="62">
        <f>IF(B43="","",IFERROR(VLOOKUP(B43,'ANÁLISE DE DADOS'!$A:$AM,5,0),""))</f>
        <v>45713</v>
      </c>
      <c r="H43" s="62" t="str">
        <f>IF(B43="","",IFERROR(VLOOKUP(B43,'ANÁLISE DE DADOS'!$A:$AM,6,0),""))</f>
        <v>fev-25</v>
      </c>
      <c r="I43" s="62" t="str">
        <f>IF(B43="","",IFERROR(VLOOKUP(B43,'ANÁLISE DE DADOS'!$A:$AM,7,0),""))</f>
        <v>2025</v>
      </c>
      <c r="J43" s="62">
        <f>IF(B43="","",IFERROR(VLOOKUP(B43,'ANÁLISE DE DADOS'!$A:$AM,8,0),""))</f>
        <v>45715</v>
      </c>
      <c r="K43" s="61" t="str">
        <f>IF(B43="","",IFERROR(VLOOKUP(B43,'ANÁLISE DE DADOS'!$A:$AM,9,0),""))</f>
        <v>fev-25</v>
      </c>
      <c r="L43" s="61" t="str">
        <f>IF(B43="","",IFERROR(VLOOKUP(B43,'ANÁLISE DE DADOS'!$A:$AM,10,0),""))</f>
        <v>2025</v>
      </c>
      <c r="M43" s="62">
        <f>IF(B43="","",IFERROR(VLOOKUP(B43,'ANÁLISE DE DADOS'!$A:$AM,11,0),""))</f>
        <v>45715</v>
      </c>
      <c r="N43" s="61" t="str">
        <f>IF(B43="","",IFERROR(VLOOKUP(B43,'ANÁLISE DE DADOS'!$A:$AM,12,0),""))</f>
        <v>fev-25</v>
      </c>
      <c r="O43" s="61" t="str">
        <f>IF(B43="","",IFERROR(VLOOKUP(B43,'ANÁLISE DE DADOS'!$A:$AM,13,0),""))</f>
        <v>2025</v>
      </c>
      <c r="P43" s="63">
        <f>IF(B43="","",IFERROR(VLOOKUP(B43,'ANÁLISE DE DADOS'!$A:$AM,14,0),""))</f>
        <v>2500</v>
      </c>
      <c r="Q43" s="61" t="str">
        <f>IF(B43="","",IFERROR(VLOOKUP(B43,'ANÁLISE DE DADOS'!$A:$AM,15,0),""))</f>
        <v>Marcos</v>
      </c>
      <c r="R43" s="61" t="str">
        <f>IF(B43="","",IFERROR(VLOOKUP(B43,'ANÁLISE DE DADOS'!$A:$AM,16,0),""))</f>
        <v>ANALISTA GUSTAVO</v>
      </c>
      <c r="S43" s="61" t="str">
        <f>IF(B43="","",IFERROR(VLOOKUP(B43,'ANÁLISE DE DADOS'!$A:$AM,17,0),""))</f>
        <v>NÃO</v>
      </c>
      <c r="T43" s="61" t="str">
        <f>IF(B43="","",IFERROR(VLOOKUP(B43,'ANÁLISE DE DADOS'!$A:$AM,18,0),""))</f>
        <v>Promessa de pagamento não cumprida</v>
      </c>
      <c r="U43" s="61" t="str">
        <f ca="1">IF(B43="","",IFERROR(VLOOKUP(B43,'ANÁLISE DE DADOS'!$A:$AM,19,0),""))</f>
        <v>Vencido</v>
      </c>
      <c r="V43" s="61">
        <f ca="1">IF(B43="","",IFERROR(VLOOKUP(B43,'ANÁLISE DE DADOS'!$A:$AM,20,0),""))</f>
        <v>80</v>
      </c>
      <c r="W43" s="61" t="str">
        <f ca="1">IF(B43="","",IFERROR(VLOOKUP(B43,'ANÁLISE DE DADOS'!$A:$AM,21,0),""))</f>
        <v>61+ dias</v>
      </c>
      <c r="X43" s="61" t="str">
        <f ca="1">IF(B43="","",IFERROR(VLOOKUP(B43,'ANÁLISE DE DADOS'!$A:$AM,22,0),""))</f>
        <v>Atraso Crítico</v>
      </c>
      <c r="Y43" s="61" t="str">
        <f>IF(B43="","",IFERROR(VLOOKUP(B43,'ANÁLISE DE DADOS'!$A:$AM,23,0),""))</f>
        <v>-</v>
      </c>
      <c r="Z43" s="61" t="str">
        <f>IF(B43="","",IFERROR(VLOOKUP(B43,'ANÁLISE DE DADOS'!$A:$AM,24,0),""))</f>
        <v>Sim</v>
      </c>
      <c r="AA43" s="61">
        <f>IF(B43="","",IFERROR(VLOOKUP(B43,'ANÁLISE DE DADOS'!$A:$AM,25,0),""))</f>
        <v>0</v>
      </c>
      <c r="AB43" s="61">
        <f>IF(B43="","",IFERROR(VLOOKUP(B43,'ANÁLISE DE DADOS'!$A:$AM,26,0),""))</f>
        <v>1</v>
      </c>
      <c r="AC43" s="61" t="str">
        <f>IF(B43="","",IFERROR(VLOOKUP(B43,'ANÁLISE DE DADOS'!$A:$AM,27,0),""))</f>
        <v>Sim</v>
      </c>
      <c r="AD43" s="62">
        <f>IF(B43="","",IFERROR(VLOOKUP(B43,'ANÁLISE DE DADOS'!$A:$AM,28,0),""))</f>
        <v>45740</v>
      </c>
      <c r="AE43" s="61" t="str">
        <f>IF(B43="","",IFERROR(VLOOKUP(B43,'ANÁLISE DE DADOS'!$A:$AM,29,0),""))</f>
        <v>mar-25</v>
      </c>
      <c r="AF43" s="61" t="str">
        <f>IF(B43="","",IFERROR(VLOOKUP(B43,'ANÁLISE DE DADOS'!$A:$AM,30,0),""))</f>
        <v>2025</v>
      </c>
      <c r="AG43" s="62">
        <f>IF(B43="","",IFERROR(VLOOKUP(B43,'ANÁLISE DE DADOS'!$A:$AM,31,0),""))</f>
        <v>45740</v>
      </c>
      <c r="AH43" s="61" t="str">
        <f>IF(B43="","",IFERROR(VLOOKUP(B43,'ANÁLISE DE DADOS'!$A:$AM,32,0),""))</f>
        <v>mar-25</v>
      </c>
      <c r="AI43" s="61" t="str">
        <f>IF(B43="","",IFERROR(VLOOKUP(B43,'ANÁLISE DE DADOS'!$A:$AM,33,0),""))</f>
        <v>2025</v>
      </c>
      <c r="AJ43" s="61" t="str">
        <f>IF(B43="","",IFERROR(VLOOKUP(B43,'ANÁLISE DE DADOS'!$A:$AM,34,0),""))</f>
        <v>Acompanhando</v>
      </c>
      <c r="AK43" s="63">
        <f ca="1">IF(B43="","",IFERROR(VLOOKUP(B43,'ANÁLISE DE DADOS'!$A:$AM,35,0),""))</f>
        <v>2500</v>
      </c>
      <c r="AL43" s="63" t="str">
        <f ca="1">IF(B43="","",IFERROR(VLOOKUP(B43,'ANÁLISE DE DADOS'!$A:$AM,36,0),""))</f>
        <v>0</v>
      </c>
      <c r="AM43" s="101" t="str">
        <f ca="1">IF(B43="","",IFERROR(VLOOKUP(B43,'ANÁLISE DE DADOS'!$A:$AM,37,0),""))</f>
        <v>Cobrança Extrajudicial</v>
      </c>
    </row>
    <row r="44" spans="2:39" x14ac:dyDescent="0.3">
      <c r="B44" s="30">
        <v>40</v>
      </c>
      <c r="C44" s="61">
        <f>IF(B44="","",IFERROR(VLOOKUP(B44,'ANÁLISE DE DADOS'!$A:$AM,1,0),""))</f>
        <v>40</v>
      </c>
      <c r="D44" s="61" t="str">
        <f>IF(B44="","",IFERROR(VLOOKUP(B44,'ANÁLISE DE DADOS'!$A:$AM,2,0),""))</f>
        <v>Filial</v>
      </c>
      <c r="E44" s="61">
        <f>IF(B44="","",IFERROR(VLOOKUP(B44,'ANÁLISE DE DADOS'!$A:$AM,3,0),""))</f>
        <v>0</v>
      </c>
      <c r="F44" s="61" t="str">
        <f>IF(B44="","",IFERROR(VLOOKUP(B44,'ANÁLISE DE DADOS'!$A:$AM,4,0),""))</f>
        <v>SoftLink</v>
      </c>
      <c r="G44" s="62">
        <f>IF(B44="","",IFERROR(VLOOKUP(B44,'ANÁLISE DE DADOS'!$A:$AM,5,0),""))</f>
        <v>45713</v>
      </c>
      <c r="H44" s="62" t="str">
        <f>IF(B44="","",IFERROR(VLOOKUP(B44,'ANÁLISE DE DADOS'!$A:$AM,6,0),""))</f>
        <v>fev-25</v>
      </c>
      <c r="I44" s="62" t="str">
        <f>IF(B44="","",IFERROR(VLOOKUP(B44,'ANÁLISE DE DADOS'!$A:$AM,7,0),""))</f>
        <v>2025</v>
      </c>
      <c r="J44" s="62">
        <f>IF(B44="","",IFERROR(VLOOKUP(B44,'ANÁLISE DE DADOS'!$A:$AM,8,0),""))</f>
        <v>45715</v>
      </c>
      <c r="K44" s="61" t="str">
        <f>IF(B44="","",IFERROR(VLOOKUP(B44,'ANÁLISE DE DADOS'!$A:$AM,9,0),""))</f>
        <v>fev-25</v>
      </c>
      <c r="L44" s="61" t="str">
        <f>IF(B44="","",IFERROR(VLOOKUP(B44,'ANÁLISE DE DADOS'!$A:$AM,10,0),""))</f>
        <v>2025</v>
      </c>
      <c r="M44" s="62">
        <f>IF(B44="","",IFERROR(VLOOKUP(B44,'ANÁLISE DE DADOS'!$A:$AM,11,0),""))</f>
        <v>45715</v>
      </c>
      <c r="N44" s="61" t="str">
        <f>IF(B44="","",IFERROR(VLOOKUP(B44,'ANÁLISE DE DADOS'!$A:$AM,12,0),""))</f>
        <v>fev-25</v>
      </c>
      <c r="O44" s="61" t="str">
        <f>IF(B44="","",IFERROR(VLOOKUP(B44,'ANÁLISE DE DADOS'!$A:$AM,13,0),""))</f>
        <v>2025</v>
      </c>
      <c r="P44" s="63">
        <f>IF(B44="","",IFERROR(VLOOKUP(B44,'ANÁLISE DE DADOS'!$A:$AM,14,0),""))</f>
        <v>2500</v>
      </c>
      <c r="Q44" s="61" t="str">
        <f>IF(B44="","",IFERROR(VLOOKUP(B44,'ANÁLISE DE DADOS'!$A:$AM,15,0),""))</f>
        <v>Marcos</v>
      </c>
      <c r="R44" s="61" t="str">
        <f>IF(B44="","",IFERROR(VLOOKUP(B44,'ANÁLISE DE DADOS'!$A:$AM,16,0),""))</f>
        <v>ANALISTA GUSTAVO</v>
      </c>
      <c r="S44" s="61" t="str">
        <f>IF(B44="","",IFERROR(VLOOKUP(B44,'ANÁLISE DE DADOS'!$A:$AM,17,0),""))</f>
        <v>NÃO</v>
      </c>
      <c r="T44" s="61" t="str">
        <f>IF(B44="","",IFERROR(VLOOKUP(B44,'ANÁLISE DE DADOS'!$A:$AM,18,0),""))</f>
        <v>Acordo de pagamento pendente</v>
      </c>
      <c r="U44" s="61" t="str">
        <f ca="1">IF(B44="","",IFERROR(VLOOKUP(B44,'ANÁLISE DE DADOS'!$A:$AM,19,0),""))</f>
        <v>Vencido</v>
      </c>
      <c r="V44" s="61">
        <f ca="1">IF(B44="","",IFERROR(VLOOKUP(B44,'ANÁLISE DE DADOS'!$A:$AM,20,0),""))</f>
        <v>80</v>
      </c>
      <c r="W44" s="61" t="str">
        <f ca="1">IF(B44="","",IFERROR(VLOOKUP(B44,'ANÁLISE DE DADOS'!$A:$AM,21,0),""))</f>
        <v>61+ dias</v>
      </c>
      <c r="X44" s="61" t="str">
        <f ca="1">IF(B44="","",IFERROR(VLOOKUP(B44,'ANÁLISE DE DADOS'!$A:$AM,22,0),""))</f>
        <v>Atraso Crítico</v>
      </c>
      <c r="Y44" s="61" t="str">
        <f>IF(B44="","",IFERROR(VLOOKUP(B44,'ANÁLISE DE DADOS'!$A:$AM,23,0),""))</f>
        <v>-</v>
      </c>
      <c r="Z44" s="61" t="str">
        <f>IF(B44="","",IFERROR(VLOOKUP(B44,'ANÁLISE DE DADOS'!$A:$AM,24,0),""))</f>
        <v>Sim</v>
      </c>
      <c r="AA44" s="61">
        <f>IF(B44="","",IFERROR(VLOOKUP(B44,'ANÁLISE DE DADOS'!$A:$AM,25,0),""))</f>
        <v>0</v>
      </c>
      <c r="AB44" s="61">
        <f>IF(B44="","",IFERROR(VLOOKUP(B44,'ANÁLISE DE DADOS'!$A:$AM,26,0),""))</f>
        <v>1</v>
      </c>
      <c r="AC44" s="61" t="str">
        <f>IF(B44="","",IFERROR(VLOOKUP(B44,'ANÁLISE DE DADOS'!$A:$AM,27,0),""))</f>
        <v>Sim</v>
      </c>
      <c r="AD44" s="62">
        <f>IF(B44="","",IFERROR(VLOOKUP(B44,'ANÁLISE DE DADOS'!$A:$AM,28,0),""))</f>
        <v>45740</v>
      </c>
      <c r="AE44" s="61" t="str">
        <f>IF(B44="","",IFERROR(VLOOKUP(B44,'ANÁLISE DE DADOS'!$A:$AM,29,0),""))</f>
        <v>mar-25</v>
      </c>
      <c r="AF44" s="61" t="str">
        <f>IF(B44="","",IFERROR(VLOOKUP(B44,'ANÁLISE DE DADOS'!$A:$AM,30,0),""))</f>
        <v>2025</v>
      </c>
      <c r="AG44" s="62">
        <f>IF(B44="","",IFERROR(VLOOKUP(B44,'ANÁLISE DE DADOS'!$A:$AM,31,0),""))</f>
        <v>45740</v>
      </c>
      <c r="AH44" s="61" t="str">
        <f>IF(B44="","",IFERROR(VLOOKUP(B44,'ANÁLISE DE DADOS'!$A:$AM,32,0),""))</f>
        <v>mar-25</v>
      </c>
      <c r="AI44" s="61" t="str">
        <f>IF(B44="","",IFERROR(VLOOKUP(B44,'ANÁLISE DE DADOS'!$A:$AM,33,0),""))</f>
        <v>2025</v>
      </c>
      <c r="AJ44" s="61" t="str">
        <f>IF(B44="","",IFERROR(VLOOKUP(B44,'ANÁLISE DE DADOS'!$A:$AM,34,0),""))</f>
        <v>Acompanhando</v>
      </c>
      <c r="AK44" s="63">
        <f ca="1">IF(B44="","",IFERROR(VLOOKUP(B44,'ANÁLISE DE DADOS'!$A:$AM,35,0),""))</f>
        <v>2500</v>
      </c>
      <c r="AL44" s="63" t="str">
        <f ca="1">IF(B44="","",IFERROR(VLOOKUP(B44,'ANÁLISE DE DADOS'!$A:$AM,36,0),""))</f>
        <v>0</v>
      </c>
      <c r="AM44" s="101" t="str">
        <f ca="1">IF(B44="","",IFERROR(VLOOKUP(B44,'ANÁLISE DE DADOS'!$A:$AM,37,0),""))</f>
        <v>Cobrança Extrajudicial</v>
      </c>
    </row>
    <row r="45" spans="2:39" x14ac:dyDescent="0.3">
      <c r="B45" s="30">
        <v>41</v>
      </c>
      <c r="C45" s="61">
        <f>IF(B45="","",IFERROR(VLOOKUP(B45,'ANÁLISE DE DADOS'!$A:$AM,1,0),""))</f>
        <v>41</v>
      </c>
      <c r="D45" s="61" t="str">
        <f>IF(B45="","",IFERROR(VLOOKUP(B45,'ANÁLISE DE DADOS'!$A:$AM,2,0),""))</f>
        <v>Matriz</v>
      </c>
      <c r="E45" s="61">
        <f>IF(B45="","",IFERROR(VLOOKUP(B45,'ANÁLISE DE DADOS'!$A:$AM,3,0),""))</f>
        <v>0</v>
      </c>
      <c r="F45" s="61" t="str">
        <f>IF(B45="","",IFERROR(VLOOKUP(B45,'ANÁLISE DE DADOS'!$A:$AM,4,0),""))</f>
        <v>SoftLink</v>
      </c>
      <c r="G45" s="62">
        <f>IF(B45="","",IFERROR(VLOOKUP(B45,'ANÁLISE DE DADOS'!$A:$AM,5,0),""))</f>
        <v>45714</v>
      </c>
      <c r="H45" s="62" t="str">
        <f>IF(B45="","",IFERROR(VLOOKUP(B45,'ANÁLISE DE DADOS'!$A:$AM,6,0),""))</f>
        <v>fev-25</v>
      </c>
      <c r="I45" s="62" t="str">
        <f>IF(B45="","",IFERROR(VLOOKUP(B45,'ANÁLISE DE DADOS'!$A:$AM,7,0),""))</f>
        <v>2025</v>
      </c>
      <c r="J45" s="62">
        <f>IF(B45="","",IFERROR(VLOOKUP(B45,'ANÁLISE DE DADOS'!$A:$AM,8,0),""))</f>
        <v>45715</v>
      </c>
      <c r="K45" s="61" t="str">
        <f>IF(B45="","",IFERROR(VLOOKUP(B45,'ANÁLISE DE DADOS'!$A:$AM,9,0),""))</f>
        <v>fev-25</v>
      </c>
      <c r="L45" s="61" t="str">
        <f>IF(B45="","",IFERROR(VLOOKUP(B45,'ANÁLISE DE DADOS'!$A:$AM,10,0),""))</f>
        <v>2025</v>
      </c>
      <c r="M45" s="62">
        <f>IF(B45="","",IFERROR(VLOOKUP(B45,'ANÁLISE DE DADOS'!$A:$AM,11,0),""))</f>
        <v>45715</v>
      </c>
      <c r="N45" s="61" t="str">
        <f>IF(B45="","",IFERROR(VLOOKUP(B45,'ANÁLISE DE DADOS'!$A:$AM,12,0),""))</f>
        <v>fev-25</v>
      </c>
      <c r="O45" s="61" t="str">
        <f>IF(B45="","",IFERROR(VLOOKUP(B45,'ANÁLISE DE DADOS'!$A:$AM,13,0),""))</f>
        <v>2025</v>
      </c>
      <c r="P45" s="63">
        <f>IF(B45="","",IFERROR(VLOOKUP(B45,'ANÁLISE DE DADOS'!$A:$AM,14,0),""))</f>
        <v>1400</v>
      </c>
      <c r="Q45" s="61" t="str">
        <f>IF(B45="","",IFERROR(VLOOKUP(B45,'ANÁLISE DE DADOS'!$A:$AM,15,0),""))</f>
        <v>João</v>
      </c>
      <c r="R45" s="61" t="str">
        <f>IF(B45="","",IFERROR(VLOOKUP(B45,'ANÁLISE DE DADOS'!$A:$AM,16,0),""))</f>
        <v>ANALISTA GUSTAVO</v>
      </c>
      <c r="S45" s="61" t="str">
        <f>IF(B45="","",IFERROR(VLOOKUP(B45,'ANÁLISE DE DADOS'!$A:$AM,17,0),""))</f>
        <v>NÃO</v>
      </c>
      <c r="T45" s="61" t="str">
        <f>IF(B45="","",IFERROR(VLOOKUP(B45,'ANÁLISE DE DADOS'!$A:$AM,18,0),""))</f>
        <v>Situação com comercial (aguardando análise comercial)</v>
      </c>
      <c r="U45" s="61" t="str">
        <f ca="1">IF(B45="","",IFERROR(VLOOKUP(B45,'ANÁLISE DE DADOS'!$A:$AM,19,0),""))</f>
        <v>Vencido</v>
      </c>
      <c r="V45" s="61">
        <f ca="1">IF(B45="","",IFERROR(VLOOKUP(B45,'ANÁLISE DE DADOS'!$A:$AM,20,0),""))</f>
        <v>80</v>
      </c>
      <c r="W45" s="61" t="str">
        <f ca="1">IF(B45="","",IFERROR(VLOOKUP(B45,'ANÁLISE DE DADOS'!$A:$AM,21,0),""))</f>
        <v>61+ dias</v>
      </c>
      <c r="X45" s="61" t="str">
        <f ca="1">IF(B45="","",IFERROR(VLOOKUP(B45,'ANÁLISE DE DADOS'!$A:$AM,22,0),""))</f>
        <v>Atraso Crítico</v>
      </c>
      <c r="Y45" s="61" t="str">
        <f>IF(B45="","",IFERROR(VLOOKUP(B45,'ANÁLISE DE DADOS'!$A:$AM,23,0),""))</f>
        <v>-</v>
      </c>
      <c r="Z45" s="61" t="str">
        <f>IF(B45="","",IFERROR(VLOOKUP(B45,'ANÁLISE DE DADOS'!$A:$AM,24,0),""))</f>
        <v>Sim</v>
      </c>
      <c r="AA45" s="61">
        <f>IF(B45="","",IFERROR(VLOOKUP(B45,'ANÁLISE DE DADOS'!$A:$AM,25,0),""))</f>
        <v>0</v>
      </c>
      <c r="AB45" s="61">
        <f>IF(B45="","",IFERROR(VLOOKUP(B45,'ANÁLISE DE DADOS'!$A:$AM,26,0),""))</f>
        <v>1</v>
      </c>
      <c r="AC45" s="61" t="str">
        <f>IF(B45="","",IFERROR(VLOOKUP(B45,'ANÁLISE DE DADOS'!$A:$AM,27,0),""))</f>
        <v>Sim</v>
      </c>
      <c r="AD45" s="62">
        <f>IF(B45="","",IFERROR(VLOOKUP(B45,'ANÁLISE DE DADOS'!$A:$AM,28,0),""))</f>
        <v>45740</v>
      </c>
      <c r="AE45" s="61" t="str">
        <f>IF(B45="","",IFERROR(VLOOKUP(B45,'ANÁLISE DE DADOS'!$A:$AM,29,0),""))</f>
        <v>mar-25</v>
      </c>
      <c r="AF45" s="61" t="str">
        <f>IF(B45="","",IFERROR(VLOOKUP(B45,'ANÁLISE DE DADOS'!$A:$AM,30,0),""))</f>
        <v>2025</v>
      </c>
      <c r="AG45" s="62">
        <f>IF(B45="","",IFERROR(VLOOKUP(B45,'ANÁLISE DE DADOS'!$A:$AM,31,0),""))</f>
        <v>45740</v>
      </c>
      <c r="AH45" s="61" t="str">
        <f>IF(B45="","",IFERROR(VLOOKUP(B45,'ANÁLISE DE DADOS'!$A:$AM,32,0),""))</f>
        <v>mar-25</v>
      </c>
      <c r="AI45" s="61" t="str">
        <f>IF(B45="","",IFERROR(VLOOKUP(B45,'ANÁLISE DE DADOS'!$A:$AM,33,0),""))</f>
        <v>2025</v>
      </c>
      <c r="AJ45" s="61" t="str">
        <f>IF(B45="","",IFERROR(VLOOKUP(B45,'ANÁLISE DE DADOS'!$A:$AM,34,0),""))</f>
        <v>Acompanhando</v>
      </c>
      <c r="AK45" s="63">
        <f ca="1">IF(B45="","",IFERROR(VLOOKUP(B45,'ANÁLISE DE DADOS'!$A:$AM,35,0),""))</f>
        <v>1400</v>
      </c>
      <c r="AL45" s="63" t="str">
        <f ca="1">IF(B45="","",IFERROR(VLOOKUP(B45,'ANÁLISE DE DADOS'!$A:$AM,36,0),""))</f>
        <v>0</v>
      </c>
      <c r="AM45" s="101" t="str">
        <f ca="1">IF(B45="","",IFERROR(VLOOKUP(B45,'ANÁLISE DE DADOS'!$A:$AM,37,0),""))</f>
        <v>Cobrança Extrajudicial</v>
      </c>
    </row>
    <row r="46" spans="2:39" x14ac:dyDescent="0.3">
      <c r="B46" s="30">
        <v>42</v>
      </c>
      <c r="C46" s="61">
        <f>IF(B46="","",IFERROR(VLOOKUP(B46,'ANÁLISE DE DADOS'!$A:$AM,1,0),""))</f>
        <v>42</v>
      </c>
      <c r="D46" s="61" t="str">
        <f>IF(B46="","",IFERROR(VLOOKUP(B46,'ANÁLISE DE DADOS'!$A:$AM,2,0),""))</f>
        <v>Filial</v>
      </c>
      <c r="E46" s="61">
        <f>IF(B46="","",IFERROR(VLOOKUP(B46,'ANÁLISE DE DADOS'!$A:$AM,3,0),""))</f>
        <v>0</v>
      </c>
      <c r="F46" s="61" t="str">
        <f>IF(B46="","",IFERROR(VLOOKUP(B46,'ANÁLISE DE DADOS'!$A:$AM,4,0),""))</f>
        <v>GlobalTech</v>
      </c>
      <c r="G46" s="62">
        <f>IF(B46="","",IFERROR(VLOOKUP(B46,'ANÁLISE DE DADOS'!$A:$AM,5,0),""))</f>
        <v>45716</v>
      </c>
      <c r="H46" s="62" t="str">
        <f>IF(B46="","",IFERROR(VLOOKUP(B46,'ANÁLISE DE DADOS'!$A:$AM,6,0),""))</f>
        <v>fev-25</v>
      </c>
      <c r="I46" s="62" t="str">
        <f>IF(B46="","",IFERROR(VLOOKUP(B46,'ANÁLISE DE DADOS'!$A:$AM,7,0),""))</f>
        <v>2025</v>
      </c>
      <c r="J46" s="62">
        <f>IF(B46="","",IFERROR(VLOOKUP(B46,'ANÁLISE DE DADOS'!$A:$AM,8,0),""))</f>
        <v>45744</v>
      </c>
      <c r="K46" s="61" t="str">
        <f>IF(B46="","",IFERROR(VLOOKUP(B46,'ANÁLISE DE DADOS'!$A:$AM,9,0),""))</f>
        <v>mar-25</v>
      </c>
      <c r="L46" s="61" t="str">
        <f>IF(B46="","",IFERROR(VLOOKUP(B46,'ANÁLISE DE DADOS'!$A:$AM,10,0),""))</f>
        <v>2025</v>
      </c>
      <c r="M46" s="62">
        <f>IF(B46="","",IFERROR(VLOOKUP(B46,'ANÁLISE DE DADOS'!$A:$AM,11,0),""))</f>
        <v>45744</v>
      </c>
      <c r="N46" s="61" t="str">
        <f>IF(B46="","",IFERROR(VLOOKUP(B46,'ANÁLISE DE DADOS'!$A:$AM,12,0),""))</f>
        <v>mar-25</v>
      </c>
      <c r="O46" s="61" t="str">
        <f>IF(B46="","",IFERROR(VLOOKUP(B46,'ANÁLISE DE DADOS'!$A:$AM,13,0),""))</f>
        <v>2025</v>
      </c>
      <c r="P46" s="63">
        <f>IF(B46="","",IFERROR(VLOOKUP(B46,'ANÁLISE DE DADOS'!$A:$AM,14,0),""))</f>
        <v>2300</v>
      </c>
      <c r="Q46" s="61" t="str">
        <f>IF(B46="","",IFERROR(VLOOKUP(B46,'ANÁLISE DE DADOS'!$A:$AM,15,0),""))</f>
        <v>Maria</v>
      </c>
      <c r="R46" s="61" t="str">
        <f>IF(B46="","",IFERROR(VLOOKUP(B46,'ANÁLISE DE DADOS'!$A:$AM,16,0),""))</f>
        <v>ANALISTA GUSTAVO</v>
      </c>
      <c r="S46" s="61" t="str">
        <f>IF(B46="","",IFERROR(VLOOKUP(B46,'ANÁLISE DE DADOS'!$A:$AM,17,0),""))</f>
        <v>NÃO</v>
      </c>
      <c r="T46" s="61" t="str">
        <f>IF(B46="","",IFERROR(VLOOKUP(B46,'ANÁLISE DE DADOS'!$A:$AM,18,0),""))</f>
        <v>Acordo em andamento (aguardando pagamento)</v>
      </c>
      <c r="U46" s="61" t="str">
        <f ca="1">IF(B46="","",IFERROR(VLOOKUP(B46,'ANÁLISE DE DADOS'!$A:$AM,19,0),""))</f>
        <v>Vencido</v>
      </c>
      <c r="V46" s="61">
        <f ca="1">IF(B46="","",IFERROR(VLOOKUP(B46,'ANÁLISE DE DADOS'!$A:$AM,20,0),""))</f>
        <v>51</v>
      </c>
      <c r="W46" s="61" t="str">
        <f ca="1">IF(B46="","",IFERROR(VLOOKUP(B46,'ANÁLISE DE DADOS'!$A:$AM,21,0),""))</f>
        <v>31-60 dias</v>
      </c>
      <c r="X46" s="61" t="str">
        <f ca="1">IF(B46="","",IFERROR(VLOOKUP(B46,'ANÁLISE DE DADOS'!$A:$AM,22,0),""))</f>
        <v>Atraso Médio</v>
      </c>
      <c r="Y46" s="61" t="str">
        <f>IF(B46="","",IFERROR(VLOOKUP(B46,'ANÁLISE DE DADOS'!$A:$AM,23,0),""))</f>
        <v>-</v>
      </c>
      <c r="Z46" s="61" t="str">
        <f>IF(B46="","",IFERROR(VLOOKUP(B46,'ANÁLISE DE DADOS'!$A:$AM,24,0),""))</f>
        <v>Não</v>
      </c>
      <c r="AA46" s="61">
        <f>IF(B46="","",IFERROR(VLOOKUP(B46,'ANÁLISE DE DADOS'!$A:$AM,25,0),""))</f>
        <v>0</v>
      </c>
      <c r="AB46" s="61">
        <f>IF(B46="","",IFERROR(VLOOKUP(B46,'ANÁLISE DE DADOS'!$A:$AM,26,0),""))</f>
        <v>0</v>
      </c>
      <c r="AC46" s="61" t="str">
        <f>IF(B46="","",IFERROR(VLOOKUP(B46,'ANÁLISE DE DADOS'!$A:$AM,27,0),""))</f>
        <v>Não</v>
      </c>
      <c r="AD46" s="62">
        <f>IF(B46="","",IFERROR(VLOOKUP(B46,'ANÁLISE DE DADOS'!$A:$AM,28,0),""))</f>
        <v>45745</v>
      </c>
      <c r="AE46" s="61" t="str">
        <f>IF(B46="","",IFERROR(VLOOKUP(B46,'ANÁLISE DE DADOS'!$A:$AM,29,0),""))</f>
        <v>mar-25</v>
      </c>
      <c r="AF46" s="61" t="str">
        <f>IF(B46="","",IFERROR(VLOOKUP(B46,'ANÁLISE DE DADOS'!$A:$AM,30,0),""))</f>
        <v>2025</v>
      </c>
      <c r="AG46" s="62">
        <f>IF(B46="","",IFERROR(VLOOKUP(B46,'ANÁLISE DE DADOS'!$A:$AM,31,0),""))</f>
        <v>45745</v>
      </c>
      <c r="AH46" s="61" t="str">
        <f>IF(B46="","",IFERROR(VLOOKUP(B46,'ANÁLISE DE DADOS'!$A:$AM,32,0),""))</f>
        <v>mar-25</v>
      </c>
      <c r="AI46" s="61" t="str">
        <f>IF(B46="","",IFERROR(VLOOKUP(B46,'ANÁLISE DE DADOS'!$A:$AM,33,0),""))</f>
        <v>2025</v>
      </c>
      <c r="AJ46" s="61" t="str">
        <f>IF(B46="","",IFERROR(VLOOKUP(B46,'ANÁLISE DE DADOS'!$A:$AM,34,0),""))</f>
        <v>Acompanhando</v>
      </c>
      <c r="AK46" s="63">
        <f ca="1">IF(B46="","",IFERROR(VLOOKUP(B46,'ANÁLISE DE DADOS'!$A:$AM,35,0),""))</f>
        <v>2300</v>
      </c>
      <c r="AL46" s="63" t="str">
        <f ca="1">IF(B46="","",IFERROR(VLOOKUP(B46,'ANÁLISE DE DADOS'!$A:$AM,36,0),""))</f>
        <v>0</v>
      </c>
      <c r="AM46" s="101" t="str">
        <f ca="1">IF(B46="","",IFERROR(VLOOKUP(B46,'ANÁLISE DE DADOS'!$A:$AM,37,0),""))</f>
        <v>Cobrança Ativa</v>
      </c>
    </row>
    <row r="47" spans="2:39" x14ac:dyDescent="0.3">
      <c r="B47" s="30">
        <v>43</v>
      </c>
      <c r="C47" s="61">
        <f>IF(B47="","",IFERROR(VLOOKUP(B47,'ANÁLISE DE DADOS'!$A:$AM,1,0),""))</f>
        <v>43</v>
      </c>
      <c r="D47" s="61" t="str">
        <f>IF(B47="","",IFERROR(VLOOKUP(B47,'ANÁLISE DE DADOS'!$A:$AM,2,0),""))</f>
        <v>Matriz</v>
      </c>
      <c r="E47" s="61">
        <f>IF(B47="","",IFERROR(VLOOKUP(B47,'ANÁLISE DE DADOS'!$A:$AM,3,0),""))</f>
        <v>0</v>
      </c>
      <c r="F47" s="61" t="str">
        <f>IF(B47="","",IFERROR(VLOOKUP(B47,'ANÁLISE DE DADOS'!$A:$AM,4,0),""))</f>
        <v>SoftLink</v>
      </c>
      <c r="G47" s="62">
        <f>IF(B47="","",IFERROR(VLOOKUP(B47,'ANÁLISE DE DADOS'!$A:$AM,5,0),""))</f>
        <v>45718</v>
      </c>
      <c r="H47" s="62" t="str">
        <f>IF(B47="","",IFERROR(VLOOKUP(B47,'ANÁLISE DE DADOS'!$A:$AM,6,0),""))</f>
        <v>mar-25</v>
      </c>
      <c r="I47" s="62" t="str">
        <f>IF(B47="","",IFERROR(VLOOKUP(B47,'ANÁLISE DE DADOS'!$A:$AM,7,0),""))</f>
        <v>2025</v>
      </c>
      <c r="J47" s="62">
        <f>IF(B47="","",IFERROR(VLOOKUP(B47,'ANÁLISE DE DADOS'!$A:$AM,8,0),""))</f>
        <v>45729</v>
      </c>
      <c r="K47" s="61" t="str">
        <f>IF(B47="","",IFERROR(VLOOKUP(B47,'ANÁLISE DE DADOS'!$A:$AM,9,0),""))</f>
        <v>mar-25</v>
      </c>
      <c r="L47" s="61" t="str">
        <f>IF(B47="","",IFERROR(VLOOKUP(B47,'ANÁLISE DE DADOS'!$A:$AM,10,0),""))</f>
        <v>2025</v>
      </c>
      <c r="M47" s="62">
        <f>IF(B47="","",IFERROR(VLOOKUP(B47,'ANÁLISE DE DADOS'!$A:$AM,11,0),""))</f>
        <v>45729</v>
      </c>
      <c r="N47" s="61" t="str">
        <f>IF(B47="","",IFERROR(VLOOKUP(B47,'ANÁLISE DE DADOS'!$A:$AM,12,0),""))</f>
        <v>mar-25</v>
      </c>
      <c r="O47" s="61" t="str">
        <f>IF(B47="","",IFERROR(VLOOKUP(B47,'ANÁLISE DE DADOS'!$A:$AM,13,0),""))</f>
        <v>2025</v>
      </c>
      <c r="P47" s="63">
        <f>IF(B47="","",IFERROR(VLOOKUP(B47,'ANÁLISE DE DADOS'!$A:$AM,14,0),""))</f>
        <v>3000</v>
      </c>
      <c r="Q47" s="61" t="str">
        <f>IF(B47="","",IFERROR(VLOOKUP(B47,'ANÁLISE DE DADOS'!$A:$AM,15,0),""))</f>
        <v>Carlos</v>
      </c>
      <c r="R47" s="61" t="str">
        <f>IF(B47="","",IFERROR(VLOOKUP(B47,'ANÁLISE DE DADOS'!$A:$AM,16,0),""))</f>
        <v>ANALISTA GUSTAVO</v>
      </c>
      <c r="S47" s="61" t="str">
        <f>IF(B47="","",IFERROR(VLOOKUP(B47,'ANÁLISE DE DADOS'!$A:$AM,17,0),""))</f>
        <v>NÃO</v>
      </c>
      <c r="T47" s="61" t="str">
        <f>IF(B47="","",IFERROR(VLOOKUP(B47,'ANÁLISE DE DADOS'!$A:$AM,18,0),""))</f>
        <v>Cliente não localizado</v>
      </c>
      <c r="U47" s="61" t="str">
        <f ca="1">IF(B47="","",IFERROR(VLOOKUP(B47,'ANÁLISE DE DADOS'!$A:$AM,19,0),""))</f>
        <v>Vencido</v>
      </c>
      <c r="V47" s="61">
        <f ca="1">IF(B47="","",IFERROR(VLOOKUP(B47,'ANÁLISE DE DADOS'!$A:$AM,20,0),""))</f>
        <v>66</v>
      </c>
      <c r="W47" s="61" t="str">
        <f ca="1">IF(B47="","",IFERROR(VLOOKUP(B47,'ANÁLISE DE DADOS'!$A:$AM,21,0),""))</f>
        <v>61+ dias</v>
      </c>
      <c r="X47" s="61" t="str">
        <f ca="1">IF(B47="","",IFERROR(VLOOKUP(B47,'ANÁLISE DE DADOS'!$A:$AM,22,0),""))</f>
        <v>Atraso Crítico</v>
      </c>
      <c r="Y47" s="61" t="str">
        <f>IF(B47="","",IFERROR(VLOOKUP(B47,'ANÁLISE DE DADOS'!$A:$AM,23,0),""))</f>
        <v>-</v>
      </c>
      <c r="Z47" s="61" t="str">
        <f>IF(B47="","",IFERROR(VLOOKUP(B47,'ANÁLISE DE DADOS'!$A:$AM,24,0),""))</f>
        <v>Sim</v>
      </c>
      <c r="AA47" s="61">
        <f>IF(B47="","",IFERROR(VLOOKUP(B47,'ANÁLISE DE DADOS'!$A:$AM,25,0),""))</f>
        <v>0</v>
      </c>
      <c r="AB47" s="61">
        <f>IF(B47="","",IFERROR(VLOOKUP(B47,'ANÁLISE DE DADOS'!$A:$AM,26,0),""))</f>
        <v>1</v>
      </c>
      <c r="AC47" s="61" t="str">
        <f>IF(B47="","",IFERROR(VLOOKUP(B47,'ANÁLISE DE DADOS'!$A:$AM,27,0),""))</f>
        <v>Sim</v>
      </c>
      <c r="AD47" s="62">
        <f>IF(B47="","",IFERROR(VLOOKUP(B47,'ANÁLISE DE DADOS'!$A:$AM,28,0),""))</f>
        <v>45740</v>
      </c>
      <c r="AE47" s="61" t="str">
        <f>IF(B47="","",IFERROR(VLOOKUP(B47,'ANÁLISE DE DADOS'!$A:$AM,29,0),""))</f>
        <v>mar-25</v>
      </c>
      <c r="AF47" s="61" t="str">
        <f>IF(B47="","",IFERROR(VLOOKUP(B47,'ANÁLISE DE DADOS'!$A:$AM,30,0),""))</f>
        <v>2025</v>
      </c>
      <c r="AG47" s="62">
        <f>IF(B47="","",IFERROR(VLOOKUP(B47,'ANÁLISE DE DADOS'!$A:$AM,31,0),""))</f>
        <v>45740</v>
      </c>
      <c r="AH47" s="61" t="str">
        <f>IF(B47="","",IFERROR(VLOOKUP(B47,'ANÁLISE DE DADOS'!$A:$AM,32,0),""))</f>
        <v>mar-25</v>
      </c>
      <c r="AI47" s="61" t="str">
        <f>IF(B47="","",IFERROR(VLOOKUP(B47,'ANÁLISE DE DADOS'!$A:$AM,33,0),""))</f>
        <v>2025</v>
      </c>
      <c r="AJ47" s="61" t="str">
        <f>IF(B47="","",IFERROR(VLOOKUP(B47,'ANÁLISE DE DADOS'!$A:$AM,34,0),""))</f>
        <v>Acompanhando</v>
      </c>
      <c r="AK47" s="63">
        <f ca="1">IF(B47="","",IFERROR(VLOOKUP(B47,'ANÁLISE DE DADOS'!$A:$AM,35,0),""))</f>
        <v>3000</v>
      </c>
      <c r="AL47" s="63" t="str">
        <f ca="1">IF(B47="","",IFERROR(VLOOKUP(B47,'ANÁLISE DE DADOS'!$A:$AM,36,0),""))</f>
        <v>0</v>
      </c>
      <c r="AM47" s="101" t="str">
        <f ca="1">IF(B47="","",IFERROR(VLOOKUP(B47,'ANÁLISE DE DADOS'!$A:$AM,37,0),""))</f>
        <v>Cobrança Extrajudicial</v>
      </c>
    </row>
    <row r="48" spans="2:39" x14ac:dyDescent="0.3">
      <c r="B48" s="30">
        <v>44</v>
      </c>
      <c r="C48" s="61">
        <f>IF(B48="","",IFERROR(VLOOKUP(B48,'ANÁLISE DE DADOS'!$A:$AM,1,0),""))</f>
        <v>44</v>
      </c>
      <c r="D48" s="61" t="str">
        <f>IF(B48="","",IFERROR(VLOOKUP(B48,'ANÁLISE DE DADOS'!$A:$AM,2,0),""))</f>
        <v>Filial</v>
      </c>
      <c r="E48" s="61">
        <f>IF(B48="","",IFERROR(VLOOKUP(B48,'ANÁLISE DE DADOS'!$A:$AM,3,0),""))</f>
        <v>0</v>
      </c>
      <c r="F48" s="61" t="str">
        <f>IF(B48="","",IFERROR(VLOOKUP(B48,'ANÁLISE DE DADOS'!$A:$AM,4,0),""))</f>
        <v>SoftLink</v>
      </c>
      <c r="G48" s="62">
        <f>IF(B48="","",IFERROR(VLOOKUP(B48,'ANÁLISE DE DADOS'!$A:$AM,5,0),""))</f>
        <v>45721</v>
      </c>
      <c r="H48" s="62" t="str">
        <f>IF(B48="","",IFERROR(VLOOKUP(B48,'ANÁLISE DE DADOS'!$A:$AM,6,0),""))</f>
        <v>mar-25</v>
      </c>
      <c r="I48" s="62" t="str">
        <f>IF(B48="","",IFERROR(VLOOKUP(B48,'ANÁLISE DE DADOS'!$A:$AM,7,0),""))</f>
        <v>2025</v>
      </c>
      <c r="J48" s="62">
        <f>IF(B48="","",IFERROR(VLOOKUP(B48,'ANÁLISE DE DADOS'!$A:$AM,8,0),""))</f>
        <v>45736</v>
      </c>
      <c r="K48" s="61" t="str">
        <f>IF(B48="","",IFERROR(VLOOKUP(B48,'ANÁLISE DE DADOS'!$A:$AM,9,0),""))</f>
        <v>mar-25</v>
      </c>
      <c r="L48" s="61" t="str">
        <f>IF(B48="","",IFERROR(VLOOKUP(B48,'ANÁLISE DE DADOS'!$A:$AM,10,0),""))</f>
        <v>2025</v>
      </c>
      <c r="M48" s="62">
        <f>IF(B48="","",IFERROR(VLOOKUP(B48,'ANÁLISE DE DADOS'!$A:$AM,11,0),""))</f>
        <v>45736</v>
      </c>
      <c r="N48" s="61" t="str">
        <f>IF(B48="","",IFERROR(VLOOKUP(B48,'ANÁLISE DE DADOS'!$A:$AM,12,0),""))</f>
        <v>mar-25</v>
      </c>
      <c r="O48" s="61" t="str">
        <f>IF(B48="","",IFERROR(VLOOKUP(B48,'ANÁLISE DE DADOS'!$A:$AM,13,0),""))</f>
        <v>2025</v>
      </c>
      <c r="P48" s="63">
        <f>IF(B48="","",IFERROR(VLOOKUP(B48,'ANÁLISE DE DADOS'!$A:$AM,14,0),""))</f>
        <v>1700</v>
      </c>
      <c r="Q48" s="61" t="str">
        <f>IF(B48="","",IFERROR(VLOOKUP(B48,'ANÁLISE DE DADOS'!$A:$AM,15,0),""))</f>
        <v>Ana</v>
      </c>
      <c r="R48" s="61" t="str">
        <f>IF(B48="","",IFERROR(VLOOKUP(B48,'ANÁLISE DE DADOS'!$A:$AM,16,0),""))</f>
        <v>ANALISTA GUSTAVO</v>
      </c>
      <c r="S48" s="61" t="str">
        <f>IF(B48="","",IFERROR(VLOOKUP(B48,'ANÁLISE DE DADOS'!$A:$AM,17,0),""))</f>
        <v>NÃO</v>
      </c>
      <c r="T48" s="61" t="str">
        <f>IF(B48="","",IFERROR(VLOOKUP(B48,'ANÁLISE DE DADOS'!$A:$AM,18,0),""))</f>
        <v>Promessa de pagamento refeito</v>
      </c>
      <c r="U48" s="61" t="str">
        <f ca="1">IF(B48="","",IFERROR(VLOOKUP(B48,'ANÁLISE DE DADOS'!$A:$AM,19,0),""))</f>
        <v>Vencido</v>
      </c>
      <c r="V48" s="61">
        <f ca="1">IF(B48="","",IFERROR(VLOOKUP(B48,'ANÁLISE DE DADOS'!$A:$AM,20,0),""))</f>
        <v>59</v>
      </c>
      <c r="W48" s="61" t="str">
        <f ca="1">IF(B48="","",IFERROR(VLOOKUP(B48,'ANÁLISE DE DADOS'!$A:$AM,21,0),""))</f>
        <v>31-60 dias</v>
      </c>
      <c r="X48" s="61" t="str">
        <f ca="1">IF(B48="","",IFERROR(VLOOKUP(B48,'ANÁLISE DE DADOS'!$A:$AM,22,0),""))</f>
        <v>Atraso Médio</v>
      </c>
      <c r="Y48" s="61" t="str">
        <f>IF(B48="","",IFERROR(VLOOKUP(B48,'ANÁLISE DE DADOS'!$A:$AM,23,0),""))</f>
        <v>-</v>
      </c>
      <c r="Z48" s="61" t="str">
        <f>IF(B48="","",IFERROR(VLOOKUP(B48,'ANÁLISE DE DADOS'!$A:$AM,24,0),""))</f>
        <v>Sim</v>
      </c>
      <c r="AA48" s="61">
        <f>IF(B48="","",IFERROR(VLOOKUP(B48,'ANÁLISE DE DADOS'!$A:$AM,25,0),""))</f>
        <v>0</v>
      </c>
      <c r="AB48" s="61">
        <f>IF(B48="","",IFERROR(VLOOKUP(B48,'ANÁLISE DE DADOS'!$A:$AM,26,0),""))</f>
        <v>1</v>
      </c>
      <c r="AC48" s="61" t="str">
        <f>IF(B48="","",IFERROR(VLOOKUP(B48,'ANÁLISE DE DADOS'!$A:$AM,27,0),""))</f>
        <v>Sim</v>
      </c>
      <c r="AD48" s="62">
        <f>IF(B48="","",IFERROR(VLOOKUP(B48,'ANÁLISE DE DADOS'!$A:$AM,28,0),""))</f>
        <v>45740</v>
      </c>
      <c r="AE48" s="61" t="str">
        <f>IF(B48="","",IFERROR(VLOOKUP(B48,'ANÁLISE DE DADOS'!$A:$AM,29,0),""))</f>
        <v>mar-25</v>
      </c>
      <c r="AF48" s="61" t="str">
        <f>IF(B48="","",IFERROR(VLOOKUP(B48,'ANÁLISE DE DADOS'!$A:$AM,30,0),""))</f>
        <v>2025</v>
      </c>
      <c r="AG48" s="62">
        <f>IF(B48="","",IFERROR(VLOOKUP(B48,'ANÁLISE DE DADOS'!$A:$AM,31,0),""))</f>
        <v>45740</v>
      </c>
      <c r="AH48" s="61" t="str">
        <f>IF(B48="","",IFERROR(VLOOKUP(B48,'ANÁLISE DE DADOS'!$A:$AM,32,0),""))</f>
        <v>mar-25</v>
      </c>
      <c r="AI48" s="61" t="str">
        <f>IF(B48="","",IFERROR(VLOOKUP(B48,'ANÁLISE DE DADOS'!$A:$AM,33,0),""))</f>
        <v>2025</v>
      </c>
      <c r="AJ48" s="61" t="str">
        <f>IF(B48="","",IFERROR(VLOOKUP(B48,'ANÁLISE DE DADOS'!$A:$AM,34,0),""))</f>
        <v>Acompanhando</v>
      </c>
      <c r="AK48" s="63">
        <f ca="1">IF(B48="","",IFERROR(VLOOKUP(B48,'ANÁLISE DE DADOS'!$A:$AM,35,0),""))</f>
        <v>1700</v>
      </c>
      <c r="AL48" s="63" t="str">
        <f ca="1">IF(B48="","",IFERROR(VLOOKUP(B48,'ANÁLISE DE DADOS'!$A:$AM,36,0),""))</f>
        <v>0</v>
      </c>
      <c r="AM48" s="101" t="str">
        <f ca="1">IF(B48="","",IFERROR(VLOOKUP(B48,'ANÁLISE DE DADOS'!$A:$AM,37,0),""))</f>
        <v>Cobrança Ativa</v>
      </c>
    </row>
    <row r="49" spans="2:39" x14ac:dyDescent="0.3">
      <c r="B49" s="30">
        <v>45</v>
      </c>
      <c r="C49" s="61">
        <f>IF(B49="","",IFERROR(VLOOKUP(B49,'ANÁLISE DE DADOS'!$A:$AM,1,0),""))</f>
        <v>45</v>
      </c>
      <c r="D49" s="61" t="str">
        <f>IF(B49="","",IFERROR(VLOOKUP(B49,'ANÁLISE DE DADOS'!$A:$AM,2,0),""))</f>
        <v>Matriz</v>
      </c>
      <c r="E49" s="61">
        <f>IF(B49="","",IFERROR(VLOOKUP(B49,'ANÁLISE DE DADOS'!$A:$AM,3,0),""))</f>
        <v>0</v>
      </c>
      <c r="F49" s="61" t="str">
        <f>IF(B49="","",IFERROR(VLOOKUP(B49,'ANÁLISE DE DADOS'!$A:$AM,4,0),""))</f>
        <v>GlobalTech</v>
      </c>
      <c r="G49" s="62">
        <f>IF(B49="","",IFERROR(VLOOKUP(B49,'ANÁLISE DE DADOS'!$A:$AM,5,0),""))</f>
        <v>45724</v>
      </c>
      <c r="H49" s="62" t="str">
        <f>IF(B49="","",IFERROR(VLOOKUP(B49,'ANÁLISE DE DADOS'!$A:$AM,6,0),""))</f>
        <v>mar-25</v>
      </c>
      <c r="I49" s="62" t="str">
        <f>IF(B49="","",IFERROR(VLOOKUP(B49,'ANÁLISE DE DADOS'!$A:$AM,7,0),""))</f>
        <v>2025</v>
      </c>
      <c r="J49" s="62">
        <f>IF(B49="","",IFERROR(VLOOKUP(B49,'ANÁLISE DE DADOS'!$A:$AM,8,0),""))</f>
        <v>45737</v>
      </c>
      <c r="K49" s="61" t="str">
        <f>IF(B49="","",IFERROR(VLOOKUP(B49,'ANÁLISE DE DADOS'!$A:$AM,9,0),""))</f>
        <v>mar-25</v>
      </c>
      <c r="L49" s="61" t="str">
        <f>IF(B49="","",IFERROR(VLOOKUP(B49,'ANÁLISE DE DADOS'!$A:$AM,10,0),""))</f>
        <v>2025</v>
      </c>
      <c r="M49" s="62">
        <f>IF(B49="","",IFERROR(VLOOKUP(B49,'ANÁLISE DE DADOS'!$A:$AM,11,0),""))</f>
        <v>45737</v>
      </c>
      <c r="N49" s="61" t="str">
        <f>IF(B49="","",IFERROR(VLOOKUP(B49,'ANÁLISE DE DADOS'!$A:$AM,12,0),""))</f>
        <v>mar-25</v>
      </c>
      <c r="O49" s="61" t="str">
        <f>IF(B49="","",IFERROR(VLOOKUP(B49,'ANÁLISE DE DADOS'!$A:$AM,13,0),""))</f>
        <v>2025</v>
      </c>
      <c r="P49" s="63">
        <f>IF(B49="","",IFERROR(VLOOKUP(B49,'ANÁLISE DE DADOS'!$A:$AM,14,0),""))</f>
        <v>2100</v>
      </c>
      <c r="Q49" s="61" t="str">
        <f>IF(B49="","",IFERROR(VLOOKUP(B49,'ANÁLISE DE DADOS'!$A:$AM,15,0),""))</f>
        <v>Beatriz</v>
      </c>
      <c r="R49" s="61" t="str">
        <f>IF(B49="","",IFERROR(VLOOKUP(B49,'ANÁLISE DE DADOS'!$A:$AM,16,0),""))</f>
        <v>ANALISTA GUSTAVO</v>
      </c>
      <c r="S49" s="61" t="str">
        <f>IF(B49="","",IFERROR(VLOOKUP(B49,'ANÁLISE DE DADOS'!$A:$AM,17,0),""))</f>
        <v>NÃO</v>
      </c>
      <c r="T49" s="61" t="str">
        <f>IF(B49="","",IFERROR(VLOOKUP(B49,'ANÁLISE DE DADOS'!$A:$AM,18,0),""))</f>
        <v>Sem Retorno</v>
      </c>
      <c r="U49" s="61" t="str">
        <f ca="1">IF(B49="","",IFERROR(VLOOKUP(B49,'ANÁLISE DE DADOS'!$A:$AM,19,0),""))</f>
        <v>Vencido</v>
      </c>
      <c r="V49" s="61">
        <f ca="1">IF(B49="","",IFERROR(VLOOKUP(B49,'ANÁLISE DE DADOS'!$A:$AM,20,0),""))</f>
        <v>58</v>
      </c>
      <c r="W49" s="61" t="str">
        <f ca="1">IF(B49="","",IFERROR(VLOOKUP(B49,'ANÁLISE DE DADOS'!$A:$AM,21,0),""))</f>
        <v>31-60 dias</v>
      </c>
      <c r="X49" s="61" t="str">
        <f ca="1">IF(B49="","",IFERROR(VLOOKUP(B49,'ANÁLISE DE DADOS'!$A:$AM,22,0),""))</f>
        <v>Atraso Médio</v>
      </c>
      <c r="Y49" s="61" t="str">
        <f>IF(B49="","",IFERROR(VLOOKUP(B49,'ANÁLISE DE DADOS'!$A:$AM,23,0),""))</f>
        <v>-</v>
      </c>
      <c r="Z49" s="61" t="str">
        <f>IF(B49="","",IFERROR(VLOOKUP(B49,'ANÁLISE DE DADOS'!$A:$AM,24,0),""))</f>
        <v>Sim</v>
      </c>
      <c r="AA49" s="61">
        <f>IF(B49="","",IFERROR(VLOOKUP(B49,'ANÁLISE DE DADOS'!$A:$AM,25,0),""))</f>
        <v>0</v>
      </c>
      <c r="AB49" s="61">
        <f>IF(B49="","",IFERROR(VLOOKUP(B49,'ANÁLISE DE DADOS'!$A:$AM,26,0),""))</f>
        <v>1</v>
      </c>
      <c r="AC49" s="61" t="str">
        <f>IF(B49="","",IFERROR(VLOOKUP(B49,'ANÁLISE DE DADOS'!$A:$AM,27,0),""))</f>
        <v>Sim</v>
      </c>
      <c r="AD49" s="62">
        <f>IF(B49="","",IFERROR(VLOOKUP(B49,'ANÁLISE DE DADOS'!$A:$AM,28,0),""))</f>
        <v>45740</v>
      </c>
      <c r="AE49" s="61" t="str">
        <f>IF(B49="","",IFERROR(VLOOKUP(B49,'ANÁLISE DE DADOS'!$A:$AM,29,0),""))</f>
        <v>mar-25</v>
      </c>
      <c r="AF49" s="61" t="str">
        <f>IF(B49="","",IFERROR(VLOOKUP(B49,'ANÁLISE DE DADOS'!$A:$AM,30,0),""))</f>
        <v>2025</v>
      </c>
      <c r="AG49" s="62">
        <f>IF(B49="","",IFERROR(VLOOKUP(B49,'ANÁLISE DE DADOS'!$A:$AM,31,0),""))</f>
        <v>45740</v>
      </c>
      <c r="AH49" s="61" t="str">
        <f>IF(B49="","",IFERROR(VLOOKUP(B49,'ANÁLISE DE DADOS'!$A:$AM,32,0),""))</f>
        <v>mar-25</v>
      </c>
      <c r="AI49" s="61" t="str">
        <f>IF(B49="","",IFERROR(VLOOKUP(B49,'ANÁLISE DE DADOS'!$A:$AM,33,0),""))</f>
        <v>2025</v>
      </c>
      <c r="AJ49" s="61" t="str">
        <f>IF(B49="","",IFERROR(VLOOKUP(B49,'ANÁLISE DE DADOS'!$A:$AM,34,0),""))</f>
        <v>Acompanhando</v>
      </c>
      <c r="AK49" s="63">
        <f ca="1">IF(B49="","",IFERROR(VLOOKUP(B49,'ANÁLISE DE DADOS'!$A:$AM,35,0),""))</f>
        <v>2100</v>
      </c>
      <c r="AL49" s="63" t="str">
        <f ca="1">IF(B49="","",IFERROR(VLOOKUP(B49,'ANÁLISE DE DADOS'!$A:$AM,36,0),""))</f>
        <v>0</v>
      </c>
      <c r="AM49" s="101" t="str">
        <f ca="1">IF(B49="","",IFERROR(VLOOKUP(B49,'ANÁLISE DE DADOS'!$A:$AM,37,0),""))</f>
        <v>Cobrança Ativa</v>
      </c>
    </row>
    <row r="50" spans="2:39" x14ac:dyDescent="0.3">
      <c r="B50" s="30">
        <v>46</v>
      </c>
      <c r="C50" s="61">
        <f>IF(B50="","",IFERROR(VLOOKUP(B50,'ANÁLISE DE DADOS'!$A:$AM,1,0),""))</f>
        <v>46</v>
      </c>
      <c r="D50" s="61" t="str">
        <f>IF(B50="","",IFERROR(VLOOKUP(B50,'ANÁLISE DE DADOS'!$A:$AM,2,0),""))</f>
        <v>Filial</v>
      </c>
      <c r="E50" s="61">
        <f>IF(B50="","",IFERROR(VLOOKUP(B50,'ANÁLISE DE DADOS'!$A:$AM,3,0),""))</f>
        <v>0</v>
      </c>
      <c r="F50" s="61" t="str">
        <f>IF(B50="","",IFERROR(VLOOKUP(B50,'ANÁLISE DE DADOS'!$A:$AM,4,0),""))</f>
        <v>GlobalTech</v>
      </c>
      <c r="G50" s="62">
        <f>IF(B50="","",IFERROR(VLOOKUP(B50,'ANÁLISE DE DADOS'!$A:$AM,5,0),""))</f>
        <v>45726</v>
      </c>
      <c r="H50" s="62" t="str">
        <f>IF(B50="","",IFERROR(VLOOKUP(B50,'ANÁLISE DE DADOS'!$A:$AM,6,0),""))</f>
        <v>mar-25</v>
      </c>
      <c r="I50" s="62" t="str">
        <f>IF(B50="","",IFERROR(VLOOKUP(B50,'ANÁLISE DE DADOS'!$A:$AM,7,0),""))</f>
        <v>2025</v>
      </c>
      <c r="J50" s="62">
        <f>IF(B50="","",IFERROR(VLOOKUP(B50,'ANÁLISE DE DADOS'!$A:$AM,8,0),""))</f>
        <v>45738</v>
      </c>
      <c r="K50" s="61" t="str">
        <f>IF(B50="","",IFERROR(VLOOKUP(B50,'ANÁLISE DE DADOS'!$A:$AM,9,0),""))</f>
        <v>mar-25</v>
      </c>
      <c r="L50" s="61" t="str">
        <f>IF(B50="","",IFERROR(VLOOKUP(B50,'ANÁLISE DE DADOS'!$A:$AM,10,0),""))</f>
        <v>2025</v>
      </c>
      <c r="M50" s="62">
        <f>IF(B50="","",IFERROR(VLOOKUP(B50,'ANÁLISE DE DADOS'!$A:$AM,11,0),""))</f>
        <v>45738</v>
      </c>
      <c r="N50" s="61" t="str">
        <f>IF(B50="","",IFERROR(VLOOKUP(B50,'ANÁLISE DE DADOS'!$A:$AM,12,0),""))</f>
        <v>mar-25</v>
      </c>
      <c r="O50" s="61" t="str">
        <f>IF(B50="","",IFERROR(VLOOKUP(B50,'ANÁLISE DE DADOS'!$A:$AM,13,0),""))</f>
        <v>2025</v>
      </c>
      <c r="P50" s="63">
        <f>IF(B50="","",IFERROR(VLOOKUP(B50,'ANÁLISE DE DADOS'!$A:$AM,14,0),""))</f>
        <v>1900</v>
      </c>
      <c r="Q50" s="61" t="str">
        <f>IF(B50="","",IFERROR(VLOOKUP(B50,'ANÁLISE DE DADOS'!$A:$AM,15,0),""))</f>
        <v>Lucas</v>
      </c>
      <c r="R50" s="61" t="str">
        <f>IF(B50="","",IFERROR(VLOOKUP(B50,'ANÁLISE DE DADOS'!$A:$AM,16,0),""))</f>
        <v>ANALISTA GUSTAVO</v>
      </c>
      <c r="S50" s="61" t="str">
        <f>IF(B50="","",IFERROR(VLOOKUP(B50,'ANÁLISE DE DADOS'!$A:$AM,17,0),""))</f>
        <v>NÃO</v>
      </c>
      <c r="T50" s="61" t="str">
        <f>IF(B50="","",IFERROR(VLOOKUP(B50,'ANÁLISE DE DADOS'!$A:$AM,18,0),""))</f>
        <v>Bloqueio de sistema por inadimplência</v>
      </c>
      <c r="U50" s="61" t="str">
        <f ca="1">IF(B50="","",IFERROR(VLOOKUP(B50,'ANÁLISE DE DADOS'!$A:$AM,19,0),""))</f>
        <v>Vencido</v>
      </c>
      <c r="V50" s="61">
        <f ca="1">IF(B50="","",IFERROR(VLOOKUP(B50,'ANÁLISE DE DADOS'!$A:$AM,20,0),""))</f>
        <v>57</v>
      </c>
      <c r="W50" s="61" t="str">
        <f ca="1">IF(B50="","",IFERROR(VLOOKUP(B50,'ANÁLISE DE DADOS'!$A:$AM,21,0),""))</f>
        <v>31-60 dias</v>
      </c>
      <c r="X50" s="61" t="str">
        <f ca="1">IF(B50="","",IFERROR(VLOOKUP(B50,'ANÁLISE DE DADOS'!$A:$AM,22,0),""))</f>
        <v>Atraso Médio</v>
      </c>
      <c r="Y50" s="61" t="str">
        <f>IF(B50="","",IFERROR(VLOOKUP(B50,'ANÁLISE DE DADOS'!$A:$AM,23,0),""))</f>
        <v>-</v>
      </c>
      <c r="Z50" s="61" t="str">
        <f>IF(B50="","",IFERROR(VLOOKUP(B50,'ANÁLISE DE DADOS'!$A:$AM,24,0),""))</f>
        <v>Sim</v>
      </c>
      <c r="AA50" s="61">
        <f>IF(B50="","",IFERROR(VLOOKUP(B50,'ANÁLISE DE DADOS'!$A:$AM,25,0),""))</f>
        <v>0</v>
      </c>
      <c r="AB50" s="61">
        <f>IF(B50="","",IFERROR(VLOOKUP(B50,'ANÁLISE DE DADOS'!$A:$AM,26,0),""))</f>
        <v>1</v>
      </c>
      <c r="AC50" s="61" t="str">
        <f>IF(B50="","",IFERROR(VLOOKUP(B50,'ANÁLISE DE DADOS'!$A:$AM,27,0),""))</f>
        <v>Sim</v>
      </c>
      <c r="AD50" s="62">
        <f>IF(B50="","",IFERROR(VLOOKUP(B50,'ANÁLISE DE DADOS'!$A:$AM,28,0),""))</f>
        <v>45740</v>
      </c>
      <c r="AE50" s="61" t="str">
        <f>IF(B50="","",IFERROR(VLOOKUP(B50,'ANÁLISE DE DADOS'!$A:$AM,29,0),""))</f>
        <v>mar-25</v>
      </c>
      <c r="AF50" s="61" t="str">
        <f>IF(B50="","",IFERROR(VLOOKUP(B50,'ANÁLISE DE DADOS'!$A:$AM,30,0),""))</f>
        <v>2025</v>
      </c>
      <c r="AG50" s="62">
        <f>IF(B50="","",IFERROR(VLOOKUP(B50,'ANÁLISE DE DADOS'!$A:$AM,31,0),""))</f>
        <v>45740</v>
      </c>
      <c r="AH50" s="61" t="str">
        <f>IF(B50="","",IFERROR(VLOOKUP(B50,'ANÁLISE DE DADOS'!$A:$AM,32,0),""))</f>
        <v>mar-25</v>
      </c>
      <c r="AI50" s="61" t="str">
        <f>IF(B50="","",IFERROR(VLOOKUP(B50,'ANÁLISE DE DADOS'!$A:$AM,33,0),""))</f>
        <v>2025</v>
      </c>
      <c r="AJ50" s="61" t="str">
        <f>IF(B50="","",IFERROR(VLOOKUP(B50,'ANÁLISE DE DADOS'!$A:$AM,34,0),""))</f>
        <v>Acompanhando</v>
      </c>
      <c r="AK50" s="63">
        <f ca="1">IF(B50="","",IFERROR(VLOOKUP(B50,'ANÁLISE DE DADOS'!$A:$AM,35,0),""))</f>
        <v>1900</v>
      </c>
      <c r="AL50" s="63" t="str">
        <f ca="1">IF(B50="","",IFERROR(VLOOKUP(B50,'ANÁLISE DE DADOS'!$A:$AM,36,0),""))</f>
        <v>0</v>
      </c>
      <c r="AM50" s="101" t="str">
        <f ca="1">IF(B50="","",IFERROR(VLOOKUP(B50,'ANÁLISE DE DADOS'!$A:$AM,37,0),""))</f>
        <v>Cobrança Ativa</v>
      </c>
    </row>
    <row r="51" spans="2:39" x14ac:dyDescent="0.3">
      <c r="B51" s="30">
        <v>47</v>
      </c>
      <c r="C51" s="61">
        <f>IF(B51="","",IFERROR(VLOOKUP(B51,'ANÁLISE DE DADOS'!$A:$AM,1,0),""))</f>
        <v>47</v>
      </c>
      <c r="D51" s="61" t="str">
        <f>IF(B51="","",IFERROR(VLOOKUP(B51,'ANÁLISE DE DADOS'!$A:$AM,2,0),""))</f>
        <v>Matriz</v>
      </c>
      <c r="E51" s="61">
        <f>IF(B51="","",IFERROR(VLOOKUP(B51,'ANÁLISE DE DADOS'!$A:$AM,3,0),""))</f>
        <v>0</v>
      </c>
      <c r="F51" s="61" t="str">
        <f>IF(B51="","",IFERROR(VLOOKUP(B51,'ANÁLISE DE DADOS'!$A:$AM,4,0),""))</f>
        <v>GlobalTech</v>
      </c>
      <c r="G51" s="62">
        <f>IF(B51="","",IFERROR(VLOOKUP(B51,'ANÁLISE DE DADOS'!$A:$AM,5,0),""))</f>
        <v>45728</v>
      </c>
      <c r="H51" s="62" t="str">
        <f>IF(B51="","",IFERROR(VLOOKUP(B51,'ANÁLISE DE DADOS'!$A:$AM,6,0),""))</f>
        <v>mar-25</v>
      </c>
      <c r="I51" s="62" t="str">
        <f>IF(B51="","",IFERROR(VLOOKUP(B51,'ANÁLISE DE DADOS'!$A:$AM,7,0),""))</f>
        <v>2025</v>
      </c>
      <c r="J51" s="62">
        <f>IF(B51="","",IFERROR(VLOOKUP(B51,'ANÁLISE DE DADOS'!$A:$AM,8,0),""))</f>
        <v>45739</v>
      </c>
      <c r="K51" s="61" t="str">
        <f>IF(B51="","",IFERROR(VLOOKUP(B51,'ANÁLISE DE DADOS'!$A:$AM,9,0),""))</f>
        <v>mar-25</v>
      </c>
      <c r="L51" s="61" t="str">
        <f>IF(B51="","",IFERROR(VLOOKUP(B51,'ANÁLISE DE DADOS'!$A:$AM,10,0),""))</f>
        <v>2025</v>
      </c>
      <c r="M51" s="62">
        <f>IF(B51="","",IFERROR(VLOOKUP(B51,'ANÁLISE DE DADOS'!$A:$AM,11,0),""))</f>
        <v>45739</v>
      </c>
      <c r="N51" s="61" t="str">
        <f>IF(B51="","",IFERROR(VLOOKUP(B51,'ANÁLISE DE DADOS'!$A:$AM,12,0),""))</f>
        <v>mar-25</v>
      </c>
      <c r="O51" s="61" t="str">
        <f>IF(B51="","",IFERROR(VLOOKUP(B51,'ANÁLISE DE DADOS'!$A:$AM,13,0),""))</f>
        <v>2025</v>
      </c>
      <c r="P51" s="63">
        <f>IF(B51="","",IFERROR(VLOOKUP(B51,'ANÁLISE DE DADOS'!$A:$AM,14,0),""))</f>
        <v>2500</v>
      </c>
      <c r="Q51" s="61" t="str">
        <f>IF(B51="","",IFERROR(VLOOKUP(B51,'ANÁLISE DE DADOS'!$A:$AM,15,0),""))</f>
        <v>Carla</v>
      </c>
      <c r="R51" s="61" t="str">
        <f>IF(B51="","",IFERROR(VLOOKUP(B51,'ANÁLISE DE DADOS'!$A:$AM,16,0),""))</f>
        <v>ANALISTA GUSTAVO</v>
      </c>
      <c r="S51" s="61" t="str">
        <f>IF(B51="","",IFERROR(VLOOKUP(B51,'ANÁLISE DE DADOS'!$A:$AM,17,0),""))</f>
        <v>NÃO</v>
      </c>
      <c r="T51" s="61" t="str">
        <f>IF(B51="","",IFERROR(VLOOKUP(B51,'ANÁLISE DE DADOS'!$A:$AM,18,0),""))</f>
        <v>Acordo em andamento (aguardando pagamento)</v>
      </c>
      <c r="U51" s="61" t="str">
        <f ca="1">IF(B51="","",IFERROR(VLOOKUP(B51,'ANÁLISE DE DADOS'!$A:$AM,19,0),""))</f>
        <v>Vencido</v>
      </c>
      <c r="V51" s="61">
        <f ca="1">IF(B51="","",IFERROR(VLOOKUP(B51,'ANÁLISE DE DADOS'!$A:$AM,20,0),""))</f>
        <v>56</v>
      </c>
      <c r="W51" s="61" t="str">
        <f ca="1">IF(B51="","",IFERROR(VLOOKUP(B51,'ANÁLISE DE DADOS'!$A:$AM,21,0),""))</f>
        <v>31-60 dias</v>
      </c>
      <c r="X51" s="61" t="str">
        <f ca="1">IF(B51="","",IFERROR(VLOOKUP(B51,'ANÁLISE DE DADOS'!$A:$AM,22,0),""))</f>
        <v>Atraso Médio</v>
      </c>
      <c r="Y51" s="61" t="str">
        <f>IF(B51="","",IFERROR(VLOOKUP(B51,'ANÁLISE DE DADOS'!$A:$AM,23,0),""))</f>
        <v>-</v>
      </c>
      <c r="Z51" s="61" t="str">
        <f>IF(B51="","",IFERROR(VLOOKUP(B51,'ANÁLISE DE DADOS'!$A:$AM,24,0),""))</f>
        <v>Não</v>
      </c>
      <c r="AA51" s="61">
        <f>IF(B51="","",IFERROR(VLOOKUP(B51,'ANÁLISE DE DADOS'!$A:$AM,25,0),""))</f>
        <v>0</v>
      </c>
      <c r="AB51" s="61">
        <f>IF(B51="","",IFERROR(VLOOKUP(B51,'ANÁLISE DE DADOS'!$A:$AM,26,0),""))</f>
        <v>1</v>
      </c>
      <c r="AC51" s="61" t="str">
        <f>IF(B51="","",IFERROR(VLOOKUP(B51,'ANÁLISE DE DADOS'!$A:$AM,27,0),""))</f>
        <v>Sim</v>
      </c>
      <c r="AD51" s="62">
        <f>IF(B51="","",IFERROR(VLOOKUP(B51,'ANÁLISE DE DADOS'!$A:$AM,28,0),""))</f>
        <v>45740</v>
      </c>
      <c r="AE51" s="61" t="str">
        <f>IF(B51="","",IFERROR(VLOOKUP(B51,'ANÁLISE DE DADOS'!$A:$AM,29,0),""))</f>
        <v>mar-25</v>
      </c>
      <c r="AF51" s="61" t="str">
        <f>IF(B51="","",IFERROR(VLOOKUP(B51,'ANÁLISE DE DADOS'!$A:$AM,30,0),""))</f>
        <v>2025</v>
      </c>
      <c r="AG51" s="62">
        <f>IF(B51="","",IFERROR(VLOOKUP(B51,'ANÁLISE DE DADOS'!$A:$AM,31,0),""))</f>
        <v>45740</v>
      </c>
      <c r="AH51" s="61" t="str">
        <f>IF(B51="","",IFERROR(VLOOKUP(B51,'ANÁLISE DE DADOS'!$A:$AM,32,0),""))</f>
        <v>mar-25</v>
      </c>
      <c r="AI51" s="61" t="str">
        <f>IF(B51="","",IFERROR(VLOOKUP(B51,'ANÁLISE DE DADOS'!$A:$AM,33,0),""))</f>
        <v>2025</v>
      </c>
      <c r="AJ51" s="61" t="str">
        <f>IF(B51="","",IFERROR(VLOOKUP(B51,'ANÁLISE DE DADOS'!$A:$AM,34,0),""))</f>
        <v>Acompanhando</v>
      </c>
      <c r="AK51" s="63">
        <f ca="1">IF(B51="","",IFERROR(VLOOKUP(B51,'ANÁLISE DE DADOS'!$A:$AM,35,0),""))</f>
        <v>2500</v>
      </c>
      <c r="AL51" s="63" t="str">
        <f ca="1">IF(B51="","",IFERROR(VLOOKUP(B51,'ANÁLISE DE DADOS'!$A:$AM,36,0),""))</f>
        <v>0</v>
      </c>
      <c r="AM51" s="101" t="str">
        <f ca="1">IF(B51="","",IFERROR(VLOOKUP(B51,'ANÁLISE DE DADOS'!$A:$AM,37,0),""))</f>
        <v>Cobrança Ativa</v>
      </c>
    </row>
    <row r="52" spans="2:39" x14ac:dyDescent="0.3">
      <c r="B52" s="30">
        <v>48</v>
      </c>
      <c r="C52" s="61">
        <f>IF(B52="","",IFERROR(VLOOKUP(B52,'ANÁLISE DE DADOS'!$A:$AM,1,0),""))</f>
        <v>48</v>
      </c>
      <c r="D52" s="61" t="str">
        <f>IF(B52="","",IFERROR(VLOOKUP(B52,'ANÁLISE DE DADOS'!$A:$AM,2,0),""))</f>
        <v>Filial</v>
      </c>
      <c r="E52" s="61">
        <f>IF(B52="","",IFERROR(VLOOKUP(B52,'ANÁLISE DE DADOS'!$A:$AM,3,0),""))</f>
        <v>0</v>
      </c>
      <c r="F52" s="61" t="str">
        <f>IF(B52="","",IFERROR(VLOOKUP(B52,'ANÁLISE DE DADOS'!$A:$AM,4,0),""))</f>
        <v>GlobalTech</v>
      </c>
      <c r="G52" s="62">
        <f>IF(B52="","",IFERROR(VLOOKUP(B52,'ANÁLISE DE DADOS'!$A:$AM,5,0),""))</f>
        <v>45731</v>
      </c>
      <c r="H52" s="62" t="str">
        <f>IF(B52="","",IFERROR(VLOOKUP(B52,'ANÁLISE DE DADOS'!$A:$AM,6,0),""))</f>
        <v>mar-25</v>
      </c>
      <c r="I52" s="62" t="str">
        <f>IF(B52="","",IFERROR(VLOOKUP(B52,'ANÁLISE DE DADOS'!$A:$AM,7,0),""))</f>
        <v>2025</v>
      </c>
      <c r="J52" s="62">
        <f>IF(B52="","",IFERROR(VLOOKUP(B52,'ANÁLISE DE DADOS'!$A:$AM,8,0),""))</f>
        <v>45740</v>
      </c>
      <c r="K52" s="61" t="str">
        <f>IF(B52="","",IFERROR(VLOOKUP(B52,'ANÁLISE DE DADOS'!$A:$AM,9,0),""))</f>
        <v>mar-25</v>
      </c>
      <c r="L52" s="61" t="str">
        <f>IF(B52="","",IFERROR(VLOOKUP(B52,'ANÁLISE DE DADOS'!$A:$AM,10,0),""))</f>
        <v>2025</v>
      </c>
      <c r="M52" s="62">
        <f>IF(B52="","",IFERROR(VLOOKUP(B52,'ANÁLISE DE DADOS'!$A:$AM,11,0),""))</f>
        <v>45740</v>
      </c>
      <c r="N52" s="61" t="str">
        <f>IF(B52="","",IFERROR(VLOOKUP(B52,'ANÁLISE DE DADOS'!$A:$AM,12,0),""))</f>
        <v>mar-25</v>
      </c>
      <c r="O52" s="61" t="str">
        <f>IF(B52="","",IFERROR(VLOOKUP(B52,'ANÁLISE DE DADOS'!$A:$AM,13,0),""))</f>
        <v>2025</v>
      </c>
      <c r="P52" s="63">
        <f>IF(B52="","",IFERROR(VLOOKUP(B52,'ANÁLISE DE DADOS'!$A:$AM,14,0),""))</f>
        <v>2300</v>
      </c>
      <c r="Q52" s="61" t="str">
        <f>IF(B52="","",IFERROR(VLOOKUP(B52,'ANÁLISE DE DADOS'!$A:$AM,15,0),""))</f>
        <v>Roberto</v>
      </c>
      <c r="R52" s="61" t="str">
        <f>IF(B52="","",IFERROR(VLOOKUP(B52,'ANÁLISE DE DADOS'!$A:$AM,16,0),""))</f>
        <v>ANALISTA GUSTAVO</v>
      </c>
      <c r="S52" s="61" t="str">
        <f>IF(B52="","",IFERROR(VLOOKUP(B52,'ANÁLISE DE DADOS'!$A:$AM,17,0),""))</f>
        <v>NÃO</v>
      </c>
      <c r="T52" s="61" t="str">
        <f>IF(B52="","",IFERROR(VLOOKUP(B52,'ANÁLISE DE DADOS'!$A:$AM,18,0),""))</f>
        <v>Acordo em andamento (aguardando pagamento)</v>
      </c>
      <c r="U52" s="61" t="str">
        <f ca="1">IF(B52="","",IFERROR(VLOOKUP(B52,'ANÁLISE DE DADOS'!$A:$AM,19,0),""))</f>
        <v>Vencido</v>
      </c>
      <c r="V52" s="61">
        <f ca="1">IF(B52="","",IFERROR(VLOOKUP(B52,'ANÁLISE DE DADOS'!$A:$AM,20,0),""))</f>
        <v>55</v>
      </c>
      <c r="W52" s="61" t="str">
        <f ca="1">IF(B52="","",IFERROR(VLOOKUP(B52,'ANÁLISE DE DADOS'!$A:$AM,21,0),""))</f>
        <v>31-60 dias</v>
      </c>
      <c r="X52" s="61" t="str">
        <f ca="1">IF(B52="","",IFERROR(VLOOKUP(B52,'ANÁLISE DE DADOS'!$A:$AM,22,0),""))</f>
        <v>Atraso Médio</v>
      </c>
      <c r="Y52" s="61" t="str">
        <f>IF(B52="","",IFERROR(VLOOKUP(B52,'ANÁLISE DE DADOS'!$A:$AM,23,0),""))</f>
        <v>-</v>
      </c>
      <c r="Z52" s="61" t="str">
        <f>IF(B52="","",IFERROR(VLOOKUP(B52,'ANÁLISE DE DADOS'!$A:$AM,24,0),""))</f>
        <v>Não</v>
      </c>
      <c r="AA52" s="61">
        <f>IF(B52="","",IFERROR(VLOOKUP(B52,'ANÁLISE DE DADOS'!$A:$AM,25,0),""))</f>
        <v>0</v>
      </c>
      <c r="AB52" s="61">
        <f>IF(B52="","",IFERROR(VLOOKUP(B52,'ANÁLISE DE DADOS'!$A:$AM,26,0),""))</f>
        <v>0</v>
      </c>
      <c r="AC52" s="61" t="str">
        <f>IF(B52="","",IFERROR(VLOOKUP(B52,'ANÁLISE DE DADOS'!$A:$AM,27,0),""))</f>
        <v>Não</v>
      </c>
      <c r="AD52" s="62">
        <f>IF(B52="","",IFERROR(VLOOKUP(B52,'ANÁLISE DE DADOS'!$A:$AM,28,0),""))</f>
        <v>45741</v>
      </c>
      <c r="AE52" s="61" t="str">
        <f>IF(B52="","",IFERROR(VLOOKUP(B52,'ANÁLISE DE DADOS'!$A:$AM,29,0),""))</f>
        <v>mar-25</v>
      </c>
      <c r="AF52" s="61" t="str">
        <f>IF(B52="","",IFERROR(VLOOKUP(B52,'ANÁLISE DE DADOS'!$A:$AM,30,0),""))</f>
        <v>2025</v>
      </c>
      <c r="AG52" s="62">
        <f>IF(B52="","",IFERROR(VLOOKUP(B52,'ANÁLISE DE DADOS'!$A:$AM,31,0),""))</f>
        <v>45741</v>
      </c>
      <c r="AH52" s="61" t="str">
        <f>IF(B52="","",IFERROR(VLOOKUP(B52,'ANÁLISE DE DADOS'!$A:$AM,32,0),""))</f>
        <v>mar-25</v>
      </c>
      <c r="AI52" s="61" t="str">
        <f>IF(B52="","",IFERROR(VLOOKUP(B52,'ANÁLISE DE DADOS'!$A:$AM,33,0),""))</f>
        <v>2025</v>
      </c>
      <c r="AJ52" s="61" t="str">
        <f>IF(B52="","",IFERROR(VLOOKUP(B52,'ANÁLISE DE DADOS'!$A:$AM,34,0),""))</f>
        <v>Acompanhando</v>
      </c>
      <c r="AK52" s="63">
        <f ca="1">IF(B52="","",IFERROR(VLOOKUP(B52,'ANÁLISE DE DADOS'!$A:$AM,35,0),""))</f>
        <v>2300</v>
      </c>
      <c r="AL52" s="63" t="str">
        <f ca="1">IF(B52="","",IFERROR(VLOOKUP(B52,'ANÁLISE DE DADOS'!$A:$AM,36,0),""))</f>
        <v>0</v>
      </c>
      <c r="AM52" s="101" t="str">
        <f ca="1">IF(B52="","",IFERROR(VLOOKUP(B52,'ANÁLISE DE DADOS'!$A:$AM,37,0),""))</f>
        <v>Cobrança Ativa</v>
      </c>
    </row>
    <row r="53" spans="2:39" x14ac:dyDescent="0.3">
      <c r="B53" s="30">
        <v>49</v>
      </c>
      <c r="C53" s="61">
        <f>IF(B53="","",IFERROR(VLOOKUP(B53,'ANÁLISE DE DADOS'!$A:$AM,1,0),""))</f>
        <v>49</v>
      </c>
      <c r="D53" s="61" t="str">
        <f>IF(B53="","",IFERROR(VLOOKUP(B53,'ANÁLISE DE DADOS'!$A:$AM,2,0),""))</f>
        <v>Matriz</v>
      </c>
      <c r="E53" s="61">
        <f>IF(B53="","",IFERROR(VLOOKUP(B53,'ANÁLISE DE DADOS'!$A:$AM,3,0),""))</f>
        <v>0</v>
      </c>
      <c r="F53" s="61" t="str">
        <f>IF(B53="","",IFERROR(VLOOKUP(B53,'ANÁLISE DE DADOS'!$A:$AM,4,0),""))</f>
        <v>GlobalTech</v>
      </c>
      <c r="G53" s="62">
        <f>IF(B53="","",IFERROR(VLOOKUP(B53,'ANÁLISE DE DADOS'!$A:$AM,5,0),""))</f>
        <v>45734</v>
      </c>
      <c r="H53" s="62" t="str">
        <f>IF(B53="","",IFERROR(VLOOKUP(B53,'ANÁLISE DE DADOS'!$A:$AM,6,0),""))</f>
        <v>mar-25</v>
      </c>
      <c r="I53" s="62" t="str">
        <f>IF(B53="","",IFERROR(VLOOKUP(B53,'ANÁLISE DE DADOS'!$A:$AM,7,0),""))</f>
        <v>2025</v>
      </c>
      <c r="J53" s="62">
        <f>IF(B53="","",IFERROR(VLOOKUP(B53,'ANÁLISE DE DADOS'!$A:$AM,8,0),""))</f>
        <v>45741</v>
      </c>
      <c r="K53" s="61" t="str">
        <f>IF(B53="","",IFERROR(VLOOKUP(B53,'ANÁLISE DE DADOS'!$A:$AM,9,0),""))</f>
        <v>mar-25</v>
      </c>
      <c r="L53" s="61" t="str">
        <f>IF(B53="","",IFERROR(VLOOKUP(B53,'ANÁLISE DE DADOS'!$A:$AM,10,0),""))</f>
        <v>2025</v>
      </c>
      <c r="M53" s="62">
        <f>IF(B53="","",IFERROR(VLOOKUP(B53,'ANÁLISE DE DADOS'!$A:$AM,11,0),""))</f>
        <v>45741</v>
      </c>
      <c r="N53" s="61" t="str">
        <f>IF(B53="","",IFERROR(VLOOKUP(B53,'ANÁLISE DE DADOS'!$A:$AM,12,0),""))</f>
        <v>mar-25</v>
      </c>
      <c r="O53" s="61" t="str">
        <f>IF(B53="","",IFERROR(VLOOKUP(B53,'ANÁLISE DE DADOS'!$A:$AM,13,0),""))</f>
        <v>2025</v>
      </c>
      <c r="P53" s="63">
        <f>IF(B53="","",IFERROR(VLOOKUP(B53,'ANÁLISE DE DADOS'!$A:$AM,14,0),""))</f>
        <v>2200</v>
      </c>
      <c r="Q53" s="61" t="str">
        <f>IF(B53="","",IFERROR(VLOOKUP(B53,'ANÁLISE DE DADOS'!$A:$AM,15,0),""))</f>
        <v>Roberto</v>
      </c>
      <c r="R53" s="61" t="str">
        <f>IF(B53="","",IFERROR(VLOOKUP(B53,'ANÁLISE DE DADOS'!$A:$AM,16,0),""))</f>
        <v>ANALISTA GUSTAVO</v>
      </c>
      <c r="S53" s="61" t="str">
        <f>IF(B53="","",IFERROR(VLOOKUP(B53,'ANÁLISE DE DADOS'!$A:$AM,17,0),""))</f>
        <v>NÃO</v>
      </c>
      <c r="T53" s="61" t="str">
        <f>IF(B53="","",IFERROR(VLOOKUP(B53,'ANÁLISE DE DADOS'!$A:$AM,18,0),""))</f>
        <v>Acordo em andamento (aguardando pagamento)</v>
      </c>
      <c r="U53" s="61" t="str">
        <f ca="1">IF(B53="","",IFERROR(VLOOKUP(B53,'ANÁLISE DE DADOS'!$A:$AM,19,0),""))</f>
        <v>Vencido</v>
      </c>
      <c r="V53" s="61">
        <f ca="1">IF(B53="","",IFERROR(VLOOKUP(B53,'ANÁLISE DE DADOS'!$A:$AM,20,0),""))</f>
        <v>54</v>
      </c>
      <c r="W53" s="61" t="str">
        <f ca="1">IF(B53="","",IFERROR(VLOOKUP(B53,'ANÁLISE DE DADOS'!$A:$AM,21,0),""))</f>
        <v>31-60 dias</v>
      </c>
      <c r="X53" s="61" t="str">
        <f ca="1">IF(B53="","",IFERROR(VLOOKUP(B53,'ANÁLISE DE DADOS'!$A:$AM,22,0),""))</f>
        <v>Atraso Médio</v>
      </c>
      <c r="Y53" s="61" t="str">
        <f>IF(B53="","",IFERROR(VLOOKUP(B53,'ANÁLISE DE DADOS'!$A:$AM,23,0),""))</f>
        <v>-</v>
      </c>
      <c r="Z53" s="61" t="str">
        <f>IF(B53="","",IFERROR(VLOOKUP(B53,'ANÁLISE DE DADOS'!$A:$AM,24,0),""))</f>
        <v>Não</v>
      </c>
      <c r="AA53" s="61">
        <f>IF(B53="","",IFERROR(VLOOKUP(B53,'ANÁLISE DE DADOS'!$A:$AM,25,0),""))</f>
        <v>0</v>
      </c>
      <c r="AB53" s="61">
        <f>IF(B53="","",IFERROR(VLOOKUP(B53,'ANÁLISE DE DADOS'!$A:$AM,26,0),""))</f>
        <v>0</v>
      </c>
      <c r="AC53" s="61" t="str">
        <f>IF(B53="","",IFERROR(VLOOKUP(B53,'ANÁLISE DE DADOS'!$A:$AM,27,0),""))</f>
        <v>Não</v>
      </c>
      <c r="AD53" s="62">
        <f>IF(B53="","",IFERROR(VLOOKUP(B53,'ANÁLISE DE DADOS'!$A:$AM,28,0),""))</f>
        <v>45743</v>
      </c>
      <c r="AE53" s="61" t="str">
        <f>IF(B53="","",IFERROR(VLOOKUP(B53,'ANÁLISE DE DADOS'!$A:$AM,29,0),""))</f>
        <v>mar-25</v>
      </c>
      <c r="AF53" s="61" t="str">
        <f>IF(B53="","",IFERROR(VLOOKUP(B53,'ANÁLISE DE DADOS'!$A:$AM,30,0),""))</f>
        <v>2025</v>
      </c>
      <c r="AG53" s="62">
        <f>IF(B53="","",IFERROR(VLOOKUP(B53,'ANÁLISE DE DADOS'!$A:$AM,31,0),""))</f>
        <v>45743</v>
      </c>
      <c r="AH53" s="61" t="str">
        <f>IF(B53="","",IFERROR(VLOOKUP(B53,'ANÁLISE DE DADOS'!$A:$AM,32,0),""))</f>
        <v>mar-25</v>
      </c>
      <c r="AI53" s="61" t="str">
        <f>IF(B53="","",IFERROR(VLOOKUP(B53,'ANÁLISE DE DADOS'!$A:$AM,33,0),""))</f>
        <v>2025</v>
      </c>
      <c r="AJ53" s="61" t="str">
        <f>IF(B53="","",IFERROR(VLOOKUP(B53,'ANÁLISE DE DADOS'!$A:$AM,34,0),""))</f>
        <v>Acompanhando</v>
      </c>
      <c r="AK53" s="63">
        <f ca="1">IF(B53="","",IFERROR(VLOOKUP(B53,'ANÁLISE DE DADOS'!$A:$AM,35,0),""))</f>
        <v>2200</v>
      </c>
      <c r="AL53" s="63" t="str">
        <f ca="1">IF(B53="","",IFERROR(VLOOKUP(B53,'ANÁLISE DE DADOS'!$A:$AM,36,0),""))</f>
        <v>0</v>
      </c>
      <c r="AM53" s="101" t="str">
        <f ca="1">IF(B53="","",IFERROR(VLOOKUP(B53,'ANÁLISE DE DADOS'!$A:$AM,37,0),""))</f>
        <v>Cobrança Ativa</v>
      </c>
    </row>
    <row r="54" spans="2:39" x14ac:dyDescent="0.3">
      <c r="B54" s="30">
        <v>50</v>
      </c>
      <c r="C54" s="61">
        <f>IF(B54="","",IFERROR(VLOOKUP(B54,'ANÁLISE DE DADOS'!$A:$AM,1,0),""))</f>
        <v>50</v>
      </c>
      <c r="D54" s="61" t="str">
        <f>IF(B54="","",IFERROR(VLOOKUP(B54,'ANÁLISE DE DADOS'!$A:$AM,2,0),""))</f>
        <v>Filial</v>
      </c>
      <c r="E54" s="61">
        <f>IF(B54="","",IFERROR(VLOOKUP(B54,'ANÁLISE DE DADOS'!$A:$AM,3,0),""))</f>
        <v>0</v>
      </c>
      <c r="F54" s="61" t="str">
        <f>IF(B54="","",IFERROR(VLOOKUP(B54,'ANÁLISE DE DADOS'!$A:$AM,4,0),""))</f>
        <v>GlobalTech</v>
      </c>
      <c r="G54" s="62">
        <f>IF(B54="","",IFERROR(VLOOKUP(B54,'ANÁLISE DE DADOS'!$A:$AM,5,0),""))</f>
        <v>45738</v>
      </c>
      <c r="H54" s="62" t="str">
        <f>IF(B54="","",IFERROR(VLOOKUP(B54,'ANÁLISE DE DADOS'!$A:$AM,6,0),""))</f>
        <v>mar-25</v>
      </c>
      <c r="I54" s="62" t="str">
        <f>IF(B54="","",IFERROR(VLOOKUP(B54,'ANÁLISE DE DADOS'!$A:$AM,7,0),""))</f>
        <v>2025</v>
      </c>
      <c r="J54" s="62">
        <f>IF(B54="","",IFERROR(VLOOKUP(B54,'ANÁLISE DE DADOS'!$A:$AM,8,0),""))</f>
        <v>45742</v>
      </c>
      <c r="K54" s="61" t="str">
        <f>IF(B54="","",IFERROR(VLOOKUP(B54,'ANÁLISE DE DADOS'!$A:$AM,9,0),""))</f>
        <v>mar-25</v>
      </c>
      <c r="L54" s="61" t="str">
        <f>IF(B54="","",IFERROR(VLOOKUP(B54,'ANÁLISE DE DADOS'!$A:$AM,10,0),""))</f>
        <v>2025</v>
      </c>
      <c r="M54" s="62">
        <f>IF(B54="","",IFERROR(VLOOKUP(B54,'ANÁLISE DE DADOS'!$A:$AM,11,0),""))</f>
        <v>45742</v>
      </c>
      <c r="N54" s="61" t="str">
        <f>IF(B54="","",IFERROR(VLOOKUP(B54,'ANÁLISE DE DADOS'!$A:$AM,12,0),""))</f>
        <v>mar-25</v>
      </c>
      <c r="O54" s="61" t="str">
        <f>IF(B54="","",IFERROR(VLOOKUP(B54,'ANÁLISE DE DADOS'!$A:$AM,13,0),""))</f>
        <v>2025</v>
      </c>
      <c r="P54" s="63">
        <f>IF(B54="","",IFERROR(VLOOKUP(B54,'ANÁLISE DE DADOS'!$A:$AM,14,0),""))</f>
        <v>1800</v>
      </c>
      <c r="Q54" s="61" t="str">
        <f>IF(B54="","",IFERROR(VLOOKUP(B54,'ANÁLISE DE DADOS'!$A:$AM,15,0),""))</f>
        <v>Gustavo</v>
      </c>
      <c r="R54" s="61" t="str">
        <f>IF(B54="","",IFERROR(VLOOKUP(B54,'ANÁLISE DE DADOS'!$A:$AM,16,0),""))</f>
        <v>ANALISTA GUSTAVO</v>
      </c>
      <c r="S54" s="61" t="str">
        <f>IF(B54="","",IFERROR(VLOOKUP(B54,'ANÁLISE DE DADOS'!$A:$AM,17,0),""))</f>
        <v>NÃO</v>
      </c>
      <c r="T54" s="61" t="str">
        <f>IF(B54="","",IFERROR(VLOOKUP(B54,'ANÁLISE DE DADOS'!$A:$AM,18,0),""))</f>
        <v>Acordo em andamento (aguardando pagamento)</v>
      </c>
      <c r="U54" s="61" t="str">
        <f ca="1">IF(B54="","",IFERROR(VLOOKUP(B54,'ANÁLISE DE DADOS'!$A:$AM,19,0),""))</f>
        <v>Vencido</v>
      </c>
      <c r="V54" s="61">
        <f ca="1">IF(B54="","",IFERROR(VLOOKUP(B54,'ANÁLISE DE DADOS'!$A:$AM,20,0),""))</f>
        <v>53</v>
      </c>
      <c r="W54" s="61" t="str">
        <f ca="1">IF(B54="","",IFERROR(VLOOKUP(B54,'ANÁLISE DE DADOS'!$A:$AM,21,0),""))</f>
        <v>31-60 dias</v>
      </c>
      <c r="X54" s="61" t="str">
        <f ca="1">IF(B54="","",IFERROR(VLOOKUP(B54,'ANÁLISE DE DADOS'!$A:$AM,22,0),""))</f>
        <v>Atraso Médio</v>
      </c>
      <c r="Y54" s="61" t="str">
        <f>IF(B54="","",IFERROR(VLOOKUP(B54,'ANÁLISE DE DADOS'!$A:$AM,23,0),""))</f>
        <v>-</v>
      </c>
      <c r="Z54" s="61" t="str">
        <f>IF(B54="","",IFERROR(VLOOKUP(B54,'ANÁLISE DE DADOS'!$A:$AM,24,0),""))</f>
        <v>Não</v>
      </c>
      <c r="AA54" s="61">
        <f>IF(B54="","",IFERROR(VLOOKUP(B54,'ANÁLISE DE DADOS'!$A:$AM,25,0),""))</f>
        <v>0</v>
      </c>
      <c r="AB54" s="61">
        <f>IF(B54="","",IFERROR(VLOOKUP(B54,'ANÁLISE DE DADOS'!$A:$AM,26,0),""))</f>
        <v>0</v>
      </c>
      <c r="AC54" s="61" t="str">
        <f>IF(B54="","",IFERROR(VLOOKUP(B54,'ANÁLISE DE DADOS'!$A:$AM,27,0),""))</f>
        <v>Não</v>
      </c>
      <c r="AD54" s="62">
        <f>IF(B54="","",IFERROR(VLOOKUP(B54,'ANÁLISE DE DADOS'!$A:$AM,28,0),""))</f>
        <v>45744</v>
      </c>
      <c r="AE54" s="61" t="str">
        <f>IF(B54="","",IFERROR(VLOOKUP(B54,'ANÁLISE DE DADOS'!$A:$AM,29,0),""))</f>
        <v>mar-25</v>
      </c>
      <c r="AF54" s="61" t="str">
        <f>IF(B54="","",IFERROR(VLOOKUP(B54,'ANÁLISE DE DADOS'!$A:$AM,30,0),""))</f>
        <v>2025</v>
      </c>
      <c r="AG54" s="62">
        <f>IF(B54="","",IFERROR(VLOOKUP(B54,'ANÁLISE DE DADOS'!$A:$AM,31,0),""))</f>
        <v>45744</v>
      </c>
      <c r="AH54" s="61" t="str">
        <f>IF(B54="","",IFERROR(VLOOKUP(B54,'ANÁLISE DE DADOS'!$A:$AM,32,0),""))</f>
        <v>mar-25</v>
      </c>
      <c r="AI54" s="61" t="str">
        <f>IF(B54="","",IFERROR(VLOOKUP(B54,'ANÁLISE DE DADOS'!$A:$AM,33,0),""))</f>
        <v>2025</v>
      </c>
      <c r="AJ54" s="61" t="str">
        <f>IF(B54="","",IFERROR(VLOOKUP(B54,'ANÁLISE DE DADOS'!$A:$AM,34,0),""))</f>
        <v>Acompanhando</v>
      </c>
      <c r="AK54" s="63">
        <f ca="1">IF(B54="","",IFERROR(VLOOKUP(B54,'ANÁLISE DE DADOS'!$A:$AM,35,0),""))</f>
        <v>1800</v>
      </c>
      <c r="AL54" s="63" t="str">
        <f ca="1">IF(B54="","",IFERROR(VLOOKUP(B54,'ANÁLISE DE DADOS'!$A:$AM,36,0),""))</f>
        <v>0</v>
      </c>
      <c r="AM54" s="101" t="str">
        <f ca="1">IF(B54="","",IFERROR(VLOOKUP(B54,'ANÁLISE DE DADOS'!$A:$AM,37,0),""))</f>
        <v>Cobrança Ativa</v>
      </c>
    </row>
    <row r="55" spans="2:39" x14ac:dyDescent="0.3">
      <c r="B55" s="30">
        <v>51</v>
      </c>
      <c r="C55" s="61">
        <f>IF(B55="","",IFERROR(VLOOKUP(B55,'ANÁLISE DE DADOS'!$A:$AM,1,0),""))</f>
        <v>51</v>
      </c>
      <c r="D55" s="61" t="str">
        <f>IF(B55="","",IFERROR(VLOOKUP(B55,'ANÁLISE DE DADOS'!$A:$AM,2,0),""))</f>
        <v>Matriz</v>
      </c>
      <c r="E55" s="61">
        <f>IF(B55="","",IFERROR(VLOOKUP(B55,'ANÁLISE DE DADOS'!$A:$AM,3,0),""))</f>
        <v>0</v>
      </c>
      <c r="F55" s="61" t="str">
        <f>IF(B55="","",IFERROR(VLOOKUP(B55,'ANÁLISE DE DADOS'!$A:$AM,4,0),""))</f>
        <v>GlobalTech</v>
      </c>
      <c r="G55" s="62">
        <f>IF(B55="","",IFERROR(VLOOKUP(B55,'ANÁLISE DE DADOS'!$A:$AM,5,0),""))</f>
        <v>45709</v>
      </c>
      <c r="H55" s="62" t="str">
        <f>IF(B55="","",IFERROR(VLOOKUP(B55,'ANÁLISE DE DADOS'!$A:$AM,6,0),""))</f>
        <v>fev-25</v>
      </c>
      <c r="I55" s="62" t="str">
        <f>IF(B55="","",IFERROR(VLOOKUP(B55,'ANÁLISE DE DADOS'!$A:$AM,7,0),""))</f>
        <v>2025</v>
      </c>
      <c r="J55" s="62">
        <f>IF(B55="","",IFERROR(VLOOKUP(B55,'ANÁLISE DE DADOS'!$A:$AM,8,0),""))</f>
        <v>45737</v>
      </c>
      <c r="K55" s="61" t="str">
        <f>IF(B55="","",IFERROR(VLOOKUP(B55,'ANÁLISE DE DADOS'!$A:$AM,9,0),""))</f>
        <v>mar-25</v>
      </c>
      <c r="L55" s="61" t="str">
        <f>IF(B55="","",IFERROR(VLOOKUP(B55,'ANÁLISE DE DADOS'!$A:$AM,10,0),""))</f>
        <v>2025</v>
      </c>
      <c r="M55" s="62">
        <f>IF(B55="","",IFERROR(VLOOKUP(B55,'ANÁLISE DE DADOS'!$A:$AM,11,0),""))</f>
        <v>45737</v>
      </c>
      <c r="N55" s="61" t="str">
        <f>IF(B55="","",IFERROR(VLOOKUP(B55,'ANÁLISE DE DADOS'!$A:$AM,12,0),""))</f>
        <v>mar-25</v>
      </c>
      <c r="O55" s="61" t="str">
        <f>IF(B55="","",IFERROR(VLOOKUP(B55,'ANÁLISE DE DADOS'!$A:$AM,13,0),""))</f>
        <v>2025</v>
      </c>
      <c r="P55" s="63">
        <f>IF(B55="","",IFERROR(VLOOKUP(B55,'ANÁLISE DE DADOS'!$A:$AM,14,0),""))</f>
        <v>1500</v>
      </c>
      <c r="Q55" s="61" t="str">
        <f>IF(B55="","",IFERROR(VLOOKUP(B55,'ANÁLISE DE DADOS'!$A:$AM,15,0),""))</f>
        <v>Fernanda</v>
      </c>
      <c r="R55" s="61" t="str">
        <f>IF(B55="","",IFERROR(VLOOKUP(B55,'ANÁLISE DE DADOS'!$A:$AM,16,0),""))</f>
        <v>ANALISTA LUCAS</v>
      </c>
      <c r="S55" s="61" t="str">
        <f>IF(B55="","",IFERROR(VLOOKUP(B55,'ANÁLISE DE DADOS'!$A:$AM,17,0),""))</f>
        <v>NÃO</v>
      </c>
      <c r="T55" s="61" t="str">
        <f>IF(B55="","",IFERROR(VLOOKUP(B55,'ANÁLISE DE DADOS'!$A:$AM,18,0),""))</f>
        <v>Sem Retorno</v>
      </c>
      <c r="U55" s="61" t="str">
        <f ca="1">IF(B55="","",IFERROR(VLOOKUP(B55,'ANÁLISE DE DADOS'!$A:$AM,19,0),""))</f>
        <v>Vencido</v>
      </c>
      <c r="V55" s="61">
        <f ca="1">IF(B55="","",IFERROR(VLOOKUP(B55,'ANÁLISE DE DADOS'!$A:$AM,20,0),""))</f>
        <v>58</v>
      </c>
      <c r="W55" s="61" t="str">
        <f ca="1">IF(B55="","",IFERROR(VLOOKUP(B55,'ANÁLISE DE DADOS'!$A:$AM,21,0),""))</f>
        <v>31-60 dias</v>
      </c>
      <c r="X55" s="61" t="str">
        <f ca="1">IF(B55="","",IFERROR(VLOOKUP(B55,'ANÁLISE DE DADOS'!$A:$AM,22,0),""))</f>
        <v>Atraso Médio</v>
      </c>
      <c r="Y55" s="61" t="str">
        <f>IF(B55="","",IFERROR(VLOOKUP(B55,'ANÁLISE DE DADOS'!$A:$AM,23,0),""))</f>
        <v>-</v>
      </c>
      <c r="Z55" s="61" t="str">
        <f>IF(B55="","",IFERROR(VLOOKUP(B55,'ANÁLISE DE DADOS'!$A:$AM,24,0),""))</f>
        <v>Sim</v>
      </c>
      <c r="AA55" s="61">
        <f>IF(B55="","",IFERROR(VLOOKUP(B55,'ANÁLISE DE DADOS'!$A:$AM,25,0),""))</f>
        <v>0</v>
      </c>
      <c r="AB55" s="61">
        <f>IF(B55="","",IFERROR(VLOOKUP(B55,'ANÁLISE DE DADOS'!$A:$AM,26,0),""))</f>
        <v>1</v>
      </c>
      <c r="AC55" s="61" t="str">
        <f>IF(B55="","",IFERROR(VLOOKUP(B55,'ANÁLISE DE DADOS'!$A:$AM,27,0),""))</f>
        <v>Sim</v>
      </c>
      <c r="AD55" s="62">
        <f>IF(B55="","",IFERROR(VLOOKUP(B55,'ANÁLISE DE DADOS'!$A:$AM,28,0),""))</f>
        <v>45740</v>
      </c>
      <c r="AE55" s="61" t="str">
        <f>IF(B55="","",IFERROR(VLOOKUP(B55,'ANÁLISE DE DADOS'!$A:$AM,29,0),""))</f>
        <v>mar-25</v>
      </c>
      <c r="AF55" s="61" t="str">
        <f>IF(B55="","",IFERROR(VLOOKUP(B55,'ANÁLISE DE DADOS'!$A:$AM,30,0),""))</f>
        <v>2025</v>
      </c>
      <c r="AG55" s="62">
        <f>IF(B55="","",IFERROR(VLOOKUP(B55,'ANÁLISE DE DADOS'!$A:$AM,31,0),""))</f>
        <v>45772</v>
      </c>
      <c r="AH55" s="61" t="str">
        <f>IF(B55="","",IFERROR(VLOOKUP(B55,'ANÁLISE DE DADOS'!$A:$AM,32,0),""))</f>
        <v>abr-25</v>
      </c>
      <c r="AI55" s="61" t="str">
        <f>IF(B55="","",IFERROR(VLOOKUP(B55,'ANÁLISE DE DADOS'!$A:$AM,33,0),""))</f>
        <v>2025</v>
      </c>
      <c r="AJ55" s="61" t="str">
        <f>IF(B55="","",IFERROR(VLOOKUP(B55,'ANÁLISE DE DADOS'!$A:$AM,34,0),""))</f>
        <v>Acompanhando</v>
      </c>
      <c r="AK55" s="63">
        <f ca="1">IF(B55="","",IFERROR(VLOOKUP(B55,'ANÁLISE DE DADOS'!$A:$AM,35,0),""))</f>
        <v>1500</v>
      </c>
      <c r="AL55" s="63" t="str">
        <f ca="1">IF(B55="","",IFERROR(VLOOKUP(B55,'ANÁLISE DE DADOS'!$A:$AM,36,0),""))</f>
        <v>0</v>
      </c>
      <c r="AM55" s="101" t="str">
        <f ca="1">IF(B55="","",IFERROR(VLOOKUP(B55,'ANÁLISE DE DADOS'!$A:$AM,37,0),""))</f>
        <v>Cobrança Ativa</v>
      </c>
    </row>
    <row r="56" spans="2:39" x14ac:dyDescent="0.3">
      <c r="B56" s="30">
        <v>52</v>
      </c>
      <c r="C56" s="61">
        <f>IF(B56="","",IFERROR(VLOOKUP(B56,'ANÁLISE DE DADOS'!$A:$AM,1,0),""))</f>
        <v>52</v>
      </c>
      <c r="D56" s="61" t="str">
        <f>IF(B56="","",IFERROR(VLOOKUP(B56,'ANÁLISE DE DADOS'!$A:$AM,2,0),""))</f>
        <v>Filial</v>
      </c>
      <c r="E56" s="61">
        <f>IF(B56="","",IFERROR(VLOOKUP(B56,'ANÁLISE DE DADOS'!$A:$AM,3,0),""))</f>
        <v>0</v>
      </c>
      <c r="F56" s="61" t="str">
        <f>IF(B56="","",IFERROR(VLOOKUP(B56,'ANÁLISE DE DADOS'!$A:$AM,4,0),""))</f>
        <v>BemEstar</v>
      </c>
      <c r="G56" s="62">
        <f>IF(B56="","",IFERROR(VLOOKUP(B56,'ANÁLISE DE DADOS'!$A:$AM,5,0),""))</f>
        <v>45311</v>
      </c>
      <c r="H56" s="62" t="str">
        <f>IF(B56="","",IFERROR(VLOOKUP(B56,'ANÁLISE DE DADOS'!$A:$AM,6,0),""))</f>
        <v>jan-24</v>
      </c>
      <c r="I56" s="62" t="str">
        <f>IF(B56="","",IFERROR(VLOOKUP(B56,'ANÁLISE DE DADOS'!$A:$AM,7,0),""))</f>
        <v>2024</v>
      </c>
      <c r="J56" s="62">
        <f>IF(B56="","",IFERROR(VLOOKUP(B56,'ANÁLISE DE DADOS'!$A:$AM,8,0),""))</f>
        <v>45313</v>
      </c>
      <c r="K56" s="61" t="str">
        <f>IF(B56="","",IFERROR(VLOOKUP(B56,'ANÁLISE DE DADOS'!$A:$AM,9,0),""))</f>
        <v>jan-24</v>
      </c>
      <c r="L56" s="61" t="str">
        <f>IF(B56="","",IFERROR(VLOOKUP(B56,'ANÁLISE DE DADOS'!$A:$AM,10,0),""))</f>
        <v>2024</v>
      </c>
      <c r="M56" s="62">
        <f>IF(B56="","",IFERROR(VLOOKUP(B56,'ANÁLISE DE DADOS'!$A:$AM,11,0),""))</f>
        <v>45314</v>
      </c>
      <c r="N56" s="61" t="str">
        <f>IF(B56="","",IFERROR(VLOOKUP(B56,'ANÁLISE DE DADOS'!$A:$AM,12,0),""))</f>
        <v>jan-24</v>
      </c>
      <c r="O56" s="61" t="str">
        <f>IF(B56="","",IFERROR(VLOOKUP(B56,'ANÁLISE DE DADOS'!$A:$AM,13,0),""))</f>
        <v>2024</v>
      </c>
      <c r="P56" s="63">
        <f>IF(B56="","",IFERROR(VLOOKUP(B56,'ANÁLISE DE DADOS'!$A:$AM,14,0),""))</f>
        <v>1400</v>
      </c>
      <c r="Q56" s="61" t="str">
        <f>IF(B56="","",IFERROR(VLOOKUP(B56,'ANÁLISE DE DADOS'!$A:$AM,15,0),""))</f>
        <v>Felipe</v>
      </c>
      <c r="R56" s="61" t="str">
        <f>IF(B56="","",IFERROR(VLOOKUP(B56,'ANÁLISE DE DADOS'!$A:$AM,16,0),""))</f>
        <v>ANALISTA LUCAS</v>
      </c>
      <c r="S56" s="61" t="str">
        <f>IF(B56="","",IFERROR(VLOOKUP(B56,'ANÁLISE DE DADOS'!$A:$AM,17,0),""))</f>
        <v>NÃO</v>
      </c>
      <c r="T56" s="61" t="str">
        <f>IF(B56="","",IFERROR(VLOOKUP(B56,'ANÁLISE DE DADOS'!$A:$AM,18,0),""))</f>
        <v>Promessa de pagamento não cumprida</v>
      </c>
      <c r="U56" s="61" t="str">
        <f ca="1">IF(B56="","",IFERROR(VLOOKUP(B56,'ANÁLISE DE DADOS'!$A:$AM,19,0),""))</f>
        <v>Vencido</v>
      </c>
      <c r="V56" s="61">
        <f ca="1">IF(B56="","",IFERROR(VLOOKUP(B56,'ANÁLISE DE DADOS'!$A:$AM,20,0),""))</f>
        <v>482</v>
      </c>
      <c r="W56" s="61" t="str">
        <f ca="1">IF(B56="","",IFERROR(VLOOKUP(B56,'ANÁLISE DE DADOS'!$A:$AM,21,0),""))</f>
        <v>61+ dias</v>
      </c>
      <c r="X56" s="61" t="str">
        <f ca="1">IF(B56="","",IFERROR(VLOOKUP(B56,'ANÁLISE DE DADOS'!$A:$AM,22,0),""))</f>
        <v>Atraso Crítico</v>
      </c>
      <c r="Y56" s="61" t="str">
        <f>IF(B56="","",IFERROR(VLOOKUP(B56,'ANÁLISE DE DADOS'!$A:$AM,23,0),""))</f>
        <v>-</v>
      </c>
      <c r="Z56" s="61" t="str">
        <f>IF(B56="","",IFERROR(VLOOKUP(B56,'ANÁLISE DE DADOS'!$A:$AM,24,0),""))</f>
        <v>Sim</v>
      </c>
      <c r="AA56" s="61">
        <f>IF(B56="","",IFERROR(VLOOKUP(B56,'ANÁLISE DE DADOS'!$A:$AM,25,0),""))</f>
        <v>0</v>
      </c>
      <c r="AB56" s="61">
        <f>IF(B56="","",IFERROR(VLOOKUP(B56,'ANÁLISE DE DADOS'!$A:$AM,26,0),""))</f>
        <v>1</v>
      </c>
      <c r="AC56" s="61" t="str">
        <f>IF(B56="","",IFERROR(VLOOKUP(B56,'ANÁLISE DE DADOS'!$A:$AM,27,0),""))</f>
        <v>Sim</v>
      </c>
      <c r="AD56" s="62">
        <f>IF(B56="","",IFERROR(VLOOKUP(B56,'ANÁLISE DE DADOS'!$A:$AM,28,0),""))</f>
        <v>45740</v>
      </c>
      <c r="AE56" s="61" t="str">
        <f>IF(B56="","",IFERROR(VLOOKUP(B56,'ANÁLISE DE DADOS'!$A:$AM,29,0),""))</f>
        <v>mar-25</v>
      </c>
      <c r="AF56" s="61" t="str">
        <f>IF(B56="","",IFERROR(VLOOKUP(B56,'ANÁLISE DE DADOS'!$A:$AM,30,0),""))</f>
        <v>2025</v>
      </c>
      <c r="AG56" s="62">
        <f>IF(B56="","",IFERROR(VLOOKUP(B56,'ANÁLISE DE DADOS'!$A:$AM,31,0),""))</f>
        <v>45772</v>
      </c>
      <c r="AH56" s="61" t="str">
        <f>IF(B56="","",IFERROR(VLOOKUP(B56,'ANÁLISE DE DADOS'!$A:$AM,32,0),""))</f>
        <v>abr-25</v>
      </c>
      <c r="AI56" s="61" t="str">
        <f>IF(B56="","",IFERROR(VLOOKUP(B56,'ANÁLISE DE DADOS'!$A:$AM,33,0),""))</f>
        <v>2025</v>
      </c>
      <c r="AJ56" s="61" t="str">
        <f>IF(B56="","",IFERROR(VLOOKUP(B56,'ANÁLISE DE DADOS'!$A:$AM,34,0),""))</f>
        <v>Acompanhando</v>
      </c>
      <c r="AK56" s="63">
        <f ca="1">IF(B56="","",IFERROR(VLOOKUP(B56,'ANÁLISE DE DADOS'!$A:$AM,35,0),""))</f>
        <v>1400</v>
      </c>
      <c r="AL56" s="63" t="str">
        <f ca="1">IF(B56="","",IFERROR(VLOOKUP(B56,'ANÁLISE DE DADOS'!$A:$AM,36,0),""))</f>
        <v>0</v>
      </c>
      <c r="AM56" s="101" t="str">
        <f ca="1">IF(B56="","",IFERROR(VLOOKUP(B56,'ANÁLISE DE DADOS'!$A:$AM,37,0),""))</f>
        <v>Cobrança Judicial</v>
      </c>
    </row>
    <row r="57" spans="2:39" x14ac:dyDescent="0.3">
      <c r="B57" s="30">
        <v>53</v>
      </c>
      <c r="C57" s="61">
        <f>IF(B57="","",IFERROR(VLOOKUP(B57,'ANÁLISE DE DADOS'!$A:$AM,1,0),""))</f>
        <v>53</v>
      </c>
      <c r="D57" s="61" t="str">
        <f>IF(B57="","",IFERROR(VLOOKUP(B57,'ANÁLISE DE DADOS'!$A:$AM,2,0),""))</f>
        <v>Matriz</v>
      </c>
      <c r="E57" s="61">
        <f>IF(B57="","",IFERROR(VLOOKUP(B57,'ANÁLISE DE DADOS'!$A:$AM,3,0),""))</f>
        <v>0</v>
      </c>
      <c r="F57" s="61" t="str">
        <f>IF(B57="","",IFERROR(VLOOKUP(B57,'ANÁLISE DE DADOS'!$A:$AM,4,0),""))</f>
        <v>InvestPro</v>
      </c>
      <c r="G57" s="62">
        <f>IF(B57="","",IFERROR(VLOOKUP(B57,'ANÁLISE DE DADOS'!$A:$AM,5,0),""))</f>
        <v>45709</v>
      </c>
      <c r="H57" s="62" t="str">
        <f>IF(B57="","",IFERROR(VLOOKUP(B57,'ANÁLISE DE DADOS'!$A:$AM,6,0),""))</f>
        <v>fev-25</v>
      </c>
      <c r="I57" s="62" t="str">
        <f>IF(B57="","",IFERROR(VLOOKUP(B57,'ANÁLISE DE DADOS'!$A:$AM,7,0),""))</f>
        <v>2025</v>
      </c>
      <c r="J57" s="62">
        <f>IF(B57="","",IFERROR(VLOOKUP(B57,'ANÁLISE DE DADOS'!$A:$AM,8,0),""))</f>
        <v>45737</v>
      </c>
      <c r="K57" s="61" t="str">
        <f>IF(B57="","",IFERROR(VLOOKUP(B57,'ANÁLISE DE DADOS'!$A:$AM,9,0),""))</f>
        <v>mar-25</v>
      </c>
      <c r="L57" s="61" t="str">
        <f>IF(B57="","",IFERROR(VLOOKUP(B57,'ANÁLISE DE DADOS'!$A:$AM,10,0),""))</f>
        <v>2025</v>
      </c>
      <c r="M57" s="62">
        <f>IF(B57="","",IFERROR(VLOOKUP(B57,'ANÁLISE DE DADOS'!$A:$AM,11,0),""))</f>
        <v>45737</v>
      </c>
      <c r="N57" s="61" t="str">
        <f>IF(B57="","",IFERROR(VLOOKUP(B57,'ANÁLISE DE DADOS'!$A:$AM,12,0),""))</f>
        <v>mar-25</v>
      </c>
      <c r="O57" s="61" t="str">
        <f>IF(B57="","",IFERROR(VLOOKUP(B57,'ANÁLISE DE DADOS'!$A:$AM,13,0),""))</f>
        <v>2025</v>
      </c>
      <c r="P57" s="63">
        <f>IF(B57="","",IFERROR(VLOOKUP(B57,'ANÁLISE DE DADOS'!$A:$AM,14,0),""))</f>
        <v>2700</v>
      </c>
      <c r="Q57" s="61" t="str">
        <f>IF(B57="","",IFERROR(VLOOKUP(B57,'ANÁLISE DE DADOS'!$A:$AM,15,0),""))</f>
        <v>Camila</v>
      </c>
      <c r="R57" s="61" t="str">
        <f>IF(B57="","",IFERROR(VLOOKUP(B57,'ANÁLISE DE DADOS'!$A:$AM,16,0),""))</f>
        <v>ANALISTA LUCAS</v>
      </c>
      <c r="S57" s="61" t="str">
        <f>IF(B57="","",IFERROR(VLOOKUP(B57,'ANÁLISE DE DADOS'!$A:$AM,17,0),""))</f>
        <v>SIM</v>
      </c>
      <c r="T57" s="61" t="str">
        <f>IF(B57="","",IFERROR(VLOOKUP(B57,'ANÁLISE DE DADOS'!$A:$AM,18,0),""))</f>
        <v>Sem Retorno</v>
      </c>
      <c r="U57" s="61" t="str">
        <f>IF(B57="","",IFERROR(VLOOKUP(B57,'ANÁLISE DE DADOS'!$A:$AM,19,0),""))</f>
        <v>Quitado</v>
      </c>
      <c r="V57" s="61">
        <f>IF(B57="","",IFERROR(VLOOKUP(B57,'ANÁLISE DE DADOS'!$A:$AM,20,0),""))</f>
        <v>0</v>
      </c>
      <c r="W57" s="61" t="str">
        <f>IF(B57="","",IFERROR(VLOOKUP(B57,'ANÁLISE DE DADOS'!$A:$AM,21,0),""))</f>
        <v/>
      </c>
      <c r="X57" s="61" t="str">
        <f>IF(B57="","",IFERROR(VLOOKUP(B57,'ANÁLISE DE DADOS'!$A:$AM,22,0),""))</f>
        <v/>
      </c>
      <c r="Y57" s="61" t="str">
        <f>IF(B57="","",IFERROR(VLOOKUP(B57,'ANÁLISE DE DADOS'!$A:$AM,23,0),""))</f>
        <v>-</v>
      </c>
      <c r="Z57" s="61" t="str">
        <f>IF(B57="","",IFERROR(VLOOKUP(B57,'ANÁLISE DE DADOS'!$A:$AM,24,0),""))</f>
        <v>Sim</v>
      </c>
      <c r="AA57" s="61">
        <f>IF(B57="","",IFERROR(VLOOKUP(B57,'ANÁLISE DE DADOS'!$A:$AM,25,0),""))</f>
        <v>0</v>
      </c>
      <c r="AB57" s="61">
        <f>IF(B57="","",IFERROR(VLOOKUP(B57,'ANÁLISE DE DADOS'!$A:$AM,26,0),""))</f>
        <v>1</v>
      </c>
      <c r="AC57" s="61" t="str">
        <f>IF(B57="","",IFERROR(VLOOKUP(B57,'ANÁLISE DE DADOS'!$A:$AM,27,0),""))</f>
        <v>Sim</v>
      </c>
      <c r="AD57" s="62">
        <f>IF(B57="","",IFERROR(VLOOKUP(B57,'ANÁLISE DE DADOS'!$A:$AM,28,0),""))</f>
        <v>45740</v>
      </c>
      <c r="AE57" s="61" t="str">
        <f>IF(B57="","",IFERROR(VLOOKUP(B57,'ANÁLISE DE DADOS'!$A:$AM,29,0),""))</f>
        <v>mar-25</v>
      </c>
      <c r="AF57" s="61" t="str">
        <f>IF(B57="","",IFERROR(VLOOKUP(B57,'ANÁLISE DE DADOS'!$A:$AM,30,0),""))</f>
        <v>2025</v>
      </c>
      <c r="AG57" s="62">
        <f>IF(B57="","",IFERROR(VLOOKUP(B57,'ANÁLISE DE DADOS'!$A:$AM,31,0),""))</f>
        <v>45772</v>
      </c>
      <c r="AH57" s="61" t="str">
        <f>IF(B57="","",IFERROR(VLOOKUP(B57,'ANÁLISE DE DADOS'!$A:$AM,32,0),""))</f>
        <v>abr-25</v>
      </c>
      <c r="AI57" s="61" t="str">
        <f>IF(B57="","",IFERROR(VLOOKUP(B57,'ANÁLISE DE DADOS'!$A:$AM,33,0),""))</f>
        <v>2025</v>
      </c>
      <c r="AJ57" s="61" t="str">
        <f>IF(B57="","",IFERROR(VLOOKUP(B57,'ANÁLISE DE DADOS'!$A:$AM,34,0),""))</f>
        <v>Acompanhando</v>
      </c>
      <c r="AK57" s="63" t="str">
        <f>IF(B57="","",IFERROR(VLOOKUP(B57,'ANÁLISE DE DADOS'!$A:$AM,35,0),""))</f>
        <v>0</v>
      </c>
      <c r="AL57" s="63" t="str">
        <f>IF(B57="","",IFERROR(VLOOKUP(B57,'ANÁLISE DE DADOS'!$A:$AM,36,0),""))</f>
        <v>0</v>
      </c>
      <c r="AM57" s="101" t="str">
        <f>IF(B57="","",IFERROR(VLOOKUP(B57,'ANÁLISE DE DADOS'!$A:$AM,37,0),""))</f>
        <v>Cobrança Amigável</v>
      </c>
    </row>
    <row r="58" spans="2:39" x14ac:dyDescent="0.3">
      <c r="B58" s="30">
        <v>54</v>
      </c>
      <c r="C58" s="61">
        <f>IF(B58="","",IFERROR(VLOOKUP(B58,'ANÁLISE DE DADOS'!$A:$AM,1,0),""))</f>
        <v>54</v>
      </c>
      <c r="D58" s="61" t="str">
        <f>IF(B58="","",IFERROR(VLOOKUP(B58,'ANÁLISE DE DADOS'!$A:$AM,2,0),""))</f>
        <v>Filial</v>
      </c>
      <c r="E58" s="61">
        <f>IF(B58="","",IFERROR(VLOOKUP(B58,'ANÁLISE DE DADOS'!$A:$AM,3,0),""))</f>
        <v>0</v>
      </c>
      <c r="F58" s="61" t="str">
        <f>IF(B58="","",IFERROR(VLOOKUP(B58,'ANÁLISE DE DADOS'!$A:$AM,4,0),""))</f>
        <v>InvestPro</v>
      </c>
      <c r="G58" s="62">
        <f>IF(B58="","",IFERROR(VLOOKUP(B58,'ANÁLISE DE DADOS'!$A:$AM,5,0),""))</f>
        <v>45709</v>
      </c>
      <c r="H58" s="62" t="str">
        <f>IF(B58="","",IFERROR(VLOOKUP(B58,'ANÁLISE DE DADOS'!$A:$AM,6,0),""))</f>
        <v>fev-25</v>
      </c>
      <c r="I58" s="62" t="str">
        <f>IF(B58="","",IFERROR(VLOOKUP(B58,'ANÁLISE DE DADOS'!$A:$AM,7,0),""))</f>
        <v>2025</v>
      </c>
      <c r="J58" s="62">
        <f>IF(B58="","",IFERROR(VLOOKUP(B58,'ANÁLISE DE DADOS'!$A:$AM,8,0),""))</f>
        <v>45737</v>
      </c>
      <c r="K58" s="61" t="str">
        <f>IF(B58="","",IFERROR(VLOOKUP(B58,'ANÁLISE DE DADOS'!$A:$AM,9,0),""))</f>
        <v>mar-25</v>
      </c>
      <c r="L58" s="61" t="str">
        <f>IF(B58="","",IFERROR(VLOOKUP(B58,'ANÁLISE DE DADOS'!$A:$AM,10,0),""))</f>
        <v>2025</v>
      </c>
      <c r="M58" s="62">
        <f>IF(B58="","",IFERROR(VLOOKUP(B58,'ANÁLISE DE DADOS'!$A:$AM,11,0),""))</f>
        <v>45737</v>
      </c>
      <c r="N58" s="61" t="str">
        <f>IF(B58="","",IFERROR(VLOOKUP(B58,'ANÁLISE DE DADOS'!$A:$AM,12,0),""))</f>
        <v>mar-25</v>
      </c>
      <c r="O58" s="61" t="str">
        <f>IF(B58="","",IFERROR(VLOOKUP(B58,'ANÁLISE DE DADOS'!$A:$AM,13,0),""))</f>
        <v>2025</v>
      </c>
      <c r="P58" s="63">
        <f>IF(B58="","",IFERROR(VLOOKUP(B58,'ANÁLISE DE DADOS'!$A:$AM,14,0),""))</f>
        <v>1600</v>
      </c>
      <c r="Q58" s="61" t="str">
        <f>IF(B58="","",IFERROR(VLOOKUP(B58,'ANÁLISE DE DADOS'!$A:$AM,15,0),""))</f>
        <v>Patrícia</v>
      </c>
      <c r="R58" s="61" t="str">
        <f>IF(B58="","",IFERROR(VLOOKUP(B58,'ANÁLISE DE DADOS'!$A:$AM,16,0),""))</f>
        <v>ANALISTA LUCAS</v>
      </c>
      <c r="S58" s="61" t="str">
        <f>IF(B58="","",IFERROR(VLOOKUP(B58,'ANÁLISE DE DADOS'!$A:$AM,17,0),""))</f>
        <v>NÃO</v>
      </c>
      <c r="T58" s="61" t="str">
        <f>IF(B58="","",IFERROR(VLOOKUP(B58,'ANÁLISE DE DADOS'!$A:$AM,18,0),""))</f>
        <v>Sem Retorno</v>
      </c>
      <c r="U58" s="61" t="str">
        <f ca="1">IF(B58="","",IFERROR(VLOOKUP(B58,'ANÁLISE DE DADOS'!$A:$AM,19,0),""))</f>
        <v>Vencido</v>
      </c>
      <c r="V58" s="61">
        <f ca="1">IF(B58="","",IFERROR(VLOOKUP(B58,'ANÁLISE DE DADOS'!$A:$AM,20,0),""))</f>
        <v>58</v>
      </c>
      <c r="W58" s="61" t="str">
        <f ca="1">IF(B58="","",IFERROR(VLOOKUP(B58,'ANÁLISE DE DADOS'!$A:$AM,21,0),""))</f>
        <v>31-60 dias</v>
      </c>
      <c r="X58" s="61" t="str">
        <f ca="1">IF(B58="","",IFERROR(VLOOKUP(B58,'ANÁLISE DE DADOS'!$A:$AM,22,0),""))</f>
        <v>Atraso Médio</v>
      </c>
      <c r="Y58" s="61" t="str">
        <f>IF(B58="","",IFERROR(VLOOKUP(B58,'ANÁLISE DE DADOS'!$A:$AM,23,0),""))</f>
        <v>-</v>
      </c>
      <c r="Z58" s="61" t="str">
        <f>IF(B58="","",IFERROR(VLOOKUP(B58,'ANÁLISE DE DADOS'!$A:$AM,24,0),""))</f>
        <v>Sim</v>
      </c>
      <c r="AA58" s="61">
        <f>IF(B58="","",IFERROR(VLOOKUP(B58,'ANÁLISE DE DADOS'!$A:$AM,25,0),""))</f>
        <v>0</v>
      </c>
      <c r="AB58" s="61">
        <f>IF(B58="","",IFERROR(VLOOKUP(B58,'ANÁLISE DE DADOS'!$A:$AM,26,0),""))</f>
        <v>1</v>
      </c>
      <c r="AC58" s="61" t="str">
        <f>IF(B58="","",IFERROR(VLOOKUP(B58,'ANÁLISE DE DADOS'!$A:$AM,27,0),""))</f>
        <v>Sim</v>
      </c>
      <c r="AD58" s="62">
        <f>IF(B58="","",IFERROR(VLOOKUP(B58,'ANÁLISE DE DADOS'!$A:$AM,28,0),""))</f>
        <v>45740</v>
      </c>
      <c r="AE58" s="61" t="str">
        <f>IF(B58="","",IFERROR(VLOOKUP(B58,'ANÁLISE DE DADOS'!$A:$AM,29,0),""))</f>
        <v>mar-25</v>
      </c>
      <c r="AF58" s="61" t="str">
        <f>IF(B58="","",IFERROR(VLOOKUP(B58,'ANÁLISE DE DADOS'!$A:$AM,30,0),""))</f>
        <v>2025</v>
      </c>
      <c r="AG58" s="62">
        <f>IF(B58="","",IFERROR(VLOOKUP(B58,'ANÁLISE DE DADOS'!$A:$AM,31,0),""))</f>
        <v>45772</v>
      </c>
      <c r="AH58" s="61" t="str">
        <f>IF(B58="","",IFERROR(VLOOKUP(B58,'ANÁLISE DE DADOS'!$A:$AM,32,0),""))</f>
        <v>abr-25</v>
      </c>
      <c r="AI58" s="61" t="str">
        <f>IF(B58="","",IFERROR(VLOOKUP(B58,'ANÁLISE DE DADOS'!$A:$AM,33,0),""))</f>
        <v>2025</v>
      </c>
      <c r="AJ58" s="61" t="str">
        <f>IF(B58="","",IFERROR(VLOOKUP(B58,'ANÁLISE DE DADOS'!$A:$AM,34,0),""))</f>
        <v>Acompanhando</v>
      </c>
      <c r="AK58" s="63">
        <f ca="1">IF(B58="","",IFERROR(VLOOKUP(B58,'ANÁLISE DE DADOS'!$A:$AM,35,0),""))</f>
        <v>1600</v>
      </c>
      <c r="AL58" s="63" t="str">
        <f ca="1">IF(B58="","",IFERROR(VLOOKUP(B58,'ANÁLISE DE DADOS'!$A:$AM,36,0),""))</f>
        <v>0</v>
      </c>
      <c r="AM58" s="101" t="str">
        <f ca="1">IF(B58="","",IFERROR(VLOOKUP(B58,'ANÁLISE DE DADOS'!$A:$AM,37,0),""))</f>
        <v>Cobrança Ativa</v>
      </c>
    </row>
    <row r="59" spans="2:39" x14ac:dyDescent="0.3">
      <c r="B59" s="30">
        <v>55</v>
      </c>
      <c r="C59" s="61">
        <f>IF(B59="","",IFERROR(VLOOKUP(B59,'ANÁLISE DE DADOS'!$A:$AM,1,0),""))</f>
        <v>55</v>
      </c>
      <c r="D59" s="61" t="str">
        <f>IF(B59="","",IFERROR(VLOOKUP(B59,'ANÁLISE DE DADOS'!$A:$AM,2,0),""))</f>
        <v>Matriz</v>
      </c>
      <c r="E59" s="61">
        <f>IF(B59="","",IFERROR(VLOOKUP(B59,'ANÁLISE DE DADOS'!$A:$AM,3,0),""))</f>
        <v>0</v>
      </c>
      <c r="F59" s="61" t="str">
        <f>IF(B59="","",IFERROR(VLOOKUP(B59,'ANÁLISE DE DADOS'!$A:$AM,4,0),""))</f>
        <v>InvestPro</v>
      </c>
      <c r="G59" s="62">
        <f>IF(B59="","",IFERROR(VLOOKUP(B59,'ANÁLISE DE DADOS'!$A:$AM,5,0),""))</f>
        <v>45709</v>
      </c>
      <c r="H59" s="62" t="str">
        <f>IF(B59="","",IFERROR(VLOOKUP(B59,'ANÁLISE DE DADOS'!$A:$AM,6,0),""))</f>
        <v>fev-25</v>
      </c>
      <c r="I59" s="62" t="str">
        <f>IF(B59="","",IFERROR(VLOOKUP(B59,'ANÁLISE DE DADOS'!$A:$AM,7,0),""))</f>
        <v>2025</v>
      </c>
      <c r="J59" s="62">
        <f>IF(B59="","",IFERROR(VLOOKUP(B59,'ANÁLISE DE DADOS'!$A:$AM,8,0),""))</f>
        <v>45737</v>
      </c>
      <c r="K59" s="61" t="str">
        <f>IF(B59="","",IFERROR(VLOOKUP(B59,'ANÁLISE DE DADOS'!$A:$AM,9,0),""))</f>
        <v>mar-25</v>
      </c>
      <c r="L59" s="61" t="str">
        <f>IF(B59="","",IFERROR(VLOOKUP(B59,'ANÁLISE DE DADOS'!$A:$AM,10,0),""))</f>
        <v>2025</v>
      </c>
      <c r="M59" s="62">
        <f>IF(B59="","",IFERROR(VLOOKUP(B59,'ANÁLISE DE DADOS'!$A:$AM,11,0),""))</f>
        <v>45737</v>
      </c>
      <c r="N59" s="61" t="str">
        <f>IF(B59="","",IFERROR(VLOOKUP(B59,'ANÁLISE DE DADOS'!$A:$AM,12,0),""))</f>
        <v>mar-25</v>
      </c>
      <c r="O59" s="61" t="str">
        <f>IF(B59="","",IFERROR(VLOOKUP(B59,'ANÁLISE DE DADOS'!$A:$AM,13,0),""))</f>
        <v>2025</v>
      </c>
      <c r="P59" s="63">
        <f>IF(B59="","",IFERROR(VLOOKUP(B59,'ANÁLISE DE DADOS'!$A:$AM,14,0),""))</f>
        <v>3000</v>
      </c>
      <c r="Q59" s="61" t="str">
        <f>IF(B59="","",IFERROR(VLOOKUP(B59,'ANÁLISE DE DADOS'!$A:$AM,15,0),""))</f>
        <v>Tiago</v>
      </c>
      <c r="R59" s="61" t="str">
        <f>IF(B59="","",IFERROR(VLOOKUP(B59,'ANÁLISE DE DADOS'!$A:$AM,16,0),""))</f>
        <v>ANALISTA LUCAS</v>
      </c>
      <c r="S59" s="61" t="str">
        <f>IF(B59="","",IFERROR(VLOOKUP(B59,'ANÁLISE DE DADOS'!$A:$AM,17,0),""))</f>
        <v>NÃO</v>
      </c>
      <c r="T59" s="61" t="str">
        <f>IF(B59="","",IFERROR(VLOOKUP(B59,'ANÁLISE DE DADOS'!$A:$AM,18,0),""))</f>
        <v>Sem Retorno</v>
      </c>
      <c r="U59" s="61" t="str">
        <f ca="1">IF(B59="","",IFERROR(VLOOKUP(B59,'ANÁLISE DE DADOS'!$A:$AM,19,0),""))</f>
        <v>Vencido</v>
      </c>
      <c r="V59" s="61">
        <f ca="1">IF(B59="","",IFERROR(VLOOKUP(B59,'ANÁLISE DE DADOS'!$A:$AM,20,0),""))</f>
        <v>58</v>
      </c>
      <c r="W59" s="61" t="str">
        <f ca="1">IF(B59="","",IFERROR(VLOOKUP(B59,'ANÁLISE DE DADOS'!$A:$AM,21,0),""))</f>
        <v>31-60 dias</v>
      </c>
      <c r="X59" s="61" t="str">
        <f ca="1">IF(B59="","",IFERROR(VLOOKUP(B59,'ANÁLISE DE DADOS'!$A:$AM,22,0),""))</f>
        <v>Atraso Médio</v>
      </c>
      <c r="Y59" s="61" t="str">
        <f>IF(B59="","",IFERROR(VLOOKUP(B59,'ANÁLISE DE DADOS'!$A:$AM,23,0),""))</f>
        <v>-</v>
      </c>
      <c r="Z59" s="61" t="str">
        <f>IF(B59="","",IFERROR(VLOOKUP(B59,'ANÁLISE DE DADOS'!$A:$AM,24,0),""))</f>
        <v>Sim</v>
      </c>
      <c r="AA59" s="61">
        <f>IF(B59="","",IFERROR(VLOOKUP(B59,'ANÁLISE DE DADOS'!$A:$AM,25,0),""))</f>
        <v>0</v>
      </c>
      <c r="AB59" s="61">
        <f>IF(B59="","",IFERROR(VLOOKUP(B59,'ANÁLISE DE DADOS'!$A:$AM,26,0),""))</f>
        <v>1</v>
      </c>
      <c r="AC59" s="61" t="str">
        <f>IF(B59="","",IFERROR(VLOOKUP(B59,'ANÁLISE DE DADOS'!$A:$AM,27,0),""))</f>
        <v>Sim</v>
      </c>
      <c r="AD59" s="62">
        <f>IF(B59="","",IFERROR(VLOOKUP(B59,'ANÁLISE DE DADOS'!$A:$AM,28,0),""))</f>
        <v>45740</v>
      </c>
      <c r="AE59" s="61" t="str">
        <f>IF(B59="","",IFERROR(VLOOKUP(B59,'ANÁLISE DE DADOS'!$A:$AM,29,0),""))</f>
        <v>mar-25</v>
      </c>
      <c r="AF59" s="61" t="str">
        <f>IF(B59="","",IFERROR(VLOOKUP(B59,'ANÁLISE DE DADOS'!$A:$AM,30,0),""))</f>
        <v>2025</v>
      </c>
      <c r="AG59" s="62">
        <f>IF(B59="","",IFERROR(VLOOKUP(B59,'ANÁLISE DE DADOS'!$A:$AM,31,0),""))</f>
        <v>45772</v>
      </c>
      <c r="AH59" s="61" t="str">
        <f>IF(B59="","",IFERROR(VLOOKUP(B59,'ANÁLISE DE DADOS'!$A:$AM,32,0),""))</f>
        <v>abr-25</v>
      </c>
      <c r="AI59" s="61" t="str">
        <f>IF(B59="","",IFERROR(VLOOKUP(B59,'ANÁLISE DE DADOS'!$A:$AM,33,0),""))</f>
        <v>2025</v>
      </c>
      <c r="AJ59" s="61" t="str">
        <f>IF(B59="","",IFERROR(VLOOKUP(B59,'ANÁLISE DE DADOS'!$A:$AM,34,0),""))</f>
        <v>Acompanhando</v>
      </c>
      <c r="AK59" s="63">
        <f ca="1">IF(B59="","",IFERROR(VLOOKUP(B59,'ANÁLISE DE DADOS'!$A:$AM,35,0),""))</f>
        <v>3000</v>
      </c>
      <c r="AL59" s="63" t="str">
        <f ca="1">IF(B59="","",IFERROR(VLOOKUP(B59,'ANÁLISE DE DADOS'!$A:$AM,36,0),""))</f>
        <v>0</v>
      </c>
      <c r="AM59" s="101" t="str">
        <f ca="1">IF(B59="","",IFERROR(VLOOKUP(B59,'ANÁLISE DE DADOS'!$A:$AM,37,0),""))</f>
        <v>Cobrança Ativa</v>
      </c>
    </row>
    <row r="60" spans="2:39" x14ac:dyDescent="0.3">
      <c r="B60" s="30">
        <v>56</v>
      </c>
      <c r="C60" s="61">
        <f>IF(B60="","",IFERROR(VLOOKUP(B60,'ANÁLISE DE DADOS'!$A:$AM,1,0),""))</f>
        <v>56</v>
      </c>
      <c r="D60" s="61" t="str">
        <f>IF(B60="","",IFERROR(VLOOKUP(B60,'ANÁLISE DE DADOS'!$A:$AM,2,0),""))</f>
        <v>Filial</v>
      </c>
      <c r="E60" s="61">
        <f>IF(B60="","",IFERROR(VLOOKUP(B60,'ANÁLISE DE DADOS'!$A:$AM,3,0),""))</f>
        <v>0</v>
      </c>
      <c r="F60" s="61" t="str">
        <f>IF(B60="","",IFERROR(VLOOKUP(B60,'ANÁLISE DE DADOS'!$A:$AM,4,0),""))</f>
        <v>InvestPro</v>
      </c>
      <c r="G60" s="62">
        <f>IF(B60="","",IFERROR(VLOOKUP(B60,'ANÁLISE DE DADOS'!$A:$AM,5,0),""))</f>
        <v>45709</v>
      </c>
      <c r="H60" s="62" t="str">
        <f>IF(B60="","",IFERROR(VLOOKUP(B60,'ANÁLISE DE DADOS'!$A:$AM,6,0),""))</f>
        <v>fev-25</v>
      </c>
      <c r="I60" s="62" t="str">
        <f>IF(B60="","",IFERROR(VLOOKUP(B60,'ANÁLISE DE DADOS'!$A:$AM,7,0),""))</f>
        <v>2025</v>
      </c>
      <c r="J60" s="62">
        <f>IF(B60="","",IFERROR(VLOOKUP(B60,'ANÁLISE DE DADOS'!$A:$AM,8,0),""))</f>
        <v>45737</v>
      </c>
      <c r="K60" s="61" t="str">
        <f>IF(B60="","",IFERROR(VLOOKUP(B60,'ANÁLISE DE DADOS'!$A:$AM,9,0),""))</f>
        <v>mar-25</v>
      </c>
      <c r="L60" s="61" t="str">
        <f>IF(B60="","",IFERROR(VLOOKUP(B60,'ANÁLISE DE DADOS'!$A:$AM,10,0),""))</f>
        <v>2025</v>
      </c>
      <c r="M60" s="62">
        <f>IF(B60="","",IFERROR(VLOOKUP(B60,'ANÁLISE DE DADOS'!$A:$AM,11,0),""))</f>
        <v>45737</v>
      </c>
      <c r="N60" s="61" t="str">
        <f>IF(B60="","",IFERROR(VLOOKUP(B60,'ANÁLISE DE DADOS'!$A:$AM,12,0),""))</f>
        <v>mar-25</v>
      </c>
      <c r="O60" s="61" t="str">
        <f>IF(B60="","",IFERROR(VLOOKUP(B60,'ANÁLISE DE DADOS'!$A:$AM,13,0),""))</f>
        <v>2025</v>
      </c>
      <c r="P60" s="63">
        <f>IF(B60="","",IFERROR(VLOOKUP(B60,'ANÁLISE DE DADOS'!$A:$AM,14,0),""))</f>
        <v>1800</v>
      </c>
      <c r="Q60" s="61" t="str">
        <f>IF(B60="","",IFERROR(VLOOKUP(B60,'ANÁLISE DE DADOS'!$A:$AM,15,0),""))</f>
        <v>André</v>
      </c>
      <c r="R60" s="61" t="str">
        <f>IF(B60="","",IFERROR(VLOOKUP(B60,'ANÁLISE DE DADOS'!$A:$AM,16,0),""))</f>
        <v>ANALISTA LUCAS</v>
      </c>
      <c r="S60" s="61" t="str">
        <f>IF(B60="","",IFERROR(VLOOKUP(B60,'ANÁLISE DE DADOS'!$A:$AM,17,0),""))</f>
        <v>NÃO</v>
      </c>
      <c r="T60" s="61" t="str">
        <f>IF(B60="","",IFERROR(VLOOKUP(B60,'ANÁLISE DE DADOS'!$A:$AM,18,0),""))</f>
        <v>Sem Retorno</v>
      </c>
      <c r="U60" s="61" t="str">
        <f ca="1">IF(B60="","",IFERROR(VLOOKUP(B60,'ANÁLISE DE DADOS'!$A:$AM,19,0),""))</f>
        <v>Vencido</v>
      </c>
      <c r="V60" s="61">
        <f ca="1">IF(B60="","",IFERROR(VLOOKUP(B60,'ANÁLISE DE DADOS'!$A:$AM,20,0),""))</f>
        <v>58</v>
      </c>
      <c r="W60" s="61" t="str">
        <f ca="1">IF(B60="","",IFERROR(VLOOKUP(B60,'ANÁLISE DE DADOS'!$A:$AM,21,0),""))</f>
        <v>31-60 dias</v>
      </c>
      <c r="X60" s="61" t="str">
        <f ca="1">IF(B60="","",IFERROR(VLOOKUP(B60,'ANÁLISE DE DADOS'!$A:$AM,22,0),""))</f>
        <v>Atraso Médio</v>
      </c>
      <c r="Y60" s="61" t="str">
        <f>IF(B60="","",IFERROR(VLOOKUP(B60,'ANÁLISE DE DADOS'!$A:$AM,23,0),""))</f>
        <v>-</v>
      </c>
      <c r="Z60" s="61" t="str">
        <f>IF(B60="","",IFERROR(VLOOKUP(B60,'ANÁLISE DE DADOS'!$A:$AM,24,0),""))</f>
        <v>Sim</v>
      </c>
      <c r="AA60" s="61">
        <f>IF(B60="","",IFERROR(VLOOKUP(B60,'ANÁLISE DE DADOS'!$A:$AM,25,0),""))</f>
        <v>0</v>
      </c>
      <c r="AB60" s="61">
        <f>IF(B60="","",IFERROR(VLOOKUP(B60,'ANÁLISE DE DADOS'!$A:$AM,26,0),""))</f>
        <v>1</v>
      </c>
      <c r="AC60" s="61" t="str">
        <f>IF(B60="","",IFERROR(VLOOKUP(B60,'ANÁLISE DE DADOS'!$A:$AM,27,0),""))</f>
        <v>Sim</v>
      </c>
      <c r="AD60" s="62">
        <f>IF(B60="","",IFERROR(VLOOKUP(B60,'ANÁLISE DE DADOS'!$A:$AM,28,0),""))</f>
        <v>45740</v>
      </c>
      <c r="AE60" s="61" t="str">
        <f>IF(B60="","",IFERROR(VLOOKUP(B60,'ANÁLISE DE DADOS'!$A:$AM,29,0),""))</f>
        <v>mar-25</v>
      </c>
      <c r="AF60" s="61" t="str">
        <f>IF(B60="","",IFERROR(VLOOKUP(B60,'ANÁLISE DE DADOS'!$A:$AM,30,0),""))</f>
        <v>2025</v>
      </c>
      <c r="AG60" s="62">
        <f>IF(B60="","",IFERROR(VLOOKUP(B60,'ANÁLISE DE DADOS'!$A:$AM,31,0),""))</f>
        <v>45772</v>
      </c>
      <c r="AH60" s="61" t="str">
        <f>IF(B60="","",IFERROR(VLOOKUP(B60,'ANÁLISE DE DADOS'!$A:$AM,32,0),""))</f>
        <v>abr-25</v>
      </c>
      <c r="AI60" s="61" t="str">
        <f>IF(B60="","",IFERROR(VLOOKUP(B60,'ANÁLISE DE DADOS'!$A:$AM,33,0),""))</f>
        <v>2025</v>
      </c>
      <c r="AJ60" s="61" t="str">
        <f>IF(B60="","",IFERROR(VLOOKUP(B60,'ANÁLISE DE DADOS'!$A:$AM,34,0),""))</f>
        <v>Acompanhando</v>
      </c>
      <c r="AK60" s="63">
        <f ca="1">IF(B60="","",IFERROR(VLOOKUP(B60,'ANÁLISE DE DADOS'!$A:$AM,35,0),""))</f>
        <v>1800</v>
      </c>
      <c r="AL60" s="63" t="str">
        <f ca="1">IF(B60="","",IFERROR(VLOOKUP(B60,'ANÁLISE DE DADOS'!$A:$AM,36,0),""))</f>
        <v>0</v>
      </c>
      <c r="AM60" s="101" t="str">
        <f ca="1">IF(B60="","",IFERROR(VLOOKUP(B60,'ANÁLISE DE DADOS'!$A:$AM,37,0),""))</f>
        <v>Cobrança Ativa</v>
      </c>
    </row>
    <row r="61" spans="2:39" x14ac:dyDescent="0.3">
      <c r="B61" s="30">
        <v>57</v>
      </c>
      <c r="C61" s="61">
        <f>IF(B61="","",IFERROR(VLOOKUP(B61,'ANÁLISE DE DADOS'!$A:$AM,1,0),""))</f>
        <v>57</v>
      </c>
      <c r="D61" s="61" t="str">
        <f>IF(B61="","",IFERROR(VLOOKUP(B61,'ANÁLISE DE DADOS'!$A:$AM,2,0),""))</f>
        <v>Matriz</v>
      </c>
      <c r="E61" s="61">
        <f>IF(B61="","",IFERROR(VLOOKUP(B61,'ANÁLISE DE DADOS'!$A:$AM,3,0),""))</f>
        <v>0</v>
      </c>
      <c r="F61" s="61" t="str">
        <f>IF(B61="","",IFERROR(VLOOKUP(B61,'ANÁLISE DE DADOS'!$A:$AM,4,0),""))</f>
        <v>InvestPro</v>
      </c>
      <c r="G61" s="62">
        <f>IF(B61="","",IFERROR(VLOOKUP(B61,'ANÁLISE DE DADOS'!$A:$AM,5,0),""))</f>
        <v>45709</v>
      </c>
      <c r="H61" s="62" t="str">
        <f>IF(B61="","",IFERROR(VLOOKUP(B61,'ANÁLISE DE DADOS'!$A:$AM,6,0),""))</f>
        <v>fev-25</v>
      </c>
      <c r="I61" s="62" t="str">
        <f>IF(B61="","",IFERROR(VLOOKUP(B61,'ANÁLISE DE DADOS'!$A:$AM,7,0),""))</f>
        <v>2025</v>
      </c>
      <c r="J61" s="62">
        <f>IF(B61="","",IFERROR(VLOOKUP(B61,'ANÁLISE DE DADOS'!$A:$AM,8,0),""))</f>
        <v>45737</v>
      </c>
      <c r="K61" s="61" t="str">
        <f>IF(B61="","",IFERROR(VLOOKUP(B61,'ANÁLISE DE DADOS'!$A:$AM,9,0),""))</f>
        <v>mar-25</v>
      </c>
      <c r="L61" s="61" t="str">
        <f>IF(B61="","",IFERROR(VLOOKUP(B61,'ANÁLISE DE DADOS'!$A:$AM,10,0),""))</f>
        <v>2025</v>
      </c>
      <c r="M61" s="62">
        <f>IF(B61="","",IFERROR(VLOOKUP(B61,'ANÁLISE DE DADOS'!$A:$AM,11,0),""))</f>
        <v>45737</v>
      </c>
      <c r="N61" s="61" t="str">
        <f>IF(B61="","",IFERROR(VLOOKUP(B61,'ANÁLISE DE DADOS'!$A:$AM,12,0),""))</f>
        <v>mar-25</v>
      </c>
      <c r="O61" s="61" t="str">
        <f>IF(B61="","",IFERROR(VLOOKUP(B61,'ANÁLISE DE DADOS'!$A:$AM,13,0),""))</f>
        <v>2025</v>
      </c>
      <c r="P61" s="63">
        <f>IF(B61="","",IFERROR(VLOOKUP(B61,'ANÁLISE DE DADOS'!$A:$AM,14,0),""))</f>
        <v>2200</v>
      </c>
      <c r="Q61" s="61" t="str">
        <f>IF(B61="","",IFERROR(VLOOKUP(B61,'ANÁLISE DE DADOS'!$A:$AM,15,0),""))</f>
        <v>Luana</v>
      </c>
      <c r="R61" s="61" t="str">
        <f>IF(B61="","",IFERROR(VLOOKUP(B61,'ANÁLISE DE DADOS'!$A:$AM,16,0),""))</f>
        <v>ANALISTA LUCAS</v>
      </c>
      <c r="S61" s="61" t="str">
        <f>IF(B61="","",IFERROR(VLOOKUP(B61,'ANÁLISE DE DADOS'!$A:$AM,17,0),""))</f>
        <v>NÃO</v>
      </c>
      <c r="T61" s="61" t="str">
        <f>IF(B61="","",IFERROR(VLOOKUP(B61,'ANÁLISE DE DADOS'!$A:$AM,18,0),""))</f>
        <v>Sem Retorno</v>
      </c>
      <c r="U61" s="61" t="str">
        <f ca="1">IF(B61="","",IFERROR(VLOOKUP(B61,'ANÁLISE DE DADOS'!$A:$AM,19,0),""))</f>
        <v>Vencido</v>
      </c>
      <c r="V61" s="61">
        <f ca="1">IF(B61="","",IFERROR(VLOOKUP(B61,'ANÁLISE DE DADOS'!$A:$AM,20,0),""))</f>
        <v>58</v>
      </c>
      <c r="W61" s="61" t="str">
        <f ca="1">IF(B61="","",IFERROR(VLOOKUP(B61,'ANÁLISE DE DADOS'!$A:$AM,21,0),""))</f>
        <v>31-60 dias</v>
      </c>
      <c r="X61" s="61" t="str">
        <f ca="1">IF(B61="","",IFERROR(VLOOKUP(B61,'ANÁLISE DE DADOS'!$A:$AM,22,0),""))</f>
        <v>Atraso Médio</v>
      </c>
      <c r="Y61" s="61" t="str">
        <f>IF(B61="","",IFERROR(VLOOKUP(B61,'ANÁLISE DE DADOS'!$A:$AM,23,0),""))</f>
        <v>-</v>
      </c>
      <c r="Z61" s="61" t="str">
        <f>IF(B61="","",IFERROR(VLOOKUP(B61,'ANÁLISE DE DADOS'!$A:$AM,24,0),""))</f>
        <v>Sim</v>
      </c>
      <c r="AA61" s="61">
        <f>IF(B61="","",IFERROR(VLOOKUP(B61,'ANÁLISE DE DADOS'!$A:$AM,25,0),""))</f>
        <v>0</v>
      </c>
      <c r="AB61" s="61">
        <f>IF(B61="","",IFERROR(VLOOKUP(B61,'ANÁLISE DE DADOS'!$A:$AM,26,0),""))</f>
        <v>1</v>
      </c>
      <c r="AC61" s="61" t="str">
        <f>IF(B61="","",IFERROR(VLOOKUP(B61,'ANÁLISE DE DADOS'!$A:$AM,27,0),""))</f>
        <v>Sim</v>
      </c>
      <c r="AD61" s="62">
        <f>IF(B61="","",IFERROR(VLOOKUP(B61,'ANÁLISE DE DADOS'!$A:$AM,28,0),""))</f>
        <v>45740</v>
      </c>
      <c r="AE61" s="61" t="str">
        <f>IF(B61="","",IFERROR(VLOOKUP(B61,'ANÁLISE DE DADOS'!$A:$AM,29,0),""))</f>
        <v>mar-25</v>
      </c>
      <c r="AF61" s="61" t="str">
        <f>IF(B61="","",IFERROR(VLOOKUP(B61,'ANÁLISE DE DADOS'!$A:$AM,30,0),""))</f>
        <v>2025</v>
      </c>
      <c r="AG61" s="62">
        <f>IF(B61="","",IFERROR(VLOOKUP(B61,'ANÁLISE DE DADOS'!$A:$AM,31,0),""))</f>
        <v>45772</v>
      </c>
      <c r="AH61" s="61" t="str">
        <f>IF(B61="","",IFERROR(VLOOKUP(B61,'ANÁLISE DE DADOS'!$A:$AM,32,0),""))</f>
        <v>abr-25</v>
      </c>
      <c r="AI61" s="61" t="str">
        <f>IF(B61="","",IFERROR(VLOOKUP(B61,'ANÁLISE DE DADOS'!$A:$AM,33,0),""))</f>
        <v>2025</v>
      </c>
      <c r="AJ61" s="61" t="str">
        <f>IF(B61="","",IFERROR(VLOOKUP(B61,'ANÁLISE DE DADOS'!$A:$AM,34,0),""))</f>
        <v>Acompanhando</v>
      </c>
      <c r="AK61" s="63">
        <f ca="1">IF(B61="","",IFERROR(VLOOKUP(B61,'ANÁLISE DE DADOS'!$A:$AM,35,0),""))</f>
        <v>2200</v>
      </c>
      <c r="AL61" s="63" t="str">
        <f ca="1">IF(B61="","",IFERROR(VLOOKUP(B61,'ANÁLISE DE DADOS'!$A:$AM,36,0),""))</f>
        <v>0</v>
      </c>
      <c r="AM61" s="101" t="str">
        <f ca="1">IF(B61="","",IFERROR(VLOOKUP(B61,'ANÁLISE DE DADOS'!$A:$AM,37,0),""))</f>
        <v>Cobrança Ativa</v>
      </c>
    </row>
    <row r="62" spans="2:39" x14ac:dyDescent="0.3">
      <c r="B62" s="30">
        <v>58</v>
      </c>
      <c r="C62" s="61">
        <f>IF(B62="","",IFERROR(VLOOKUP(B62,'ANÁLISE DE DADOS'!$A:$AM,1,0),""))</f>
        <v>58</v>
      </c>
      <c r="D62" s="61" t="str">
        <f>IF(B62="","",IFERROR(VLOOKUP(B62,'ANÁLISE DE DADOS'!$A:$AM,2,0),""))</f>
        <v>Filial</v>
      </c>
      <c r="E62" s="61">
        <f>IF(B62="","",IFERROR(VLOOKUP(B62,'ANÁLISE DE DADOS'!$A:$AM,3,0),""))</f>
        <v>0</v>
      </c>
      <c r="F62" s="61" t="str">
        <f>IF(B62="","",IFERROR(VLOOKUP(B62,'ANÁLISE DE DADOS'!$A:$AM,4,0),""))</f>
        <v>InvestPro</v>
      </c>
      <c r="G62" s="62">
        <f>IF(B62="","",IFERROR(VLOOKUP(B62,'ANÁLISE DE DADOS'!$A:$AM,5,0),""))</f>
        <v>45709</v>
      </c>
      <c r="H62" s="62" t="str">
        <f>IF(B62="","",IFERROR(VLOOKUP(B62,'ANÁLISE DE DADOS'!$A:$AM,6,0),""))</f>
        <v>fev-25</v>
      </c>
      <c r="I62" s="62" t="str">
        <f>IF(B62="","",IFERROR(VLOOKUP(B62,'ANÁLISE DE DADOS'!$A:$AM,7,0),""))</f>
        <v>2025</v>
      </c>
      <c r="J62" s="62">
        <f>IF(B62="","",IFERROR(VLOOKUP(B62,'ANÁLISE DE DADOS'!$A:$AM,8,0),""))</f>
        <v>45737</v>
      </c>
      <c r="K62" s="61" t="str">
        <f>IF(B62="","",IFERROR(VLOOKUP(B62,'ANÁLISE DE DADOS'!$A:$AM,9,0),""))</f>
        <v>mar-25</v>
      </c>
      <c r="L62" s="61" t="str">
        <f>IF(B62="","",IFERROR(VLOOKUP(B62,'ANÁLISE DE DADOS'!$A:$AM,10,0),""))</f>
        <v>2025</v>
      </c>
      <c r="M62" s="62">
        <f>IF(B62="","",IFERROR(VLOOKUP(B62,'ANÁLISE DE DADOS'!$A:$AM,11,0),""))</f>
        <v>45737</v>
      </c>
      <c r="N62" s="61" t="str">
        <f>IF(B62="","",IFERROR(VLOOKUP(B62,'ANÁLISE DE DADOS'!$A:$AM,12,0),""))</f>
        <v>mar-25</v>
      </c>
      <c r="O62" s="61" t="str">
        <f>IF(B62="","",IFERROR(VLOOKUP(B62,'ANÁLISE DE DADOS'!$A:$AM,13,0),""))</f>
        <v>2025</v>
      </c>
      <c r="P62" s="63">
        <f>IF(B62="","",IFERROR(VLOOKUP(B62,'ANÁLISE DE DADOS'!$A:$AM,14,0),""))</f>
        <v>1500</v>
      </c>
      <c r="Q62" s="61" t="str">
        <f>IF(B62="","",IFERROR(VLOOKUP(B62,'ANÁLISE DE DADOS'!$A:$AM,15,0),""))</f>
        <v>Pedro</v>
      </c>
      <c r="R62" s="61" t="str">
        <f>IF(B62="","",IFERROR(VLOOKUP(B62,'ANÁLISE DE DADOS'!$A:$AM,16,0),""))</f>
        <v>ANALISTA LUCAS</v>
      </c>
      <c r="S62" s="61" t="str">
        <f>IF(B62="","",IFERROR(VLOOKUP(B62,'ANÁLISE DE DADOS'!$A:$AM,17,0),""))</f>
        <v>NÃO</v>
      </c>
      <c r="T62" s="61" t="str">
        <f>IF(B62="","",IFERROR(VLOOKUP(B62,'ANÁLISE DE DADOS'!$A:$AM,18,0),""))</f>
        <v>Sem Retorno</v>
      </c>
      <c r="U62" s="61" t="str">
        <f ca="1">IF(B62="","",IFERROR(VLOOKUP(B62,'ANÁLISE DE DADOS'!$A:$AM,19,0),""))</f>
        <v>Vencido</v>
      </c>
      <c r="V62" s="61">
        <f ca="1">IF(B62="","",IFERROR(VLOOKUP(B62,'ANÁLISE DE DADOS'!$A:$AM,20,0),""))</f>
        <v>58</v>
      </c>
      <c r="W62" s="61" t="str">
        <f ca="1">IF(B62="","",IFERROR(VLOOKUP(B62,'ANÁLISE DE DADOS'!$A:$AM,21,0),""))</f>
        <v>31-60 dias</v>
      </c>
      <c r="X62" s="61" t="str">
        <f ca="1">IF(B62="","",IFERROR(VLOOKUP(B62,'ANÁLISE DE DADOS'!$A:$AM,22,0),""))</f>
        <v>Atraso Médio</v>
      </c>
      <c r="Y62" s="61" t="str">
        <f>IF(B62="","",IFERROR(VLOOKUP(B62,'ANÁLISE DE DADOS'!$A:$AM,23,0),""))</f>
        <v>-</v>
      </c>
      <c r="Z62" s="61" t="str">
        <f>IF(B62="","",IFERROR(VLOOKUP(B62,'ANÁLISE DE DADOS'!$A:$AM,24,0),""))</f>
        <v>Sim</v>
      </c>
      <c r="AA62" s="61">
        <f>IF(B62="","",IFERROR(VLOOKUP(B62,'ANÁLISE DE DADOS'!$A:$AM,25,0),""))</f>
        <v>0</v>
      </c>
      <c r="AB62" s="61">
        <f>IF(B62="","",IFERROR(VLOOKUP(B62,'ANÁLISE DE DADOS'!$A:$AM,26,0),""))</f>
        <v>1</v>
      </c>
      <c r="AC62" s="61" t="str">
        <f>IF(B62="","",IFERROR(VLOOKUP(B62,'ANÁLISE DE DADOS'!$A:$AM,27,0),""))</f>
        <v>Sim</v>
      </c>
      <c r="AD62" s="62">
        <f>IF(B62="","",IFERROR(VLOOKUP(B62,'ANÁLISE DE DADOS'!$A:$AM,28,0),""))</f>
        <v>45740</v>
      </c>
      <c r="AE62" s="61" t="str">
        <f>IF(B62="","",IFERROR(VLOOKUP(B62,'ANÁLISE DE DADOS'!$A:$AM,29,0),""))</f>
        <v>mar-25</v>
      </c>
      <c r="AF62" s="61" t="str">
        <f>IF(B62="","",IFERROR(VLOOKUP(B62,'ANÁLISE DE DADOS'!$A:$AM,30,0),""))</f>
        <v>2025</v>
      </c>
      <c r="AG62" s="62">
        <f>IF(B62="","",IFERROR(VLOOKUP(B62,'ANÁLISE DE DADOS'!$A:$AM,31,0),""))</f>
        <v>45772</v>
      </c>
      <c r="AH62" s="61" t="str">
        <f>IF(B62="","",IFERROR(VLOOKUP(B62,'ANÁLISE DE DADOS'!$A:$AM,32,0),""))</f>
        <v>abr-25</v>
      </c>
      <c r="AI62" s="61" t="str">
        <f>IF(B62="","",IFERROR(VLOOKUP(B62,'ANÁLISE DE DADOS'!$A:$AM,33,0),""))</f>
        <v>2025</v>
      </c>
      <c r="AJ62" s="61" t="str">
        <f>IF(B62="","",IFERROR(VLOOKUP(B62,'ANÁLISE DE DADOS'!$A:$AM,34,0),""))</f>
        <v>Acompanhando</v>
      </c>
      <c r="AK62" s="63">
        <f ca="1">IF(B62="","",IFERROR(VLOOKUP(B62,'ANÁLISE DE DADOS'!$A:$AM,35,0),""))</f>
        <v>1500</v>
      </c>
      <c r="AL62" s="63" t="str">
        <f ca="1">IF(B62="","",IFERROR(VLOOKUP(B62,'ANÁLISE DE DADOS'!$A:$AM,36,0),""))</f>
        <v>0</v>
      </c>
      <c r="AM62" s="101" t="str">
        <f ca="1">IF(B62="","",IFERROR(VLOOKUP(B62,'ANÁLISE DE DADOS'!$A:$AM,37,0),""))</f>
        <v>Cobrança Ativa</v>
      </c>
    </row>
    <row r="63" spans="2:39" x14ac:dyDescent="0.3">
      <c r="B63" s="30">
        <v>59</v>
      </c>
      <c r="C63" s="61">
        <f>IF(B63="","",IFERROR(VLOOKUP(B63,'ANÁLISE DE DADOS'!$A:$AM,1,0),""))</f>
        <v>59</v>
      </c>
      <c r="D63" s="61" t="str">
        <f>IF(B63="","",IFERROR(VLOOKUP(B63,'ANÁLISE DE DADOS'!$A:$AM,2,0),""))</f>
        <v>Matriz</v>
      </c>
      <c r="E63" s="61" t="str">
        <f>IF(B63="","",IFERROR(VLOOKUP(B63,'ANÁLISE DE DADOS'!$A:$AM,3,0),""))</f>
        <v>Alpha &amp; CIA</v>
      </c>
      <c r="F63" s="61" t="str">
        <f>IF(B63="","",IFERROR(VLOOKUP(B63,'ANÁLISE DE DADOS'!$A:$AM,4,0),""))</f>
        <v>Alpha &amp; CIA</v>
      </c>
      <c r="G63" s="62">
        <f>IF(B63="","",IFERROR(VLOOKUP(B63,'ANÁLISE DE DADOS'!$A:$AM,5,0),""))</f>
        <v>45709</v>
      </c>
      <c r="H63" s="62" t="str">
        <f>IF(B63="","",IFERROR(VLOOKUP(B63,'ANÁLISE DE DADOS'!$A:$AM,6,0),""))</f>
        <v>fev-25</v>
      </c>
      <c r="I63" s="62" t="str">
        <f>IF(B63="","",IFERROR(VLOOKUP(B63,'ANÁLISE DE DADOS'!$A:$AM,7,0),""))</f>
        <v>2025</v>
      </c>
      <c r="J63" s="62">
        <f>IF(B63="","",IFERROR(VLOOKUP(B63,'ANÁLISE DE DADOS'!$A:$AM,8,0),""))</f>
        <v>45737</v>
      </c>
      <c r="K63" s="61" t="str">
        <f>IF(B63="","",IFERROR(VLOOKUP(B63,'ANÁLISE DE DADOS'!$A:$AM,9,0),""))</f>
        <v>mar-25</v>
      </c>
      <c r="L63" s="61" t="str">
        <f>IF(B63="","",IFERROR(VLOOKUP(B63,'ANÁLISE DE DADOS'!$A:$AM,10,0),""))</f>
        <v>2025</v>
      </c>
      <c r="M63" s="62">
        <f>IF(B63="","",IFERROR(VLOOKUP(B63,'ANÁLISE DE DADOS'!$A:$AM,11,0),""))</f>
        <v>45737</v>
      </c>
      <c r="N63" s="61" t="str">
        <f>IF(B63="","",IFERROR(VLOOKUP(B63,'ANÁLISE DE DADOS'!$A:$AM,12,0),""))</f>
        <v>mar-25</v>
      </c>
      <c r="O63" s="61" t="str">
        <f>IF(B63="","",IFERROR(VLOOKUP(B63,'ANÁLISE DE DADOS'!$A:$AM,13,0),""))</f>
        <v>2025</v>
      </c>
      <c r="P63" s="63">
        <f>IF(B63="","",IFERROR(VLOOKUP(B63,'ANÁLISE DE DADOS'!$A:$AM,14,0),""))</f>
        <v>2800</v>
      </c>
      <c r="Q63" s="61" t="str">
        <f>IF(B63="","",IFERROR(VLOOKUP(B63,'ANÁLISE DE DADOS'!$A:$AM,15,0),""))</f>
        <v>Sabrina</v>
      </c>
      <c r="R63" s="61" t="str">
        <f>IF(B63="","",IFERROR(VLOOKUP(B63,'ANÁLISE DE DADOS'!$A:$AM,16,0),""))</f>
        <v>ANALISTA LUCAS</v>
      </c>
      <c r="S63" s="61" t="str">
        <f>IF(B63="","",IFERROR(VLOOKUP(B63,'ANÁLISE DE DADOS'!$A:$AM,17,0),""))</f>
        <v>NÃO</v>
      </c>
      <c r="T63" s="61" t="str">
        <f>IF(B63="","",IFERROR(VLOOKUP(B63,'ANÁLISE DE DADOS'!$A:$AM,18,0),""))</f>
        <v>Sem Retorno</v>
      </c>
      <c r="U63" s="61" t="str">
        <f ca="1">IF(B63="","",IFERROR(VLOOKUP(B63,'ANÁLISE DE DADOS'!$A:$AM,19,0),""))</f>
        <v>Vencido</v>
      </c>
      <c r="V63" s="61">
        <f ca="1">IF(B63="","",IFERROR(VLOOKUP(B63,'ANÁLISE DE DADOS'!$A:$AM,20,0),""))</f>
        <v>58</v>
      </c>
      <c r="W63" s="61" t="str">
        <f ca="1">IF(B63="","",IFERROR(VLOOKUP(B63,'ANÁLISE DE DADOS'!$A:$AM,21,0),""))</f>
        <v>31-60 dias</v>
      </c>
      <c r="X63" s="61" t="str">
        <f ca="1">IF(B63="","",IFERROR(VLOOKUP(B63,'ANÁLISE DE DADOS'!$A:$AM,22,0),""))</f>
        <v>Atraso Médio</v>
      </c>
      <c r="Y63" s="61" t="str">
        <f>IF(B63="","",IFERROR(VLOOKUP(B63,'ANÁLISE DE DADOS'!$A:$AM,23,0),""))</f>
        <v>-</v>
      </c>
      <c r="Z63" s="61" t="str">
        <f>IF(B63="","",IFERROR(VLOOKUP(B63,'ANÁLISE DE DADOS'!$A:$AM,24,0),""))</f>
        <v>Sim</v>
      </c>
      <c r="AA63" s="61">
        <f>IF(B63="","",IFERROR(VLOOKUP(B63,'ANÁLISE DE DADOS'!$A:$AM,25,0),""))</f>
        <v>0</v>
      </c>
      <c r="AB63" s="61">
        <f>IF(B63="","",IFERROR(VLOOKUP(B63,'ANÁLISE DE DADOS'!$A:$AM,26,0),""))</f>
        <v>1</v>
      </c>
      <c r="AC63" s="61" t="str">
        <f>IF(B63="","",IFERROR(VLOOKUP(B63,'ANÁLISE DE DADOS'!$A:$AM,27,0),""))</f>
        <v>Sim</v>
      </c>
      <c r="AD63" s="62">
        <f>IF(B63="","",IFERROR(VLOOKUP(B63,'ANÁLISE DE DADOS'!$A:$AM,28,0),""))</f>
        <v>45740</v>
      </c>
      <c r="AE63" s="61" t="str">
        <f>IF(B63="","",IFERROR(VLOOKUP(B63,'ANÁLISE DE DADOS'!$A:$AM,29,0),""))</f>
        <v>mar-25</v>
      </c>
      <c r="AF63" s="61" t="str">
        <f>IF(B63="","",IFERROR(VLOOKUP(B63,'ANÁLISE DE DADOS'!$A:$AM,30,0),""))</f>
        <v>2025</v>
      </c>
      <c r="AG63" s="62">
        <f>IF(B63="","",IFERROR(VLOOKUP(B63,'ANÁLISE DE DADOS'!$A:$AM,31,0),""))</f>
        <v>45772</v>
      </c>
      <c r="AH63" s="61" t="str">
        <f>IF(B63="","",IFERROR(VLOOKUP(B63,'ANÁLISE DE DADOS'!$A:$AM,32,0),""))</f>
        <v>abr-25</v>
      </c>
      <c r="AI63" s="61" t="str">
        <f>IF(B63="","",IFERROR(VLOOKUP(B63,'ANÁLISE DE DADOS'!$A:$AM,33,0),""))</f>
        <v>2025</v>
      </c>
      <c r="AJ63" s="61" t="str">
        <f>IF(B63="","",IFERROR(VLOOKUP(B63,'ANÁLISE DE DADOS'!$A:$AM,34,0),""))</f>
        <v>Acompanhando</v>
      </c>
      <c r="AK63" s="63">
        <f ca="1">IF(B63="","",IFERROR(VLOOKUP(B63,'ANÁLISE DE DADOS'!$A:$AM,35,0),""))</f>
        <v>2800</v>
      </c>
      <c r="AL63" s="63" t="str">
        <f ca="1">IF(B63="","",IFERROR(VLOOKUP(B63,'ANÁLISE DE DADOS'!$A:$AM,36,0),""))</f>
        <v>0</v>
      </c>
      <c r="AM63" s="101" t="str">
        <f ca="1">IF(B63="","",IFERROR(VLOOKUP(B63,'ANÁLISE DE DADOS'!$A:$AM,37,0),""))</f>
        <v>Cobrança Ativa</v>
      </c>
    </row>
    <row r="64" spans="2:39" x14ac:dyDescent="0.3">
      <c r="B64" s="30">
        <v>60</v>
      </c>
      <c r="C64" s="61">
        <f>IF(B64="","",IFERROR(VLOOKUP(B64,'ANÁLISE DE DADOS'!$A:$AM,1,0),""))</f>
        <v>60</v>
      </c>
      <c r="D64" s="61" t="str">
        <f>IF(B64="","",IFERROR(VLOOKUP(B64,'ANÁLISE DE DADOS'!$A:$AM,2,0),""))</f>
        <v>Filial</v>
      </c>
      <c r="E64" s="61">
        <f>IF(B64="","",IFERROR(VLOOKUP(B64,'ANÁLISE DE DADOS'!$A:$AM,3,0),""))</f>
        <v>0</v>
      </c>
      <c r="F64" s="61" t="str">
        <f>IF(B64="","",IFERROR(VLOOKUP(B64,'ANÁLISE DE DADOS'!$A:$AM,4,0),""))</f>
        <v>InvestPro</v>
      </c>
      <c r="G64" s="62">
        <f>IF(B64="","",IFERROR(VLOOKUP(B64,'ANÁLISE DE DADOS'!$A:$AM,5,0),""))</f>
        <v>45709</v>
      </c>
      <c r="H64" s="62" t="str">
        <f>IF(B64="","",IFERROR(VLOOKUP(B64,'ANÁLISE DE DADOS'!$A:$AM,6,0),""))</f>
        <v>fev-25</v>
      </c>
      <c r="I64" s="62" t="str">
        <f>IF(B64="","",IFERROR(VLOOKUP(B64,'ANÁLISE DE DADOS'!$A:$AM,7,0),""))</f>
        <v>2025</v>
      </c>
      <c r="J64" s="62">
        <f>IF(B64="","",IFERROR(VLOOKUP(B64,'ANÁLISE DE DADOS'!$A:$AM,8,0),""))</f>
        <v>45737</v>
      </c>
      <c r="K64" s="61" t="str">
        <f>IF(B64="","",IFERROR(VLOOKUP(B64,'ANÁLISE DE DADOS'!$A:$AM,9,0),""))</f>
        <v>mar-25</v>
      </c>
      <c r="L64" s="61" t="str">
        <f>IF(B64="","",IFERROR(VLOOKUP(B64,'ANÁLISE DE DADOS'!$A:$AM,10,0),""))</f>
        <v>2025</v>
      </c>
      <c r="M64" s="62">
        <f>IF(B64="","",IFERROR(VLOOKUP(B64,'ANÁLISE DE DADOS'!$A:$AM,11,0),""))</f>
        <v>45737</v>
      </c>
      <c r="N64" s="61" t="str">
        <f>IF(B64="","",IFERROR(VLOOKUP(B64,'ANÁLISE DE DADOS'!$A:$AM,12,0),""))</f>
        <v>mar-25</v>
      </c>
      <c r="O64" s="61" t="str">
        <f>IF(B64="","",IFERROR(VLOOKUP(B64,'ANÁLISE DE DADOS'!$A:$AM,13,0),""))</f>
        <v>2025</v>
      </c>
      <c r="P64" s="63">
        <f>IF(B64="","",IFERROR(VLOOKUP(B64,'ANÁLISE DE DADOS'!$A:$AM,14,0),""))</f>
        <v>3100</v>
      </c>
      <c r="Q64" s="61" t="str">
        <f>IF(B64="","",IFERROR(VLOOKUP(B64,'ANÁLISE DE DADOS'!$A:$AM,15,0),""))</f>
        <v>Marcos</v>
      </c>
      <c r="R64" s="61" t="str">
        <f>IF(B64="","",IFERROR(VLOOKUP(B64,'ANÁLISE DE DADOS'!$A:$AM,16,0),""))</f>
        <v>ANALISTA LUCAS</v>
      </c>
      <c r="S64" s="61" t="str">
        <f>IF(B64="","",IFERROR(VLOOKUP(B64,'ANÁLISE DE DADOS'!$A:$AM,17,0),""))</f>
        <v>NÃO</v>
      </c>
      <c r="T64" s="61" t="str">
        <f>IF(B64="","",IFERROR(VLOOKUP(B64,'ANÁLISE DE DADOS'!$A:$AM,18,0),""))</f>
        <v>Sem Retorno</v>
      </c>
      <c r="U64" s="61" t="str">
        <f ca="1">IF(B64="","",IFERROR(VLOOKUP(B64,'ANÁLISE DE DADOS'!$A:$AM,19,0),""))</f>
        <v>Vencido</v>
      </c>
      <c r="V64" s="61">
        <f ca="1">IF(B64="","",IFERROR(VLOOKUP(B64,'ANÁLISE DE DADOS'!$A:$AM,20,0),""))</f>
        <v>58</v>
      </c>
      <c r="W64" s="61" t="str">
        <f ca="1">IF(B64="","",IFERROR(VLOOKUP(B64,'ANÁLISE DE DADOS'!$A:$AM,21,0),""))</f>
        <v>31-60 dias</v>
      </c>
      <c r="X64" s="61" t="str">
        <f ca="1">IF(B64="","",IFERROR(VLOOKUP(B64,'ANÁLISE DE DADOS'!$A:$AM,22,0),""))</f>
        <v>Atraso Médio</v>
      </c>
      <c r="Y64" s="61" t="str">
        <f>IF(B64="","",IFERROR(VLOOKUP(B64,'ANÁLISE DE DADOS'!$A:$AM,23,0),""))</f>
        <v>-</v>
      </c>
      <c r="Z64" s="61" t="str">
        <f>IF(B64="","",IFERROR(VLOOKUP(B64,'ANÁLISE DE DADOS'!$A:$AM,24,0),""))</f>
        <v>Sim</v>
      </c>
      <c r="AA64" s="61">
        <f>IF(B64="","",IFERROR(VLOOKUP(B64,'ANÁLISE DE DADOS'!$A:$AM,25,0),""))</f>
        <v>0</v>
      </c>
      <c r="AB64" s="61">
        <f>IF(B64="","",IFERROR(VLOOKUP(B64,'ANÁLISE DE DADOS'!$A:$AM,26,0),""))</f>
        <v>1</v>
      </c>
      <c r="AC64" s="61" t="str">
        <f>IF(B64="","",IFERROR(VLOOKUP(B64,'ANÁLISE DE DADOS'!$A:$AM,27,0),""))</f>
        <v>Sim</v>
      </c>
      <c r="AD64" s="62">
        <f>IF(B64="","",IFERROR(VLOOKUP(B64,'ANÁLISE DE DADOS'!$A:$AM,28,0),""))</f>
        <v>45740</v>
      </c>
      <c r="AE64" s="61" t="str">
        <f>IF(B64="","",IFERROR(VLOOKUP(B64,'ANÁLISE DE DADOS'!$A:$AM,29,0),""))</f>
        <v>mar-25</v>
      </c>
      <c r="AF64" s="61" t="str">
        <f>IF(B64="","",IFERROR(VLOOKUP(B64,'ANÁLISE DE DADOS'!$A:$AM,30,0),""))</f>
        <v>2025</v>
      </c>
      <c r="AG64" s="62">
        <f>IF(B64="","",IFERROR(VLOOKUP(B64,'ANÁLISE DE DADOS'!$A:$AM,31,0),""))</f>
        <v>45772</v>
      </c>
      <c r="AH64" s="61" t="str">
        <f>IF(B64="","",IFERROR(VLOOKUP(B64,'ANÁLISE DE DADOS'!$A:$AM,32,0),""))</f>
        <v>abr-25</v>
      </c>
      <c r="AI64" s="61" t="str">
        <f>IF(B64="","",IFERROR(VLOOKUP(B64,'ANÁLISE DE DADOS'!$A:$AM,33,0),""))</f>
        <v>2025</v>
      </c>
      <c r="AJ64" s="61" t="str">
        <f>IF(B64="","",IFERROR(VLOOKUP(B64,'ANÁLISE DE DADOS'!$A:$AM,34,0),""))</f>
        <v>Acompanhando</v>
      </c>
      <c r="AK64" s="63">
        <f ca="1">IF(B64="","",IFERROR(VLOOKUP(B64,'ANÁLISE DE DADOS'!$A:$AM,35,0),""))</f>
        <v>3100</v>
      </c>
      <c r="AL64" s="63" t="str">
        <f ca="1">IF(B64="","",IFERROR(VLOOKUP(B64,'ANÁLISE DE DADOS'!$A:$AM,36,0),""))</f>
        <v>0</v>
      </c>
      <c r="AM64" s="101" t="str">
        <f ca="1">IF(B64="","",IFERROR(VLOOKUP(B64,'ANÁLISE DE DADOS'!$A:$AM,37,0),""))</f>
        <v>Cobrança Ativa</v>
      </c>
    </row>
    <row r="65" spans="2:39" x14ac:dyDescent="0.3">
      <c r="B65" s="30">
        <v>61</v>
      </c>
      <c r="C65" s="61">
        <f>IF(B65="","",IFERROR(VLOOKUP(B65,'ANÁLISE DE DADOS'!$A:$AM,1,0),""))</f>
        <v>61</v>
      </c>
      <c r="D65" s="61" t="str">
        <f>IF(B65="","",IFERROR(VLOOKUP(B65,'ANÁLISE DE DADOS'!$A:$AM,2,0),""))</f>
        <v>Matriz</v>
      </c>
      <c r="E65" s="61">
        <f>IF(B65="","",IFERROR(VLOOKUP(B65,'ANÁLISE DE DADOS'!$A:$AM,3,0),""))</f>
        <v>0</v>
      </c>
      <c r="F65" s="61" t="str">
        <f>IF(B65="","",IFERROR(VLOOKUP(B65,'ANÁLISE DE DADOS'!$A:$AM,4,0),""))</f>
        <v>InvestPro</v>
      </c>
      <c r="G65" s="62">
        <f>IF(B65="","",IFERROR(VLOOKUP(B65,'ANÁLISE DE DADOS'!$A:$AM,5,0),""))</f>
        <v>45709</v>
      </c>
      <c r="H65" s="62" t="str">
        <f>IF(B65="","",IFERROR(VLOOKUP(B65,'ANÁLISE DE DADOS'!$A:$AM,6,0),""))</f>
        <v>fev-25</v>
      </c>
      <c r="I65" s="62" t="str">
        <f>IF(B65="","",IFERROR(VLOOKUP(B65,'ANÁLISE DE DADOS'!$A:$AM,7,0),""))</f>
        <v>2025</v>
      </c>
      <c r="J65" s="62">
        <f>IF(B65="","",IFERROR(VLOOKUP(B65,'ANÁLISE DE DADOS'!$A:$AM,8,0),""))</f>
        <v>45737</v>
      </c>
      <c r="K65" s="61" t="str">
        <f>IF(B65="","",IFERROR(VLOOKUP(B65,'ANÁLISE DE DADOS'!$A:$AM,9,0),""))</f>
        <v>mar-25</v>
      </c>
      <c r="L65" s="61" t="str">
        <f>IF(B65="","",IFERROR(VLOOKUP(B65,'ANÁLISE DE DADOS'!$A:$AM,10,0),""))</f>
        <v>2025</v>
      </c>
      <c r="M65" s="62">
        <f>IF(B65="","",IFERROR(VLOOKUP(B65,'ANÁLISE DE DADOS'!$A:$AM,11,0),""))</f>
        <v>45737</v>
      </c>
      <c r="N65" s="61" t="str">
        <f>IF(B65="","",IFERROR(VLOOKUP(B65,'ANÁLISE DE DADOS'!$A:$AM,12,0),""))</f>
        <v>mar-25</v>
      </c>
      <c r="O65" s="61" t="str">
        <f>IF(B65="","",IFERROR(VLOOKUP(B65,'ANÁLISE DE DADOS'!$A:$AM,13,0),""))</f>
        <v>2025</v>
      </c>
      <c r="P65" s="63">
        <f>IF(B65="","",IFERROR(VLOOKUP(B65,'ANÁLISE DE DADOS'!$A:$AM,14,0),""))</f>
        <v>1900</v>
      </c>
      <c r="Q65" s="61" t="str">
        <f>IF(B65="","",IFERROR(VLOOKUP(B65,'ANÁLISE DE DADOS'!$A:$AM,15,0),""))</f>
        <v>João</v>
      </c>
      <c r="R65" s="61" t="str">
        <f>IF(B65="","",IFERROR(VLOOKUP(B65,'ANÁLISE DE DADOS'!$A:$AM,16,0),""))</f>
        <v>ANALISTA LUCAS</v>
      </c>
      <c r="S65" s="61" t="str">
        <f>IF(B65="","",IFERROR(VLOOKUP(B65,'ANÁLISE DE DADOS'!$A:$AM,17,0),""))</f>
        <v>NÃO</v>
      </c>
      <c r="T65" s="61" t="str">
        <f>IF(B65="","",IFERROR(VLOOKUP(B65,'ANÁLISE DE DADOS'!$A:$AM,18,0),""))</f>
        <v>Sem Retorno</v>
      </c>
      <c r="U65" s="61" t="str">
        <f ca="1">IF(B65="","",IFERROR(VLOOKUP(B65,'ANÁLISE DE DADOS'!$A:$AM,19,0),""))</f>
        <v>Vencido</v>
      </c>
      <c r="V65" s="61">
        <f ca="1">IF(B65="","",IFERROR(VLOOKUP(B65,'ANÁLISE DE DADOS'!$A:$AM,20,0),""))</f>
        <v>58</v>
      </c>
      <c r="W65" s="61" t="str">
        <f ca="1">IF(B65="","",IFERROR(VLOOKUP(B65,'ANÁLISE DE DADOS'!$A:$AM,21,0),""))</f>
        <v>31-60 dias</v>
      </c>
      <c r="X65" s="61" t="str">
        <f ca="1">IF(B65="","",IFERROR(VLOOKUP(B65,'ANÁLISE DE DADOS'!$A:$AM,22,0),""))</f>
        <v>Atraso Médio</v>
      </c>
      <c r="Y65" s="61" t="str">
        <f>IF(B65="","",IFERROR(VLOOKUP(B65,'ANÁLISE DE DADOS'!$A:$AM,23,0),""))</f>
        <v>-</v>
      </c>
      <c r="Z65" s="61" t="str">
        <f>IF(B65="","",IFERROR(VLOOKUP(B65,'ANÁLISE DE DADOS'!$A:$AM,24,0),""))</f>
        <v>Sim</v>
      </c>
      <c r="AA65" s="61">
        <f>IF(B65="","",IFERROR(VLOOKUP(B65,'ANÁLISE DE DADOS'!$A:$AM,25,0),""))</f>
        <v>0</v>
      </c>
      <c r="AB65" s="61">
        <f>IF(B65="","",IFERROR(VLOOKUP(B65,'ANÁLISE DE DADOS'!$A:$AM,26,0),""))</f>
        <v>1</v>
      </c>
      <c r="AC65" s="61" t="str">
        <f>IF(B65="","",IFERROR(VLOOKUP(B65,'ANÁLISE DE DADOS'!$A:$AM,27,0),""))</f>
        <v>Sim</v>
      </c>
      <c r="AD65" s="62">
        <f>IF(B65="","",IFERROR(VLOOKUP(B65,'ANÁLISE DE DADOS'!$A:$AM,28,0),""))</f>
        <v>45740</v>
      </c>
      <c r="AE65" s="61" t="str">
        <f>IF(B65="","",IFERROR(VLOOKUP(B65,'ANÁLISE DE DADOS'!$A:$AM,29,0),""))</f>
        <v>mar-25</v>
      </c>
      <c r="AF65" s="61" t="str">
        <f>IF(B65="","",IFERROR(VLOOKUP(B65,'ANÁLISE DE DADOS'!$A:$AM,30,0),""))</f>
        <v>2025</v>
      </c>
      <c r="AG65" s="62">
        <f>IF(B65="","",IFERROR(VLOOKUP(B65,'ANÁLISE DE DADOS'!$A:$AM,31,0),""))</f>
        <v>45772</v>
      </c>
      <c r="AH65" s="61" t="str">
        <f>IF(B65="","",IFERROR(VLOOKUP(B65,'ANÁLISE DE DADOS'!$A:$AM,32,0),""))</f>
        <v>abr-25</v>
      </c>
      <c r="AI65" s="61" t="str">
        <f>IF(B65="","",IFERROR(VLOOKUP(B65,'ANÁLISE DE DADOS'!$A:$AM,33,0),""))</f>
        <v>2025</v>
      </c>
      <c r="AJ65" s="61" t="str">
        <f>IF(B65="","",IFERROR(VLOOKUP(B65,'ANÁLISE DE DADOS'!$A:$AM,34,0),""))</f>
        <v>Acompanhando</v>
      </c>
      <c r="AK65" s="63">
        <f ca="1">IF(B65="","",IFERROR(VLOOKUP(B65,'ANÁLISE DE DADOS'!$A:$AM,35,0),""))</f>
        <v>1900</v>
      </c>
      <c r="AL65" s="63" t="str">
        <f ca="1">IF(B65="","",IFERROR(VLOOKUP(B65,'ANÁLISE DE DADOS'!$A:$AM,36,0),""))</f>
        <v>0</v>
      </c>
      <c r="AM65" s="101" t="str">
        <f ca="1">IF(B65="","",IFERROR(VLOOKUP(B65,'ANÁLISE DE DADOS'!$A:$AM,37,0),""))</f>
        <v>Cobrança Ativa</v>
      </c>
    </row>
    <row r="66" spans="2:39" x14ac:dyDescent="0.3">
      <c r="B66" s="30">
        <v>62</v>
      </c>
      <c r="C66" s="61">
        <f>IF(B66="","",IFERROR(VLOOKUP(B66,'ANÁLISE DE DADOS'!$A:$AM,1,0),""))</f>
        <v>62</v>
      </c>
      <c r="D66" s="61" t="str">
        <f>IF(B66="","",IFERROR(VLOOKUP(B66,'ANÁLISE DE DADOS'!$A:$AM,2,0),""))</f>
        <v>Filial</v>
      </c>
      <c r="E66" s="61">
        <f>IF(B66="","",IFERROR(VLOOKUP(B66,'ANÁLISE DE DADOS'!$A:$AM,3,0),""))</f>
        <v>0</v>
      </c>
      <c r="F66" s="61" t="str">
        <f>IF(B66="","",IFERROR(VLOOKUP(B66,'ANÁLISE DE DADOS'!$A:$AM,4,0),""))</f>
        <v>NovaHorizonte</v>
      </c>
      <c r="G66" s="62">
        <f>IF(B66="","",IFERROR(VLOOKUP(B66,'ANÁLISE DE DADOS'!$A:$AM,5,0),""))</f>
        <v>45709</v>
      </c>
      <c r="H66" s="62" t="str">
        <f>IF(B66="","",IFERROR(VLOOKUP(B66,'ANÁLISE DE DADOS'!$A:$AM,6,0),""))</f>
        <v>fev-25</v>
      </c>
      <c r="I66" s="62" t="str">
        <f>IF(B66="","",IFERROR(VLOOKUP(B66,'ANÁLISE DE DADOS'!$A:$AM,7,0),""))</f>
        <v>2025</v>
      </c>
      <c r="J66" s="62">
        <f>IF(B66="","",IFERROR(VLOOKUP(B66,'ANÁLISE DE DADOS'!$A:$AM,8,0),""))</f>
        <v>45737</v>
      </c>
      <c r="K66" s="61" t="str">
        <f>IF(B66="","",IFERROR(VLOOKUP(B66,'ANÁLISE DE DADOS'!$A:$AM,9,0),""))</f>
        <v>mar-25</v>
      </c>
      <c r="L66" s="61" t="str">
        <f>IF(B66="","",IFERROR(VLOOKUP(B66,'ANÁLISE DE DADOS'!$A:$AM,10,0),""))</f>
        <v>2025</v>
      </c>
      <c r="M66" s="62">
        <f>IF(B66="","",IFERROR(VLOOKUP(B66,'ANÁLISE DE DADOS'!$A:$AM,11,0),""))</f>
        <v>45737</v>
      </c>
      <c r="N66" s="61" t="str">
        <f>IF(B66="","",IFERROR(VLOOKUP(B66,'ANÁLISE DE DADOS'!$A:$AM,12,0),""))</f>
        <v>mar-25</v>
      </c>
      <c r="O66" s="61" t="str">
        <f>IF(B66="","",IFERROR(VLOOKUP(B66,'ANÁLISE DE DADOS'!$A:$AM,13,0),""))</f>
        <v>2025</v>
      </c>
      <c r="P66" s="63">
        <f>IF(B66="","",IFERROR(VLOOKUP(B66,'ANÁLISE DE DADOS'!$A:$AM,14,0),""))</f>
        <v>2300</v>
      </c>
      <c r="Q66" s="61" t="str">
        <f>IF(B66="","",IFERROR(VLOOKUP(B66,'ANÁLISE DE DADOS'!$A:$AM,15,0),""))</f>
        <v>Maria</v>
      </c>
      <c r="R66" s="61" t="str">
        <f>IF(B66="","",IFERROR(VLOOKUP(B66,'ANÁLISE DE DADOS'!$A:$AM,16,0),""))</f>
        <v>ANALISTA LUCAS</v>
      </c>
      <c r="S66" s="61" t="str">
        <f>IF(B66="","",IFERROR(VLOOKUP(B66,'ANÁLISE DE DADOS'!$A:$AM,17,0),""))</f>
        <v>NÃO</v>
      </c>
      <c r="T66" s="61" t="str">
        <f>IF(B66="","",IFERROR(VLOOKUP(B66,'ANÁLISE DE DADOS'!$A:$AM,18,0),""))</f>
        <v>Sem Retorno</v>
      </c>
      <c r="U66" s="61" t="str">
        <f ca="1">IF(B66="","",IFERROR(VLOOKUP(B66,'ANÁLISE DE DADOS'!$A:$AM,19,0),""))</f>
        <v>Vencido</v>
      </c>
      <c r="V66" s="61">
        <f ca="1">IF(B66="","",IFERROR(VLOOKUP(B66,'ANÁLISE DE DADOS'!$A:$AM,20,0),""))</f>
        <v>58</v>
      </c>
      <c r="W66" s="61" t="str">
        <f ca="1">IF(B66="","",IFERROR(VLOOKUP(B66,'ANÁLISE DE DADOS'!$A:$AM,21,0),""))</f>
        <v>31-60 dias</v>
      </c>
      <c r="X66" s="61" t="str">
        <f ca="1">IF(B66="","",IFERROR(VLOOKUP(B66,'ANÁLISE DE DADOS'!$A:$AM,22,0),""))</f>
        <v>Atraso Médio</v>
      </c>
      <c r="Y66" s="61" t="str">
        <f>IF(B66="","",IFERROR(VLOOKUP(B66,'ANÁLISE DE DADOS'!$A:$AM,23,0),""))</f>
        <v>-</v>
      </c>
      <c r="Z66" s="61" t="str">
        <f>IF(B66="","",IFERROR(VLOOKUP(B66,'ANÁLISE DE DADOS'!$A:$AM,24,0),""))</f>
        <v>Sim</v>
      </c>
      <c r="AA66" s="61">
        <f>IF(B66="","",IFERROR(VLOOKUP(B66,'ANÁLISE DE DADOS'!$A:$AM,25,0),""))</f>
        <v>0</v>
      </c>
      <c r="AB66" s="61">
        <f>IF(B66="","",IFERROR(VLOOKUP(B66,'ANÁLISE DE DADOS'!$A:$AM,26,0),""))</f>
        <v>1</v>
      </c>
      <c r="AC66" s="61" t="str">
        <f>IF(B66="","",IFERROR(VLOOKUP(B66,'ANÁLISE DE DADOS'!$A:$AM,27,0),""))</f>
        <v>Sim</v>
      </c>
      <c r="AD66" s="62">
        <f>IF(B66="","",IFERROR(VLOOKUP(B66,'ANÁLISE DE DADOS'!$A:$AM,28,0),""))</f>
        <v>45740</v>
      </c>
      <c r="AE66" s="61" t="str">
        <f>IF(B66="","",IFERROR(VLOOKUP(B66,'ANÁLISE DE DADOS'!$A:$AM,29,0),""))</f>
        <v>mar-25</v>
      </c>
      <c r="AF66" s="61" t="str">
        <f>IF(B66="","",IFERROR(VLOOKUP(B66,'ANÁLISE DE DADOS'!$A:$AM,30,0),""))</f>
        <v>2025</v>
      </c>
      <c r="AG66" s="62">
        <f>IF(B66="","",IFERROR(VLOOKUP(B66,'ANÁLISE DE DADOS'!$A:$AM,31,0),""))</f>
        <v>45772</v>
      </c>
      <c r="AH66" s="61" t="str">
        <f>IF(B66="","",IFERROR(VLOOKUP(B66,'ANÁLISE DE DADOS'!$A:$AM,32,0),""))</f>
        <v>abr-25</v>
      </c>
      <c r="AI66" s="61" t="str">
        <f>IF(B66="","",IFERROR(VLOOKUP(B66,'ANÁLISE DE DADOS'!$A:$AM,33,0),""))</f>
        <v>2025</v>
      </c>
      <c r="AJ66" s="61" t="str">
        <f>IF(B66="","",IFERROR(VLOOKUP(B66,'ANÁLISE DE DADOS'!$A:$AM,34,0),""))</f>
        <v>Acompanhando</v>
      </c>
      <c r="AK66" s="63">
        <f ca="1">IF(B66="","",IFERROR(VLOOKUP(B66,'ANÁLISE DE DADOS'!$A:$AM,35,0),""))</f>
        <v>2300</v>
      </c>
      <c r="AL66" s="63" t="str">
        <f ca="1">IF(B66="","",IFERROR(VLOOKUP(B66,'ANÁLISE DE DADOS'!$A:$AM,36,0),""))</f>
        <v>0</v>
      </c>
      <c r="AM66" s="101" t="str">
        <f ca="1">IF(B66="","",IFERROR(VLOOKUP(B66,'ANÁLISE DE DADOS'!$A:$AM,37,0),""))</f>
        <v>Cobrança Ativa</v>
      </c>
    </row>
    <row r="67" spans="2:39" x14ac:dyDescent="0.3">
      <c r="B67" s="30">
        <v>63</v>
      </c>
      <c r="C67" s="61">
        <f>IF(B67="","",IFERROR(VLOOKUP(B67,'ANÁLISE DE DADOS'!$A:$AM,1,0),""))</f>
        <v>63</v>
      </c>
      <c r="D67" s="61" t="str">
        <f>IF(B67="","",IFERROR(VLOOKUP(B67,'ANÁLISE DE DADOS'!$A:$AM,2,0),""))</f>
        <v>Matriz</v>
      </c>
      <c r="E67" s="61">
        <f>IF(B67="","",IFERROR(VLOOKUP(B67,'ANÁLISE DE DADOS'!$A:$AM,3,0),""))</f>
        <v>0</v>
      </c>
      <c r="F67" s="61" t="str">
        <f>IF(B67="","",IFERROR(VLOOKUP(B67,'ANÁLISE DE DADOS'!$A:$AM,4,0),""))</f>
        <v>NovaHorizonte</v>
      </c>
      <c r="G67" s="62">
        <f>IF(B67="","",IFERROR(VLOOKUP(B67,'ANÁLISE DE DADOS'!$A:$AM,5,0),""))</f>
        <v>45709</v>
      </c>
      <c r="H67" s="62" t="str">
        <f>IF(B67="","",IFERROR(VLOOKUP(B67,'ANÁLISE DE DADOS'!$A:$AM,6,0),""))</f>
        <v>fev-25</v>
      </c>
      <c r="I67" s="62" t="str">
        <f>IF(B67="","",IFERROR(VLOOKUP(B67,'ANÁLISE DE DADOS'!$A:$AM,7,0),""))</f>
        <v>2025</v>
      </c>
      <c r="J67" s="62">
        <f>IF(B67="","",IFERROR(VLOOKUP(B67,'ANÁLISE DE DADOS'!$A:$AM,8,0),""))</f>
        <v>45737</v>
      </c>
      <c r="K67" s="61" t="str">
        <f>IF(B67="","",IFERROR(VLOOKUP(B67,'ANÁLISE DE DADOS'!$A:$AM,9,0),""))</f>
        <v>mar-25</v>
      </c>
      <c r="L67" s="61" t="str">
        <f>IF(B67="","",IFERROR(VLOOKUP(B67,'ANÁLISE DE DADOS'!$A:$AM,10,0),""))</f>
        <v>2025</v>
      </c>
      <c r="M67" s="62">
        <f>IF(B67="","",IFERROR(VLOOKUP(B67,'ANÁLISE DE DADOS'!$A:$AM,11,0),""))</f>
        <v>45737</v>
      </c>
      <c r="N67" s="61" t="str">
        <f>IF(B67="","",IFERROR(VLOOKUP(B67,'ANÁLISE DE DADOS'!$A:$AM,12,0),""))</f>
        <v>mar-25</v>
      </c>
      <c r="O67" s="61" t="str">
        <f>IF(B67="","",IFERROR(VLOOKUP(B67,'ANÁLISE DE DADOS'!$A:$AM,13,0),""))</f>
        <v>2025</v>
      </c>
      <c r="P67" s="63">
        <f>IF(B67="","",IFERROR(VLOOKUP(B67,'ANÁLISE DE DADOS'!$A:$AM,14,0),""))</f>
        <v>1700</v>
      </c>
      <c r="Q67" s="61" t="str">
        <f>IF(B67="","",IFERROR(VLOOKUP(B67,'ANÁLISE DE DADOS'!$A:$AM,15,0),""))</f>
        <v>Carlos</v>
      </c>
      <c r="R67" s="61" t="str">
        <f>IF(B67="","",IFERROR(VLOOKUP(B67,'ANÁLISE DE DADOS'!$A:$AM,16,0),""))</f>
        <v>ANALISTA LUCAS</v>
      </c>
      <c r="S67" s="61" t="str">
        <f>IF(B67="","",IFERROR(VLOOKUP(B67,'ANÁLISE DE DADOS'!$A:$AM,17,0),""))</f>
        <v>NÃO</v>
      </c>
      <c r="T67" s="61" t="str">
        <f>IF(B67="","",IFERROR(VLOOKUP(B67,'ANÁLISE DE DADOS'!$A:$AM,18,0),""))</f>
        <v>Sem Retorno</v>
      </c>
      <c r="U67" s="61" t="str">
        <f ca="1">IF(B67="","",IFERROR(VLOOKUP(B67,'ANÁLISE DE DADOS'!$A:$AM,19,0),""))</f>
        <v>Vencido</v>
      </c>
      <c r="V67" s="61">
        <f ca="1">IF(B67="","",IFERROR(VLOOKUP(B67,'ANÁLISE DE DADOS'!$A:$AM,20,0),""))</f>
        <v>58</v>
      </c>
      <c r="W67" s="61" t="str">
        <f ca="1">IF(B67="","",IFERROR(VLOOKUP(B67,'ANÁLISE DE DADOS'!$A:$AM,21,0),""))</f>
        <v>31-60 dias</v>
      </c>
      <c r="X67" s="61" t="str">
        <f ca="1">IF(B67="","",IFERROR(VLOOKUP(B67,'ANÁLISE DE DADOS'!$A:$AM,22,0),""))</f>
        <v>Atraso Médio</v>
      </c>
      <c r="Y67" s="61" t="str">
        <f>IF(B67="","",IFERROR(VLOOKUP(B67,'ANÁLISE DE DADOS'!$A:$AM,23,0),""))</f>
        <v>-</v>
      </c>
      <c r="Z67" s="61" t="str">
        <f>IF(B67="","",IFERROR(VLOOKUP(B67,'ANÁLISE DE DADOS'!$A:$AM,24,0),""))</f>
        <v>Sim</v>
      </c>
      <c r="AA67" s="61">
        <f>IF(B67="","",IFERROR(VLOOKUP(B67,'ANÁLISE DE DADOS'!$A:$AM,25,0),""))</f>
        <v>0</v>
      </c>
      <c r="AB67" s="61">
        <f>IF(B67="","",IFERROR(VLOOKUP(B67,'ANÁLISE DE DADOS'!$A:$AM,26,0),""))</f>
        <v>1</v>
      </c>
      <c r="AC67" s="61" t="str">
        <f>IF(B67="","",IFERROR(VLOOKUP(B67,'ANÁLISE DE DADOS'!$A:$AM,27,0),""))</f>
        <v>Sim</v>
      </c>
      <c r="AD67" s="62">
        <f>IF(B67="","",IFERROR(VLOOKUP(B67,'ANÁLISE DE DADOS'!$A:$AM,28,0),""))</f>
        <v>45740</v>
      </c>
      <c r="AE67" s="61" t="str">
        <f>IF(B67="","",IFERROR(VLOOKUP(B67,'ANÁLISE DE DADOS'!$A:$AM,29,0),""))</f>
        <v>mar-25</v>
      </c>
      <c r="AF67" s="61" t="str">
        <f>IF(B67="","",IFERROR(VLOOKUP(B67,'ANÁLISE DE DADOS'!$A:$AM,30,0),""))</f>
        <v>2025</v>
      </c>
      <c r="AG67" s="62">
        <f>IF(B67="","",IFERROR(VLOOKUP(B67,'ANÁLISE DE DADOS'!$A:$AM,31,0),""))</f>
        <v>45772</v>
      </c>
      <c r="AH67" s="61" t="str">
        <f>IF(B67="","",IFERROR(VLOOKUP(B67,'ANÁLISE DE DADOS'!$A:$AM,32,0),""))</f>
        <v>abr-25</v>
      </c>
      <c r="AI67" s="61" t="str">
        <f>IF(B67="","",IFERROR(VLOOKUP(B67,'ANÁLISE DE DADOS'!$A:$AM,33,0),""))</f>
        <v>2025</v>
      </c>
      <c r="AJ67" s="61" t="str">
        <f>IF(B67="","",IFERROR(VLOOKUP(B67,'ANÁLISE DE DADOS'!$A:$AM,34,0),""))</f>
        <v>Acompanhando</v>
      </c>
      <c r="AK67" s="63">
        <f ca="1">IF(B67="","",IFERROR(VLOOKUP(B67,'ANÁLISE DE DADOS'!$A:$AM,35,0),""))</f>
        <v>1700</v>
      </c>
      <c r="AL67" s="63" t="str">
        <f ca="1">IF(B67="","",IFERROR(VLOOKUP(B67,'ANÁLISE DE DADOS'!$A:$AM,36,0),""))</f>
        <v>0</v>
      </c>
      <c r="AM67" s="101" t="str">
        <f ca="1">IF(B67="","",IFERROR(VLOOKUP(B67,'ANÁLISE DE DADOS'!$A:$AM,37,0),""))</f>
        <v>Cobrança Ativa</v>
      </c>
    </row>
    <row r="68" spans="2:39" x14ac:dyDescent="0.3">
      <c r="B68" s="30">
        <v>64</v>
      </c>
      <c r="C68" s="61">
        <f>IF(B68="","",IFERROR(VLOOKUP(B68,'ANÁLISE DE DADOS'!$A:$AM,1,0),""))</f>
        <v>64</v>
      </c>
      <c r="D68" s="61" t="str">
        <f>IF(B68="","",IFERROR(VLOOKUP(B68,'ANÁLISE DE DADOS'!$A:$AM,2,0),""))</f>
        <v>Filial</v>
      </c>
      <c r="E68" s="61">
        <f>IF(B68="","",IFERROR(VLOOKUP(B68,'ANÁLISE DE DADOS'!$A:$AM,3,0),""))</f>
        <v>0</v>
      </c>
      <c r="F68" s="61" t="str">
        <f>IF(B68="","",IFERROR(VLOOKUP(B68,'ANÁLISE DE DADOS'!$A:$AM,4,0),""))</f>
        <v>NovaHorizonte</v>
      </c>
      <c r="G68" s="62">
        <f>IF(B68="","",IFERROR(VLOOKUP(B68,'ANÁLISE DE DADOS'!$A:$AM,5,0),""))</f>
        <v>45709</v>
      </c>
      <c r="H68" s="62" t="str">
        <f>IF(B68="","",IFERROR(VLOOKUP(B68,'ANÁLISE DE DADOS'!$A:$AM,6,0),""))</f>
        <v>fev-25</v>
      </c>
      <c r="I68" s="62" t="str">
        <f>IF(B68="","",IFERROR(VLOOKUP(B68,'ANÁLISE DE DADOS'!$A:$AM,7,0),""))</f>
        <v>2025</v>
      </c>
      <c r="J68" s="62">
        <f>IF(B68="","",IFERROR(VLOOKUP(B68,'ANÁLISE DE DADOS'!$A:$AM,8,0),""))</f>
        <v>45737</v>
      </c>
      <c r="K68" s="61" t="str">
        <f>IF(B68="","",IFERROR(VLOOKUP(B68,'ANÁLISE DE DADOS'!$A:$AM,9,0),""))</f>
        <v>mar-25</v>
      </c>
      <c r="L68" s="61" t="str">
        <f>IF(B68="","",IFERROR(VLOOKUP(B68,'ANÁLISE DE DADOS'!$A:$AM,10,0),""))</f>
        <v>2025</v>
      </c>
      <c r="M68" s="62">
        <f>IF(B68="","",IFERROR(VLOOKUP(B68,'ANÁLISE DE DADOS'!$A:$AM,11,0),""))</f>
        <v>45737</v>
      </c>
      <c r="N68" s="61" t="str">
        <f>IF(B68="","",IFERROR(VLOOKUP(B68,'ANÁLISE DE DADOS'!$A:$AM,12,0),""))</f>
        <v>mar-25</v>
      </c>
      <c r="O68" s="61" t="str">
        <f>IF(B68="","",IFERROR(VLOOKUP(B68,'ANÁLISE DE DADOS'!$A:$AM,13,0),""))</f>
        <v>2025</v>
      </c>
      <c r="P68" s="63">
        <f>IF(B68="","",IFERROR(VLOOKUP(B68,'ANÁLISE DE DADOS'!$A:$AM,14,0),""))</f>
        <v>2200</v>
      </c>
      <c r="Q68" s="61" t="str">
        <f>IF(B68="","",IFERROR(VLOOKUP(B68,'ANÁLISE DE DADOS'!$A:$AM,15,0),""))</f>
        <v>Ana</v>
      </c>
      <c r="R68" s="61" t="str">
        <f>IF(B68="","",IFERROR(VLOOKUP(B68,'ANÁLISE DE DADOS'!$A:$AM,16,0),""))</f>
        <v>ANALISTA LUCAS</v>
      </c>
      <c r="S68" s="61" t="str">
        <f>IF(B68="","",IFERROR(VLOOKUP(B68,'ANÁLISE DE DADOS'!$A:$AM,17,0),""))</f>
        <v>NÃO</v>
      </c>
      <c r="T68" s="61" t="str">
        <f>IF(B68="","",IFERROR(VLOOKUP(B68,'ANÁLISE DE DADOS'!$A:$AM,18,0),""))</f>
        <v>Sem Retorno</v>
      </c>
      <c r="U68" s="61" t="str">
        <f ca="1">IF(B68="","",IFERROR(VLOOKUP(B68,'ANÁLISE DE DADOS'!$A:$AM,19,0),""))</f>
        <v>Vencido</v>
      </c>
      <c r="V68" s="61">
        <f ca="1">IF(B68="","",IFERROR(VLOOKUP(B68,'ANÁLISE DE DADOS'!$A:$AM,20,0),""))</f>
        <v>58</v>
      </c>
      <c r="W68" s="61" t="str">
        <f ca="1">IF(B68="","",IFERROR(VLOOKUP(B68,'ANÁLISE DE DADOS'!$A:$AM,21,0),""))</f>
        <v>31-60 dias</v>
      </c>
      <c r="X68" s="61" t="str">
        <f ca="1">IF(B68="","",IFERROR(VLOOKUP(B68,'ANÁLISE DE DADOS'!$A:$AM,22,0),""))</f>
        <v>Atraso Médio</v>
      </c>
      <c r="Y68" s="61" t="str">
        <f>IF(B68="","",IFERROR(VLOOKUP(B68,'ANÁLISE DE DADOS'!$A:$AM,23,0),""))</f>
        <v>-</v>
      </c>
      <c r="Z68" s="61" t="str">
        <f>IF(B68="","",IFERROR(VLOOKUP(B68,'ANÁLISE DE DADOS'!$A:$AM,24,0),""))</f>
        <v>Sim</v>
      </c>
      <c r="AA68" s="61">
        <f>IF(B68="","",IFERROR(VLOOKUP(B68,'ANÁLISE DE DADOS'!$A:$AM,25,0),""))</f>
        <v>0</v>
      </c>
      <c r="AB68" s="61">
        <f>IF(B68="","",IFERROR(VLOOKUP(B68,'ANÁLISE DE DADOS'!$A:$AM,26,0),""))</f>
        <v>1</v>
      </c>
      <c r="AC68" s="61" t="str">
        <f>IF(B68="","",IFERROR(VLOOKUP(B68,'ANÁLISE DE DADOS'!$A:$AM,27,0),""))</f>
        <v>Sim</v>
      </c>
      <c r="AD68" s="62">
        <f>IF(B68="","",IFERROR(VLOOKUP(B68,'ANÁLISE DE DADOS'!$A:$AM,28,0),""))</f>
        <v>45740</v>
      </c>
      <c r="AE68" s="61" t="str">
        <f>IF(B68="","",IFERROR(VLOOKUP(B68,'ANÁLISE DE DADOS'!$A:$AM,29,0),""))</f>
        <v>mar-25</v>
      </c>
      <c r="AF68" s="61" t="str">
        <f>IF(B68="","",IFERROR(VLOOKUP(B68,'ANÁLISE DE DADOS'!$A:$AM,30,0),""))</f>
        <v>2025</v>
      </c>
      <c r="AG68" s="62">
        <f>IF(B68="","",IFERROR(VLOOKUP(B68,'ANÁLISE DE DADOS'!$A:$AM,31,0),""))</f>
        <v>45772</v>
      </c>
      <c r="AH68" s="61" t="str">
        <f>IF(B68="","",IFERROR(VLOOKUP(B68,'ANÁLISE DE DADOS'!$A:$AM,32,0),""))</f>
        <v>abr-25</v>
      </c>
      <c r="AI68" s="61" t="str">
        <f>IF(B68="","",IFERROR(VLOOKUP(B68,'ANÁLISE DE DADOS'!$A:$AM,33,0),""))</f>
        <v>2025</v>
      </c>
      <c r="AJ68" s="61" t="str">
        <f>IF(B68="","",IFERROR(VLOOKUP(B68,'ANÁLISE DE DADOS'!$A:$AM,34,0),""))</f>
        <v>Acompanhando</v>
      </c>
      <c r="AK68" s="63">
        <f ca="1">IF(B68="","",IFERROR(VLOOKUP(B68,'ANÁLISE DE DADOS'!$A:$AM,35,0),""))</f>
        <v>2200</v>
      </c>
      <c r="AL68" s="63" t="str">
        <f ca="1">IF(B68="","",IFERROR(VLOOKUP(B68,'ANÁLISE DE DADOS'!$A:$AM,36,0),""))</f>
        <v>0</v>
      </c>
      <c r="AM68" s="101" t="str">
        <f ca="1">IF(B68="","",IFERROR(VLOOKUP(B68,'ANÁLISE DE DADOS'!$A:$AM,37,0),""))</f>
        <v>Cobrança Ativa</v>
      </c>
    </row>
    <row r="69" spans="2:39" x14ac:dyDescent="0.3">
      <c r="B69" s="30">
        <v>65</v>
      </c>
      <c r="C69" s="61">
        <f>IF(B69="","",IFERROR(VLOOKUP(B69,'ANÁLISE DE DADOS'!$A:$AM,1,0),""))</f>
        <v>65</v>
      </c>
      <c r="D69" s="61" t="str">
        <f>IF(B69="","",IFERROR(VLOOKUP(B69,'ANÁLISE DE DADOS'!$A:$AM,2,0),""))</f>
        <v>Matriz</v>
      </c>
      <c r="E69" s="61">
        <f>IF(B69="","",IFERROR(VLOOKUP(B69,'ANÁLISE DE DADOS'!$A:$AM,3,0),""))</f>
        <v>0</v>
      </c>
      <c r="F69" s="61" t="str">
        <f>IF(B69="","",IFERROR(VLOOKUP(B69,'ANÁLISE DE DADOS'!$A:$AM,4,0),""))</f>
        <v>NovaHorizonte</v>
      </c>
      <c r="G69" s="62">
        <f>IF(B69="","",IFERROR(VLOOKUP(B69,'ANÁLISE DE DADOS'!$A:$AM,5,0),""))</f>
        <v>45709</v>
      </c>
      <c r="H69" s="62" t="str">
        <f>IF(B69="","",IFERROR(VLOOKUP(B69,'ANÁLISE DE DADOS'!$A:$AM,6,0),""))</f>
        <v>fev-25</v>
      </c>
      <c r="I69" s="62" t="str">
        <f>IF(B69="","",IFERROR(VLOOKUP(B69,'ANÁLISE DE DADOS'!$A:$AM,7,0),""))</f>
        <v>2025</v>
      </c>
      <c r="J69" s="62">
        <f>IF(B69="","",IFERROR(VLOOKUP(B69,'ANÁLISE DE DADOS'!$A:$AM,8,0),""))</f>
        <v>45737</v>
      </c>
      <c r="K69" s="61" t="str">
        <f>IF(B69="","",IFERROR(VLOOKUP(B69,'ANÁLISE DE DADOS'!$A:$AM,9,0),""))</f>
        <v>mar-25</v>
      </c>
      <c r="L69" s="61" t="str">
        <f>IF(B69="","",IFERROR(VLOOKUP(B69,'ANÁLISE DE DADOS'!$A:$AM,10,0),""))</f>
        <v>2025</v>
      </c>
      <c r="M69" s="62">
        <f>IF(B69="","",IFERROR(VLOOKUP(B69,'ANÁLISE DE DADOS'!$A:$AM,11,0),""))</f>
        <v>45737</v>
      </c>
      <c r="N69" s="61" t="str">
        <f>IF(B69="","",IFERROR(VLOOKUP(B69,'ANÁLISE DE DADOS'!$A:$AM,12,0),""))</f>
        <v>mar-25</v>
      </c>
      <c r="O69" s="61" t="str">
        <f>IF(B69="","",IFERROR(VLOOKUP(B69,'ANÁLISE DE DADOS'!$A:$AM,13,0),""))</f>
        <v>2025</v>
      </c>
      <c r="P69" s="63">
        <f>IF(B69="","",IFERROR(VLOOKUP(B69,'ANÁLISE DE DADOS'!$A:$AM,14,0),""))</f>
        <v>2500</v>
      </c>
      <c r="Q69" s="61" t="str">
        <f>IF(B69="","",IFERROR(VLOOKUP(B69,'ANÁLISE DE DADOS'!$A:$AM,15,0),""))</f>
        <v>Beatriz</v>
      </c>
      <c r="R69" s="61" t="str">
        <f>IF(B69="","",IFERROR(VLOOKUP(B69,'ANÁLISE DE DADOS'!$A:$AM,16,0),""))</f>
        <v>ANALISTA LUCAS</v>
      </c>
      <c r="S69" s="61" t="str">
        <f>IF(B69="","",IFERROR(VLOOKUP(B69,'ANÁLISE DE DADOS'!$A:$AM,17,0),""))</f>
        <v>NÃO</v>
      </c>
      <c r="T69" s="61" t="str">
        <f>IF(B69="","",IFERROR(VLOOKUP(B69,'ANÁLISE DE DADOS'!$A:$AM,18,0),""))</f>
        <v>Sem Retorno</v>
      </c>
      <c r="U69" s="61" t="str">
        <f ca="1">IF(B69="","",IFERROR(VLOOKUP(B69,'ANÁLISE DE DADOS'!$A:$AM,19,0),""))</f>
        <v>Vencido</v>
      </c>
      <c r="V69" s="61">
        <f ca="1">IF(B69="","",IFERROR(VLOOKUP(B69,'ANÁLISE DE DADOS'!$A:$AM,20,0),""))</f>
        <v>58</v>
      </c>
      <c r="W69" s="61" t="str">
        <f ca="1">IF(B69="","",IFERROR(VLOOKUP(B69,'ANÁLISE DE DADOS'!$A:$AM,21,0),""))</f>
        <v>31-60 dias</v>
      </c>
      <c r="X69" s="61" t="str">
        <f ca="1">IF(B69="","",IFERROR(VLOOKUP(B69,'ANÁLISE DE DADOS'!$A:$AM,22,0),""))</f>
        <v>Atraso Médio</v>
      </c>
      <c r="Y69" s="61" t="str">
        <f>IF(B69="","",IFERROR(VLOOKUP(B69,'ANÁLISE DE DADOS'!$A:$AM,23,0),""))</f>
        <v>-</v>
      </c>
      <c r="Z69" s="61" t="str">
        <f>IF(B69="","",IFERROR(VLOOKUP(B69,'ANÁLISE DE DADOS'!$A:$AM,24,0),""))</f>
        <v>Sim</v>
      </c>
      <c r="AA69" s="61">
        <f>IF(B69="","",IFERROR(VLOOKUP(B69,'ANÁLISE DE DADOS'!$A:$AM,25,0),""))</f>
        <v>0</v>
      </c>
      <c r="AB69" s="61">
        <f>IF(B69="","",IFERROR(VLOOKUP(B69,'ANÁLISE DE DADOS'!$A:$AM,26,0),""))</f>
        <v>1</v>
      </c>
      <c r="AC69" s="61" t="str">
        <f>IF(B69="","",IFERROR(VLOOKUP(B69,'ANÁLISE DE DADOS'!$A:$AM,27,0),""))</f>
        <v>Sim</v>
      </c>
      <c r="AD69" s="62">
        <f>IF(B69="","",IFERROR(VLOOKUP(B69,'ANÁLISE DE DADOS'!$A:$AM,28,0),""))</f>
        <v>45740</v>
      </c>
      <c r="AE69" s="61" t="str">
        <f>IF(B69="","",IFERROR(VLOOKUP(B69,'ANÁLISE DE DADOS'!$A:$AM,29,0),""))</f>
        <v>mar-25</v>
      </c>
      <c r="AF69" s="61" t="str">
        <f>IF(B69="","",IFERROR(VLOOKUP(B69,'ANÁLISE DE DADOS'!$A:$AM,30,0),""))</f>
        <v>2025</v>
      </c>
      <c r="AG69" s="62">
        <f>IF(B69="","",IFERROR(VLOOKUP(B69,'ANÁLISE DE DADOS'!$A:$AM,31,0),""))</f>
        <v>45772</v>
      </c>
      <c r="AH69" s="61" t="str">
        <f>IF(B69="","",IFERROR(VLOOKUP(B69,'ANÁLISE DE DADOS'!$A:$AM,32,0),""))</f>
        <v>abr-25</v>
      </c>
      <c r="AI69" s="61" t="str">
        <f>IF(B69="","",IFERROR(VLOOKUP(B69,'ANÁLISE DE DADOS'!$A:$AM,33,0),""))</f>
        <v>2025</v>
      </c>
      <c r="AJ69" s="61" t="str">
        <f>IF(B69="","",IFERROR(VLOOKUP(B69,'ANÁLISE DE DADOS'!$A:$AM,34,0),""))</f>
        <v>Acompanhando</v>
      </c>
      <c r="AK69" s="63">
        <f ca="1">IF(B69="","",IFERROR(VLOOKUP(B69,'ANÁLISE DE DADOS'!$A:$AM,35,0),""))</f>
        <v>2500</v>
      </c>
      <c r="AL69" s="63" t="str">
        <f ca="1">IF(B69="","",IFERROR(VLOOKUP(B69,'ANÁLISE DE DADOS'!$A:$AM,36,0),""))</f>
        <v>0</v>
      </c>
      <c r="AM69" s="101" t="str">
        <f ca="1">IF(B69="","",IFERROR(VLOOKUP(B69,'ANÁLISE DE DADOS'!$A:$AM,37,0),""))</f>
        <v>Cobrança Ativa</v>
      </c>
    </row>
    <row r="70" spans="2:39" x14ac:dyDescent="0.3">
      <c r="B70" s="30">
        <v>66</v>
      </c>
      <c r="C70" s="61">
        <f>IF(B70="","",IFERROR(VLOOKUP(B70,'ANÁLISE DE DADOS'!$A:$AM,1,0),""))</f>
        <v>66</v>
      </c>
      <c r="D70" s="61" t="str">
        <f>IF(B70="","",IFERROR(VLOOKUP(B70,'ANÁLISE DE DADOS'!$A:$AM,2,0),""))</f>
        <v>Filial</v>
      </c>
      <c r="E70" s="61">
        <f>IF(B70="","",IFERROR(VLOOKUP(B70,'ANÁLISE DE DADOS'!$A:$AM,3,0),""))</f>
        <v>0</v>
      </c>
      <c r="F70" s="61" t="str">
        <f>IF(B70="","",IFERROR(VLOOKUP(B70,'ANÁLISE DE DADOS'!$A:$AM,4,0),""))</f>
        <v>NovaHorizonte</v>
      </c>
      <c r="G70" s="62">
        <f>IF(B70="","",IFERROR(VLOOKUP(B70,'ANÁLISE DE DADOS'!$A:$AM,5,0),""))</f>
        <v>45678</v>
      </c>
      <c r="H70" s="62" t="str">
        <f>IF(B70="","",IFERROR(VLOOKUP(B70,'ANÁLISE DE DADOS'!$A:$AM,6,0),""))</f>
        <v>jan-25</v>
      </c>
      <c r="I70" s="62" t="str">
        <f>IF(B70="","",IFERROR(VLOOKUP(B70,'ANÁLISE DE DADOS'!$A:$AM,7,0),""))</f>
        <v>2025</v>
      </c>
      <c r="J70" s="62">
        <f>IF(B70="","",IFERROR(VLOOKUP(B70,'ANÁLISE DE DADOS'!$A:$AM,8,0),""))</f>
        <v>45678</v>
      </c>
      <c r="K70" s="61" t="str">
        <f>IF(B70="","",IFERROR(VLOOKUP(B70,'ANÁLISE DE DADOS'!$A:$AM,9,0),""))</f>
        <v>jan-25</v>
      </c>
      <c r="L70" s="61" t="str">
        <f>IF(B70="","",IFERROR(VLOOKUP(B70,'ANÁLISE DE DADOS'!$A:$AM,10,0),""))</f>
        <v>2025</v>
      </c>
      <c r="M70" s="62">
        <f>IF(B70="","",IFERROR(VLOOKUP(B70,'ANÁLISE DE DADOS'!$A:$AM,11,0),""))</f>
        <v>45678</v>
      </c>
      <c r="N70" s="61" t="str">
        <f>IF(B70="","",IFERROR(VLOOKUP(B70,'ANÁLISE DE DADOS'!$A:$AM,12,0),""))</f>
        <v>jan-25</v>
      </c>
      <c r="O70" s="61" t="str">
        <f>IF(B70="","",IFERROR(VLOOKUP(B70,'ANÁLISE DE DADOS'!$A:$AM,13,0),""))</f>
        <v>2025</v>
      </c>
      <c r="P70" s="63">
        <f>IF(B70="","",IFERROR(VLOOKUP(B70,'ANÁLISE DE DADOS'!$A:$AM,14,0),""))</f>
        <v>2000</v>
      </c>
      <c r="Q70" s="61" t="str">
        <f>IF(B70="","",IFERROR(VLOOKUP(B70,'ANÁLISE DE DADOS'!$A:$AM,15,0),""))</f>
        <v>Lucas</v>
      </c>
      <c r="R70" s="61" t="str">
        <f>IF(B70="","",IFERROR(VLOOKUP(B70,'ANÁLISE DE DADOS'!$A:$AM,16,0),""))</f>
        <v>ANALISTA LUCAS</v>
      </c>
      <c r="S70" s="61" t="str">
        <f>IF(B70="","",IFERROR(VLOOKUP(B70,'ANÁLISE DE DADOS'!$A:$AM,17,0),""))</f>
        <v>NÃO</v>
      </c>
      <c r="T70" s="61" t="str">
        <f>IF(B70="","",IFERROR(VLOOKUP(B70,'ANÁLISE DE DADOS'!$A:$AM,18,0),""))</f>
        <v>Sem Retorno</v>
      </c>
      <c r="U70" s="61" t="str">
        <f ca="1">IF(B70="","",IFERROR(VLOOKUP(B70,'ANÁLISE DE DADOS'!$A:$AM,19,0),""))</f>
        <v>Vencido</v>
      </c>
      <c r="V70" s="61">
        <f ca="1">IF(B70="","",IFERROR(VLOOKUP(B70,'ANÁLISE DE DADOS'!$A:$AM,20,0),""))</f>
        <v>117</v>
      </c>
      <c r="W70" s="61" t="str">
        <f ca="1">IF(B70="","",IFERROR(VLOOKUP(B70,'ANÁLISE DE DADOS'!$A:$AM,21,0),""))</f>
        <v>61+ dias</v>
      </c>
      <c r="X70" s="61" t="str">
        <f ca="1">IF(B70="","",IFERROR(VLOOKUP(B70,'ANÁLISE DE DADOS'!$A:$AM,22,0),""))</f>
        <v>Atraso Crítico</v>
      </c>
      <c r="Y70" s="61" t="str">
        <f>IF(B70="","",IFERROR(VLOOKUP(B70,'ANÁLISE DE DADOS'!$A:$AM,23,0),""))</f>
        <v>-</v>
      </c>
      <c r="Z70" s="61" t="str">
        <f>IF(B70="","",IFERROR(VLOOKUP(B70,'ANÁLISE DE DADOS'!$A:$AM,24,0),""))</f>
        <v>Sim</v>
      </c>
      <c r="AA70" s="61">
        <f>IF(B70="","",IFERROR(VLOOKUP(B70,'ANÁLISE DE DADOS'!$A:$AM,25,0),""))</f>
        <v>0</v>
      </c>
      <c r="AB70" s="61">
        <f>IF(B70="","",IFERROR(VLOOKUP(B70,'ANÁLISE DE DADOS'!$A:$AM,26,0),""))</f>
        <v>1</v>
      </c>
      <c r="AC70" s="61" t="str">
        <f>IF(B70="","",IFERROR(VLOOKUP(B70,'ANÁLISE DE DADOS'!$A:$AM,27,0),""))</f>
        <v>Sim</v>
      </c>
      <c r="AD70" s="62">
        <f>IF(B70="","",IFERROR(VLOOKUP(B70,'ANÁLISE DE DADOS'!$A:$AM,28,0),""))</f>
        <v>45740</v>
      </c>
      <c r="AE70" s="61" t="str">
        <f>IF(B70="","",IFERROR(VLOOKUP(B70,'ANÁLISE DE DADOS'!$A:$AM,29,0),""))</f>
        <v>mar-25</v>
      </c>
      <c r="AF70" s="61" t="str">
        <f>IF(B70="","",IFERROR(VLOOKUP(B70,'ANÁLISE DE DADOS'!$A:$AM,30,0),""))</f>
        <v>2025</v>
      </c>
      <c r="AG70" s="62">
        <f>IF(B70="","",IFERROR(VLOOKUP(B70,'ANÁLISE DE DADOS'!$A:$AM,31,0),""))</f>
        <v>45772</v>
      </c>
      <c r="AH70" s="61" t="str">
        <f>IF(B70="","",IFERROR(VLOOKUP(B70,'ANÁLISE DE DADOS'!$A:$AM,32,0),""))</f>
        <v>abr-25</v>
      </c>
      <c r="AI70" s="61" t="str">
        <f>IF(B70="","",IFERROR(VLOOKUP(B70,'ANÁLISE DE DADOS'!$A:$AM,33,0),""))</f>
        <v>2025</v>
      </c>
      <c r="AJ70" s="61" t="str">
        <f>IF(B70="","",IFERROR(VLOOKUP(B70,'ANÁLISE DE DADOS'!$A:$AM,34,0),""))</f>
        <v>Acompanhando</v>
      </c>
      <c r="AK70" s="63">
        <f ca="1">IF(B70="","",IFERROR(VLOOKUP(B70,'ANÁLISE DE DADOS'!$A:$AM,35,0),""))</f>
        <v>2000</v>
      </c>
      <c r="AL70" s="63" t="str">
        <f ca="1">IF(B70="","",IFERROR(VLOOKUP(B70,'ANÁLISE DE DADOS'!$A:$AM,36,0),""))</f>
        <v>0</v>
      </c>
      <c r="AM70" s="101" t="str">
        <f ca="1">IF(B70="","",IFERROR(VLOOKUP(B70,'ANÁLISE DE DADOS'!$A:$AM,37,0),""))</f>
        <v>Cobrança Judicial</v>
      </c>
    </row>
    <row r="71" spans="2:39" x14ac:dyDescent="0.3">
      <c r="B71" s="30">
        <v>67</v>
      </c>
      <c r="C71" s="61">
        <f>IF(B71="","",IFERROR(VLOOKUP(B71,'ANÁLISE DE DADOS'!$A:$AM,1,0),""))</f>
        <v>67</v>
      </c>
      <c r="D71" s="61" t="str">
        <f>IF(B71="","",IFERROR(VLOOKUP(B71,'ANÁLISE DE DADOS'!$A:$AM,2,0),""))</f>
        <v>Matriz</v>
      </c>
      <c r="E71" s="61">
        <f>IF(B71="","",IFERROR(VLOOKUP(B71,'ANÁLISE DE DADOS'!$A:$AM,3,0),""))</f>
        <v>0</v>
      </c>
      <c r="F71" s="61" t="str">
        <f>IF(B71="","",IFERROR(VLOOKUP(B71,'ANÁLISE DE DADOS'!$A:$AM,4,0),""))</f>
        <v>NovaHorizonte</v>
      </c>
      <c r="G71" s="62">
        <f>IF(B71="","",IFERROR(VLOOKUP(B71,'ANÁLISE DE DADOS'!$A:$AM,5,0),""))</f>
        <v>45709</v>
      </c>
      <c r="H71" s="62" t="str">
        <f>IF(B71="","",IFERROR(VLOOKUP(B71,'ANÁLISE DE DADOS'!$A:$AM,6,0),""))</f>
        <v>fev-25</v>
      </c>
      <c r="I71" s="62" t="str">
        <f>IF(B71="","",IFERROR(VLOOKUP(B71,'ANÁLISE DE DADOS'!$A:$AM,7,0),""))</f>
        <v>2025</v>
      </c>
      <c r="J71" s="62">
        <f>IF(B71="","",IFERROR(VLOOKUP(B71,'ANÁLISE DE DADOS'!$A:$AM,8,0),""))</f>
        <v>45737</v>
      </c>
      <c r="K71" s="61" t="str">
        <f>IF(B71="","",IFERROR(VLOOKUP(B71,'ANÁLISE DE DADOS'!$A:$AM,9,0),""))</f>
        <v>mar-25</v>
      </c>
      <c r="L71" s="61" t="str">
        <f>IF(B71="","",IFERROR(VLOOKUP(B71,'ANÁLISE DE DADOS'!$A:$AM,10,0),""))</f>
        <v>2025</v>
      </c>
      <c r="M71" s="62">
        <f>IF(B71="","",IFERROR(VLOOKUP(B71,'ANÁLISE DE DADOS'!$A:$AM,11,0),""))</f>
        <v>45737</v>
      </c>
      <c r="N71" s="61" t="str">
        <f>IF(B71="","",IFERROR(VLOOKUP(B71,'ANÁLISE DE DADOS'!$A:$AM,12,0),""))</f>
        <v>mar-25</v>
      </c>
      <c r="O71" s="61" t="str">
        <f>IF(B71="","",IFERROR(VLOOKUP(B71,'ANÁLISE DE DADOS'!$A:$AM,13,0),""))</f>
        <v>2025</v>
      </c>
      <c r="P71" s="63">
        <f>IF(B71="","",IFERROR(VLOOKUP(B71,'ANÁLISE DE DADOS'!$A:$AM,14,0),""))</f>
        <v>3200</v>
      </c>
      <c r="Q71" s="61" t="str">
        <f>IF(B71="","",IFERROR(VLOOKUP(B71,'ANÁLISE DE DADOS'!$A:$AM,15,0),""))</f>
        <v>Carla</v>
      </c>
      <c r="R71" s="61" t="str">
        <f>IF(B71="","",IFERROR(VLOOKUP(B71,'ANÁLISE DE DADOS'!$A:$AM,16,0),""))</f>
        <v>ANALISTA LUCAS</v>
      </c>
      <c r="S71" s="61" t="str">
        <f>IF(B71="","",IFERROR(VLOOKUP(B71,'ANÁLISE DE DADOS'!$A:$AM,17,0),""))</f>
        <v>NÃO</v>
      </c>
      <c r="T71" s="61" t="str">
        <f>IF(B71="","",IFERROR(VLOOKUP(B71,'ANÁLISE DE DADOS'!$A:$AM,18,0),""))</f>
        <v>Sem Retorno</v>
      </c>
      <c r="U71" s="61" t="str">
        <f ca="1">IF(B71="","",IFERROR(VLOOKUP(B71,'ANÁLISE DE DADOS'!$A:$AM,19,0),""))</f>
        <v>Vencido</v>
      </c>
      <c r="V71" s="61">
        <f ca="1">IF(B71="","",IFERROR(VLOOKUP(B71,'ANÁLISE DE DADOS'!$A:$AM,20,0),""))</f>
        <v>58</v>
      </c>
      <c r="W71" s="61" t="str">
        <f ca="1">IF(B71="","",IFERROR(VLOOKUP(B71,'ANÁLISE DE DADOS'!$A:$AM,21,0),""))</f>
        <v>31-60 dias</v>
      </c>
      <c r="X71" s="61" t="str">
        <f ca="1">IF(B71="","",IFERROR(VLOOKUP(B71,'ANÁLISE DE DADOS'!$A:$AM,22,0),""))</f>
        <v>Atraso Médio</v>
      </c>
      <c r="Y71" s="61" t="str">
        <f>IF(B71="","",IFERROR(VLOOKUP(B71,'ANÁLISE DE DADOS'!$A:$AM,23,0),""))</f>
        <v>-</v>
      </c>
      <c r="Z71" s="61" t="str">
        <f>IF(B71="","",IFERROR(VLOOKUP(B71,'ANÁLISE DE DADOS'!$A:$AM,24,0),""))</f>
        <v>Sim</v>
      </c>
      <c r="AA71" s="61">
        <f>IF(B71="","",IFERROR(VLOOKUP(B71,'ANÁLISE DE DADOS'!$A:$AM,25,0),""))</f>
        <v>0</v>
      </c>
      <c r="AB71" s="61">
        <f>IF(B71="","",IFERROR(VLOOKUP(B71,'ANÁLISE DE DADOS'!$A:$AM,26,0),""))</f>
        <v>1</v>
      </c>
      <c r="AC71" s="61" t="str">
        <f>IF(B71="","",IFERROR(VLOOKUP(B71,'ANÁLISE DE DADOS'!$A:$AM,27,0),""))</f>
        <v>Sim</v>
      </c>
      <c r="AD71" s="62">
        <f>IF(B71="","",IFERROR(VLOOKUP(B71,'ANÁLISE DE DADOS'!$A:$AM,28,0),""))</f>
        <v>45740</v>
      </c>
      <c r="AE71" s="61" t="str">
        <f>IF(B71="","",IFERROR(VLOOKUP(B71,'ANÁLISE DE DADOS'!$A:$AM,29,0),""))</f>
        <v>mar-25</v>
      </c>
      <c r="AF71" s="61" t="str">
        <f>IF(B71="","",IFERROR(VLOOKUP(B71,'ANÁLISE DE DADOS'!$A:$AM,30,0),""))</f>
        <v>2025</v>
      </c>
      <c r="AG71" s="62">
        <f>IF(B71="","",IFERROR(VLOOKUP(B71,'ANÁLISE DE DADOS'!$A:$AM,31,0),""))</f>
        <v>45772</v>
      </c>
      <c r="AH71" s="61" t="str">
        <f>IF(B71="","",IFERROR(VLOOKUP(B71,'ANÁLISE DE DADOS'!$A:$AM,32,0),""))</f>
        <v>abr-25</v>
      </c>
      <c r="AI71" s="61" t="str">
        <f>IF(B71="","",IFERROR(VLOOKUP(B71,'ANÁLISE DE DADOS'!$A:$AM,33,0),""))</f>
        <v>2025</v>
      </c>
      <c r="AJ71" s="61" t="str">
        <f>IF(B71="","",IFERROR(VLOOKUP(B71,'ANÁLISE DE DADOS'!$A:$AM,34,0),""))</f>
        <v>Acompanhando</v>
      </c>
      <c r="AK71" s="63">
        <f ca="1">IF(B71="","",IFERROR(VLOOKUP(B71,'ANÁLISE DE DADOS'!$A:$AM,35,0),""))</f>
        <v>3200</v>
      </c>
      <c r="AL71" s="63" t="str">
        <f ca="1">IF(B71="","",IFERROR(VLOOKUP(B71,'ANÁLISE DE DADOS'!$A:$AM,36,0),""))</f>
        <v>0</v>
      </c>
      <c r="AM71" s="101" t="str">
        <f ca="1">IF(B71="","",IFERROR(VLOOKUP(B71,'ANÁLISE DE DADOS'!$A:$AM,37,0),""))</f>
        <v>Cobrança Ativa</v>
      </c>
    </row>
    <row r="72" spans="2:39" x14ac:dyDescent="0.3">
      <c r="B72" s="30">
        <v>68</v>
      </c>
      <c r="C72" s="61">
        <f>IF(B72="","",IFERROR(VLOOKUP(B72,'ANÁLISE DE DADOS'!$A:$AM,1,0),""))</f>
        <v>68</v>
      </c>
      <c r="D72" s="61" t="str">
        <f>IF(B72="","",IFERROR(VLOOKUP(B72,'ANÁLISE DE DADOS'!$A:$AM,2,0),""))</f>
        <v>Filial</v>
      </c>
      <c r="E72" s="61">
        <f>IF(B72="","",IFERROR(VLOOKUP(B72,'ANÁLISE DE DADOS'!$A:$AM,3,0),""))</f>
        <v>0</v>
      </c>
      <c r="F72" s="61" t="str">
        <f>IF(B72="","",IFERROR(VLOOKUP(B72,'ANÁLISE DE DADOS'!$A:$AM,4,0),""))</f>
        <v>NovaHorizonte</v>
      </c>
      <c r="G72" s="62">
        <f>IF(B72="","",IFERROR(VLOOKUP(B72,'ANÁLISE DE DADOS'!$A:$AM,5,0),""))</f>
        <v>45709</v>
      </c>
      <c r="H72" s="62" t="str">
        <f>IF(B72="","",IFERROR(VLOOKUP(B72,'ANÁLISE DE DADOS'!$A:$AM,6,0),""))</f>
        <v>fev-25</v>
      </c>
      <c r="I72" s="62" t="str">
        <f>IF(B72="","",IFERROR(VLOOKUP(B72,'ANÁLISE DE DADOS'!$A:$AM,7,0),""))</f>
        <v>2025</v>
      </c>
      <c r="J72" s="62">
        <f>IF(B72="","",IFERROR(VLOOKUP(B72,'ANÁLISE DE DADOS'!$A:$AM,8,0),""))</f>
        <v>45737</v>
      </c>
      <c r="K72" s="61" t="str">
        <f>IF(B72="","",IFERROR(VLOOKUP(B72,'ANÁLISE DE DADOS'!$A:$AM,9,0),""))</f>
        <v>mar-25</v>
      </c>
      <c r="L72" s="61" t="str">
        <f>IF(B72="","",IFERROR(VLOOKUP(B72,'ANÁLISE DE DADOS'!$A:$AM,10,0),""))</f>
        <v>2025</v>
      </c>
      <c r="M72" s="62">
        <f>IF(B72="","",IFERROR(VLOOKUP(B72,'ANÁLISE DE DADOS'!$A:$AM,11,0),""))</f>
        <v>45737</v>
      </c>
      <c r="N72" s="61" t="str">
        <f>IF(B72="","",IFERROR(VLOOKUP(B72,'ANÁLISE DE DADOS'!$A:$AM,12,0),""))</f>
        <v>mar-25</v>
      </c>
      <c r="O72" s="61" t="str">
        <f>IF(B72="","",IFERROR(VLOOKUP(B72,'ANÁLISE DE DADOS'!$A:$AM,13,0),""))</f>
        <v>2025</v>
      </c>
      <c r="P72" s="63">
        <f>IF(B72="","",IFERROR(VLOOKUP(B72,'ANÁLISE DE DADOS'!$A:$AM,14,0),""))</f>
        <v>1500</v>
      </c>
      <c r="Q72" s="61" t="str">
        <f>IF(B72="","",IFERROR(VLOOKUP(B72,'ANÁLISE DE DADOS'!$A:$AM,15,0),""))</f>
        <v>Roberto</v>
      </c>
      <c r="R72" s="61" t="str">
        <f>IF(B72="","",IFERROR(VLOOKUP(B72,'ANÁLISE DE DADOS'!$A:$AM,16,0),""))</f>
        <v>ANALISTA LUCAS</v>
      </c>
      <c r="S72" s="61" t="str">
        <f>IF(B72="","",IFERROR(VLOOKUP(B72,'ANÁLISE DE DADOS'!$A:$AM,17,0),""))</f>
        <v>NÃO</v>
      </c>
      <c r="T72" s="61" t="str">
        <f>IF(B72="","",IFERROR(VLOOKUP(B72,'ANÁLISE DE DADOS'!$A:$AM,18,0),""))</f>
        <v>Sem Retorno</v>
      </c>
      <c r="U72" s="61" t="str">
        <f ca="1">IF(B72="","",IFERROR(VLOOKUP(B72,'ANÁLISE DE DADOS'!$A:$AM,19,0),""))</f>
        <v>Vencido</v>
      </c>
      <c r="V72" s="61">
        <f ca="1">IF(B72="","",IFERROR(VLOOKUP(B72,'ANÁLISE DE DADOS'!$A:$AM,20,0),""))</f>
        <v>58</v>
      </c>
      <c r="W72" s="61" t="str">
        <f ca="1">IF(B72="","",IFERROR(VLOOKUP(B72,'ANÁLISE DE DADOS'!$A:$AM,21,0),""))</f>
        <v>31-60 dias</v>
      </c>
      <c r="X72" s="61" t="str">
        <f ca="1">IF(B72="","",IFERROR(VLOOKUP(B72,'ANÁLISE DE DADOS'!$A:$AM,22,0),""))</f>
        <v>Atraso Médio</v>
      </c>
      <c r="Y72" s="61" t="str">
        <f>IF(B72="","",IFERROR(VLOOKUP(B72,'ANÁLISE DE DADOS'!$A:$AM,23,0),""))</f>
        <v>-</v>
      </c>
      <c r="Z72" s="61" t="str">
        <f>IF(B72="","",IFERROR(VLOOKUP(B72,'ANÁLISE DE DADOS'!$A:$AM,24,0),""))</f>
        <v>Sim</v>
      </c>
      <c r="AA72" s="61">
        <f>IF(B72="","",IFERROR(VLOOKUP(B72,'ANÁLISE DE DADOS'!$A:$AM,25,0),""))</f>
        <v>0</v>
      </c>
      <c r="AB72" s="61">
        <f>IF(B72="","",IFERROR(VLOOKUP(B72,'ANÁLISE DE DADOS'!$A:$AM,26,0),""))</f>
        <v>1</v>
      </c>
      <c r="AC72" s="61" t="str">
        <f>IF(B72="","",IFERROR(VLOOKUP(B72,'ANÁLISE DE DADOS'!$A:$AM,27,0),""))</f>
        <v>Sim</v>
      </c>
      <c r="AD72" s="62">
        <f>IF(B72="","",IFERROR(VLOOKUP(B72,'ANÁLISE DE DADOS'!$A:$AM,28,0),""))</f>
        <v>45740</v>
      </c>
      <c r="AE72" s="61" t="str">
        <f>IF(B72="","",IFERROR(VLOOKUP(B72,'ANÁLISE DE DADOS'!$A:$AM,29,0),""))</f>
        <v>mar-25</v>
      </c>
      <c r="AF72" s="61" t="str">
        <f>IF(B72="","",IFERROR(VLOOKUP(B72,'ANÁLISE DE DADOS'!$A:$AM,30,0),""))</f>
        <v>2025</v>
      </c>
      <c r="AG72" s="62">
        <f>IF(B72="","",IFERROR(VLOOKUP(B72,'ANÁLISE DE DADOS'!$A:$AM,31,0),""))</f>
        <v>45772</v>
      </c>
      <c r="AH72" s="61" t="str">
        <f>IF(B72="","",IFERROR(VLOOKUP(B72,'ANÁLISE DE DADOS'!$A:$AM,32,0),""))</f>
        <v>abr-25</v>
      </c>
      <c r="AI72" s="61" t="str">
        <f>IF(B72="","",IFERROR(VLOOKUP(B72,'ANÁLISE DE DADOS'!$A:$AM,33,0),""))</f>
        <v>2025</v>
      </c>
      <c r="AJ72" s="61" t="str">
        <f>IF(B72="","",IFERROR(VLOOKUP(B72,'ANÁLISE DE DADOS'!$A:$AM,34,0),""))</f>
        <v>Acompanhando</v>
      </c>
      <c r="AK72" s="63">
        <f ca="1">IF(B72="","",IFERROR(VLOOKUP(B72,'ANÁLISE DE DADOS'!$A:$AM,35,0),""))</f>
        <v>1500</v>
      </c>
      <c r="AL72" s="63" t="str">
        <f ca="1">IF(B72="","",IFERROR(VLOOKUP(B72,'ANÁLISE DE DADOS'!$A:$AM,36,0),""))</f>
        <v>0</v>
      </c>
      <c r="AM72" s="101" t="str">
        <f ca="1">IF(B72="","",IFERROR(VLOOKUP(B72,'ANÁLISE DE DADOS'!$A:$AM,37,0),""))</f>
        <v>Cobrança Ativa</v>
      </c>
    </row>
    <row r="73" spans="2:39" x14ac:dyDescent="0.3">
      <c r="B73" s="30">
        <v>69</v>
      </c>
      <c r="C73" s="61">
        <f>IF(B73="","",IFERROR(VLOOKUP(B73,'ANÁLISE DE DADOS'!$A:$AM,1,0),""))</f>
        <v>69</v>
      </c>
      <c r="D73" s="61" t="str">
        <f>IF(B73="","",IFERROR(VLOOKUP(B73,'ANÁLISE DE DADOS'!$A:$AM,2,0),""))</f>
        <v>Matriz</v>
      </c>
      <c r="E73" s="61">
        <f>IF(B73="","",IFERROR(VLOOKUP(B73,'ANÁLISE DE DADOS'!$A:$AM,3,0),""))</f>
        <v>0</v>
      </c>
      <c r="F73" s="61" t="str">
        <f>IF(B73="","",IFERROR(VLOOKUP(B73,'ANÁLISE DE DADOS'!$A:$AM,4,0),""))</f>
        <v>NovaHorizonte</v>
      </c>
      <c r="G73" s="62">
        <f>IF(B73="","",IFERROR(VLOOKUP(B73,'ANÁLISE DE DADOS'!$A:$AM,5,0),""))</f>
        <v>45709</v>
      </c>
      <c r="H73" s="62" t="str">
        <f>IF(B73="","",IFERROR(VLOOKUP(B73,'ANÁLISE DE DADOS'!$A:$AM,6,0),""))</f>
        <v>fev-25</v>
      </c>
      <c r="I73" s="62" t="str">
        <f>IF(B73="","",IFERROR(VLOOKUP(B73,'ANÁLISE DE DADOS'!$A:$AM,7,0),""))</f>
        <v>2025</v>
      </c>
      <c r="J73" s="62">
        <f>IF(B73="","",IFERROR(VLOOKUP(B73,'ANÁLISE DE DADOS'!$A:$AM,8,0),""))</f>
        <v>45737</v>
      </c>
      <c r="K73" s="61" t="str">
        <f>IF(B73="","",IFERROR(VLOOKUP(B73,'ANÁLISE DE DADOS'!$A:$AM,9,0),""))</f>
        <v>mar-25</v>
      </c>
      <c r="L73" s="61" t="str">
        <f>IF(B73="","",IFERROR(VLOOKUP(B73,'ANÁLISE DE DADOS'!$A:$AM,10,0),""))</f>
        <v>2025</v>
      </c>
      <c r="M73" s="62">
        <f>IF(B73="","",IFERROR(VLOOKUP(B73,'ANÁLISE DE DADOS'!$A:$AM,11,0),""))</f>
        <v>45737</v>
      </c>
      <c r="N73" s="61" t="str">
        <f>IF(B73="","",IFERROR(VLOOKUP(B73,'ANÁLISE DE DADOS'!$A:$AM,12,0),""))</f>
        <v>mar-25</v>
      </c>
      <c r="O73" s="61" t="str">
        <f>IF(B73="","",IFERROR(VLOOKUP(B73,'ANÁLISE DE DADOS'!$A:$AM,13,0),""))</f>
        <v>2025</v>
      </c>
      <c r="P73" s="63">
        <f>IF(B73="","",IFERROR(VLOOKUP(B73,'ANÁLISE DE DADOS'!$A:$AM,14,0),""))</f>
        <v>2800</v>
      </c>
      <c r="Q73" s="61" t="str">
        <f>IF(B73="","",IFERROR(VLOOKUP(B73,'ANÁLISE DE DADOS'!$A:$AM,15,0),""))</f>
        <v>Juliana</v>
      </c>
      <c r="R73" s="61" t="str">
        <f>IF(B73="","",IFERROR(VLOOKUP(B73,'ANÁLISE DE DADOS'!$A:$AM,16,0),""))</f>
        <v>ANALISTA LUCAS</v>
      </c>
      <c r="S73" s="61" t="str">
        <f>IF(B73="","",IFERROR(VLOOKUP(B73,'ANÁLISE DE DADOS'!$A:$AM,17,0),""))</f>
        <v>NÃO</v>
      </c>
      <c r="T73" s="61" t="str">
        <f>IF(B73="","",IFERROR(VLOOKUP(B73,'ANÁLISE DE DADOS'!$A:$AM,18,0),""))</f>
        <v>Sem Retorno</v>
      </c>
      <c r="U73" s="61" t="str">
        <f ca="1">IF(B73="","",IFERROR(VLOOKUP(B73,'ANÁLISE DE DADOS'!$A:$AM,19,0),""))</f>
        <v>Vencido</v>
      </c>
      <c r="V73" s="61">
        <f ca="1">IF(B73="","",IFERROR(VLOOKUP(B73,'ANÁLISE DE DADOS'!$A:$AM,20,0),""))</f>
        <v>58</v>
      </c>
      <c r="W73" s="61" t="str">
        <f ca="1">IF(B73="","",IFERROR(VLOOKUP(B73,'ANÁLISE DE DADOS'!$A:$AM,21,0),""))</f>
        <v>31-60 dias</v>
      </c>
      <c r="X73" s="61" t="str">
        <f ca="1">IF(B73="","",IFERROR(VLOOKUP(B73,'ANÁLISE DE DADOS'!$A:$AM,22,0),""))</f>
        <v>Atraso Médio</v>
      </c>
      <c r="Y73" s="61" t="str">
        <f>IF(B73="","",IFERROR(VLOOKUP(B73,'ANÁLISE DE DADOS'!$A:$AM,23,0),""))</f>
        <v>-</v>
      </c>
      <c r="Z73" s="61" t="str">
        <f>IF(B73="","",IFERROR(VLOOKUP(B73,'ANÁLISE DE DADOS'!$A:$AM,24,0),""))</f>
        <v>Sim</v>
      </c>
      <c r="AA73" s="61">
        <f>IF(B73="","",IFERROR(VLOOKUP(B73,'ANÁLISE DE DADOS'!$A:$AM,25,0),""))</f>
        <v>0</v>
      </c>
      <c r="AB73" s="61">
        <f>IF(B73="","",IFERROR(VLOOKUP(B73,'ANÁLISE DE DADOS'!$A:$AM,26,0),""))</f>
        <v>1</v>
      </c>
      <c r="AC73" s="61" t="str">
        <f>IF(B73="","",IFERROR(VLOOKUP(B73,'ANÁLISE DE DADOS'!$A:$AM,27,0),""))</f>
        <v>Sim</v>
      </c>
      <c r="AD73" s="62">
        <f>IF(B73="","",IFERROR(VLOOKUP(B73,'ANÁLISE DE DADOS'!$A:$AM,28,0),""))</f>
        <v>45740</v>
      </c>
      <c r="AE73" s="61" t="str">
        <f>IF(B73="","",IFERROR(VLOOKUP(B73,'ANÁLISE DE DADOS'!$A:$AM,29,0),""))</f>
        <v>mar-25</v>
      </c>
      <c r="AF73" s="61" t="str">
        <f>IF(B73="","",IFERROR(VLOOKUP(B73,'ANÁLISE DE DADOS'!$A:$AM,30,0),""))</f>
        <v>2025</v>
      </c>
      <c r="AG73" s="62">
        <f>IF(B73="","",IFERROR(VLOOKUP(B73,'ANÁLISE DE DADOS'!$A:$AM,31,0),""))</f>
        <v>45772</v>
      </c>
      <c r="AH73" s="61" t="str">
        <f>IF(B73="","",IFERROR(VLOOKUP(B73,'ANÁLISE DE DADOS'!$A:$AM,32,0),""))</f>
        <v>abr-25</v>
      </c>
      <c r="AI73" s="61" t="str">
        <f>IF(B73="","",IFERROR(VLOOKUP(B73,'ANÁLISE DE DADOS'!$A:$AM,33,0),""))</f>
        <v>2025</v>
      </c>
      <c r="AJ73" s="61" t="str">
        <f>IF(B73="","",IFERROR(VLOOKUP(B73,'ANÁLISE DE DADOS'!$A:$AM,34,0),""))</f>
        <v>Acompanhando</v>
      </c>
      <c r="AK73" s="63">
        <f ca="1">IF(B73="","",IFERROR(VLOOKUP(B73,'ANÁLISE DE DADOS'!$A:$AM,35,0),""))</f>
        <v>2800</v>
      </c>
      <c r="AL73" s="63" t="str">
        <f ca="1">IF(B73="","",IFERROR(VLOOKUP(B73,'ANÁLISE DE DADOS'!$A:$AM,36,0),""))</f>
        <v>0</v>
      </c>
      <c r="AM73" s="101" t="str">
        <f ca="1">IF(B73="","",IFERROR(VLOOKUP(B73,'ANÁLISE DE DADOS'!$A:$AM,37,0),""))</f>
        <v>Cobrança Ativa</v>
      </c>
    </row>
    <row r="74" spans="2:39" x14ac:dyDescent="0.3">
      <c r="B74" s="30">
        <v>70</v>
      </c>
      <c r="C74" s="61">
        <f>IF(B74="","",IFERROR(VLOOKUP(B74,'ANÁLISE DE DADOS'!$A:$AM,1,0),""))</f>
        <v>70</v>
      </c>
      <c r="D74" s="61" t="str">
        <f>IF(B74="","",IFERROR(VLOOKUP(B74,'ANÁLISE DE DADOS'!$A:$AM,2,0),""))</f>
        <v>Filial</v>
      </c>
      <c r="E74" s="61">
        <f>IF(B74="","",IFERROR(VLOOKUP(B74,'ANÁLISE DE DADOS'!$A:$AM,3,0),""))</f>
        <v>0</v>
      </c>
      <c r="F74" s="61" t="str">
        <f>IF(B74="","",IFERROR(VLOOKUP(B74,'ANÁLISE DE DADOS'!$A:$AM,4,0),""))</f>
        <v>NovaHorizonte</v>
      </c>
      <c r="G74" s="62">
        <f>IF(B74="","",IFERROR(VLOOKUP(B74,'ANÁLISE DE DADOS'!$A:$AM,5,0),""))</f>
        <v>45709</v>
      </c>
      <c r="H74" s="62" t="str">
        <f>IF(B74="","",IFERROR(VLOOKUP(B74,'ANÁLISE DE DADOS'!$A:$AM,6,0),""))</f>
        <v>fev-25</v>
      </c>
      <c r="I74" s="62" t="str">
        <f>IF(B74="","",IFERROR(VLOOKUP(B74,'ANÁLISE DE DADOS'!$A:$AM,7,0),""))</f>
        <v>2025</v>
      </c>
      <c r="J74" s="62">
        <f>IF(B74="","",IFERROR(VLOOKUP(B74,'ANÁLISE DE DADOS'!$A:$AM,8,0),""))</f>
        <v>45737</v>
      </c>
      <c r="K74" s="61" t="str">
        <f>IF(B74="","",IFERROR(VLOOKUP(B74,'ANÁLISE DE DADOS'!$A:$AM,9,0),""))</f>
        <v>mar-25</v>
      </c>
      <c r="L74" s="61" t="str">
        <f>IF(B74="","",IFERROR(VLOOKUP(B74,'ANÁLISE DE DADOS'!$A:$AM,10,0),""))</f>
        <v>2025</v>
      </c>
      <c r="M74" s="62">
        <f>IF(B74="","",IFERROR(VLOOKUP(B74,'ANÁLISE DE DADOS'!$A:$AM,11,0),""))</f>
        <v>45737</v>
      </c>
      <c r="N74" s="61" t="str">
        <f>IF(B74="","",IFERROR(VLOOKUP(B74,'ANÁLISE DE DADOS'!$A:$AM,12,0),""))</f>
        <v>mar-25</v>
      </c>
      <c r="O74" s="61" t="str">
        <f>IF(B74="","",IFERROR(VLOOKUP(B74,'ANÁLISE DE DADOS'!$A:$AM,13,0),""))</f>
        <v>2025</v>
      </c>
      <c r="P74" s="63">
        <f>IF(B74="","",IFERROR(VLOOKUP(B74,'ANÁLISE DE DADOS'!$A:$AM,14,0),""))</f>
        <v>1700</v>
      </c>
      <c r="Q74" s="61" t="str">
        <f>IF(B74="","",IFERROR(VLOOKUP(B74,'ANÁLISE DE DADOS'!$A:$AM,15,0),""))</f>
        <v>Gustavo</v>
      </c>
      <c r="R74" s="61" t="str">
        <f>IF(B74="","",IFERROR(VLOOKUP(B74,'ANÁLISE DE DADOS'!$A:$AM,16,0),""))</f>
        <v>ANALISTA LUCAS</v>
      </c>
      <c r="S74" s="61" t="str">
        <f>IF(B74="","",IFERROR(VLOOKUP(B74,'ANÁLISE DE DADOS'!$A:$AM,17,0),""))</f>
        <v>NÃO</v>
      </c>
      <c r="T74" s="61" t="str">
        <f>IF(B74="","",IFERROR(VLOOKUP(B74,'ANÁLISE DE DADOS'!$A:$AM,18,0),""))</f>
        <v>Sem Retorno</v>
      </c>
      <c r="U74" s="61" t="str">
        <f ca="1">IF(B74="","",IFERROR(VLOOKUP(B74,'ANÁLISE DE DADOS'!$A:$AM,19,0),""))</f>
        <v>Vencido</v>
      </c>
      <c r="V74" s="61">
        <f ca="1">IF(B74="","",IFERROR(VLOOKUP(B74,'ANÁLISE DE DADOS'!$A:$AM,20,0),""))</f>
        <v>58</v>
      </c>
      <c r="W74" s="61" t="str">
        <f ca="1">IF(B74="","",IFERROR(VLOOKUP(B74,'ANÁLISE DE DADOS'!$A:$AM,21,0),""))</f>
        <v>31-60 dias</v>
      </c>
      <c r="X74" s="61" t="str">
        <f ca="1">IF(B74="","",IFERROR(VLOOKUP(B74,'ANÁLISE DE DADOS'!$A:$AM,22,0),""))</f>
        <v>Atraso Médio</v>
      </c>
      <c r="Y74" s="61" t="str">
        <f>IF(B74="","",IFERROR(VLOOKUP(B74,'ANÁLISE DE DADOS'!$A:$AM,23,0),""))</f>
        <v>-</v>
      </c>
      <c r="Z74" s="61" t="str">
        <f>IF(B74="","",IFERROR(VLOOKUP(B74,'ANÁLISE DE DADOS'!$A:$AM,24,0),""))</f>
        <v>Sim</v>
      </c>
      <c r="AA74" s="61">
        <f>IF(B74="","",IFERROR(VLOOKUP(B74,'ANÁLISE DE DADOS'!$A:$AM,25,0),""))</f>
        <v>0</v>
      </c>
      <c r="AB74" s="61">
        <f>IF(B74="","",IFERROR(VLOOKUP(B74,'ANÁLISE DE DADOS'!$A:$AM,26,0),""))</f>
        <v>1</v>
      </c>
      <c r="AC74" s="61" t="str">
        <f>IF(B74="","",IFERROR(VLOOKUP(B74,'ANÁLISE DE DADOS'!$A:$AM,27,0),""))</f>
        <v>Sim</v>
      </c>
      <c r="AD74" s="62">
        <f>IF(B74="","",IFERROR(VLOOKUP(B74,'ANÁLISE DE DADOS'!$A:$AM,28,0),""))</f>
        <v>45740</v>
      </c>
      <c r="AE74" s="61" t="str">
        <f>IF(B74="","",IFERROR(VLOOKUP(B74,'ANÁLISE DE DADOS'!$A:$AM,29,0),""))</f>
        <v>mar-25</v>
      </c>
      <c r="AF74" s="61" t="str">
        <f>IF(B74="","",IFERROR(VLOOKUP(B74,'ANÁLISE DE DADOS'!$A:$AM,30,0),""))</f>
        <v>2025</v>
      </c>
      <c r="AG74" s="62">
        <f>IF(B74="","",IFERROR(VLOOKUP(B74,'ANÁLISE DE DADOS'!$A:$AM,31,0),""))</f>
        <v>45772</v>
      </c>
      <c r="AH74" s="61" t="str">
        <f>IF(B74="","",IFERROR(VLOOKUP(B74,'ANÁLISE DE DADOS'!$A:$AM,32,0),""))</f>
        <v>abr-25</v>
      </c>
      <c r="AI74" s="61" t="str">
        <f>IF(B74="","",IFERROR(VLOOKUP(B74,'ANÁLISE DE DADOS'!$A:$AM,33,0),""))</f>
        <v>2025</v>
      </c>
      <c r="AJ74" s="61" t="str">
        <f>IF(B74="","",IFERROR(VLOOKUP(B74,'ANÁLISE DE DADOS'!$A:$AM,34,0),""))</f>
        <v>Acompanhando</v>
      </c>
      <c r="AK74" s="63">
        <f ca="1">IF(B74="","",IFERROR(VLOOKUP(B74,'ANÁLISE DE DADOS'!$A:$AM,35,0),""))</f>
        <v>1700</v>
      </c>
      <c r="AL74" s="63" t="str">
        <f ca="1">IF(B74="","",IFERROR(VLOOKUP(B74,'ANÁLISE DE DADOS'!$A:$AM,36,0),""))</f>
        <v>0</v>
      </c>
      <c r="AM74" s="101" t="str">
        <f ca="1">IF(B74="","",IFERROR(VLOOKUP(B74,'ANÁLISE DE DADOS'!$A:$AM,37,0),""))</f>
        <v>Cobrança Ativa</v>
      </c>
    </row>
    <row r="75" spans="2:39" x14ac:dyDescent="0.3">
      <c r="B75" s="30">
        <v>71</v>
      </c>
      <c r="C75" s="61">
        <f>IF(B75="","",IFERROR(VLOOKUP(B75,'ANÁLISE DE DADOS'!$A:$AM,1,0),""))</f>
        <v>71</v>
      </c>
      <c r="D75" s="61" t="str">
        <f>IF(B75="","",IFERROR(VLOOKUP(B75,'ANÁLISE DE DADOS'!$A:$AM,2,0),""))</f>
        <v>Matriz</v>
      </c>
      <c r="E75" s="61">
        <f>IF(B75="","",IFERROR(VLOOKUP(B75,'ANÁLISE DE DADOS'!$A:$AM,3,0),""))</f>
        <v>0</v>
      </c>
      <c r="F75" s="61" t="str">
        <f>IF(B75="","",IFERROR(VLOOKUP(B75,'ANÁLISE DE DADOS'!$A:$AM,4,0),""))</f>
        <v>GlobalTech</v>
      </c>
      <c r="G75" s="62">
        <f>IF(B75="","",IFERROR(VLOOKUP(B75,'ANÁLISE DE DADOS'!$A:$AM,5,0),""))</f>
        <v>45709</v>
      </c>
      <c r="H75" s="62" t="str">
        <f>IF(B75="","",IFERROR(VLOOKUP(B75,'ANÁLISE DE DADOS'!$A:$AM,6,0),""))</f>
        <v>fev-25</v>
      </c>
      <c r="I75" s="62" t="str">
        <f>IF(B75="","",IFERROR(VLOOKUP(B75,'ANÁLISE DE DADOS'!$A:$AM,7,0),""))</f>
        <v>2025</v>
      </c>
      <c r="J75" s="62">
        <f>IF(B75="","",IFERROR(VLOOKUP(B75,'ANÁLISE DE DADOS'!$A:$AM,8,0),""))</f>
        <v>45737</v>
      </c>
      <c r="K75" s="61" t="str">
        <f>IF(B75="","",IFERROR(VLOOKUP(B75,'ANÁLISE DE DADOS'!$A:$AM,9,0),""))</f>
        <v>mar-25</v>
      </c>
      <c r="L75" s="61" t="str">
        <f>IF(B75="","",IFERROR(VLOOKUP(B75,'ANÁLISE DE DADOS'!$A:$AM,10,0),""))</f>
        <v>2025</v>
      </c>
      <c r="M75" s="62">
        <f>IF(B75="","",IFERROR(VLOOKUP(B75,'ANÁLISE DE DADOS'!$A:$AM,11,0),""))</f>
        <v>45737</v>
      </c>
      <c r="N75" s="61" t="str">
        <f>IF(B75="","",IFERROR(VLOOKUP(B75,'ANÁLISE DE DADOS'!$A:$AM,12,0),""))</f>
        <v>mar-25</v>
      </c>
      <c r="O75" s="61" t="str">
        <f>IF(B75="","",IFERROR(VLOOKUP(B75,'ANÁLISE DE DADOS'!$A:$AM,13,0),""))</f>
        <v>2025</v>
      </c>
      <c r="P75" s="63">
        <f>IF(B75="","",IFERROR(VLOOKUP(B75,'ANÁLISE DE DADOS'!$A:$AM,14,0),""))</f>
        <v>2200</v>
      </c>
      <c r="Q75" s="61" t="str">
        <f>IF(B75="","",IFERROR(VLOOKUP(B75,'ANÁLISE DE DADOS'!$A:$AM,15,0),""))</f>
        <v>Fernanda</v>
      </c>
      <c r="R75" s="61" t="str">
        <f>IF(B75="","",IFERROR(VLOOKUP(B75,'ANÁLISE DE DADOS'!$A:$AM,16,0),""))</f>
        <v>ANALISTA LUCAS</v>
      </c>
      <c r="S75" s="61" t="str">
        <f>IF(B75="","",IFERROR(VLOOKUP(B75,'ANÁLISE DE DADOS'!$A:$AM,17,0),""))</f>
        <v>NÃO</v>
      </c>
      <c r="T75" s="61" t="str">
        <f>IF(B75="","",IFERROR(VLOOKUP(B75,'ANÁLISE DE DADOS'!$A:$AM,18,0),""))</f>
        <v>Sem Retorno</v>
      </c>
      <c r="U75" s="61" t="str">
        <f ca="1">IF(B75="","",IFERROR(VLOOKUP(B75,'ANÁLISE DE DADOS'!$A:$AM,19,0),""))</f>
        <v>Vencido</v>
      </c>
      <c r="V75" s="61">
        <f ca="1">IF(B75="","",IFERROR(VLOOKUP(B75,'ANÁLISE DE DADOS'!$A:$AM,20,0),""))</f>
        <v>58</v>
      </c>
      <c r="W75" s="61" t="str">
        <f ca="1">IF(B75="","",IFERROR(VLOOKUP(B75,'ANÁLISE DE DADOS'!$A:$AM,21,0),""))</f>
        <v>31-60 dias</v>
      </c>
      <c r="X75" s="61" t="str">
        <f ca="1">IF(B75="","",IFERROR(VLOOKUP(B75,'ANÁLISE DE DADOS'!$A:$AM,22,0),""))</f>
        <v>Atraso Médio</v>
      </c>
      <c r="Y75" s="61" t="str">
        <f>IF(B75="","",IFERROR(VLOOKUP(B75,'ANÁLISE DE DADOS'!$A:$AM,23,0),""))</f>
        <v>-</v>
      </c>
      <c r="Z75" s="61" t="str">
        <f>IF(B75="","",IFERROR(VLOOKUP(B75,'ANÁLISE DE DADOS'!$A:$AM,24,0),""))</f>
        <v>Sim</v>
      </c>
      <c r="AA75" s="61">
        <f>IF(B75="","",IFERROR(VLOOKUP(B75,'ANÁLISE DE DADOS'!$A:$AM,25,0),""))</f>
        <v>0</v>
      </c>
      <c r="AB75" s="61">
        <f>IF(B75="","",IFERROR(VLOOKUP(B75,'ANÁLISE DE DADOS'!$A:$AM,26,0),""))</f>
        <v>1</v>
      </c>
      <c r="AC75" s="61" t="str">
        <f>IF(B75="","",IFERROR(VLOOKUP(B75,'ANÁLISE DE DADOS'!$A:$AM,27,0),""))</f>
        <v>Sim</v>
      </c>
      <c r="AD75" s="62">
        <f>IF(B75="","",IFERROR(VLOOKUP(B75,'ANÁLISE DE DADOS'!$A:$AM,28,0),""))</f>
        <v>45740</v>
      </c>
      <c r="AE75" s="61" t="str">
        <f>IF(B75="","",IFERROR(VLOOKUP(B75,'ANÁLISE DE DADOS'!$A:$AM,29,0),""))</f>
        <v>mar-25</v>
      </c>
      <c r="AF75" s="61" t="str">
        <f>IF(B75="","",IFERROR(VLOOKUP(B75,'ANÁLISE DE DADOS'!$A:$AM,30,0),""))</f>
        <v>2025</v>
      </c>
      <c r="AG75" s="62">
        <f>IF(B75="","",IFERROR(VLOOKUP(B75,'ANÁLISE DE DADOS'!$A:$AM,31,0),""))</f>
        <v>45772</v>
      </c>
      <c r="AH75" s="61" t="str">
        <f>IF(B75="","",IFERROR(VLOOKUP(B75,'ANÁLISE DE DADOS'!$A:$AM,32,0),""))</f>
        <v>abr-25</v>
      </c>
      <c r="AI75" s="61" t="str">
        <f>IF(B75="","",IFERROR(VLOOKUP(B75,'ANÁLISE DE DADOS'!$A:$AM,33,0),""))</f>
        <v>2025</v>
      </c>
      <c r="AJ75" s="61" t="str">
        <f>IF(B75="","",IFERROR(VLOOKUP(B75,'ANÁLISE DE DADOS'!$A:$AM,34,0),""))</f>
        <v>Acompanhando</v>
      </c>
      <c r="AK75" s="63">
        <f ca="1">IF(B75="","",IFERROR(VLOOKUP(B75,'ANÁLISE DE DADOS'!$A:$AM,35,0),""))</f>
        <v>2200</v>
      </c>
      <c r="AL75" s="63" t="str">
        <f ca="1">IF(B75="","",IFERROR(VLOOKUP(B75,'ANÁLISE DE DADOS'!$A:$AM,36,0),""))</f>
        <v>0</v>
      </c>
      <c r="AM75" s="101" t="str">
        <f ca="1">IF(B75="","",IFERROR(VLOOKUP(B75,'ANÁLISE DE DADOS'!$A:$AM,37,0),""))</f>
        <v>Cobrança Ativa</v>
      </c>
    </row>
    <row r="76" spans="2:39" x14ac:dyDescent="0.3">
      <c r="B76" s="30">
        <v>72</v>
      </c>
      <c r="C76" s="61">
        <f>IF(B76="","",IFERROR(VLOOKUP(B76,'ANÁLISE DE DADOS'!$A:$AM,1,0),""))</f>
        <v>72</v>
      </c>
      <c r="D76" s="61" t="str">
        <f>IF(B76="","",IFERROR(VLOOKUP(B76,'ANÁLISE DE DADOS'!$A:$AM,2,0),""))</f>
        <v>Filial</v>
      </c>
      <c r="E76" s="61">
        <f>IF(B76="","",IFERROR(VLOOKUP(B76,'ANÁLISE DE DADOS'!$A:$AM,3,0),""))</f>
        <v>0</v>
      </c>
      <c r="F76" s="61" t="str">
        <f>IF(B76="","",IFERROR(VLOOKUP(B76,'ANÁLISE DE DADOS'!$A:$AM,4,0),""))</f>
        <v>GlobalTech</v>
      </c>
      <c r="G76" s="62">
        <f>IF(B76="","",IFERROR(VLOOKUP(B76,'ANÁLISE DE DADOS'!$A:$AM,5,0),""))</f>
        <v>45709</v>
      </c>
      <c r="H76" s="62" t="str">
        <f>IF(B76="","",IFERROR(VLOOKUP(B76,'ANÁLISE DE DADOS'!$A:$AM,6,0),""))</f>
        <v>fev-25</v>
      </c>
      <c r="I76" s="62" t="str">
        <f>IF(B76="","",IFERROR(VLOOKUP(B76,'ANÁLISE DE DADOS'!$A:$AM,7,0),""))</f>
        <v>2025</v>
      </c>
      <c r="J76" s="62">
        <f>IF(B76="","",IFERROR(VLOOKUP(B76,'ANÁLISE DE DADOS'!$A:$AM,8,0),""))</f>
        <v>45737</v>
      </c>
      <c r="K76" s="61" t="str">
        <f>IF(B76="","",IFERROR(VLOOKUP(B76,'ANÁLISE DE DADOS'!$A:$AM,9,0),""))</f>
        <v>mar-25</v>
      </c>
      <c r="L76" s="61" t="str">
        <f>IF(B76="","",IFERROR(VLOOKUP(B76,'ANÁLISE DE DADOS'!$A:$AM,10,0),""))</f>
        <v>2025</v>
      </c>
      <c r="M76" s="62">
        <f>IF(B76="","",IFERROR(VLOOKUP(B76,'ANÁLISE DE DADOS'!$A:$AM,11,0),""))</f>
        <v>45737</v>
      </c>
      <c r="N76" s="61" t="str">
        <f>IF(B76="","",IFERROR(VLOOKUP(B76,'ANÁLISE DE DADOS'!$A:$AM,12,0),""))</f>
        <v>mar-25</v>
      </c>
      <c r="O76" s="61" t="str">
        <f>IF(B76="","",IFERROR(VLOOKUP(B76,'ANÁLISE DE DADOS'!$A:$AM,13,0),""))</f>
        <v>2025</v>
      </c>
      <c r="P76" s="63">
        <f>IF(B76="","",IFERROR(VLOOKUP(B76,'ANÁLISE DE DADOS'!$A:$AM,14,0),""))</f>
        <v>2200</v>
      </c>
      <c r="Q76" s="61" t="str">
        <f>IF(B76="","",IFERROR(VLOOKUP(B76,'ANÁLISE DE DADOS'!$A:$AM,15,0),""))</f>
        <v>Fernanda</v>
      </c>
      <c r="R76" s="61" t="str">
        <f>IF(B76="","",IFERROR(VLOOKUP(B76,'ANÁLISE DE DADOS'!$A:$AM,16,0),""))</f>
        <v>ANALISTA SIMONE</v>
      </c>
      <c r="S76" s="61" t="str">
        <f>IF(B76="","",IFERROR(VLOOKUP(B76,'ANÁLISE DE DADOS'!$A:$AM,17,0),""))</f>
        <v>NÃO</v>
      </c>
      <c r="T76" s="61" t="str">
        <f>IF(B76="","",IFERROR(VLOOKUP(B76,'ANÁLISE DE DADOS'!$A:$AM,18,0),""))</f>
        <v>Sem Retorno</v>
      </c>
      <c r="U76" s="61" t="str">
        <f ca="1">IF(B76="","",IFERROR(VLOOKUP(B76,'ANÁLISE DE DADOS'!$A:$AM,19,0),""))</f>
        <v>Vencido</v>
      </c>
      <c r="V76" s="61">
        <f ca="1">IF(B76="","",IFERROR(VLOOKUP(B76,'ANÁLISE DE DADOS'!$A:$AM,20,0),""))</f>
        <v>58</v>
      </c>
      <c r="W76" s="61" t="str">
        <f ca="1">IF(B76="","",IFERROR(VLOOKUP(B76,'ANÁLISE DE DADOS'!$A:$AM,21,0),""))</f>
        <v>31-60 dias</v>
      </c>
      <c r="X76" s="61" t="str">
        <f ca="1">IF(B76="","",IFERROR(VLOOKUP(B76,'ANÁLISE DE DADOS'!$A:$AM,22,0),""))</f>
        <v>Atraso Médio</v>
      </c>
      <c r="Y76" s="61" t="str">
        <f>IF(B76="","",IFERROR(VLOOKUP(B76,'ANÁLISE DE DADOS'!$A:$AM,23,0),""))</f>
        <v>-</v>
      </c>
      <c r="Z76" s="61" t="str">
        <f>IF(B76="","",IFERROR(VLOOKUP(B76,'ANÁLISE DE DADOS'!$A:$AM,24,0),""))</f>
        <v>Sim</v>
      </c>
      <c r="AA76" s="61">
        <f>IF(B76="","",IFERROR(VLOOKUP(B76,'ANÁLISE DE DADOS'!$A:$AM,25,0),""))</f>
        <v>0</v>
      </c>
      <c r="AB76" s="61">
        <f>IF(B76="","",IFERROR(VLOOKUP(B76,'ANÁLISE DE DADOS'!$A:$AM,26,0),""))</f>
        <v>1</v>
      </c>
      <c r="AC76" s="61" t="str">
        <f>IF(B76="","",IFERROR(VLOOKUP(B76,'ANÁLISE DE DADOS'!$A:$AM,27,0),""))</f>
        <v>Sim</v>
      </c>
      <c r="AD76" s="62">
        <f>IF(B76="","",IFERROR(VLOOKUP(B76,'ANÁLISE DE DADOS'!$A:$AM,28,0),""))</f>
        <v>45740</v>
      </c>
      <c r="AE76" s="61" t="str">
        <f>IF(B76="","",IFERROR(VLOOKUP(B76,'ANÁLISE DE DADOS'!$A:$AM,29,0),""))</f>
        <v>mar-25</v>
      </c>
      <c r="AF76" s="61" t="str">
        <f>IF(B76="","",IFERROR(VLOOKUP(B76,'ANÁLISE DE DADOS'!$A:$AM,30,0),""))</f>
        <v>2025</v>
      </c>
      <c r="AG76" s="62">
        <f>IF(B76="","",IFERROR(VLOOKUP(B76,'ANÁLISE DE DADOS'!$A:$AM,31,0),""))</f>
        <v>45772</v>
      </c>
      <c r="AH76" s="61" t="str">
        <f>IF(B76="","",IFERROR(VLOOKUP(B76,'ANÁLISE DE DADOS'!$A:$AM,32,0),""))</f>
        <v>abr-25</v>
      </c>
      <c r="AI76" s="61" t="str">
        <f>IF(B76="","",IFERROR(VLOOKUP(B76,'ANÁLISE DE DADOS'!$A:$AM,33,0),""))</f>
        <v>2025</v>
      </c>
      <c r="AJ76" s="61" t="str">
        <f>IF(B76="","",IFERROR(VLOOKUP(B76,'ANÁLISE DE DADOS'!$A:$AM,34,0),""))</f>
        <v>Acompanhando</v>
      </c>
      <c r="AK76" s="63">
        <f ca="1">IF(B76="","",IFERROR(VLOOKUP(B76,'ANÁLISE DE DADOS'!$A:$AM,35,0),""))</f>
        <v>2200</v>
      </c>
      <c r="AL76" s="63" t="str">
        <f ca="1">IF(B76="","",IFERROR(VLOOKUP(B76,'ANÁLISE DE DADOS'!$A:$AM,36,0),""))</f>
        <v>0</v>
      </c>
      <c r="AM76" s="101" t="str">
        <f ca="1">IF(B76="","",IFERROR(VLOOKUP(B76,'ANÁLISE DE DADOS'!$A:$AM,37,0),""))</f>
        <v>Cobrança Ativa</v>
      </c>
    </row>
    <row r="77" spans="2:39" x14ac:dyDescent="0.3">
      <c r="B77" s="30" t="s">
        <v>119</v>
      </c>
      <c r="C77" s="61" t="str">
        <f>IF(B77="","",IFERROR(VLOOKUP(B77,'ANÁLISE DE DADOS'!$A:$AM,1,0),""))</f>
        <v/>
      </c>
      <c r="D77" s="61" t="str">
        <f>IF(B77="","",IFERROR(VLOOKUP(B77,'ANÁLISE DE DADOS'!$A:$AM,2,0),""))</f>
        <v/>
      </c>
      <c r="E77" s="61" t="str">
        <f>IF(B77="","",IFERROR(VLOOKUP(B77,'ANÁLISE DE DADOS'!$A:$AM,3,0),""))</f>
        <v/>
      </c>
      <c r="F77" s="61" t="str">
        <f>IF(B77="","",IFERROR(VLOOKUP(B77,'ANÁLISE DE DADOS'!$A:$AM,4,0),""))</f>
        <v/>
      </c>
      <c r="G77" s="62" t="str">
        <f>IF(B77="","",IFERROR(VLOOKUP(B77,'ANÁLISE DE DADOS'!$A:$AM,5,0),""))</f>
        <v/>
      </c>
      <c r="H77" s="62" t="str">
        <f>IF(B77="","",IFERROR(VLOOKUP(B77,'ANÁLISE DE DADOS'!$A:$AM,6,0),""))</f>
        <v/>
      </c>
      <c r="I77" s="62" t="str">
        <f>IF(B77="","",IFERROR(VLOOKUP(B77,'ANÁLISE DE DADOS'!$A:$AM,7,0),""))</f>
        <v/>
      </c>
      <c r="J77" s="62" t="str">
        <f>IF(B77="","",IFERROR(VLOOKUP(B77,'ANÁLISE DE DADOS'!$A:$AM,8,0),""))</f>
        <v/>
      </c>
      <c r="K77" s="61" t="str">
        <f>IF(B77="","",IFERROR(VLOOKUP(B77,'ANÁLISE DE DADOS'!$A:$AM,9,0),""))</f>
        <v/>
      </c>
      <c r="L77" s="61" t="str">
        <f>IF(B77="","",IFERROR(VLOOKUP(B77,'ANÁLISE DE DADOS'!$A:$AM,10,0),""))</f>
        <v/>
      </c>
      <c r="M77" s="62" t="str">
        <f>IF(B77="","",IFERROR(VLOOKUP(B77,'ANÁLISE DE DADOS'!$A:$AM,11,0),""))</f>
        <v/>
      </c>
      <c r="N77" s="61" t="str">
        <f>IF(B77="","",IFERROR(VLOOKUP(B77,'ANÁLISE DE DADOS'!$A:$AM,12,0),""))</f>
        <v/>
      </c>
      <c r="O77" s="61" t="str">
        <f>IF(B77="","",IFERROR(VLOOKUP(B77,'ANÁLISE DE DADOS'!$A:$AM,13,0),""))</f>
        <v/>
      </c>
      <c r="P77" s="63" t="str">
        <f>IF(B77="","",IFERROR(VLOOKUP(B77,'ANÁLISE DE DADOS'!$A:$AM,14,0),""))</f>
        <v/>
      </c>
      <c r="Q77" s="61" t="str">
        <f>IF(B77="","",IFERROR(VLOOKUP(B77,'ANÁLISE DE DADOS'!$A:$AM,15,0),""))</f>
        <v/>
      </c>
      <c r="R77" s="61" t="str">
        <f>IF(B77="","",IFERROR(VLOOKUP(B77,'ANÁLISE DE DADOS'!$A:$AM,16,0),""))</f>
        <v/>
      </c>
      <c r="S77" s="61" t="str">
        <f>IF(B77="","",IFERROR(VLOOKUP(B77,'ANÁLISE DE DADOS'!$A:$AM,17,0),""))</f>
        <v/>
      </c>
      <c r="T77" s="61" t="str">
        <f>IF(B77="","",IFERROR(VLOOKUP(B77,'ANÁLISE DE DADOS'!$A:$AM,18,0),""))</f>
        <v/>
      </c>
      <c r="U77" s="61" t="str">
        <f>IF(B77="","",IFERROR(VLOOKUP(B77,'ANÁLISE DE DADOS'!$A:$AM,19,0),""))</f>
        <v/>
      </c>
      <c r="V77" s="61" t="str">
        <f>IF(B77="","",IFERROR(VLOOKUP(B77,'ANÁLISE DE DADOS'!$A:$AM,20,0),""))</f>
        <v/>
      </c>
      <c r="W77" s="61" t="str">
        <f>IF(B77="","",IFERROR(VLOOKUP(B77,'ANÁLISE DE DADOS'!$A:$AM,21,0),""))</f>
        <v/>
      </c>
      <c r="X77" s="61" t="str">
        <f>IF(B77="","",IFERROR(VLOOKUP(B77,'ANÁLISE DE DADOS'!$A:$AM,22,0),""))</f>
        <v/>
      </c>
      <c r="Y77" s="61" t="str">
        <f>IF(B77="","",IFERROR(VLOOKUP(B77,'ANÁLISE DE DADOS'!$A:$AM,23,0),""))</f>
        <v/>
      </c>
      <c r="Z77" s="61" t="str">
        <f>IF(B77="","",IFERROR(VLOOKUP(B77,'ANÁLISE DE DADOS'!$A:$AM,24,0),""))</f>
        <v/>
      </c>
      <c r="AA77" s="61" t="str">
        <f>IF(B77="","",IFERROR(VLOOKUP(B77,'ANÁLISE DE DADOS'!$A:$AM,25,0),""))</f>
        <v/>
      </c>
      <c r="AB77" s="61" t="str">
        <f>IF(B77="","",IFERROR(VLOOKUP(B77,'ANÁLISE DE DADOS'!$A:$AM,26,0),""))</f>
        <v/>
      </c>
      <c r="AC77" s="61" t="str">
        <f>IF(B77="","",IFERROR(VLOOKUP(B77,'ANÁLISE DE DADOS'!$A:$AM,27,0),""))</f>
        <v/>
      </c>
      <c r="AD77" s="62" t="str">
        <f>IF(B77="","",IFERROR(VLOOKUP(B77,'ANÁLISE DE DADOS'!$A:$AM,28,0),""))</f>
        <v/>
      </c>
      <c r="AE77" s="61" t="str">
        <f>IF(B77="","",IFERROR(VLOOKUP(B77,'ANÁLISE DE DADOS'!$A:$AM,29,0),""))</f>
        <v/>
      </c>
      <c r="AF77" s="61" t="str">
        <f>IF(B77="","",IFERROR(VLOOKUP(B77,'ANÁLISE DE DADOS'!$A:$AM,30,0),""))</f>
        <v/>
      </c>
      <c r="AG77" s="62" t="str">
        <f>IF(B77="","",IFERROR(VLOOKUP(B77,'ANÁLISE DE DADOS'!$A:$AM,31,0),""))</f>
        <v/>
      </c>
      <c r="AH77" s="61" t="str">
        <f>IF(B77="","",IFERROR(VLOOKUP(B77,'ANÁLISE DE DADOS'!$A:$AM,32,0),""))</f>
        <v/>
      </c>
      <c r="AI77" s="61" t="str">
        <f>IF(B77="","",IFERROR(VLOOKUP(B77,'ANÁLISE DE DADOS'!$A:$AM,33,0),""))</f>
        <v/>
      </c>
      <c r="AJ77" s="61" t="str">
        <f>IF(B77="","",IFERROR(VLOOKUP(B77,'ANÁLISE DE DADOS'!$A:$AM,34,0),""))</f>
        <v/>
      </c>
      <c r="AK77" s="63" t="str">
        <f>IF(B77="","",IFERROR(VLOOKUP(B77,'ANÁLISE DE DADOS'!$A:$AM,35,0),""))</f>
        <v/>
      </c>
      <c r="AL77" s="63" t="str">
        <f>IF(B77="","",IFERROR(VLOOKUP(B77,'ANÁLISE DE DADOS'!$A:$AM,36,0),""))</f>
        <v/>
      </c>
      <c r="AM77" s="101" t="str">
        <f>IF(B77="","",IFERROR(VLOOKUP(B77,'ANÁLISE DE DADOS'!$A:$AM,37,0),""))</f>
        <v/>
      </c>
    </row>
    <row r="78" spans="2:39" x14ac:dyDescent="0.3">
      <c r="C78" s="61" t="str">
        <f>IF(B78="","",IFERROR(VLOOKUP(B78,'ANÁLISE DE DADOS'!$A:$AM,1,0),""))</f>
        <v/>
      </c>
      <c r="D78" s="61" t="str">
        <f>IF(B78="","",IFERROR(VLOOKUP(B78,'ANÁLISE DE DADOS'!$A:$AM,2,0),""))</f>
        <v/>
      </c>
      <c r="E78" s="61" t="str">
        <f>IF(B78="","",IFERROR(VLOOKUP(B78,'ANÁLISE DE DADOS'!$A:$AM,3,0),""))</f>
        <v/>
      </c>
      <c r="F78" s="61" t="str">
        <f>IF(B78="","",IFERROR(VLOOKUP(B78,'ANÁLISE DE DADOS'!$A:$AM,4,0),""))</f>
        <v/>
      </c>
      <c r="G78" s="62" t="str">
        <f>IF(B78="","",IFERROR(VLOOKUP(B78,'ANÁLISE DE DADOS'!$A:$AM,5,0),""))</f>
        <v/>
      </c>
      <c r="H78" s="62" t="str">
        <f>IF(B78="","",IFERROR(VLOOKUP(B78,'ANÁLISE DE DADOS'!$A:$AM,6,0),""))</f>
        <v/>
      </c>
      <c r="I78" s="62" t="str">
        <f>IF(B78="","",IFERROR(VLOOKUP(B78,'ANÁLISE DE DADOS'!$A:$AM,7,0),""))</f>
        <v/>
      </c>
      <c r="J78" s="62" t="str">
        <f>IF(B78="","",IFERROR(VLOOKUP(B78,'ANÁLISE DE DADOS'!$A:$AM,8,0),""))</f>
        <v/>
      </c>
      <c r="K78" s="61" t="str">
        <f>IF(B78="","",IFERROR(VLOOKUP(B78,'ANÁLISE DE DADOS'!$A:$AM,9,0),""))</f>
        <v/>
      </c>
      <c r="L78" s="61" t="str">
        <f>IF(B78="","",IFERROR(VLOOKUP(B78,'ANÁLISE DE DADOS'!$A:$AM,10,0),""))</f>
        <v/>
      </c>
      <c r="M78" s="62" t="str">
        <f>IF(B78="","",IFERROR(VLOOKUP(B78,'ANÁLISE DE DADOS'!$A:$AM,11,0),""))</f>
        <v/>
      </c>
      <c r="N78" s="61" t="str">
        <f>IF(B78="","",IFERROR(VLOOKUP(B78,'ANÁLISE DE DADOS'!$A:$AM,12,0),""))</f>
        <v/>
      </c>
      <c r="O78" s="61" t="str">
        <f>IF(B78="","",IFERROR(VLOOKUP(B78,'ANÁLISE DE DADOS'!$A:$AM,13,0),""))</f>
        <v/>
      </c>
      <c r="P78" s="63" t="str">
        <f>IF(B78="","",IFERROR(VLOOKUP(B78,'ANÁLISE DE DADOS'!$A:$AM,14,0),""))</f>
        <v/>
      </c>
      <c r="Q78" s="61" t="str">
        <f>IF(B78="","",IFERROR(VLOOKUP(B78,'ANÁLISE DE DADOS'!$A:$AM,15,0),""))</f>
        <v/>
      </c>
      <c r="R78" s="61" t="str">
        <f>IF(B78="","",IFERROR(VLOOKUP(B78,'ANÁLISE DE DADOS'!$A:$AM,16,0),""))</f>
        <v/>
      </c>
      <c r="S78" s="61" t="str">
        <f>IF(B78="","",IFERROR(VLOOKUP(B78,'ANÁLISE DE DADOS'!$A:$AM,17,0),""))</f>
        <v/>
      </c>
      <c r="T78" s="61" t="str">
        <f>IF(B78="","",IFERROR(VLOOKUP(B78,'ANÁLISE DE DADOS'!$A:$AM,18,0),""))</f>
        <v/>
      </c>
      <c r="U78" s="61" t="str">
        <f>IF(B78="","",IFERROR(VLOOKUP(B78,'ANÁLISE DE DADOS'!$A:$AM,19,0),""))</f>
        <v/>
      </c>
      <c r="V78" s="61" t="str">
        <f>IF(B78="","",IFERROR(VLOOKUP(B78,'ANÁLISE DE DADOS'!$A:$AM,20,0),""))</f>
        <v/>
      </c>
      <c r="W78" s="61" t="str">
        <f>IF(B78="","",IFERROR(VLOOKUP(B78,'ANÁLISE DE DADOS'!$A:$AM,21,0),""))</f>
        <v/>
      </c>
      <c r="X78" s="61" t="str">
        <f>IF(B78="","",IFERROR(VLOOKUP(B78,'ANÁLISE DE DADOS'!$A:$AM,22,0),""))</f>
        <v/>
      </c>
      <c r="Y78" s="61" t="str">
        <f>IF(B78="","",IFERROR(VLOOKUP(B78,'ANÁLISE DE DADOS'!$A:$AM,23,0),""))</f>
        <v/>
      </c>
      <c r="Z78" s="61" t="str">
        <f>IF(B78="","",IFERROR(VLOOKUP(B78,'ANÁLISE DE DADOS'!$A:$AM,24,0),""))</f>
        <v/>
      </c>
      <c r="AA78" s="61" t="str">
        <f>IF(B78="","",IFERROR(VLOOKUP(B78,'ANÁLISE DE DADOS'!$A:$AM,25,0),""))</f>
        <v/>
      </c>
      <c r="AB78" s="61" t="str">
        <f>IF(B78="","",IFERROR(VLOOKUP(B78,'ANÁLISE DE DADOS'!$A:$AM,26,0),""))</f>
        <v/>
      </c>
      <c r="AC78" s="61" t="str">
        <f>IF(B78="","",IFERROR(VLOOKUP(B78,'ANÁLISE DE DADOS'!$A:$AM,27,0),""))</f>
        <v/>
      </c>
      <c r="AD78" s="62" t="str">
        <f>IF(B78="","",IFERROR(VLOOKUP(B78,'ANÁLISE DE DADOS'!$A:$AM,28,0),""))</f>
        <v/>
      </c>
      <c r="AE78" s="61" t="str">
        <f>IF(B78="","",IFERROR(VLOOKUP(B78,'ANÁLISE DE DADOS'!$A:$AM,29,0),""))</f>
        <v/>
      </c>
      <c r="AF78" s="61" t="str">
        <f>IF(B78="","",IFERROR(VLOOKUP(B78,'ANÁLISE DE DADOS'!$A:$AM,30,0),""))</f>
        <v/>
      </c>
      <c r="AG78" s="62" t="str">
        <f>IF(B78="","",IFERROR(VLOOKUP(B78,'ANÁLISE DE DADOS'!$A:$AM,31,0),""))</f>
        <v/>
      </c>
      <c r="AH78" s="61" t="str">
        <f>IF(B78="","",IFERROR(VLOOKUP(B78,'ANÁLISE DE DADOS'!$A:$AM,32,0),""))</f>
        <v/>
      </c>
      <c r="AI78" s="61" t="str">
        <f>IF(B78="","",IFERROR(VLOOKUP(B78,'ANÁLISE DE DADOS'!$A:$AM,33,0),""))</f>
        <v/>
      </c>
      <c r="AJ78" s="61" t="str">
        <f>IF(B78="","",IFERROR(VLOOKUP(B78,'ANÁLISE DE DADOS'!$A:$AM,34,0),""))</f>
        <v/>
      </c>
      <c r="AK78" s="63" t="str">
        <f>IF(B78="","",IFERROR(VLOOKUP(B78,'ANÁLISE DE DADOS'!$A:$AM,35,0),""))</f>
        <v/>
      </c>
      <c r="AL78" s="63" t="str">
        <f>IF(B78="","",IFERROR(VLOOKUP(B78,'ANÁLISE DE DADOS'!$A:$AM,36,0),""))</f>
        <v/>
      </c>
      <c r="AM78" s="101" t="str">
        <f>IF(B78="","",IFERROR(VLOOKUP(B78,'ANÁLISE DE DADOS'!$A:$AM,37,0),""))</f>
        <v/>
      </c>
    </row>
    <row r="79" spans="2:39" x14ac:dyDescent="0.3">
      <c r="C79" s="61" t="str">
        <f>IF(B79="","",IFERROR(VLOOKUP(B79,'ANÁLISE DE DADOS'!$A:$AM,1,0),""))</f>
        <v/>
      </c>
      <c r="D79" s="61" t="str">
        <f>IF(B79="","",IFERROR(VLOOKUP(B79,'ANÁLISE DE DADOS'!$A:$AM,2,0),""))</f>
        <v/>
      </c>
      <c r="E79" s="61" t="str">
        <f>IF(B79="","",IFERROR(VLOOKUP(B79,'ANÁLISE DE DADOS'!$A:$AM,3,0),""))</f>
        <v/>
      </c>
      <c r="F79" s="61" t="str">
        <f>IF(B79="","",IFERROR(VLOOKUP(B79,'ANÁLISE DE DADOS'!$A:$AM,4,0),""))</f>
        <v/>
      </c>
      <c r="G79" s="62" t="str">
        <f>IF(B79="","",IFERROR(VLOOKUP(B79,'ANÁLISE DE DADOS'!$A:$AM,5,0),""))</f>
        <v/>
      </c>
      <c r="H79" s="62" t="str">
        <f>IF(B79="","",IFERROR(VLOOKUP(B79,'ANÁLISE DE DADOS'!$A:$AM,6,0),""))</f>
        <v/>
      </c>
      <c r="I79" s="62" t="str">
        <f>IF(B79="","",IFERROR(VLOOKUP(B79,'ANÁLISE DE DADOS'!$A:$AM,7,0),""))</f>
        <v/>
      </c>
      <c r="J79" s="62" t="str">
        <f>IF(B79="","",IFERROR(VLOOKUP(B79,'ANÁLISE DE DADOS'!$A:$AM,8,0),""))</f>
        <v/>
      </c>
      <c r="K79" s="61" t="str">
        <f>IF(B79="","",IFERROR(VLOOKUP(B79,'ANÁLISE DE DADOS'!$A:$AM,9,0),""))</f>
        <v/>
      </c>
      <c r="L79" s="61" t="str">
        <f>IF(B79="","",IFERROR(VLOOKUP(B79,'ANÁLISE DE DADOS'!$A:$AM,10,0),""))</f>
        <v/>
      </c>
      <c r="M79" s="62" t="str">
        <f>IF(B79="","",IFERROR(VLOOKUP(B79,'ANÁLISE DE DADOS'!$A:$AM,11,0),""))</f>
        <v/>
      </c>
      <c r="N79" s="61" t="str">
        <f>IF(B79="","",IFERROR(VLOOKUP(B79,'ANÁLISE DE DADOS'!$A:$AM,12,0),""))</f>
        <v/>
      </c>
      <c r="O79" s="61" t="str">
        <f>IF(B79="","",IFERROR(VLOOKUP(B79,'ANÁLISE DE DADOS'!$A:$AM,13,0),""))</f>
        <v/>
      </c>
      <c r="P79" s="63" t="str">
        <f>IF(B79="","",IFERROR(VLOOKUP(B79,'ANÁLISE DE DADOS'!$A:$AM,14,0),""))</f>
        <v/>
      </c>
      <c r="Q79" s="61" t="str">
        <f>IF(B79="","",IFERROR(VLOOKUP(B79,'ANÁLISE DE DADOS'!$A:$AM,15,0),""))</f>
        <v/>
      </c>
      <c r="R79" s="61" t="str">
        <f>IF(B79="","",IFERROR(VLOOKUP(B79,'ANÁLISE DE DADOS'!$A:$AM,16,0),""))</f>
        <v/>
      </c>
      <c r="S79" s="61" t="str">
        <f>IF(B79="","",IFERROR(VLOOKUP(B79,'ANÁLISE DE DADOS'!$A:$AM,17,0),""))</f>
        <v/>
      </c>
      <c r="T79" s="61" t="str">
        <f>IF(B79="","",IFERROR(VLOOKUP(B79,'ANÁLISE DE DADOS'!$A:$AM,18,0),""))</f>
        <v/>
      </c>
      <c r="U79" s="61" t="str">
        <f>IF(B79="","",IFERROR(VLOOKUP(B79,'ANÁLISE DE DADOS'!$A:$AM,19,0),""))</f>
        <v/>
      </c>
      <c r="V79" s="61" t="str">
        <f>IF(B79="","",IFERROR(VLOOKUP(B79,'ANÁLISE DE DADOS'!$A:$AM,20,0),""))</f>
        <v/>
      </c>
      <c r="W79" s="61" t="str">
        <f>IF(B79="","",IFERROR(VLOOKUP(B79,'ANÁLISE DE DADOS'!$A:$AM,21,0),""))</f>
        <v/>
      </c>
      <c r="X79" s="61" t="str">
        <f>IF(B79="","",IFERROR(VLOOKUP(B79,'ANÁLISE DE DADOS'!$A:$AM,22,0),""))</f>
        <v/>
      </c>
      <c r="Y79" s="61" t="str">
        <f>IF(B79="","",IFERROR(VLOOKUP(B79,'ANÁLISE DE DADOS'!$A:$AM,23,0),""))</f>
        <v/>
      </c>
      <c r="Z79" s="61" t="str">
        <f>IF(B79="","",IFERROR(VLOOKUP(B79,'ANÁLISE DE DADOS'!$A:$AM,24,0),""))</f>
        <v/>
      </c>
      <c r="AA79" s="61" t="str">
        <f>IF(B79="","",IFERROR(VLOOKUP(B79,'ANÁLISE DE DADOS'!$A:$AM,25,0),""))</f>
        <v/>
      </c>
      <c r="AB79" s="61" t="str">
        <f>IF(B79="","",IFERROR(VLOOKUP(B79,'ANÁLISE DE DADOS'!$A:$AM,26,0),""))</f>
        <v/>
      </c>
      <c r="AC79" s="61" t="str">
        <f>IF(B79="","",IFERROR(VLOOKUP(B79,'ANÁLISE DE DADOS'!$A:$AM,27,0),""))</f>
        <v/>
      </c>
      <c r="AD79" s="62" t="str">
        <f>IF(B79="","",IFERROR(VLOOKUP(B79,'ANÁLISE DE DADOS'!$A:$AM,28,0),""))</f>
        <v/>
      </c>
      <c r="AE79" s="61" t="str">
        <f>IF(B79="","",IFERROR(VLOOKUP(B79,'ANÁLISE DE DADOS'!$A:$AM,29,0),""))</f>
        <v/>
      </c>
      <c r="AF79" s="61" t="str">
        <f>IF(B79="","",IFERROR(VLOOKUP(B79,'ANÁLISE DE DADOS'!$A:$AM,30,0),""))</f>
        <v/>
      </c>
      <c r="AG79" s="62" t="str">
        <f>IF(B79="","",IFERROR(VLOOKUP(B79,'ANÁLISE DE DADOS'!$A:$AM,31,0),""))</f>
        <v/>
      </c>
      <c r="AH79" s="61" t="str">
        <f>IF(B79="","",IFERROR(VLOOKUP(B79,'ANÁLISE DE DADOS'!$A:$AM,32,0),""))</f>
        <v/>
      </c>
      <c r="AI79" s="61" t="str">
        <f>IF(B79="","",IFERROR(VLOOKUP(B79,'ANÁLISE DE DADOS'!$A:$AM,33,0),""))</f>
        <v/>
      </c>
      <c r="AJ79" s="61" t="str">
        <f>IF(B79="","",IFERROR(VLOOKUP(B79,'ANÁLISE DE DADOS'!$A:$AM,34,0),""))</f>
        <v/>
      </c>
      <c r="AK79" s="63" t="str">
        <f>IF(B79="","",IFERROR(VLOOKUP(B79,'ANÁLISE DE DADOS'!$A:$AM,35,0),""))</f>
        <v/>
      </c>
      <c r="AL79" s="63" t="str">
        <f>IF(B79="","",IFERROR(VLOOKUP(B79,'ANÁLISE DE DADOS'!$A:$AM,36,0),""))</f>
        <v/>
      </c>
      <c r="AM79" s="101" t="str">
        <f>IF(B79="","",IFERROR(VLOOKUP(B79,'ANÁLISE DE DADOS'!$A:$AM,37,0),""))</f>
        <v/>
      </c>
    </row>
    <row r="80" spans="2:39" x14ac:dyDescent="0.3">
      <c r="C80" s="61" t="str">
        <f>IF(B80="","",IFERROR(VLOOKUP(B80,'ANÁLISE DE DADOS'!$A:$AM,1,0),""))</f>
        <v/>
      </c>
      <c r="D80" s="61" t="str">
        <f>IF(B80="","",IFERROR(VLOOKUP(B80,'ANÁLISE DE DADOS'!$A:$AM,2,0),""))</f>
        <v/>
      </c>
      <c r="E80" s="61" t="str">
        <f>IF(B80="","",IFERROR(VLOOKUP(B80,'ANÁLISE DE DADOS'!$A:$AM,3,0),""))</f>
        <v/>
      </c>
      <c r="F80" s="61" t="str">
        <f>IF(B80="","",IFERROR(VLOOKUP(B80,'ANÁLISE DE DADOS'!$A:$AM,4,0),""))</f>
        <v/>
      </c>
      <c r="G80" s="62" t="str">
        <f>IF(B80="","",IFERROR(VLOOKUP(B80,'ANÁLISE DE DADOS'!$A:$AM,5,0),""))</f>
        <v/>
      </c>
      <c r="H80" s="62" t="str">
        <f>IF(B80="","",IFERROR(VLOOKUP(B80,'ANÁLISE DE DADOS'!$A:$AM,6,0),""))</f>
        <v/>
      </c>
      <c r="I80" s="62" t="str">
        <f>IF(B80="","",IFERROR(VLOOKUP(B80,'ANÁLISE DE DADOS'!$A:$AM,7,0),""))</f>
        <v/>
      </c>
      <c r="J80" s="62" t="str">
        <f>IF(B80="","",IFERROR(VLOOKUP(B80,'ANÁLISE DE DADOS'!$A:$AM,8,0),""))</f>
        <v/>
      </c>
      <c r="K80" s="61" t="str">
        <f>IF(B80="","",IFERROR(VLOOKUP(B80,'ANÁLISE DE DADOS'!$A:$AM,9,0),""))</f>
        <v/>
      </c>
      <c r="L80" s="61" t="str">
        <f>IF(B80="","",IFERROR(VLOOKUP(B80,'ANÁLISE DE DADOS'!$A:$AM,10,0),""))</f>
        <v/>
      </c>
      <c r="M80" s="62" t="str">
        <f>IF(B80="","",IFERROR(VLOOKUP(B80,'ANÁLISE DE DADOS'!$A:$AM,11,0),""))</f>
        <v/>
      </c>
      <c r="N80" s="61" t="str">
        <f>IF(B80="","",IFERROR(VLOOKUP(B80,'ANÁLISE DE DADOS'!$A:$AM,12,0),""))</f>
        <v/>
      </c>
      <c r="O80" s="61" t="str">
        <f>IF(B80="","",IFERROR(VLOOKUP(B80,'ANÁLISE DE DADOS'!$A:$AM,13,0),""))</f>
        <v/>
      </c>
      <c r="P80" s="63" t="str">
        <f>IF(B80="","",IFERROR(VLOOKUP(B80,'ANÁLISE DE DADOS'!$A:$AM,14,0),""))</f>
        <v/>
      </c>
      <c r="Q80" s="61" t="str">
        <f>IF(B80="","",IFERROR(VLOOKUP(B80,'ANÁLISE DE DADOS'!$A:$AM,15,0),""))</f>
        <v/>
      </c>
      <c r="R80" s="61" t="str">
        <f>IF(B80="","",IFERROR(VLOOKUP(B80,'ANÁLISE DE DADOS'!$A:$AM,16,0),""))</f>
        <v/>
      </c>
      <c r="S80" s="61" t="str">
        <f>IF(B80="","",IFERROR(VLOOKUP(B80,'ANÁLISE DE DADOS'!$A:$AM,17,0),""))</f>
        <v/>
      </c>
      <c r="T80" s="61" t="str">
        <f>IF(B80="","",IFERROR(VLOOKUP(B80,'ANÁLISE DE DADOS'!$A:$AM,18,0),""))</f>
        <v/>
      </c>
      <c r="U80" s="61" t="str">
        <f>IF(B80="","",IFERROR(VLOOKUP(B80,'ANÁLISE DE DADOS'!$A:$AM,19,0),""))</f>
        <v/>
      </c>
      <c r="V80" s="61" t="str">
        <f>IF(B80="","",IFERROR(VLOOKUP(B80,'ANÁLISE DE DADOS'!$A:$AM,20,0),""))</f>
        <v/>
      </c>
      <c r="W80" s="61" t="str">
        <f>IF(B80="","",IFERROR(VLOOKUP(B80,'ANÁLISE DE DADOS'!$A:$AM,21,0),""))</f>
        <v/>
      </c>
      <c r="X80" s="61" t="str">
        <f>IF(B80="","",IFERROR(VLOOKUP(B80,'ANÁLISE DE DADOS'!$A:$AM,22,0),""))</f>
        <v/>
      </c>
      <c r="Y80" s="61" t="str">
        <f>IF(B80="","",IFERROR(VLOOKUP(B80,'ANÁLISE DE DADOS'!$A:$AM,23,0),""))</f>
        <v/>
      </c>
      <c r="Z80" s="61" t="str">
        <f>IF(B80="","",IFERROR(VLOOKUP(B80,'ANÁLISE DE DADOS'!$A:$AM,24,0),""))</f>
        <v/>
      </c>
      <c r="AA80" s="61" t="str">
        <f>IF(B80="","",IFERROR(VLOOKUP(B80,'ANÁLISE DE DADOS'!$A:$AM,25,0),""))</f>
        <v/>
      </c>
      <c r="AB80" s="61" t="str">
        <f>IF(B80="","",IFERROR(VLOOKUP(B80,'ANÁLISE DE DADOS'!$A:$AM,26,0),""))</f>
        <v/>
      </c>
      <c r="AC80" s="61" t="str">
        <f>IF(B80="","",IFERROR(VLOOKUP(B80,'ANÁLISE DE DADOS'!$A:$AM,27,0),""))</f>
        <v/>
      </c>
      <c r="AD80" s="62" t="str">
        <f>IF(B80="","",IFERROR(VLOOKUP(B80,'ANÁLISE DE DADOS'!$A:$AM,28,0),""))</f>
        <v/>
      </c>
      <c r="AE80" s="61" t="str">
        <f>IF(B80="","",IFERROR(VLOOKUP(B80,'ANÁLISE DE DADOS'!$A:$AM,29,0),""))</f>
        <v/>
      </c>
      <c r="AF80" s="61" t="str">
        <f>IF(B80="","",IFERROR(VLOOKUP(B80,'ANÁLISE DE DADOS'!$A:$AM,30,0),""))</f>
        <v/>
      </c>
      <c r="AG80" s="62" t="str">
        <f>IF(B80="","",IFERROR(VLOOKUP(B80,'ANÁLISE DE DADOS'!$A:$AM,31,0),""))</f>
        <v/>
      </c>
      <c r="AH80" s="61" t="str">
        <f>IF(B80="","",IFERROR(VLOOKUP(B80,'ANÁLISE DE DADOS'!$A:$AM,32,0),""))</f>
        <v/>
      </c>
      <c r="AI80" s="61" t="str">
        <f>IF(B80="","",IFERROR(VLOOKUP(B80,'ANÁLISE DE DADOS'!$A:$AM,33,0),""))</f>
        <v/>
      </c>
      <c r="AJ80" s="61" t="str">
        <f>IF(B80="","",IFERROR(VLOOKUP(B80,'ANÁLISE DE DADOS'!$A:$AM,34,0),""))</f>
        <v/>
      </c>
      <c r="AK80" s="63" t="str">
        <f>IF(B80="","",IFERROR(VLOOKUP(B80,'ANÁLISE DE DADOS'!$A:$AM,35,0),""))</f>
        <v/>
      </c>
      <c r="AL80" s="63" t="str">
        <f>IF(B80="","",IFERROR(VLOOKUP(B80,'ANÁLISE DE DADOS'!$A:$AM,36,0),""))</f>
        <v/>
      </c>
      <c r="AM80" s="101" t="str">
        <f>IF(B80="","",IFERROR(VLOOKUP(B80,'ANÁLISE DE DADOS'!$A:$AM,37,0),""))</f>
        <v/>
      </c>
    </row>
    <row r="81" spans="3:39" x14ac:dyDescent="0.3">
      <c r="C81" s="61" t="str">
        <f>IF(B81="","",IFERROR(VLOOKUP(B81,'ANÁLISE DE DADOS'!$A:$AM,1,0),""))</f>
        <v/>
      </c>
      <c r="D81" s="61" t="str">
        <f>IF(B81="","",IFERROR(VLOOKUP(B81,'ANÁLISE DE DADOS'!$A:$AM,2,0),""))</f>
        <v/>
      </c>
      <c r="E81" s="61" t="str">
        <f>IF(B81="","",IFERROR(VLOOKUP(B81,'ANÁLISE DE DADOS'!$A:$AM,3,0),""))</f>
        <v/>
      </c>
      <c r="F81" s="61" t="str">
        <f>IF(B81="","",IFERROR(VLOOKUP(B81,'ANÁLISE DE DADOS'!$A:$AM,4,0),""))</f>
        <v/>
      </c>
      <c r="G81" s="62" t="str">
        <f>IF(B81="","",IFERROR(VLOOKUP(B81,'ANÁLISE DE DADOS'!$A:$AM,5,0),""))</f>
        <v/>
      </c>
      <c r="H81" s="62" t="str">
        <f>IF(B81="","",IFERROR(VLOOKUP(B81,'ANÁLISE DE DADOS'!$A:$AM,6,0),""))</f>
        <v/>
      </c>
      <c r="I81" s="62" t="str">
        <f>IF(B81="","",IFERROR(VLOOKUP(B81,'ANÁLISE DE DADOS'!$A:$AM,7,0),""))</f>
        <v/>
      </c>
      <c r="J81" s="62" t="str">
        <f>IF(B81="","",IFERROR(VLOOKUP(B81,'ANÁLISE DE DADOS'!$A:$AM,8,0),""))</f>
        <v/>
      </c>
      <c r="K81" s="61" t="str">
        <f>IF(B81="","",IFERROR(VLOOKUP(B81,'ANÁLISE DE DADOS'!$A:$AM,9,0),""))</f>
        <v/>
      </c>
      <c r="L81" s="61" t="str">
        <f>IF(B81="","",IFERROR(VLOOKUP(B81,'ANÁLISE DE DADOS'!$A:$AM,10,0),""))</f>
        <v/>
      </c>
      <c r="M81" s="62" t="str">
        <f>IF(B81="","",IFERROR(VLOOKUP(B81,'ANÁLISE DE DADOS'!$A:$AM,11,0),""))</f>
        <v/>
      </c>
      <c r="N81" s="61" t="str">
        <f>IF(B81="","",IFERROR(VLOOKUP(B81,'ANÁLISE DE DADOS'!$A:$AM,12,0),""))</f>
        <v/>
      </c>
      <c r="O81" s="61" t="str">
        <f>IF(B81="","",IFERROR(VLOOKUP(B81,'ANÁLISE DE DADOS'!$A:$AM,13,0),""))</f>
        <v/>
      </c>
      <c r="P81" s="63" t="str">
        <f>IF(B81="","",IFERROR(VLOOKUP(B81,'ANÁLISE DE DADOS'!$A:$AM,14,0),""))</f>
        <v/>
      </c>
      <c r="Q81" s="61" t="str">
        <f>IF(B81="","",IFERROR(VLOOKUP(B81,'ANÁLISE DE DADOS'!$A:$AM,15,0),""))</f>
        <v/>
      </c>
      <c r="R81" s="61" t="str">
        <f>IF(B81="","",IFERROR(VLOOKUP(B81,'ANÁLISE DE DADOS'!$A:$AM,16,0),""))</f>
        <v/>
      </c>
      <c r="S81" s="61" t="str">
        <f>IF(B81="","",IFERROR(VLOOKUP(B81,'ANÁLISE DE DADOS'!$A:$AM,17,0),""))</f>
        <v/>
      </c>
      <c r="T81" s="61" t="str">
        <f>IF(B81="","",IFERROR(VLOOKUP(B81,'ANÁLISE DE DADOS'!$A:$AM,18,0),""))</f>
        <v/>
      </c>
      <c r="U81" s="61" t="str">
        <f>IF(B81="","",IFERROR(VLOOKUP(B81,'ANÁLISE DE DADOS'!$A:$AM,19,0),""))</f>
        <v/>
      </c>
      <c r="V81" s="61" t="str">
        <f>IF(B81="","",IFERROR(VLOOKUP(B81,'ANÁLISE DE DADOS'!$A:$AM,20,0),""))</f>
        <v/>
      </c>
      <c r="W81" s="61" t="str">
        <f>IF(B81="","",IFERROR(VLOOKUP(B81,'ANÁLISE DE DADOS'!$A:$AM,21,0),""))</f>
        <v/>
      </c>
      <c r="X81" s="61" t="str">
        <f>IF(B81="","",IFERROR(VLOOKUP(B81,'ANÁLISE DE DADOS'!$A:$AM,22,0),""))</f>
        <v/>
      </c>
      <c r="Y81" s="61" t="str">
        <f>IF(B81="","",IFERROR(VLOOKUP(B81,'ANÁLISE DE DADOS'!$A:$AM,23,0),""))</f>
        <v/>
      </c>
      <c r="Z81" s="61" t="str">
        <f>IF(B81="","",IFERROR(VLOOKUP(B81,'ANÁLISE DE DADOS'!$A:$AM,24,0),""))</f>
        <v/>
      </c>
      <c r="AA81" s="61" t="str">
        <f>IF(B81="","",IFERROR(VLOOKUP(B81,'ANÁLISE DE DADOS'!$A:$AM,25,0),""))</f>
        <v/>
      </c>
      <c r="AB81" s="61" t="str">
        <f>IF(B81="","",IFERROR(VLOOKUP(B81,'ANÁLISE DE DADOS'!$A:$AM,26,0),""))</f>
        <v/>
      </c>
      <c r="AC81" s="61" t="str">
        <f>IF(B81="","",IFERROR(VLOOKUP(B81,'ANÁLISE DE DADOS'!$A:$AM,27,0),""))</f>
        <v/>
      </c>
      <c r="AD81" s="62" t="str">
        <f>IF(B81="","",IFERROR(VLOOKUP(B81,'ANÁLISE DE DADOS'!$A:$AM,28,0),""))</f>
        <v/>
      </c>
      <c r="AE81" s="61" t="str">
        <f>IF(B81="","",IFERROR(VLOOKUP(B81,'ANÁLISE DE DADOS'!$A:$AM,29,0),""))</f>
        <v/>
      </c>
      <c r="AF81" s="61" t="str">
        <f>IF(B81="","",IFERROR(VLOOKUP(B81,'ANÁLISE DE DADOS'!$A:$AM,30,0),""))</f>
        <v/>
      </c>
      <c r="AG81" s="62" t="str">
        <f>IF(B81="","",IFERROR(VLOOKUP(B81,'ANÁLISE DE DADOS'!$A:$AM,31,0),""))</f>
        <v/>
      </c>
      <c r="AH81" s="61" t="str">
        <f>IF(B81="","",IFERROR(VLOOKUP(B81,'ANÁLISE DE DADOS'!$A:$AM,32,0),""))</f>
        <v/>
      </c>
      <c r="AI81" s="61" t="str">
        <f>IF(B81="","",IFERROR(VLOOKUP(B81,'ANÁLISE DE DADOS'!$A:$AM,33,0),""))</f>
        <v/>
      </c>
      <c r="AJ81" s="61" t="str">
        <f>IF(B81="","",IFERROR(VLOOKUP(B81,'ANÁLISE DE DADOS'!$A:$AM,34,0),""))</f>
        <v/>
      </c>
      <c r="AK81" s="63" t="str">
        <f>IF(B81="","",IFERROR(VLOOKUP(B81,'ANÁLISE DE DADOS'!$A:$AM,35,0),""))</f>
        <v/>
      </c>
      <c r="AL81" s="63" t="str">
        <f>IF(B81="","",IFERROR(VLOOKUP(B81,'ANÁLISE DE DADOS'!$A:$AM,36,0),""))</f>
        <v/>
      </c>
      <c r="AM81" s="101" t="str">
        <f>IF(B81="","",IFERROR(VLOOKUP(B81,'ANÁLISE DE DADOS'!$A:$AM,37,0),""))</f>
        <v/>
      </c>
    </row>
    <row r="82" spans="3:39" x14ac:dyDescent="0.3">
      <c r="C82" s="61" t="str">
        <f>IF(B82="","",IFERROR(VLOOKUP(B82,'ANÁLISE DE DADOS'!$A:$AM,1,0),""))</f>
        <v/>
      </c>
      <c r="D82" s="61" t="str">
        <f>IF(B82="","",IFERROR(VLOOKUP(B82,'ANÁLISE DE DADOS'!$A:$AM,2,0),""))</f>
        <v/>
      </c>
      <c r="E82" s="61" t="str">
        <f>IF(B82="","",IFERROR(VLOOKUP(B82,'ANÁLISE DE DADOS'!$A:$AM,3,0),""))</f>
        <v/>
      </c>
      <c r="F82" s="61" t="str">
        <f>IF(B82="","",IFERROR(VLOOKUP(B82,'ANÁLISE DE DADOS'!$A:$AM,4,0),""))</f>
        <v/>
      </c>
      <c r="G82" s="62" t="str">
        <f>IF(B82="","",IFERROR(VLOOKUP(B82,'ANÁLISE DE DADOS'!$A:$AM,5,0),""))</f>
        <v/>
      </c>
      <c r="H82" s="62" t="str">
        <f>IF(B82="","",IFERROR(VLOOKUP(B82,'ANÁLISE DE DADOS'!$A:$AM,6,0),""))</f>
        <v/>
      </c>
      <c r="I82" s="62" t="str">
        <f>IF(B82="","",IFERROR(VLOOKUP(B82,'ANÁLISE DE DADOS'!$A:$AM,7,0),""))</f>
        <v/>
      </c>
      <c r="J82" s="62" t="str">
        <f>IF(B82="","",IFERROR(VLOOKUP(B82,'ANÁLISE DE DADOS'!$A:$AM,8,0),""))</f>
        <v/>
      </c>
      <c r="K82" s="61" t="str">
        <f>IF(B82="","",IFERROR(VLOOKUP(B82,'ANÁLISE DE DADOS'!$A:$AM,9,0),""))</f>
        <v/>
      </c>
      <c r="L82" s="61" t="str">
        <f>IF(B82="","",IFERROR(VLOOKUP(B82,'ANÁLISE DE DADOS'!$A:$AM,10,0),""))</f>
        <v/>
      </c>
      <c r="M82" s="62" t="str">
        <f>IF(B82="","",IFERROR(VLOOKUP(B82,'ANÁLISE DE DADOS'!$A:$AM,11,0),""))</f>
        <v/>
      </c>
      <c r="N82" s="61" t="str">
        <f>IF(B82="","",IFERROR(VLOOKUP(B82,'ANÁLISE DE DADOS'!$A:$AM,12,0),""))</f>
        <v/>
      </c>
      <c r="O82" s="61" t="str">
        <f>IF(B82="","",IFERROR(VLOOKUP(B82,'ANÁLISE DE DADOS'!$A:$AM,13,0),""))</f>
        <v/>
      </c>
      <c r="P82" s="63" t="str">
        <f>IF(B82="","",IFERROR(VLOOKUP(B82,'ANÁLISE DE DADOS'!$A:$AM,14,0),""))</f>
        <v/>
      </c>
      <c r="Q82" s="61" t="str">
        <f>IF(B82="","",IFERROR(VLOOKUP(B82,'ANÁLISE DE DADOS'!$A:$AM,15,0),""))</f>
        <v/>
      </c>
      <c r="R82" s="61" t="str">
        <f>IF(B82="","",IFERROR(VLOOKUP(B82,'ANÁLISE DE DADOS'!$A:$AM,16,0),""))</f>
        <v/>
      </c>
      <c r="S82" s="61" t="str">
        <f>IF(B82="","",IFERROR(VLOOKUP(B82,'ANÁLISE DE DADOS'!$A:$AM,17,0),""))</f>
        <v/>
      </c>
      <c r="T82" s="61" t="str">
        <f>IF(B82="","",IFERROR(VLOOKUP(B82,'ANÁLISE DE DADOS'!$A:$AM,18,0),""))</f>
        <v/>
      </c>
      <c r="U82" s="61" t="str">
        <f>IF(B82="","",IFERROR(VLOOKUP(B82,'ANÁLISE DE DADOS'!$A:$AM,19,0),""))</f>
        <v/>
      </c>
      <c r="V82" s="61" t="str">
        <f>IF(B82="","",IFERROR(VLOOKUP(B82,'ANÁLISE DE DADOS'!$A:$AM,20,0),""))</f>
        <v/>
      </c>
      <c r="W82" s="61" t="str">
        <f>IF(B82="","",IFERROR(VLOOKUP(B82,'ANÁLISE DE DADOS'!$A:$AM,21,0),""))</f>
        <v/>
      </c>
      <c r="X82" s="61" t="str">
        <f>IF(B82="","",IFERROR(VLOOKUP(B82,'ANÁLISE DE DADOS'!$A:$AM,22,0),""))</f>
        <v/>
      </c>
      <c r="Y82" s="61" t="str">
        <f>IF(B82="","",IFERROR(VLOOKUP(B82,'ANÁLISE DE DADOS'!$A:$AM,23,0),""))</f>
        <v/>
      </c>
      <c r="Z82" s="61" t="str">
        <f>IF(B82="","",IFERROR(VLOOKUP(B82,'ANÁLISE DE DADOS'!$A:$AM,24,0),""))</f>
        <v/>
      </c>
      <c r="AA82" s="61" t="str">
        <f>IF(B82="","",IFERROR(VLOOKUP(B82,'ANÁLISE DE DADOS'!$A:$AM,25,0),""))</f>
        <v/>
      </c>
      <c r="AB82" s="61" t="str">
        <f>IF(B82="","",IFERROR(VLOOKUP(B82,'ANÁLISE DE DADOS'!$A:$AM,26,0),""))</f>
        <v/>
      </c>
      <c r="AC82" s="61" t="str">
        <f>IF(B82="","",IFERROR(VLOOKUP(B82,'ANÁLISE DE DADOS'!$A:$AM,27,0),""))</f>
        <v/>
      </c>
      <c r="AD82" s="62" t="str">
        <f>IF(B82="","",IFERROR(VLOOKUP(B82,'ANÁLISE DE DADOS'!$A:$AM,28,0),""))</f>
        <v/>
      </c>
      <c r="AE82" s="61" t="str">
        <f>IF(B82="","",IFERROR(VLOOKUP(B82,'ANÁLISE DE DADOS'!$A:$AM,29,0),""))</f>
        <v/>
      </c>
      <c r="AF82" s="61" t="str">
        <f>IF(B82="","",IFERROR(VLOOKUP(B82,'ANÁLISE DE DADOS'!$A:$AM,30,0),""))</f>
        <v/>
      </c>
      <c r="AG82" s="62" t="str">
        <f>IF(B82="","",IFERROR(VLOOKUP(B82,'ANÁLISE DE DADOS'!$A:$AM,31,0),""))</f>
        <v/>
      </c>
      <c r="AH82" s="61" t="str">
        <f>IF(B82="","",IFERROR(VLOOKUP(B82,'ANÁLISE DE DADOS'!$A:$AM,32,0),""))</f>
        <v/>
      </c>
      <c r="AI82" s="61" t="str">
        <f>IF(B82="","",IFERROR(VLOOKUP(B82,'ANÁLISE DE DADOS'!$A:$AM,33,0),""))</f>
        <v/>
      </c>
      <c r="AJ82" s="61" t="str">
        <f>IF(B82="","",IFERROR(VLOOKUP(B82,'ANÁLISE DE DADOS'!$A:$AM,34,0),""))</f>
        <v/>
      </c>
      <c r="AK82" s="63" t="str">
        <f>IF(B82="","",IFERROR(VLOOKUP(B82,'ANÁLISE DE DADOS'!$A:$AM,35,0),""))</f>
        <v/>
      </c>
      <c r="AL82" s="63" t="str">
        <f>IF(B82="","",IFERROR(VLOOKUP(B82,'ANÁLISE DE DADOS'!$A:$AM,36,0),""))</f>
        <v/>
      </c>
      <c r="AM82" s="101" t="str">
        <f>IF(B82="","",IFERROR(VLOOKUP(B82,'ANÁLISE DE DADOS'!$A:$AM,37,0),""))</f>
        <v/>
      </c>
    </row>
    <row r="83" spans="3:39" x14ac:dyDescent="0.3">
      <c r="C83" s="61" t="str">
        <f>IF(B83="","",IFERROR(VLOOKUP(B83,'ANÁLISE DE DADOS'!$A:$AM,1,0),""))</f>
        <v/>
      </c>
      <c r="D83" s="61" t="str">
        <f>IF(B83="","",IFERROR(VLOOKUP(B83,'ANÁLISE DE DADOS'!$A:$AM,2,0),""))</f>
        <v/>
      </c>
      <c r="E83" s="61" t="str">
        <f>IF(B83="","",IFERROR(VLOOKUP(B83,'ANÁLISE DE DADOS'!$A:$AM,3,0),""))</f>
        <v/>
      </c>
      <c r="F83" s="61" t="str">
        <f>IF(B83="","",IFERROR(VLOOKUP(B83,'ANÁLISE DE DADOS'!$A:$AM,4,0),""))</f>
        <v/>
      </c>
      <c r="G83" s="62" t="str">
        <f>IF(B83="","",IFERROR(VLOOKUP(B83,'ANÁLISE DE DADOS'!$A:$AM,5,0),""))</f>
        <v/>
      </c>
      <c r="H83" s="62" t="str">
        <f>IF(B83="","",IFERROR(VLOOKUP(B83,'ANÁLISE DE DADOS'!$A:$AM,6,0),""))</f>
        <v/>
      </c>
      <c r="I83" s="62" t="str">
        <f>IF(B83="","",IFERROR(VLOOKUP(B83,'ANÁLISE DE DADOS'!$A:$AM,7,0),""))</f>
        <v/>
      </c>
      <c r="J83" s="62" t="str">
        <f>IF(B83="","",IFERROR(VLOOKUP(B83,'ANÁLISE DE DADOS'!$A:$AM,8,0),""))</f>
        <v/>
      </c>
      <c r="K83" s="61" t="str">
        <f>IF(B83="","",IFERROR(VLOOKUP(B83,'ANÁLISE DE DADOS'!$A:$AM,9,0),""))</f>
        <v/>
      </c>
      <c r="L83" s="61" t="str">
        <f>IF(B83="","",IFERROR(VLOOKUP(B83,'ANÁLISE DE DADOS'!$A:$AM,10,0),""))</f>
        <v/>
      </c>
      <c r="M83" s="62" t="str">
        <f>IF(B83="","",IFERROR(VLOOKUP(B83,'ANÁLISE DE DADOS'!$A:$AM,11,0),""))</f>
        <v/>
      </c>
      <c r="N83" s="61" t="str">
        <f>IF(B83="","",IFERROR(VLOOKUP(B83,'ANÁLISE DE DADOS'!$A:$AM,12,0),""))</f>
        <v/>
      </c>
      <c r="O83" s="61" t="str">
        <f>IF(B83="","",IFERROR(VLOOKUP(B83,'ANÁLISE DE DADOS'!$A:$AM,13,0),""))</f>
        <v/>
      </c>
      <c r="P83" s="63" t="str">
        <f>IF(B83="","",IFERROR(VLOOKUP(B83,'ANÁLISE DE DADOS'!$A:$AM,14,0),""))</f>
        <v/>
      </c>
      <c r="Q83" s="61" t="str">
        <f>IF(B83="","",IFERROR(VLOOKUP(B83,'ANÁLISE DE DADOS'!$A:$AM,15,0),""))</f>
        <v/>
      </c>
      <c r="R83" s="61" t="str">
        <f>IF(B83="","",IFERROR(VLOOKUP(B83,'ANÁLISE DE DADOS'!$A:$AM,16,0),""))</f>
        <v/>
      </c>
      <c r="S83" s="61" t="str">
        <f>IF(B83="","",IFERROR(VLOOKUP(B83,'ANÁLISE DE DADOS'!$A:$AM,17,0),""))</f>
        <v/>
      </c>
      <c r="T83" s="61" t="str">
        <f>IF(B83="","",IFERROR(VLOOKUP(B83,'ANÁLISE DE DADOS'!$A:$AM,18,0),""))</f>
        <v/>
      </c>
      <c r="U83" s="61" t="str">
        <f>IF(B83="","",IFERROR(VLOOKUP(B83,'ANÁLISE DE DADOS'!$A:$AM,19,0),""))</f>
        <v/>
      </c>
      <c r="V83" s="61" t="str">
        <f>IF(B83="","",IFERROR(VLOOKUP(B83,'ANÁLISE DE DADOS'!$A:$AM,20,0),""))</f>
        <v/>
      </c>
      <c r="W83" s="61" t="str">
        <f>IF(B83="","",IFERROR(VLOOKUP(B83,'ANÁLISE DE DADOS'!$A:$AM,21,0),""))</f>
        <v/>
      </c>
      <c r="X83" s="61" t="str">
        <f>IF(B83="","",IFERROR(VLOOKUP(B83,'ANÁLISE DE DADOS'!$A:$AM,22,0),""))</f>
        <v/>
      </c>
      <c r="Y83" s="61" t="str">
        <f>IF(B83="","",IFERROR(VLOOKUP(B83,'ANÁLISE DE DADOS'!$A:$AM,23,0),""))</f>
        <v/>
      </c>
      <c r="Z83" s="61" t="str">
        <f>IF(B83="","",IFERROR(VLOOKUP(B83,'ANÁLISE DE DADOS'!$A:$AM,24,0),""))</f>
        <v/>
      </c>
      <c r="AA83" s="61" t="str">
        <f>IF(B83="","",IFERROR(VLOOKUP(B83,'ANÁLISE DE DADOS'!$A:$AM,25,0),""))</f>
        <v/>
      </c>
      <c r="AB83" s="61" t="str">
        <f>IF(B83="","",IFERROR(VLOOKUP(B83,'ANÁLISE DE DADOS'!$A:$AM,26,0),""))</f>
        <v/>
      </c>
      <c r="AC83" s="61" t="str">
        <f>IF(B83="","",IFERROR(VLOOKUP(B83,'ANÁLISE DE DADOS'!$A:$AM,27,0),""))</f>
        <v/>
      </c>
      <c r="AD83" s="62" t="str">
        <f>IF(B83="","",IFERROR(VLOOKUP(B83,'ANÁLISE DE DADOS'!$A:$AM,28,0),""))</f>
        <v/>
      </c>
      <c r="AE83" s="61" t="str">
        <f>IF(B83="","",IFERROR(VLOOKUP(B83,'ANÁLISE DE DADOS'!$A:$AM,29,0),""))</f>
        <v/>
      </c>
      <c r="AF83" s="61" t="str">
        <f>IF(B83="","",IFERROR(VLOOKUP(B83,'ANÁLISE DE DADOS'!$A:$AM,30,0),""))</f>
        <v/>
      </c>
      <c r="AG83" s="62" t="str">
        <f>IF(B83="","",IFERROR(VLOOKUP(B83,'ANÁLISE DE DADOS'!$A:$AM,31,0),""))</f>
        <v/>
      </c>
      <c r="AH83" s="61" t="str">
        <f>IF(B83="","",IFERROR(VLOOKUP(B83,'ANÁLISE DE DADOS'!$A:$AM,32,0),""))</f>
        <v/>
      </c>
      <c r="AI83" s="61" t="str">
        <f>IF(B83="","",IFERROR(VLOOKUP(B83,'ANÁLISE DE DADOS'!$A:$AM,33,0),""))</f>
        <v/>
      </c>
      <c r="AJ83" s="61" t="str">
        <f>IF(B83="","",IFERROR(VLOOKUP(B83,'ANÁLISE DE DADOS'!$A:$AM,34,0),""))</f>
        <v/>
      </c>
      <c r="AK83" s="63" t="str">
        <f>IF(B83="","",IFERROR(VLOOKUP(B83,'ANÁLISE DE DADOS'!$A:$AM,35,0),""))</f>
        <v/>
      </c>
      <c r="AL83" s="63" t="str">
        <f>IF(B83="","",IFERROR(VLOOKUP(B83,'ANÁLISE DE DADOS'!$A:$AM,36,0),""))</f>
        <v/>
      </c>
      <c r="AM83" s="101" t="str">
        <f>IF(B83="","",IFERROR(VLOOKUP(B83,'ANÁLISE DE DADOS'!$A:$AM,37,0),""))</f>
        <v/>
      </c>
    </row>
    <row r="84" spans="3:39" x14ac:dyDescent="0.3">
      <c r="C84" s="61" t="str">
        <f>IF(B84="","",IFERROR(VLOOKUP(B84,'ANÁLISE DE DADOS'!$A:$AM,1,0),""))</f>
        <v/>
      </c>
      <c r="D84" s="61" t="str">
        <f>IF(B84="","",IFERROR(VLOOKUP(B84,'ANÁLISE DE DADOS'!$A:$AM,2,0),""))</f>
        <v/>
      </c>
      <c r="E84" s="61" t="str">
        <f>IF(B84="","",IFERROR(VLOOKUP(B84,'ANÁLISE DE DADOS'!$A:$AM,3,0),""))</f>
        <v/>
      </c>
      <c r="F84" s="61" t="str">
        <f>IF(B84="","",IFERROR(VLOOKUP(B84,'ANÁLISE DE DADOS'!$A:$AM,4,0),""))</f>
        <v/>
      </c>
      <c r="G84" s="62" t="str">
        <f>IF(B84="","",IFERROR(VLOOKUP(B84,'ANÁLISE DE DADOS'!$A:$AM,5,0),""))</f>
        <v/>
      </c>
      <c r="H84" s="62" t="str">
        <f>IF(B84="","",IFERROR(VLOOKUP(B84,'ANÁLISE DE DADOS'!$A:$AM,6,0),""))</f>
        <v/>
      </c>
      <c r="I84" s="62" t="str">
        <f>IF(B84="","",IFERROR(VLOOKUP(B84,'ANÁLISE DE DADOS'!$A:$AM,7,0),""))</f>
        <v/>
      </c>
      <c r="J84" s="62" t="str">
        <f>IF(B84="","",IFERROR(VLOOKUP(B84,'ANÁLISE DE DADOS'!$A:$AM,8,0),""))</f>
        <v/>
      </c>
      <c r="K84" s="61" t="str">
        <f>IF(B84="","",IFERROR(VLOOKUP(B84,'ANÁLISE DE DADOS'!$A:$AM,9,0),""))</f>
        <v/>
      </c>
      <c r="L84" s="61" t="str">
        <f>IF(B84="","",IFERROR(VLOOKUP(B84,'ANÁLISE DE DADOS'!$A:$AM,10,0),""))</f>
        <v/>
      </c>
      <c r="M84" s="62" t="str">
        <f>IF(B84="","",IFERROR(VLOOKUP(B84,'ANÁLISE DE DADOS'!$A:$AM,11,0),""))</f>
        <v/>
      </c>
      <c r="N84" s="61" t="str">
        <f>IF(B84="","",IFERROR(VLOOKUP(B84,'ANÁLISE DE DADOS'!$A:$AM,12,0),""))</f>
        <v/>
      </c>
      <c r="O84" s="61" t="str">
        <f>IF(B84="","",IFERROR(VLOOKUP(B84,'ANÁLISE DE DADOS'!$A:$AM,13,0),""))</f>
        <v/>
      </c>
      <c r="P84" s="63" t="str">
        <f>IF(B84="","",IFERROR(VLOOKUP(B84,'ANÁLISE DE DADOS'!$A:$AM,14,0),""))</f>
        <v/>
      </c>
      <c r="Q84" s="61" t="str">
        <f>IF(B84="","",IFERROR(VLOOKUP(B84,'ANÁLISE DE DADOS'!$A:$AM,15,0),""))</f>
        <v/>
      </c>
      <c r="R84" s="61" t="str">
        <f>IF(B84="","",IFERROR(VLOOKUP(B84,'ANÁLISE DE DADOS'!$A:$AM,16,0),""))</f>
        <v/>
      </c>
      <c r="S84" s="61" t="str">
        <f>IF(B84="","",IFERROR(VLOOKUP(B84,'ANÁLISE DE DADOS'!$A:$AM,17,0),""))</f>
        <v/>
      </c>
      <c r="T84" s="61" t="str">
        <f>IF(B84="","",IFERROR(VLOOKUP(B84,'ANÁLISE DE DADOS'!$A:$AM,18,0),""))</f>
        <v/>
      </c>
      <c r="U84" s="61" t="str">
        <f>IF(B84="","",IFERROR(VLOOKUP(B84,'ANÁLISE DE DADOS'!$A:$AM,19,0),""))</f>
        <v/>
      </c>
      <c r="V84" s="61" t="str">
        <f>IF(B84="","",IFERROR(VLOOKUP(B84,'ANÁLISE DE DADOS'!$A:$AM,20,0),""))</f>
        <v/>
      </c>
      <c r="W84" s="61" t="str">
        <f>IF(B84="","",IFERROR(VLOOKUP(B84,'ANÁLISE DE DADOS'!$A:$AM,21,0),""))</f>
        <v/>
      </c>
      <c r="X84" s="61" t="str">
        <f>IF(B84="","",IFERROR(VLOOKUP(B84,'ANÁLISE DE DADOS'!$A:$AM,22,0),""))</f>
        <v/>
      </c>
      <c r="Y84" s="61" t="str">
        <f>IF(B84="","",IFERROR(VLOOKUP(B84,'ANÁLISE DE DADOS'!$A:$AM,23,0),""))</f>
        <v/>
      </c>
      <c r="Z84" s="61" t="str">
        <f>IF(B84="","",IFERROR(VLOOKUP(B84,'ANÁLISE DE DADOS'!$A:$AM,24,0),""))</f>
        <v/>
      </c>
      <c r="AA84" s="61" t="str">
        <f>IF(B84="","",IFERROR(VLOOKUP(B84,'ANÁLISE DE DADOS'!$A:$AM,25,0),""))</f>
        <v/>
      </c>
      <c r="AB84" s="61" t="str">
        <f>IF(B84="","",IFERROR(VLOOKUP(B84,'ANÁLISE DE DADOS'!$A:$AM,26,0),""))</f>
        <v/>
      </c>
      <c r="AC84" s="61" t="str">
        <f>IF(B84="","",IFERROR(VLOOKUP(B84,'ANÁLISE DE DADOS'!$A:$AM,27,0),""))</f>
        <v/>
      </c>
      <c r="AD84" s="62" t="str">
        <f>IF(B84="","",IFERROR(VLOOKUP(B84,'ANÁLISE DE DADOS'!$A:$AM,28,0),""))</f>
        <v/>
      </c>
      <c r="AE84" s="61" t="str">
        <f>IF(B84="","",IFERROR(VLOOKUP(B84,'ANÁLISE DE DADOS'!$A:$AM,29,0),""))</f>
        <v/>
      </c>
      <c r="AF84" s="61" t="str">
        <f>IF(B84="","",IFERROR(VLOOKUP(B84,'ANÁLISE DE DADOS'!$A:$AM,30,0),""))</f>
        <v/>
      </c>
      <c r="AG84" s="62" t="str">
        <f>IF(B84="","",IFERROR(VLOOKUP(B84,'ANÁLISE DE DADOS'!$A:$AM,31,0),""))</f>
        <v/>
      </c>
      <c r="AH84" s="61" t="str">
        <f>IF(B84="","",IFERROR(VLOOKUP(B84,'ANÁLISE DE DADOS'!$A:$AM,32,0),""))</f>
        <v/>
      </c>
      <c r="AI84" s="61" t="str">
        <f>IF(B84="","",IFERROR(VLOOKUP(B84,'ANÁLISE DE DADOS'!$A:$AM,33,0),""))</f>
        <v/>
      </c>
      <c r="AJ84" s="61" t="str">
        <f>IF(B84="","",IFERROR(VLOOKUP(B84,'ANÁLISE DE DADOS'!$A:$AM,34,0),""))</f>
        <v/>
      </c>
      <c r="AK84" s="63" t="str">
        <f>IF(B84="","",IFERROR(VLOOKUP(B84,'ANÁLISE DE DADOS'!$A:$AM,35,0),""))</f>
        <v/>
      </c>
      <c r="AL84" s="63" t="str">
        <f>IF(B84="","",IFERROR(VLOOKUP(B84,'ANÁLISE DE DADOS'!$A:$AM,36,0),""))</f>
        <v/>
      </c>
      <c r="AM84" s="101" t="str">
        <f>IF(B84="","",IFERROR(VLOOKUP(B84,'ANÁLISE DE DADOS'!$A:$AM,37,0),""))</f>
        <v/>
      </c>
    </row>
    <row r="85" spans="3:39" x14ac:dyDescent="0.3">
      <c r="C85" s="61" t="str">
        <f>IF(B85="","",IFERROR(VLOOKUP(B85,'ANÁLISE DE DADOS'!$A:$AM,1,0),""))</f>
        <v/>
      </c>
      <c r="D85" s="61" t="str">
        <f>IF(B85="","",IFERROR(VLOOKUP(B85,'ANÁLISE DE DADOS'!$A:$AM,2,0),""))</f>
        <v/>
      </c>
      <c r="E85" s="61" t="str">
        <f>IF(B85="","",IFERROR(VLOOKUP(B85,'ANÁLISE DE DADOS'!$A:$AM,3,0),""))</f>
        <v/>
      </c>
      <c r="F85" s="61" t="str">
        <f>IF(B85="","",IFERROR(VLOOKUP(B85,'ANÁLISE DE DADOS'!$A:$AM,4,0),""))</f>
        <v/>
      </c>
      <c r="G85" s="62" t="str">
        <f>IF(B85="","",IFERROR(VLOOKUP(B85,'ANÁLISE DE DADOS'!$A:$AM,5,0),""))</f>
        <v/>
      </c>
      <c r="H85" s="62" t="str">
        <f>IF(B85="","",IFERROR(VLOOKUP(B85,'ANÁLISE DE DADOS'!$A:$AM,6,0),""))</f>
        <v/>
      </c>
      <c r="I85" s="62" t="str">
        <f>IF(B85="","",IFERROR(VLOOKUP(B85,'ANÁLISE DE DADOS'!$A:$AM,7,0),""))</f>
        <v/>
      </c>
      <c r="J85" s="62" t="str">
        <f>IF(B85="","",IFERROR(VLOOKUP(B85,'ANÁLISE DE DADOS'!$A:$AM,8,0),""))</f>
        <v/>
      </c>
      <c r="K85" s="61" t="str">
        <f>IF(B85="","",IFERROR(VLOOKUP(B85,'ANÁLISE DE DADOS'!$A:$AM,9,0),""))</f>
        <v/>
      </c>
      <c r="L85" s="61" t="str">
        <f>IF(B85="","",IFERROR(VLOOKUP(B85,'ANÁLISE DE DADOS'!$A:$AM,10,0),""))</f>
        <v/>
      </c>
      <c r="M85" s="62" t="str">
        <f>IF(B85="","",IFERROR(VLOOKUP(B85,'ANÁLISE DE DADOS'!$A:$AM,11,0),""))</f>
        <v/>
      </c>
      <c r="N85" s="61" t="str">
        <f>IF(B85="","",IFERROR(VLOOKUP(B85,'ANÁLISE DE DADOS'!$A:$AM,12,0),""))</f>
        <v/>
      </c>
      <c r="O85" s="61" t="str">
        <f>IF(B85="","",IFERROR(VLOOKUP(B85,'ANÁLISE DE DADOS'!$A:$AM,13,0),""))</f>
        <v/>
      </c>
      <c r="P85" s="63" t="str">
        <f>IF(B85="","",IFERROR(VLOOKUP(B85,'ANÁLISE DE DADOS'!$A:$AM,14,0),""))</f>
        <v/>
      </c>
      <c r="Q85" s="61" t="str">
        <f>IF(B85="","",IFERROR(VLOOKUP(B85,'ANÁLISE DE DADOS'!$A:$AM,15,0),""))</f>
        <v/>
      </c>
      <c r="R85" s="61" t="str">
        <f>IF(B85="","",IFERROR(VLOOKUP(B85,'ANÁLISE DE DADOS'!$A:$AM,16,0),""))</f>
        <v/>
      </c>
      <c r="S85" s="61" t="str">
        <f>IF(B85="","",IFERROR(VLOOKUP(B85,'ANÁLISE DE DADOS'!$A:$AM,17,0),""))</f>
        <v/>
      </c>
      <c r="T85" s="61" t="str">
        <f>IF(B85="","",IFERROR(VLOOKUP(B85,'ANÁLISE DE DADOS'!$A:$AM,18,0),""))</f>
        <v/>
      </c>
      <c r="U85" s="61" t="str">
        <f>IF(B85="","",IFERROR(VLOOKUP(B85,'ANÁLISE DE DADOS'!$A:$AM,19,0),""))</f>
        <v/>
      </c>
      <c r="V85" s="61" t="str">
        <f>IF(B85="","",IFERROR(VLOOKUP(B85,'ANÁLISE DE DADOS'!$A:$AM,20,0),""))</f>
        <v/>
      </c>
      <c r="W85" s="61" t="str">
        <f>IF(B85="","",IFERROR(VLOOKUP(B85,'ANÁLISE DE DADOS'!$A:$AM,21,0),""))</f>
        <v/>
      </c>
      <c r="X85" s="61" t="str">
        <f>IF(B85="","",IFERROR(VLOOKUP(B85,'ANÁLISE DE DADOS'!$A:$AM,22,0),""))</f>
        <v/>
      </c>
      <c r="Y85" s="61" t="str">
        <f>IF(B85="","",IFERROR(VLOOKUP(B85,'ANÁLISE DE DADOS'!$A:$AM,23,0),""))</f>
        <v/>
      </c>
      <c r="Z85" s="61" t="str">
        <f>IF(B85="","",IFERROR(VLOOKUP(B85,'ANÁLISE DE DADOS'!$A:$AM,24,0),""))</f>
        <v/>
      </c>
      <c r="AA85" s="61" t="str">
        <f>IF(B85="","",IFERROR(VLOOKUP(B85,'ANÁLISE DE DADOS'!$A:$AM,25,0),""))</f>
        <v/>
      </c>
      <c r="AB85" s="61" t="str">
        <f>IF(B85="","",IFERROR(VLOOKUP(B85,'ANÁLISE DE DADOS'!$A:$AM,26,0),""))</f>
        <v/>
      </c>
      <c r="AC85" s="61" t="str">
        <f>IF(B85="","",IFERROR(VLOOKUP(B85,'ANÁLISE DE DADOS'!$A:$AM,27,0),""))</f>
        <v/>
      </c>
      <c r="AD85" s="62" t="str">
        <f>IF(B85="","",IFERROR(VLOOKUP(B85,'ANÁLISE DE DADOS'!$A:$AM,28,0),""))</f>
        <v/>
      </c>
      <c r="AE85" s="61" t="str">
        <f>IF(B85="","",IFERROR(VLOOKUP(B85,'ANÁLISE DE DADOS'!$A:$AM,29,0),""))</f>
        <v/>
      </c>
      <c r="AF85" s="61" t="str">
        <f>IF(B85="","",IFERROR(VLOOKUP(B85,'ANÁLISE DE DADOS'!$A:$AM,30,0),""))</f>
        <v/>
      </c>
      <c r="AG85" s="62" t="str">
        <f>IF(B85="","",IFERROR(VLOOKUP(B85,'ANÁLISE DE DADOS'!$A:$AM,31,0),""))</f>
        <v/>
      </c>
      <c r="AH85" s="61" t="str">
        <f>IF(B85="","",IFERROR(VLOOKUP(B85,'ANÁLISE DE DADOS'!$A:$AM,32,0),""))</f>
        <v/>
      </c>
      <c r="AI85" s="61" t="str">
        <f>IF(B85="","",IFERROR(VLOOKUP(B85,'ANÁLISE DE DADOS'!$A:$AM,33,0),""))</f>
        <v/>
      </c>
      <c r="AJ85" s="61" t="str">
        <f>IF(B85="","",IFERROR(VLOOKUP(B85,'ANÁLISE DE DADOS'!$A:$AM,34,0),""))</f>
        <v/>
      </c>
      <c r="AK85" s="63" t="str">
        <f>IF(B85="","",IFERROR(VLOOKUP(B85,'ANÁLISE DE DADOS'!$A:$AM,35,0),""))</f>
        <v/>
      </c>
      <c r="AL85" s="63" t="str">
        <f>IF(B85="","",IFERROR(VLOOKUP(B85,'ANÁLISE DE DADOS'!$A:$AM,36,0),""))</f>
        <v/>
      </c>
      <c r="AM85" s="101" t="str">
        <f>IF(B85="","",IFERROR(VLOOKUP(B85,'ANÁLISE DE DADOS'!$A:$AM,37,0),""))</f>
        <v/>
      </c>
    </row>
    <row r="86" spans="3:39" x14ac:dyDescent="0.3">
      <c r="C86" s="61" t="str">
        <f>IF(B86="","",IFERROR(VLOOKUP(B86,'ANÁLISE DE DADOS'!$A:$AM,1,0),""))</f>
        <v/>
      </c>
      <c r="D86" s="61" t="str">
        <f>IF(B86="","",IFERROR(VLOOKUP(B86,'ANÁLISE DE DADOS'!$A:$AM,2,0),""))</f>
        <v/>
      </c>
      <c r="E86" s="61" t="str">
        <f>IF(B86="","",IFERROR(VLOOKUP(B86,'ANÁLISE DE DADOS'!$A:$AM,3,0),""))</f>
        <v/>
      </c>
      <c r="F86" s="61" t="str">
        <f>IF(B86="","",IFERROR(VLOOKUP(B86,'ANÁLISE DE DADOS'!$A:$AM,4,0),""))</f>
        <v/>
      </c>
      <c r="G86" s="62" t="str">
        <f>IF(B86="","",IFERROR(VLOOKUP(B86,'ANÁLISE DE DADOS'!$A:$AM,5,0),""))</f>
        <v/>
      </c>
      <c r="H86" s="62" t="str">
        <f>IF(B86="","",IFERROR(VLOOKUP(B86,'ANÁLISE DE DADOS'!$A:$AM,6,0),""))</f>
        <v/>
      </c>
      <c r="I86" s="62" t="str">
        <f>IF(B86="","",IFERROR(VLOOKUP(B86,'ANÁLISE DE DADOS'!$A:$AM,7,0),""))</f>
        <v/>
      </c>
      <c r="J86" s="62" t="str">
        <f>IF(B86="","",IFERROR(VLOOKUP(B86,'ANÁLISE DE DADOS'!$A:$AM,8,0),""))</f>
        <v/>
      </c>
      <c r="K86" s="61" t="str">
        <f>IF(B86="","",IFERROR(VLOOKUP(B86,'ANÁLISE DE DADOS'!$A:$AM,9,0),""))</f>
        <v/>
      </c>
      <c r="L86" s="61" t="str">
        <f>IF(B86="","",IFERROR(VLOOKUP(B86,'ANÁLISE DE DADOS'!$A:$AM,10,0),""))</f>
        <v/>
      </c>
      <c r="M86" s="62" t="str">
        <f>IF(B86="","",IFERROR(VLOOKUP(B86,'ANÁLISE DE DADOS'!$A:$AM,11,0),""))</f>
        <v/>
      </c>
      <c r="N86" s="61" t="str">
        <f>IF(B86="","",IFERROR(VLOOKUP(B86,'ANÁLISE DE DADOS'!$A:$AM,12,0),""))</f>
        <v/>
      </c>
      <c r="O86" s="61" t="str">
        <f>IF(B86="","",IFERROR(VLOOKUP(B86,'ANÁLISE DE DADOS'!$A:$AM,13,0),""))</f>
        <v/>
      </c>
      <c r="P86" s="63" t="str">
        <f>IF(B86="","",IFERROR(VLOOKUP(B86,'ANÁLISE DE DADOS'!$A:$AM,14,0),""))</f>
        <v/>
      </c>
      <c r="Q86" s="61" t="str">
        <f>IF(B86="","",IFERROR(VLOOKUP(B86,'ANÁLISE DE DADOS'!$A:$AM,15,0),""))</f>
        <v/>
      </c>
      <c r="R86" s="61" t="str">
        <f>IF(B86="","",IFERROR(VLOOKUP(B86,'ANÁLISE DE DADOS'!$A:$AM,16,0),""))</f>
        <v/>
      </c>
      <c r="S86" s="61" t="str">
        <f>IF(B86="","",IFERROR(VLOOKUP(B86,'ANÁLISE DE DADOS'!$A:$AM,17,0),""))</f>
        <v/>
      </c>
      <c r="T86" s="61" t="str">
        <f>IF(B86="","",IFERROR(VLOOKUP(B86,'ANÁLISE DE DADOS'!$A:$AM,18,0),""))</f>
        <v/>
      </c>
      <c r="U86" s="61" t="str">
        <f>IF(B86="","",IFERROR(VLOOKUP(B86,'ANÁLISE DE DADOS'!$A:$AM,19,0),""))</f>
        <v/>
      </c>
      <c r="V86" s="61" t="str">
        <f>IF(B86="","",IFERROR(VLOOKUP(B86,'ANÁLISE DE DADOS'!$A:$AM,20,0),""))</f>
        <v/>
      </c>
      <c r="W86" s="61" t="str">
        <f>IF(B86="","",IFERROR(VLOOKUP(B86,'ANÁLISE DE DADOS'!$A:$AM,21,0),""))</f>
        <v/>
      </c>
      <c r="X86" s="61" t="str">
        <f>IF(B86="","",IFERROR(VLOOKUP(B86,'ANÁLISE DE DADOS'!$A:$AM,22,0),""))</f>
        <v/>
      </c>
      <c r="Y86" s="61" t="str">
        <f>IF(B86="","",IFERROR(VLOOKUP(B86,'ANÁLISE DE DADOS'!$A:$AM,23,0),""))</f>
        <v/>
      </c>
      <c r="Z86" s="61" t="str">
        <f>IF(B86="","",IFERROR(VLOOKUP(B86,'ANÁLISE DE DADOS'!$A:$AM,24,0),""))</f>
        <v/>
      </c>
      <c r="AA86" s="61" t="str">
        <f>IF(B86="","",IFERROR(VLOOKUP(B86,'ANÁLISE DE DADOS'!$A:$AM,25,0),""))</f>
        <v/>
      </c>
      <c r="AB86" s="61" t="str">
        <f>IF(B86="","",IFERROR(VLOOKUP(B86,'ANÁLISE DE DADOS'!$A:$AM,26,0),""))</f>
        <v/>
      </c>
      <c r="AC86" s="61" t="str">
        <f>IF(B86="","",IFERROR(VLOOKUP(B86,'ANÁLISE DE DADOS'!$A:$AM,27,0),""))</f>
        <v/>
      </c>
      <c r="AD86" s="62" t="str">
        <f>IF(B86="","",IFERROR(VLOOKUP(B86,'ANÁLISE DE DADOS'!$A:$AM,28,0),""))</f>
        <v/>
      </c>
      <c r="AE86" s="61" t="str">
        <f>IF(B86="","",IFERROR(VLOOKUP(B86,'ANÁLISE DE DADOS'!$A:$AM,29,0),""))</f>
        <v/>
      </c>
      <c r="AF86" s="61" t="str">
        <f>IF(B86="","",IFERROR(VLOOKUP(B86,'ANÁLISE DE DADOS'!$A:$AM,30,0),""))</f>
        <v/>
      </c>
      <c r="AG86" s="62" t="str">
        <f>IF(B86="","",IFERROR(VLOOKUP(B86,'ANÁLISE DE DADOS'!$A:$AM,31,0),""))</f>
        <v/>
      </c>
      <c r="AH86" s="61" t="str">
        <f>IF(B86="","",IFERROR(VLOOKUP(B86,'ANÁLISE DE DADOS'!$A:$AM,32,0),""))</f>
        <v/>
      </c>
      <c r="AI86" s="61" t="str">
        <f>IF(B86="","",IFERROR(VLOOKUP(B86,'ANÁLISE DE DADOS'!$A:$AM,33,0),""))</f>
        <v/>
      </c>
      <c r="AJ86" s="61" t="str">
        <f>IF(B86="","",IFERROR(VLOOKUP(B86,'ANÁLISE DE DADOS'!$A:$AM,34,0),""))</f>
        <v/>
      </c>
      <c r="AK86" s="63" t="str">
        <f>IF(B86="","",IFERROR(VLOOKUP(B86,'ANÁLISE DE DADOS'!$A:$AM,35,0),""))</f>
        <v/>
      </c>
      <c r="AL86" s="63" t="str">
        <f>IF(B86="","",IFERROR(VLOOKUP(B86,'ANÁLISE DE DADOS'!$A:$AM,36,0),""))</f>
        <v/>
      </c>
      <c r="AM86" s="101" t="str">
        <f>IF(B86="","",IFERROR(VLOOKUP(B86,'ANÁLISE DE DADOS'!$A:$AM,37,0),""))</f>
        <v/>
      </c>
    </row>
    <row r="87" spans="3:39" x14ac:dyDescent="0.3">
      <c r="C87" s="61" t="str">
        <f>IF(B87="","",IFERROR(VLOOKUP(B87,'ANÁLISE DE DADOS'!$A:$AM,1,0),""))</f>
        <v/>
      </c>
      <c r="D87" s="61" t="str">
        <f>IF(B87="","",IFERROR(VLOOKUP(B87,'ANÁLISE DE DADOS'!$A:$AM,2,0),""))</f>
        <v/>
      </c>
      <c r="E87" s="61" t="str">
        <f>IF(B87="","",IFERROR(VLOOKUP(B87,'ANÁLISE DE DADOS'!$A:$AM,3,0),""))</f>
        <v/>
      </c>
      <c r="F87" s="61" t="str">
        <f>IF(B87="","",IFERROR(VLOOKUP(B87,'ANÁLISE DE DADOS'!$A:$AM,4,0),""))</f>
        <v/>
      </c>
      <c r="G87" s="62" t="str">
        <f>IF(B87="","",IFERROR(VLOOKUP(B87,'ANÁLISE DE DADOS'!$A:$AM,5,0),""))</f>
        <v/>
      </c>
      <c r="H87" s="62" t="str">
        <f>IF(B87="","",IFERROR(VLOOKUP(B87,'ANÁLISE DE DADOS'!$A:$AM,6,0),""))</f>
        <v/>
      </c>
      <c r="I87" s="62" t="str">
        <f>IF(B87="","",IFERROR(VLOOKUP(B87,'ANÁLISE DE DADOS'!$A:$AM,7,0),""))</f>
        <v/>
      </c>
      <c r="J87" s="62" t="str">
        <f>IF(B87="","",IFERROR(VLOOKUP(B87,'ANÁLISE DE DADOS'!$A:$AM,8,0),""))</f>
        <v/>
      </c>
      <c r="K87" s="61" t="str">
        <f>IF(B87="","",IFERROR(VLOOKUP(B87,'ANÁLISE DE DADOS'!$A:$AM,9,0),""))</f>
        <v/>
      </c>
      <c r="L87" s="61" t="str">
        <f>IF(B87="","",IFERROR(VLOOKUP(B87,'ANÁLISE DE DADOS'!$A:$AM,10,0),""))</f>
        <v/>
      </c>
      <c r="M87" s="62" t="str">
        <f>IF(B87="","",IFERROR(VLOOKUP(B87,'ANÁLISE DE DADOS'!$A:$AM,11,0),""))</f>
        <v/>
      </c>
      <c r="N87" s="61" t="str">
        <f>IF(B87="","",IFERROR(VLOOKUP(B87,'ANÁLISE DE DADOS'!$A:$AM,12,0),""))</f>
        <v/>
      </c>
      <c r="O87" s="61" t="str">
        <f>IF(B87="","",IFERROR(VLOOKUP(B87,'ANÁLISE DE DADOS'!$A:$AM,13,0),""))</f>
        <v/>
      </c>
      <c r="P87" s="63" t="str">
        <f>IF(B87="","",IFERROR(VLOOKUP(B87,'ANÁLISE DE DADOS'!$A:$AM,14,0),""))</f>
        <v/>
      </c>
      <c r="Q87" s="61" t="str">
        <f>IF(B87="","",IFERROR(VLOOKUP(B87,'ANÁLISE DE DADOS'!$A:$AM,15,0),""))</f>
        <v/>
      </c>
      <c r="R87" s="61" t="str">
        <f>IF(B87="","",IFERROR(VLOOKUP(B87,'ANÁLISE DE DADOS'!$A:$AM,16,0),""))</f>
        <v/>
      </c>
      <c r="S87" s="61" t="str">
        <f>IF(B87="","",IFERROR(VLOOKUP(B87,'ANÁLISE DE DADOS'!$A:$AM,17,0),""))</f>
        <v/>
      </c>
      <c r="T87" s="61" t="str">
        <f>IF(B87="","",IFERROR(VLOOKUP(B87,'ANÁLISE DE DADOS'!$A:$AM,18,0),""))</f>
        <v/>
      </c>
      <c r="U87" s="61" t="str">
        <f>IF(B87="","",IFERROR(VLOOKUP(B87,'ANÁLISE DE DADOS'!$A:$AM,19,0),""))</f>
        <v/>
      </c>
      <c r="V87" s="61" t="str">
        <f>IF(B87="","",IFERROR(VLOOKUP(B87,'ANÁLISE DE DADOS'!$A:$AM,20,0),""))</f>
        <v/>
      </c>
      <c r="W87" s="61" t="str">
        <f>IF(B87="","",IFERROR(VLOOKUP(B87,'ANÁLISE DE DADOS'!$A:$AM,21,0),""))</f>
        <v/>
      </c>
      <c r="X87" s="61" t="str">
        <f>IF(B87="","",IFERROR(VLOOKUP(B87,'ANÁLISE DE DADOS'!$A:$AM,22,0),""))</f>
        <v/>
      </c>
      <c r="Y87" s="61" t="str">
        <f>IF(B87="","",IFERROR(VLOOKUP(B87,'ANÁLISE DE DADOS'!$A:$AM,23,0),""))</f>
        <v/>
      </c>
      <c r="Z87" s="61" t="str">
        <f>IF(B87="","",IFERROR(VLOOKUP(B87,'ANÁLISE DE DADOS'!$A:$AM,24,0),""))</f>
        <v/>
      </c>
      <c r="AA87" s="61" t="str">
        <f>IF(B87="","",IFERROR(VLOOKUP(B87,'ANÁLISE DE DADOS'!$A:$AM,25,0),""))</f>
        <v/>
      </c>
      <c r="AB87" s="61" t="str">
        <f>IF(B87="","",IFERROR(VLOOKUP(B87,'ANÁLISE DE DADOS'!$A:$AM,26,0),""))</f>
        <v/>
      </c>
      <c r="AC87" s="61" t="str">
        <f>IF(B87="","",IFERROR(VLOOKUP(B87,'ANÁLISE DE DADOS'!$A:$AM,27,0),""))</f>
        <v/>
      </c>
      <c r="AD87" s="62" t="str">
        <f>IF(B87="","",IFERROR(VLOOKUP(B87,'ANÁLISE DE DADOS'!$A:$AM,28,0),""))</f>
        <v/>
      </c>
      <c r="AE87" s="61" t="str">
        <f>IF(B87="","",IFERROR(VLOOKUP(B87,'ANÁLISE DE DADOS'!$A:$AM,29,0),""))</f>
        <v/>
      </c>
      <c r="AF87" s="61" t="str">
        <f>IF(B87="","",IFERROR(VLOOKUP(B87,'ANÁLISE DE DADOS'!$A:$AM,30,0),""))</f>
        <v/>
      </c>
      <c r="AG87" s="62" t="str">
        <f>IF(B87="","",IFERROR(VLOOKUP(B87,'ANÁLISE DE DADOS'!$A:$AM,31,0),""))</f>
        <v/>
      </c>
      <c r="AH87" s="61" t="str">
        <f>IF(B87="","",IFERROR(VLOOKUP(B87,'ANÁLISE DE DADOS'!$A:$AM,32,0),""))</f>
        <v/>
      </c>
      <c r="AI87" s="61" t="str">
        <f>IF(B87="","",IFERROR(VLOOKUP(B87,'ANÁLISE DE DADOS'!$A:$AM,33,0),""))</f>
        <v/>
      </c>
      <c r="AJ87" s="61" t="str">
        <f>IF(B87="","",IFERROR(VLOOKUP(B87,'ANÁLISE DE DADOS'!$A:$AM,34,0),""))</f>
        <v/>
      </c>
      <c r="AK87" s="63" t="str">
        <f>IF(B87="","",IFERROR(VLOOKUP(B87,'ANÁLISE DE DADOS'!$A:$AM,35,0),""))</f>
        <v/>
      </c>
      <c r="AL87" s="63" t="str">
        <f>IF(B87="","",IFERROR(VLOOKUP(B87,'ANÁLISE DE DADOS'!$A:$AM,36,0),""))</f>
        <v/>
      </c>
      <c r="AM87" s="101" t="str">
        <f>IF(B87="","",IFERROR(VLOOKUP(B87,'ANÁLISE DE DADOS'!$A:$AM,37,0),""))</f>
        <v/>
      </c>
    </row>
    <row r="88" spans="3:39" x14ac:dyDescent="0.3">
      <c r="C88" s="61" t="str">
        <f>IF(B88="","",IFERROR(VLOOKUP(B88,'ANÁLISE DE DADOS'!$A:$AM,1,0),""))</f>
        <v/>
      </c>
      <c r="D88" s="61" t="str">
        <f>IF(B88="","",IFERROR(VLOOKUP(B88,'ANÁLISE DE DADOS'!$A:$AM,2,0),""))</f>
        <v/>
      </c>
      <c r="E88" s="61" t="str">
        <f>IF(B88="","",IFERROR(VLOOKUP(B88,'ANÁLISE DE DADOS'!$A:$AM,3,0),""))</f>
        <v/>
      </c>
      <c r="F88" s="61" t="str">
        <f>IF(B88="","",IFERROR(VLOOKUP(B88,'ANÁLISE DE DADOS'!$A:$AM,4,0),""))</f>
        <v/>
      </c>
      <c r="G88" s="62" t="str">
        <f>IF(B88="","",IFERROR(VLOOKUP(B88,'ANÁLISE DE DADOS'!$A:$AM,5,0),""))</f>
        <v/>
      </c>
      <c r="H88" s="62" t="str">
        <f>IF(B88="","",IFERROR(VLOOKUP(B88,'ANÁLISE DE DADOS'!$A:$AM,6,0),""))</f>
        <v/>
      </c>
      <c r="I88" s="62" t="str">
        <f>IF(B88="","",IFERROR(VLOOKUP(B88,'ANÁLISE DE DADOS'!$A:$AM,7,0),""))</f>
        <v/>
      </c>
      <c r="J88" s="62" t="str">
        <f>IF(B88="","",IFERROR(VLOOKUP(B88,'ANÁLISE DE DADOS'!$A:$AM,8,0),""))</f>
        <v/>
      </c>
      <c r="K88" s="61" t="str">
        <f>IF(B88="","",IFERROR(VLOOKUP(B88,'ANÁLISE DE DADOS'!$A:$AM,9,0),""))</f>
        <v/>
      </c>
      <c r="L88" s="61" t="str">
        <f>IF(B88="","",IFERROR(VLOOKUP(B88,'ANÁLISE DE DADOS'!$A:$AM,10,0),""))</f>
        <v/>
      </c>
      <c r="M88" s="62" t="str">
        <f>IF(B88="","",IFERROR(VLOOKUP(B88,'ANÁLISE DE DADOS'!$A:$AM,11,0),""))</f>
        <v/>
      </c>
      <c r="N88" s="61" t="str">
        <f>IF(B88="","",IFERROR(VLOOKUP(B88,'ANÁLISE DE DADOS'!$A:$AM,12,0),""))</f>
        <v/>
      </c>
      <c r="O88" s="61" t="str">
        <f>IF(B88="","",IFERROR(VLOOKUP(B88,'ANÁLISE DE DADOS'!$A:$AM,13,0),""))</f>
        <v/>
      </c>
      <c r="P88" s="63" t="str">
        <f>IF(B88="","",IFERROR(VLOOKUP(B88,'ANÁLISE DE DADOS'!$A:$AM,14,0),""))</f>
        <v/>
      </c>
      <c r="Q88" s="61" t="str">
        <f>IF(B88="","",IFERROR(VLOOKUP(B88,'ANÁLISE DE DADOS'!$A:$AM,15,0),""))</f>
        <v/>
      </c>
      <c r="R88" s="61" t="str">
        <f>IF(B88="","",IFERROR(VLOOKUP(B88,'ANÁLISE DE DADOS'!$A:$AM,16,0),""))</f>
        <v/>
      </c>
      <c r="S88" s="61" t="str">
        <f>IF(B88="","",IFERROR(VLOOKUP(B88,'ANÁLISE DE DADOS'!$A:$AM,17,0),""))</f>
        <v/>
      </c>
      <c r="T88" s="61" t="str">
        <f>IF(B88="","",IFERROR(VLOOKUP(B88,'ANÁLISE DE DADOS'!$A:$AM,18,0),""))</f>
        <v/>
      </c>
      <c r="U88" s="61" t="str">
        <f>IF(B88="","",IFERROR(VLOOKUP(B88,'ANÁLISE DE DADOS'!$A:$AM,19,0),""))</f>
        <v/>
      </c>
      <c r="V88" s="61" t="str">
        <f>IF(B88="","",IFERROR(VLOOKUP(B88,'ANÁLISE DE DADOS'!$A:$AM,20,0),""))</f>
        <v/>
      </c>
      <c r="W88" s="61" t="str">
        <f>IF(B88="","",IFERROR(VLOOKUP(B88,'ANÁLISE DE DADOS'!$A:$AM,21,0),""))</f>
        <v/>
      </c>
      <c r="X88" s="61" t="str">
        <f>IF(B88="","",IFERROR(VLOOKUP(B88,'ANÁLISE DE DADOS'!$A:$AM,22,0),""))</f>
        <v/>
      </c>
      <c r="Y88" s="61" t="str">
        <f>IF(B88="","",IFERROR(VLOOKUP(B88,'ANÁLISE DE DADOS'!$A:$AM,23,0),""))</f>
        <v/>
      </c>
      <c r="Z88" s="61" t="str">
        <f>IF(B88="","",IFERROR(VLOOKUP(B88,'ANÁLISE DE DADOS'!$A:$AM,24,0),""))</f>
        <v/>
      </c>
      <c r="AA88" s="61" t="str">
        <f>IF(B88="","",IFERROR(VLOOKUP(B88,'ANÁLISE DE DADOS'!$A:$AM,25,0),""))</f>
        <v/>
      </c>
      <c r="AB88" s="61" t="str">
        <f>IF(B88="","",IFERROR(VLOOKUP(B88,'ANÁLISE DE DADOS'!$A:$AM,26,0),""))</f>
        <v/>
      </c>
      <c r="AC88" s="61" t="str">
        <f>IF(B88="","",IFERROR(VLOOKUP(B88,'ANÁLISE DE DADOS'!$A:$AM,27,0),""))</f>
        <v/>
      </c>
      <c r="AD88" s="62" t="str">
        <f>IF(B88="","",IFERROR(VLOOKUP(B88,'ANÁLISE DE DADOS'!$A:$AM,28,0),""))</f>
        <v/>
      </c>
      <c r="AE88" s="61" t="str">
        <f>IF(B88="","",IFERROR(VLOOKUP(B88,'ANÁLISE DE DADOS'!$A:$AM,29,0),""))</f>
        <v/>
      </c>
      <c r="AF88" s="61" t="str">
        <f>IF(B88="","",IFERROR(VLOOKUP(B88,'ANÁLISE DE DADOS'!$A:$AM,30,0),""))</f>
        <v/>
      </c>
      <c r="AG88" s="62" t="str">
        <f>IF(B88="","",IFERROR(VLOOKUP(B88,'ANÁLISE DE DADOS'!$A:$AM,31,0),""))</f>
        <v/>
      </c>
      <c r="AH88" s="61" t="str">
        <f>IF(B88="","",IFERROR(VLOOKUP(B88,'ANÁLISE DE DADOS'!$A:$AM,32,0),""))</f>
        <v/>
      </c>
      <c r="AI88" s="61" t="str">
        <f>IF(B88="","",IFERROR(VLOOKUP(B88,'ANÁLISE DE DADOS'!$A:$AM,33,0),""))</f>
        <v/>
      </c>
      <c r="AJ88" s="61" t="str">
        <f>IF(B88="","",IFERROR(VLOOKUP(B88,'ANÁLISE DE DADOS'!$A:$AM,34,0),""))</f>
        <v/>
      </c>
      <c r="AK88" s="63" t="str">
        <f>IF(B88="","",IFERROR(VLOOKUP(B88,'ANÁLISE DE DADOS'!$A:$AM,35,0),""))</f>
        <v/>
      </c>
      <c r="AL88" s="63" t="str">
        <f>IF(B88="","",IFERROR(VLOOKUP(B88,'ANÁLISE DE DADOS'!$A:$AM,36,0),""))</f>
        <v/>
      </c>
      <c r="AM88" s="101" t="str">
        <f>IF(B88="","",IFERROR(VLOOKUP(B88,'ANÁLISE DE DADOS'!$A:$AM,37,0),""))</f>
        <v/>
      </c>
    </row>
    <row r="89" spans="3:39" x14ac:dyDescent="0.3">
      <c r="C89" s="61" t="str">
        <f>IF(B89="","",IFERROR(VLOOKUP(B89,'ANÁLISE DE DADOS'!$A:$AM,1,0),""))</f>
        <v/>
      </c>
      <c r="D89" s="61" t="str">
        <f>IF(B89="","",IFERROR(VLOOKUP(B89,'ANÁLISE DE DADOS'!$A:$AM,2,0),""))</f>
        <v/>
      </c>
      <c r="E89" s="61" t="str">
        <f>IF(B89="","",IFERROR(VLOOKUP(B89,'ANÁLISE DE DADOS'!$A:$AM,3,0),""))</f>
        <v/>
      </c>
      <c r="F89" s="61" t="str">
        <f>IF(B89="","",IFERROR(VLOOKUP(B89,'ANÁLISE DE DADOS'!$A:$AM,4,0),""))</f>
        <v/>
      </c>
      <c r="G89" s="62" t="str">
        <f>IF(B89="","",IFERROR(VLOOKUP(B89,'ANÁLISE DE DADOS'!$A:$AM,5,0),""))</f>
        <v/>
      </c>
      <c r="H89" s="62" t="str">
        <f>IF(B89="","",IFERROR(VLOOKUP(B89,'ANÁLISE DE DADOS'!$A:$AM,6,0),""))</f>
        <v/>
      </c>
      <c r="I89" s="62" t="str">
        <f>IF(B89="","",IFERROR(VLOOKUP(B89,'ANÁLISE DE DADOS'!$A:$AM,7,0),""))</f>
        <v/>
      </c>
      <c r="J89" s="62" t="str">
        <f>IF(B89="","",IFERROR(VLOOKUP(B89,'ANÁLISE DE DADOS'!$A:$AM,8,0),""))</f>
        <v/>
      </c>
      <c r="K89" s="61" t="str">
        <f>IF(B89="","",IFERROR(VLOOKUP(B89,'ANÁLISE DE DADOS'!$A:$AM,9,0),""))</f>
        <v/>
      </c>
      <c r="L89" s="61" t="str">
        <f>IF(B89="","",IFERROR(VLOOKUP(B89,'ANÁLISE DE DADOS'!$A:$AM,10,0),""))</f>
        <v/>
      </c>
      <c r="M89" s="62" t="str">
        <f>IF(B89="","",IFERROR(VLOOKUP(B89,'ANÁLISE DE DADOS'!$A:$AM,11,0),""))</f>
        <v/>
      </c>
      <c r="N89" s="61" t="str">
        <f>IF(B89="","",IFERROR(VLOOKUP(B89,'ANÁLISE DE DADOS'!$A:$AM,12,0),""))</f>
        <v/>
      </c>
      <c r="O89" s="61" t="str">
        <f>IF(B89="","",IFERROR(VLOOKUP(B89,'ANÁLISE DE DADOS'!$A:$AM,13,0),""))</f>
        <v/>
      </c>
      <c r="P89" s="63" t="str">
        <f>IF(B89="","",IFERROR(VLOOKUP(B89,'ANÁLISE DE DADOS'!$A:$AM,14,0),""))</f>
        <v/>
      </c>
      <c r="Q89" s="61" t="str">
        <f>IF(B89="","",IFERROR(VLOOKUP(B89,'ANÁLISE DE DADOS'!$A:$AM,15,0),""))</f>
        <v/>
      </c>
      <c r="R89" s="61" t="str">
        <f>IF(B89="","",IFERROR(VLOOKUP(B89,'ANÁLISE DE DADOS'!$A:$AM,16,0),""))</f>
        <v/>
      </c>
      <c r="S89" s="61" t="str">
        <f>IF(B89="","",IFERROR(VLOOKUP(B89,'ANÁLISE DE DADOS'!$A:$AM,17,0),""))</f>
        <v/>
      </c>
      <c r="T89" s="61" t="str">
        <f>IF(B89="","",IFERROR(VLOOKUP(B89,'ANÁLISE DE DADOS'!$A:$AM,18,0),""))</f>
        <v/>
      </c>
      <c r="U89" s="61" t="str">
        <f>IF(B89="","",IFERROR(VLOOKUP(B89,'ANÁLISE DE DADOS'!$A:$AM,19,0),""))</f>
        <v/>
      </c>
      <c r="V89" s="61" t="str">
        <f>IF(B89="","",IFERROR(VLOOKUP(B89,'ANÁLISE DE DADOS'!$A:$AM,20,0),""))</f>
        <v/>
      </c>
      <c r="W89" s="61" t="str">
        <f>IF(B89="","",IFERROR(VLOOKUP(B89,'ANÁLISE DE DADOS'!$A:$AM,21,0),""))</f>
        <v/>
      </c>
      <c r="X89" s="61" t="str">
        <f>IF(B89="","",IFERROR(VLOOKUP(B89,'ANÁLISE DE DADOS'!$A:$AM,22,0),""))</f>
        <v/>
      </c>
      <c r="Y89" s="61" t="str">
        <f>IF(B89="","",IFERROR(VLOOKUP(B89,'ANÁLISE DE DADOS'!$A:$AM,23,0),""))</f>
        <v/>
      </c>
      <c r="Z89" s="61" t="str">
        <f>IF(B89="","",IFERROR(VLOOKUP(B89,'ANÁLISE DE DADOS'!$A:$AM,24,0),""))</f>
        <v/>
      </c>
      <c r="AA89" s="61" t="str">
        <f>IF(B89="","",IFERROR(VLOOKUP(B89,'ANÁLISE DE DADOS'!$A:$AM,25,0),""))</f>
        <v/>
      </c>
      <c r="AB89" s="61" t="str">
        <f>IF(B89="","",IFERROR(VLOOKUP(B89,'ANÁLISE DE DADOS'!$A:$AM,26,0),""))</f>
        <v/>
      </c>
      <c r="AC89" s="61" t="str">
        <f>IF(B89="","",IFERROR(VLOOKUP(B89,'ANÁLISE DE DADOS'!$A:$AM,27,0),""))</f>
        <v/>
      </c>
      <c r="AD89" s="62" t="str">
        <f>IF(B89="","",IFERROR(VLOOKUP(B89,'ANÁLISE DE DADOS'!$A:$AM,28,0),""))</f>
        <v/>
      </c>
      <c r="AE89" s="61" t="str">
        <f>IF(B89="","",IFERROR(VLOOKUP(B89,'ANÁLISE DE DADOS'!$A:$AM,29,0),""))</f>
        <v/>
      </c>
      <c r="AF89" s="61" t="str">
        <f>IF(B89="","",IFERROR(VLOOKUP(B89,'ANÁLISE DE DADOS'!$A:$AM,30,0),""))</f>
        <v/>
      </c>
      <c r="AG89" s="62" t="str">
        <f>IF(B89="","",IFERROR(VLOOKUP(B89,'ANÁLISE DE DADOS'!$A:$AM,31,0),""))</f>
        <v/>
      </c>
      <c r="AH89" s="61" t="str">
        <f>IF(B89="","",IFERROR(VLOOKUP(B89,'ANÁLISE DE DADOS'!$A:$AM,32,0),""))</f>
        <v/>
      </c>
      <c r="AI89" s="61" t="str">
        <f>IF(B89="","",IFERROR(VLOOKUP(B89,'ANÁLISE DE DADOS'!$A:$AM,33,0),""))</f>
        <v/>
      </c>
      <c r="AJ89" s="61" t="str">
        <f>IF(B89="","",IFERROR(VLOOKUP(B89,'ANÁLISE DE DADOS'!$A:$AM,34,0),""))</f>
        <v/>
      </c>
      <c r="AK89" s="63" t="str">
        <f>IF(B89="","",IFERROR(VLOOKUP(B89,'ANÁLISE DE DADOS'!$A:$AM,35,0),""))</f>
        <v/>
      </c>
      <c r="AL89" s="63" t="str">
        <f>IF(B89="","",IFERROR(VLOOKUP(B89,'ANÁLISE DE DADOS'!$A:$AM,36,0),""))</f>
        <v/>
      </c>
      <c r="AM89" s="101" t="str">
        <f>IF(B89="","",IFERROR(VLOOKUP(B89,'ANÁLISE DE DADOS'!$A:$AM,37,0),""))</f>
        <v/>
      </c>
    </row>
    <row r="90" spans="3:39" x14ac:dyDescent="0.3">
      <c r="C90" s="61" t="str">
        <f>IF(B90="","",IFERROR(VLOOKUP(B90,'ANÁLISE DE DADOS'!$A:$AM,1,0),""))</f>
        <v/>
      </c>
      <c r="D90" s="61" t="str">
        <f>IF(B90="","",IFERROR(VLOOKUP(B90,'ANÁLISE DE DADOS'!$A:$AM,2,0),""))</f>
        <v/>
      </c>
      <c r="E90" s="61" t="str">
        <f>IF(B90="","",IFERROR(VLOOKUP(B90,'ANÁLISE DE DADOS'!$A:$AM,3,0),""))</f>
        <v/>
      </c>
      <c r="F90" s="61" t="str">
        <f>IF(B90="","",IFERROR(VLOOKUP(B90,'ANÁLISE DE DADOS'!$A:$AM,4,0),""))</f>
        <v/>
      </c>
      <c r="G90" s="62" t="str">
        <f>IF(B90="","",IFERROR(VLOOKUP(B90,'ANÁLISE DE DADOS'!$A:$AM,5,0),""))</f>
        <v/>
      </c>
      <c r="H90" s="62" t="str">
        <f>IF(B90="","",IFERROR(VLOOKUP(B90,'ANÁLISE DE DADOS'!$A:$AM,6,0),""))</f>
        <v/>
      </c>
      <c r="I90" s="62" t="str">
        <f>IF(B90="","",IFERROR(VLOOKUP(B90,'ANÁLISE DE DADOS'!$A:$AM,7,0),""))</f>
        <v/>
      </c>
      <c r="J90" s="62" t="str">
        <f>IF(B90="","",IFERROR(VLOOKUP(B90,'ANÁLISE DE DADOS'!$A:$AM,8,0),""))</f>
        <v/>
      </c>
      <c r="K90" s="61" t="str">
        <f>IF(B90="","",IFERROR(VLOOKUP(B90,'ANÁLISE DE DADOS'!$A:$AM,9,0),""))</f>
        <v/>
      </c>
      <c r="L90" s="61" t="str">
        <f>IF(B90="","",IFERROR(VLOOKUP(B90,'ANÁLISE DE DADOS'!$A:$AM,10,0),""))</f>
        <v/>
      </c>
      <c r="M90" s="62" t="str">
        <f>IF(B90="","",IFERROR(VLOOKUP(B90,'ANÁLISE DE DADOS'!$A:$AM,11,0),""))</f>
        <v/>
      </c>
      <c r="N90" s="61" t="str">
        <f>IF(B90="","",IFERROR(VLOOKUP(B90,'ANÁLISE DE DADOS'!$A:$AM,12,0),""))</f>
        <v/>
      </c>
      <c r="O90" s="61" t="str">
        <f>IF(B90="","",IFERROR(VLOOKUP(B90,'ANÁLISE DE DADOS'!$A:$AM,13,0),""))</f>
        <v/>
      </c>
      <c r="P90" s="63" t="str">
        <f>IF(B90="","",IFERROR(VLOOKUP(B90,'ANÁLISE DE DADOS'!$A:$AM,14,0),""))</f>
        <v/>
      </c>
      <c r="Q90" s="61" t="str">
        <f>IF(B90="","",IFERROR(VLOOKUP(B90,'ANÁLISE DE DADOS'!$A:$AM,15,0),""))</f>
        <v/>
      </c>
      <c r="R90" s="61" t="str">
        <f>IF(B90="","",IFERROR(VLOOKUP(B90,'ANÁLISE DE DADOS'!$A:$AM,16,0),""))</f>
        <v/>
      </c>
      <c r="S90" s="61" t="str">
        <f>IF(B90="","",IFERROR(VLOOKUP(B90,'ANÁLISE DE DADOS'!$A:$AM,17,0),""))</f>
        <v/>
      </c>
      <c r="T90" s="61" t="str">
        <f>IF(B90="","",IFERROR(VLOOKUP(B90,'ANÁLISE DE DADOS'!$A:$AM,18,0),""))</f>
        <v/>
      </c>
      <c r="U90" s="61" t="str">
        <f>IF(B90="","",IFERROR(VLOOKUP(B90,'ANÁLISE DE DADOS'!$A:$AM,19,0),""))</f>
        <v/>
      </c>
      <c r="V90" s="61" t="str">
        <f>IF(B90="","",IFERROR(VLOOKUP(B90,'ANÁLISE DE DADOS'!$A:$AM,20,0),""))</f>
        <v/>
      </c>
      <c r="W90" s="61" t="str">
        <f>IF(B90="","",IFERROR(VLOOKUP(B90,'ANÁLISE DE DADOS'!$A:$AM,21,0),""))</f>
        <v/>
      </c>
      <c r="X90" s="61" t="str">
        <f>IF(B90="","",IFERROR(VLOOKUP(B90,'ANÁLISE DE DADOS'!$A:$AM,22,0),""))</f>
        <v/>
      </c>
      <c r="Y90" s="61" t="str">
        <f>IF(B90="","",IFERROR(VLOOKUP(B90,'ANÁLISE DE DADOS'!$A:$AM,23,0),""))</f>
        <v/>
      </c>
      <c r="Z90" s="61" t="str">
        <f>IF(B90="","",IFERROR(VLOOKUP(B90,'ANÁLISE DE DADOS'!$A:$AM,24,0),""))</f>
        <v/>
      </c>
      <c r="AA90" s="61" t="str">
        <f>IF(B90="","",IFERROR(VLOOKUP(B90,'ANÁLISE DE DADOS'!$A:$AM,25,0),""))</f>
        <v/>
      </c>
      <c r="AB90" s="61" t="str">
        <f>IF(B90="","",IFERROR(VLOOKUP(B90,'ANÁLISE DE DADOS'!$A:$AM,26,0),""))</f>
        <v/>
      </c>
      <c r="AC90" s="61" t="str">
        <f>IF(B90="","",IFERROR(VLOOKUP(B90,'ANÁLISE DE DADOS'!$A:$AM,27,0),""))</f>
        <v/>
      </c>
      <c r="AD90" s="62" t="str">
        <f>IF(B90="","",IFERROR(VLOOKUP(B90,'ANÁLISE DE DADOS'!$A:$AM,28,0),""))</f>
        <v/>
      </c>
      <c r="AE90" s="61" t="str">
        <f>IF(B90="","",IFERROR(VLOOKUP(B90,'ANÁLISE DE DADOS'!$A:$AM,29,0),""))</f>
        <v/>
      </c>
      <c r="AF90" s="61" t="str">
        <f>IF(B90="","",IFERROR(VLOOKUP(B90,'ANÁLISE DE DADOS'!$A:$AM,30,0),""))</f>
        <v/>
      </c>
      <c r="AG90" s="62" t="str">
        <f>IF(B90="","",IFERROR(VLOOKUP(B90,'ANÁLISE DE DADOS'!$A:$AM,31,0),""))</f>
        <v/>
      </c>
      <c r="AH90" s="61" t="str">
        <f>IF(B90="","",IFERROR(VLOOKUP(B90,'ANÁLISE DE DADOS'!$A:$AM,32,0),""))</f>
        <v/>
      </c>
      <c r="AI90" s="61" t="str">
        <f>IF(B90="","",IFERROR(VLOOKUP(B90,'ANÁLISE DE DADOS'!$A:$AM,33,0),""))</f>
        <v/>
      </c>
      <c r="AJ90" s="61" t="str">
        <f>IF(B90="","",IFERROR(VLOOKUP(B90,'ANÁLISE DE DADOS'!$A:$AM,34,0),""))</f>
        <v/>
      </c>
      <c r="AK90" s="63" t="str">
        <f>IF(B90="","",IFERROR(VLOOKUP(B90,'ANÁLISE DE DADOS'!$A:$AM,35,0),""))</f>
        <v/>
      </c>
      <c r="AL90" s="63" t="str">
        <f>IF(B90="","",IFERROR(VLOOKUP(B90,'ANÁLISE DE DADOS'!$A:$AM,36,0),""))</f>
        <v/>
      </c>
      <c r="AM90" s="101" t="str">
        <f>IF(B90="","",IFERROR(VLOOKUP(B90,'ANÁLISE DE DADOS'!$A:$AM,37,0),""))</f>
        <v/>
      </c>
    </row>
    <row r="91" spans="3:39" x14ac:dyDescent="0.3">
      <c r="C91" s="61" t="str">
        <f>IF(B91="","",IFERROR(VLOOKUP(B91,'ANÁLISE DE DADOS'!$A:$AM,1,0),""))</f>
        <v/>
      </c>
      <c r="D91" s="61" t="str">
        <f>IF(B91="","",IFERROR(VLOOKUP(B91,'ANÁLISE DE DADOS'!$A:$AM,2,0),""))</f>
        <v/>
      </c>
      <c r="E91" s="61" t="str">
        <f>IF(B91="","",IFERROR(VLOOKUP(B91,'ANÁLISE DE DADOS'!$A:$AM,3,0),""))</f>
        <v/>
      </c>
      <c r="F91" s="61" t="str">
        <f>IF(B91="","",IFERROR(VLOOKUP(B91,'ANÁLISE DE DADOS'!$A:$AM,4,0),""))</f>
        <v/>
      </c>
      <c r="G91" s="62" t="str">
        <f>IF(B91="","",IFERROR(VLOOKUP(B91,'ANÁLISE DE DADOS'!$A:$AM,5,0),""))</f>
        <v/>
      </c>
      <c r="H91" s="62" t="str">
        <f>IF(B91="","",IFERROR(VLOOKUP(B91,'ANÁLISE DE DADOS'!$A:$AM,6,0),""))</f>
        <v/>
      </c>
      <c r="I91" s="62" t="str">
        <f>IF(B91="","",IFERROR(VLOOKUP(B91,'ANÁLISE DE DADOS'!$A:$AM,7,0),""))</f>
        <v/>
      </c>
      <c r="J91" s="62" t="str">
        <f>IF(B91="","",IFERROR(VLOOKUP(B91,'ANÁLISE DE DADOS'!$A:$AM,8,0),""))</f>
        <v/>
      </c>
      <c r="K91" s="61" t="str">
        <f>IF(B91="","",IFERROR(VLOOKUP(B91,'ANÁLISE DE DADOS'!$A:$AM,9,0),""))</f>
        <v/>
      </c>
      <c r="L91" s="61" t="str">
        <f>IF(B91="","",IFERROR(VLOOKUP(B91,'ANÁLISE DE DADOS'!$A:$AM,10,0),""))</f>
        <v/>
      </c>
      <c r="M91" s="62" t="str">
        <f>IF(B91="","",IFERROR(VLOOKUP(B91,'ANÁLISE DE DADOS'!$A:$AM,11,0),""))</f>
        <v/>
      </c>
      <c r="N91" s="61" t="str">
        <f>IF(B91="","",IFERROR(VLOOKUP(B91,'ANÁLISE DE DADOS'!$A:$AM,12,0),""))</f>
        <v/>
      </c>
      <c r="O91" s="61" t="str">
        <f>IF(B91="","",IFERROR(VLOOKUP(B91,'ANÁLISE DE DADOS'!$A:$AM,13,0),""))</f>
        <v/>
      </c>
      <c r="P91" s="63" t="str">
        <f>IF(B91="","",IFERROR(VLOOKUP(B91,'ANÁLISE DE DADOS'!$A:$AM,14,0),""))</f>
        <v/>
      </c>
      <c r="Q91" s="61" t="str">
        <f>IF(B91="","",IFERROR(VLOOKUP(B91,'ANÁLISE DE DADOS'!$A:$AM,15,0),""))</f>
        <v/>
      </c>
      <c r="R91" s="61" t="str">
        <f>IF(B91="","",IFERROR(VLOOKUP(B91,'ANÁLISE DE DADOS'!$A:$AM,16,0),""))</f>
        <v/>
      </c>
      <c r="S91" s="61" t="str">
        <f>IF(B91="","",IFERROR(VLOOKUP(B91,'ANÁLISE DE DADOS'!$A:$AM,17,0),""))</f>
        <v/>
      </c>
      <c r="T91" s="61" t="str">
        <f>IF(B91="","",IFERROR(VLOOKUP(B91,'ANÁLISE DE DADOS'!$A:$AM,18,0),""))</f>
        <v/>
      </c>
      <c r="U91" s="61" t="str">
        <f>IF(B91="","",IFERROR(VLOOKUP(B91,'ANÁLISE DE DADOS'!$A:$AM,19,0),""))</f>
        <v/>
      </c>
      <c r="V91" s="61" t="str">
        <f>IF(B91="","",IFERROR(VLOOKUP(B91,'ANÁLISE DE DADOS'!$A:$AM,20,0),""))</f>
        <v/>
      </c>
      <c r="W91" s="61" t="str">
        <f>IF(B91="","",IFERROR(VLOOKUP(B91,'ANÁLISE DE DADOS'!$A:$AM,21,0),""))</f>
        <v/>
      </c>
      <c r="X91" s="61" t="str">
        <f>IF(B91="","",IFERROR(VLOOKUP(B91,'ANÁLISE DE DADOS'!$A:$AM,22,0),""))</f>
        <v/>
      </c>
      <c r="Y91" s="61" t="str">
        <f>IF(B91="","",IFERROR(VLOOKUP(B91,'ANÁLISE DE DADOS'!$A:$AM,23,0),""))</f>
        <v/>
      </c>
      <c r="Z91" s="61" t="str">
        <f>IF(B91="","",IFERROR(VLOOKUP(B91,'ANÁLISE DE DADOS'!$A:$AM,24,0),""))</f>
        <v/>
      </c>
      <c r="AA91" s="61" t="str">
        <f>IF(B91="","",IFERROR(VLOOKUP(B91,'ANÁLISE DE DADOS'!$A:$AM,25,0),""))</f>
        <v/>
      </c>
      <c r="AB91" s="61" t="str">
        <f>IF(B91="","",IFERROR(VLOOKUP(B91,'ANÁLISE DE DADOS'!$A:$AM,26,0),""))</f>
        <v/>
      </c>
      <c r="AC91" s="61" t="str">
        <f>IF(B91="","",IFERROR(VLOOKUP(B91,'ANÁLISE DE DADOS'!$A:$AM,27,0),""))</f>
        <v/>
      </c>
      <c r="AD91" s="62" t="str">
        <f>IF(B91="","",IFERROR(VLOOKUP(B91,'ANÁLISE DE DADOS'!$A:$AM,28,0),""))</f>
        <v/>
      </c>
      <c r="AE91" s="61" t="str">
        <f>IF(B91="","",IFERROR(VLOOKUP(B91,'ANÁLISE DE DADOS'!$A:$AM,29,0),""))</f>
        <v/>
      </c>
      <c r="AF91" s="61" t="str">
        <f>IF(B91="","",IFERROR(VLOOKUP(B91,'ANÁLISE DE DADOS'!$A:$AM,30,0),""))</f>
        <v/>
      </c>
      <c r="AG91" s="62" t="str">
        <f>IF(B91="","",IFERROR(VLOOKUP(B91,'ANÁLISE DE DADOS'!$A:$AM,31,0),""))</f>
        <v/>
      </c>
      <c r="AH91" s="61" t="str">
        <f>IF(B91="","",IFERROR(VLOOKUP(B91,'ANÁLISE DE DADOS'!$A:$AM,32,0),""))</f>
        <v/>
      </c>
      <c r="AI91" s="61" t="str">
        <f>IF(B91="","",IFERROR(VLOOKUP(B91,'ANÁLISE DE DADOS'!$A:$AM,33,0),""))</f>
        <v/>
      </c>
      <c r="AJ91" s="61" t="str">
        <f>IF(B91="","",IFERROR(VLOOKUP(B91,'ANÁLISE DE DADOS'!$A:$AM,34,0),""))</f>
        <v/>
      </c>
      <c r="AK91" s="63" t="str">
        <f>IF(B91="","",IFERROR(VLOOKUP(B91,'ANÁLISE DE DADOS'!$A:$AM,35,0),""))</f>
        <v/>
      </c>
      <c r="AL91" s="63" t="str">
        <f>IF(B91="","",IFERROR(VLOOKUP(B91,'ANÁLISE DE DADOS'!$A:$AM,36,0),""))</f>
        <v/>
      </c>
      <c r="AM91" s="101" t="str">
        <f>IF(B91="","",IFERROR(VLOOKUP(B91,'ANÁLISE DE DADOS'!$A:$AM,37,0),""))</f>
        <v/>
      </c>
    </row>
    <row r="92" spans="3:39" x14ac:dyDescent="0.3">
      <c r="C92" s="61" t="str">
        <f>IF(B92="","",IFERROR(VLOOKUP(B92,'ANÁLISE DE DADOS'!$A:$AM,1,0),""))</f>
        <v/>
      </c>
      <c r="D92" s="61" t="str">
        <f>IF(B92="","",IFERROR(VLOOKUP(B92,'ANÁLISE DE DADOS'!$A:$AM,2,0),""))</f>
        <v/>
      </c>
      <c r="E92" s="61" t="str">
        <f>IF(B92="","",IFERROR(VLOOKUP(B92,'ANÁLISE DE DADOS'!$A:$AM,3,0),""))</f>
        <v/>
      </c>
      <c r="F92" s="61" t="str">
        <f>IF(B92="","",IFERROR(VLOOKUP(B92,'ANÁLISE DE DADOS'!$A:$AM,4,0),""))</f>
        <v/>
      </c>
      <c r="G92" s="62" t="str">
        <f>IF(B92="","",IFERROR(VLOOKUP(B92,'ANÁLISE DE DADOS'!$A:$AM,5,0),""))</f>
        <v/>
      </c>
      <c r="H92" s="62" t="str">
        <f>IF(B92="","",IFERROR(VLOOKUP(B92,'ANÁLISE DE DADOS'!$A:$AM,6,0),""))</f>
        <v/>
      </c>
      <c r="I92" s="62" t="str">
        <f>IF(B92="","",IFERROR(VLOOKUP(B92,'ANÁLISE DE DADOS'!$A:$AM,7,0),""))</f>
        <v/>
      </c>
      <c r="J92" s="62" t="str">
        <f>IF(B92="","",IFERROR(VLOOKUP(B92,'ANÁLISE DE DADOS'!$A:$AM,8,0),""))</f>
        <v/>
      </c>
      <c r="K92" s="61" t="str">
        <f>IF(B92="","",IFERROR(VLOOKUP(B92,'ANÁLISE DE DADOS'!$A:$AM,9,0),""))</f>
        <v/>
      </c>
      <c r="L92" s="61" t="str">
        <f>IF(B92="","",IFERROR(VLOOKUP(B92,'ANÁLISE DE DADOS'!$A:$AM,10,0),""))</f>
        <v/>
      </c>
      <c r="M92" s="62" t="str">
        <f>IF(B92="","",IFERROR(VLOOKUP(B92,'ANÁLISE DE DADOS'!$A:$AM,11,0),""))</f>
        <v/>
      </c>
      <c r="N92" s="61" t="str">
        <f>IF(B92="","",IFERROR(VLOOKUP(B92,'ANÁLISE DE DADOS'!$A:$AM,12,0),""))</f>
        <v/>
      </c>
      <c r="O92" s="61" t="str">
        <f>IF(B92="","",IFERROR(VLOOKUP(B92,'ANÁLISE DE DADOS'!$A:$AM,13,0),""))</f>
        <v/>
      </c>
      <c r="P92" s="63" t="str">
        <f>IF(B92="","",IFERROR(VLOOKUP(B92,'ANÁLISE DE DADOS'!$A:$AM,14,0),""))</f>
        <v/>
      </c>
      <c r="Q92" s="61" t="str">
        <f>IF(B92="","",IFERROR(VLOOKUP(B92,'ANÁLISE DE DADOS'!$A:$AM,15,0),""))</f>
        <v/>
      </c>
      <c r="R92" s="61" t="str">
        <f>IF(B92="","",IFERROR(VLOOKUP(B92,'ANÁLISE DE DADOS'!$A:$AM,16,0),""))</f>
        <v/>
      </c>
      <c r="S92" s="61" t="str">
        <f>IF(B92="","",IFERROR(VLOOKUP(B92,'ANÁLISE DE DADOS'!$A:$AM,17,0),""))</f>
        <v/>
      </c>
      <c r="T92" s="61" t="str">
        <f>IF(B92="","",IFERROR(VLOOKUP(B92,'ANÁLISE DE DADOS'!$A:$AM,18,0),""))</f>
        <v/>
      </c>
      <c r="U92" s="61" t="str">
        <f>IF(B92="","",IFERROR(VLOOKUP(B92,'ANÁLISE DE DADOS'!$A:$AM,19,0),""))</f>
        <v/>
      </c>
      <c r="V92" s="61" t="str">
        <f>IF(B92="","",IFERROR(VLOOKUP(B92,'ANÁLISE DE DADOS'!$A:$AM,20,0),""))</f>
        <v/>
      </c>
      <c r="W92" s="61" t="str">
        <f>IF(B92="","",IFERROR(VLOOKUP(B92,'ANÁLISE DE DADOS'!$A:$AM,21,0),""))</f>
        <v/>
      </c>
      <c r="X92" s="61" t="str">
        <f>IF(B92="","",IFERROR(VLOOKUP(B92,'ANÁLISE DE DADOS'!$A:$AM,22,0),""))</f>
        <v/>
      </c>
      <c r="Y92" s="61" t="str">
        <f>IF(B92="","",IFERROR(VLOOKUP(B92,'ANÁLISE DE DADOS'!$A:$AM,23,0),""))</f>
        <v/>
      </c>
      <c r="Z92" s="61" t="str">
        <f>IF(B92="","",IFERROR(VLOOKUP(B92,'ANÁLISE DE DADOS'!$A:$AM,24,0),""))</f>
        <v/>
      </c>
      <c r="AA92" s="61" t="str">
        <f>IF(B92="","",IFERROR(VLOOKUP(B92,'ANÁLISE DE DADOS'!$A:$AM,25,0),""))</f>
        <v/>
      </c>
      <c r="AB92" s="61" t="str">
        <f>IF(B92="","",IFERROR(VLOOKUP(B92,'ANÁLISE DE DADOS'!$A:$AM,26,0),""))</f>
        <v/>
      </c>
      <c r="AC92" s="61" t="str">
        <f>IF(B92="","",IFERROR(VLOOKUP(B92,'ANÁLISE DE DADOS'!$A:$AM,27,0),""))</f>
        <v/>
      </c>
      <c r="AD92" s="62" t="str">
        <f>IF(B92="","",IFERROR(VLOOKUP(B92,'ANÁLISE DE DADOS'!$A:$AM,28,0),""))</f>
        <v/>
      </c>
      <c r="AE92" s="61" t="str">
        <f>IF(B92="","",IFERROR(VLOOKUP(B92,'ANÁLISE DE DADOS'!$A:$AM,29,0),""))</f>
        <v/>
      </c>
      <c r="AF92" s="61" t="str">
        <f>IF(B92="","",IFERROR(VLOOKUP(B92,'ANÁLISE DE DADOS'!$A:$AM,30,0),""))</f>
        <v/>
      </c>
      <c r="AG92" s="62" t="str">
        <f>IF(B92="","",IFERROR(VLOOKUP(B92,'ANÁLISE DE DADOS'!$A:$AM,31,0),""))</f>
        <v/>
      </c>
      <c r="AH92" s="61" t="str">
        <f>IF(B92="","",IFERROR(VLOOKUP(B92,'ANÁLISE DE DADOS'!$A:$AM,32,0),""))</f>
        <v/>
      </c>
      <c r="AI92" s="61" t="str">
        <f>IF(B92="","",IFERROR(VLOOKUP(B92,'ANÁLISE DE DADOS'!$A:$AM,33,0),""))</f>
        <v/>
      </c>
      <c r="AJ92" s="61" t="str">
        <f>IF(B92="","",IFERROR(VLOOKUP(B92,'ANÁLISE DE DADOS'!$A:$AM,34,0),""))</f>
        <v/>
      </c>
      <c r="AK92" s="63" t="str">
        <f>IF(B92="","",IFERROR(VLOOKUP(B92,'ANÁLISE DE DADOS'!$A:$AM,35,0),""))</f>
        <v/>
      </c>
      <c r="AL92" s="63" t="str">
        <f>IF(B92="","",IFERROR(VLOOKUP(B92,'ANÁLISE DE DADOS'!$A:$AM,36,0),""))</f>
        <v/>
      </c>
      <c r="AM92" s="101" t="str">
        <f>IF(B92="","",IFERROR(VLOOKUP(B92,'ANÁLISE DE DADOS'!$A:$AM,37,0),""))</f>
        <v/>
      </c>
    </row>
    <row r="93" spans="3:39" x14ac:dyDescent="0.3">
      <c r="C93" s="61" t="str">
        <f>IF(B93="","",IFERROR(VLOOKUP(B93,'ANÁLISE DE DADOS'!$A:$AM,1,0),""))</f>
        <v/>
      </c>
      <c r="D93" s="61" t="str">
        <f>IF(B93="","",IFERROR(VLOOKUP(B93,'ANÁLISE DE DADOS'!$A:$AM,2,0),""))</f>
        <v/>
      </c>
      <c r="E93" s="61" t="str">
        <f>IF(B93="","",IFERROR(VLOOKUP(B93,'ANÁLISE DE DADOS'!$A:$AM,3,0),""))</f>
        <v/>
      </c>
      <c r="F93" s="61" t="str">
        <f>IF(B93="","",IFERROR(VLOOKUP(B93,'ANÁLISE DE DADOS'!$A:$AM,4,0),""))</f>
        <v/>
      </c>
      <c r="G93" s="62" t="str">
        <f>IF(B93="","",IFERROR(VLOOKUP(B93,'ANÁLISE DE DADOS'!$A:$AM,5,0),""))</f>
        <v/>
      </c>
      <c r="H93" s="62" t="str">
        <f>IF(B93="","",IFERROR(VLOOKUP(B93,'ANÁLISE DE DADOS'!$A:$AM,6,0),""))</f>
        <v/>
      </c>
      <c r="I93" s="62" t="str">
        <f>IF(B93="","",IFERROR(VLOOKUP(B93,'ANÁLISE DE DADOS'!$A:$AM,7,0),""))</f>
        <v/>
      </c>
      <c r="J93" s="62" t="str">
        <f>IF(B93="","",IFERROR(VLOOKUP(B93,'ANÁLISE DE DADOS'!$A:$AM,8,0),""))</f>
        <v/>
      </c>
      <c r="K93" s="61" t="str">
        <f>IF(B93="","",IFERROR(VLOOKUP(B93,'ANÁLISE DE DADOS'!$A:$AM,9,0),""))</f>
        <v/>
      </c>
      <c r="L93" s="61" t="str">
        <f>IF(B93="","",IFERROR(VLOOKUP(B93,'ANÁLISE DE DADOS'!$A:$AM,10,0),""))</f>
        <v/>
      </c>
      <c r="M93" s="62" t="str">
        <f>IF(B93="","",IFERROR(VLOOKUP(B93,'ANÁLISE DE DADOS'!$A:$AM,11,0),""))</f>
        <v/>
      </c>
      <c r="N93" s="61" t="str">
        <f>IF(B93="","",IFERROR(VLOOKUP(B93,'ANÁLISE DE DADOS'!$A:$AM,12,0),""))</f>
        <v/>
      </c>
      <c r="O93" s="61" t="str">
        <f>IF(B93="","",IFERROR(VLOOKUP(B93,'ANÁLISE DE DADOS'!$A:$AM,13,0),""))</f>
        <v/>
      </c>
      <c r="P93" s="63" t="str">
        <f>IF(B93="","",IFERROR(VLOOKUP(B93,'ANÁLISE DE DADOS'!$A:$AM,14,0),""))</f>
        <v/>
      </c>
      <c r="Q93" s="61" t="str">
        <f>IF(B93="","",IFERROR(VLOOKUP(B93,'ANÁLISE DE DADOS'!$A:$AM,15,0),""))</f>
        <v/>
      </c>
      <c r="R93" s="61" t="str">
        <f>IF(B93="","",IFERROR(VLOOKUP(B93,'ANÁLISE DE DADOS'!$A:$AM,16,0),""))</f>
        <v/>
      </c>
      <c r="S93" s="61" t="str">
        <f>IF(B93="","",IFERROR(VLOOKUP(B93,'ANÁLISE DE DADOS'!$A:$AM,17,0),""))</f>
        <v/>
      </c>
      <c r="T93" s="61" t="str">
        <f>IF(B93="","",IFERROR(VLOOKUP(B93,'ANÁLISE DE DADOS'!$A:$AM,18,0),""))</f>
        <v/>
      </c>
      <c r="U93" s="61" t="str">
        <f>IF(B93="","",IFERROR(VLOOKUP(B93,'ANÁLISE DE DADOS'!$A:$AM,19,0),""))</f>
        <v/>
      </c>
      <c r="V93" s="61" t="str">
        <f>IF(B93="","",IFERROR(VLOOKUP(B93,'ANÁLISE DE DADOS'!$A:$AM,20,0),""))</f>
        <v/>
      </c>
      <c r="W93" s="61" t="str">
        <f>IF(B93="","",IFERROR(VLOOKUP(B93,'ANÁLISE DE DADOS'!$A:$AM,21,0),""))</f>
        <v/>
      </c>
      <c r="X93" s="61" t="str">
        <f>IF(B93="","",IFERROR(VLOOKUP(B93,'ANÁLISE DE DADOS'!$A:$AM,22,0),""))</f>
        <v/>
      </c>
      <c r="Y93" s="61" t="str">
        <f>IF(B93="","",IFERROR(VLOOKUP(B93,'ANÁLISE DE DADOS'!$A:$AM,23,0),""))</f>
        <v/>
      </c>
      <c r="Z93" s="61" t="str">
        <f>IF(B93="","",IFERROR(VLOOKUP(B93,'ANÁLISE DE DADOS'!$A:$AM,24,0),""))</f>
        <v/>
      </c>
      <c r="AA93" s="61" t="str">
        <f>IF(B93="","",IFERROR(VLOOKUP(B93,'ANÁLISE DE DADOS'!$A:$AM,25,0),""))</f>
        <v/>
      </c>
      <c r="AB93" s="61" t="str">
        <f>IF(B93="","",IFERROR(VLOOKUP(B93,'ANÁLISE DE DADOS'!$A:$AM,26,0),""))</f>
        <v/>
      </c>
      <c r="AC93" s="61" t="str">
        <f>IF(B93="","",IFERROR(VLOOKUP(B93,'ANÁLISE DE DADOS'!$A:$AM,27,0),""))</f>
        <v/>
      </c>
      <c r="AD93" s="62" t="str">
        <f>IF(B93="","",IFERROR(VLOOKUP(B93,'ANÁLISE DE DADOS'!$A:$AM,28,0),""))</f>
        <v/>
      </c>
      <c r="AE93" s="61" t="str">
        <f>IF(B93="","",IFERROR(VLOOKUP(B93,'ANÁLISE DE DADOS'!$A:$AM,29,0),""))</f>
        <v/>
      </c>
      <c r="AF93" s="61" t="str">
        <f>IF(B93="","",IFERROR(VLOOKUP(B93,'ANÁLISE DE DADOS'!$A:$AM,30,0),""))</f>
        <v/>
      </c>
      <c r="AG93" s="62" t="str">
        <f>IF(B93="","",IFERROR(VLOOKUP(B93,'ANÁLISE DE DADOS'!$A:$AM,31,0),""))</f>
        <v/>
      </c>
      <c r="AH93" s="61" t="str">
        <f>IF(B93="","",IFERROR(VLOOKUP(B93,'ANÁLISE DE DADOS'!$A:$AM,32,0),""))</f>
        <v/>
      </c>
      <c r="AI93" s="61" t="str">
        <f>IF(B93="","",IFERROR(VLOOKUP(B93,'ANÁLISE DE DADOS'!$A:$AM,33,0),""))</f>
        <v/>
      </c>
      <c r="AJ93" s="61" t="str">
        <f>IF(B93="","",IFERROR(VLOOKUP(B93,'ANÁLISE DE DADOS'!$A:$AM,34,0),""))</f>
        <v/>
      </c>
      <c r="AK93" s="63" t="str">
        <f>IF(B93="","",IFERROR(VLOOKUP(B93,'ANÁLISE DE DADOS'!$A:$AM,35,0),""))</f>
        <v/>
      </c>
      <c r="AL93" s="63" t="str">
        <f>IF(B93="","",IFERROR(VLOOKUP(B93,'ANÁLISE DE DADOS'!$A:$AM,36,0),""))</f>
        <v/>
      </c>
      <c r="AM93" s="101" t="str">
        <f>IF(B93="","",IFERROR(VLOOKUP(B93,'ANÁLISE DE DADOS'!$A:$AM,37,0),""))</f>
        <v/>
      </c>
    </row>
    <row r="94" spans="3:39" x14ac:dyDescent="0.3">
      <c r="C94" s="61" t="str">
        <f>IF(B94="","",IFERROR(VLOOKUP(B94,'ANÁLISE DE DADOS'!$A:$AM,1,0),""))</f>
        <v/>
      </c>
      <c r="D94" s="61" t="str">
        <f>IF(B94="","",IFERROR(VLOOKUP(B94,'ANÁLISE DE DADOS'!$A:$AM,2,0),""))</f>
        <v/>
      </c>
      <c r="E94" s="61" t="str">
        <f>IF(B94="","",IFERROR(VLOOKUP(B94,'ANÁLISE DE DADOS'!$A:$AM,3,0),""))</f>
        <v/>
      </c>
      <c r="F94" s="61" t="str">
        <f>IF(B94="","",IFERROR(VLOOKUP(B94,'ANÁLISE DE DADOS'!$A:$AM,4,0),""))</f>
        <v/>
      </c>
      <c r="G94" s="62" t="str">
        <f>IF(B94="","",IFERROR(VLOOKUP(B94,'ANÁLISE DE DADOS'!$A:$AM,5,0),""))</f>
        <v/>
      </c>
      <c r="H94" s="62" t="str">
        <f>IF(B94="","",IFERROR(VLOOKUP(B94,'ANÁLISE DE DADOS'!$A:$AM,6,0),""))</f>
        <v/>
      </c>
      <c r="I94" s="62" t="str">
        <f>IF(B94="","",IFERROR(VLOOKUP(B94,'ANÁLISE DE DADOS'!$A:$AM,7,0),""))</f>
        <v/>
      </c>
      <c r="J94" s="62" t="str">
        <f>IF(B94="","",IFERROR(VLOOKUP(B94,'ANÁLISE DE DADOS'!$A:$AM,8,0),""))</f>
        <v/>
      </c>
      <c r="K94" s="61" t="str">
        <f>IF(B94="","",IFERROR(VLOOKUP(B94,'ANÁLISE DE DADOS'!$A:$AM,9,0),""))</f>
        <v/>
      </c>
      <c r="L94" s="61" t="str">
        <f>IF(B94="","",IFERROR(VLOOKUP(B94,'ANÁLISE DE DADOS'!$A:$AM,10,0),""))</f>
        <v/>
      </c>
      <c r="M94" s="62" t="str">
        <f>IF(B94="","",IFERROR(VLOOKUP(B94,'ANÁLISE DE DADOS'!$A:$AM,11,0),""))</f>
        <v/>
      </c>
      <c r="N94" s="61" t="str">
        <f>IF(B94="","",IFERROR(VLOOKUP(B94,'ANÁLISE DE DADOS'!$A:$AM,12,0),""))</f>
        <v/>
      </c>
      <c r="O94" s="61" t="str">
        <f>IF(B94="","",IFERROR(VLOOKUP(B94,'ANÁLISE DE DADOS'!$A:$AM,13,0),""))</f>
        <v/>
      </c>
      <c r="P94" s="63" t="str">
        <f>IF(B94="","",IFERROR(VLOOKUP(B94,'ANÁLISE DE DADOS'!$A:$AM,14,0),""))</f>
        <v/>
      </c>
      <c r="Q94" s="61" t="str">
        <f>IF(B94="","",IFERROR(VLOOKUP(B94,'ANÁLISE DE DADOS'!$A:$AM,15,0),""))</f>
        <v/>
      </c>
      <c r="R94" s="61" t="str">
        <f>IF(B94="","",IFERROR(VLOOKUP(B94,'ANÁLISE DE DADOS'!$A:$AM,16,0),""))</f>
        <v/>
      </c>
      <c r="S94" s="61" t="str">
        <f>IF(B94="","",IFERROR(VLOOKUP(B94,'ANÁLISE DE DADOS'!$A:$AM,17,0),""))</f>
        <v/>
      </c>
      <c r="T94" s="61" t="str">
        <f>IF(B94="","",IFERROR(VLOOKUP(B94,'ANÁLISE DE DADOS'!$A:$AM,18,0),""))</f>
        <v/>
      </c>
      <c r="U94" s="61" t="str">
        <f>IF(B94="","",IFERROR(VLOOKUP(B94,'ANÁLISE DE DADOS'!$A:$AM,19,0),""))</f>
        <v/>
      </c>
      <c r="V94" s="61" t="str">
        <f>IF(B94="","",IFERROR(VLOOKUP(B94,'ANÁLISE DE DADOS'!$A:$AM,20,0),""))</f>
        <v/>
      </c>
      <c r="W94" s="61" t="str">
        <f>IF(B94="","",IFERROR(VLOOKUP(B94,'ANÁLISE DE DADOS'!$A:$AM,21,0),""))</f>
        <v/>
      </c>
      <c r="X94" s="61" t="str">
        <f>IF(B94="","",IFERROR(VLOOKUP(B94,'ANÁLISE DE DADOS'!$A:$AM,22,0),""))</f>
        <v/>
      </c>
      <c r="Y94" s="61" t="str">
        <f>IF(B94="","",IFERROR(VLOOKUP(B94,'ANÁLISE DE DADOS'!$A:$AM,23,0),""))</f>
        <v/>
      </c>
      <c r="Z94" s="61" t="str">
        <f>IF(B94="","",IFERROR(VLOOKUP(B94,'ANÁLISE DE DADOS'!$A:$AM,24,0),""))</f>
        <v/>
      </c>
      <c r="AA94" s="61" t="str">
        <f>IF(B94="","",IFERROR(VLOOKUP(B94,'ANÁLISE DE DADOS'!$A:$AM,25,0),""))</f>
        <v/>
      </c>
      <c r="AB94" s="61" t="str">
        <f>IF(B94="","",IFERROR(VLOOKUP(B94,'ANÁLISE DE DADOS'!$A:$AM,26,0),""))</f>
        <v/>
      </c>
      <c r="AC94" s="61" t="str">
        <f>IF(B94="","",IFERROR(VLOOKUP(B94,'ANÁLISE DE DADOS'!$A:$AM,27,0),""))</f>
        <v/>
      </c>
      <c r="AD94" s="62" t="str">
        <f>IF(B94="","",IFERROR(VLOOKUP(B94,'ANÁLISE DE DADOS'!$A:$AM,28,0),""))</f>
        <v/>
      </c>
      <c r="AE94" s="61" t="str">
        <f>IF(B94="","",IFERROR(VLOOKUP(B94,'ANÁLISE DE DADOS'!$A:$AM,29,0),""))</f>
        <v/>
      </c>
      <c r="AF94" s="61" t="str">
        <f>IF(B94="","",IFERROR(VLOOKUP(B94,'ANÁLISE DE DADOS'!$A:$AM,30,0),""))</f>
        <v/>
      </c>
      <c r="AG94" s="62" t="str">
        <f>IF(B94="","",IFERROR(VLOOKUP(B94,'ANÁLISE DE DADOS'!$A:$AM,31,0),""))</f>
        <v/>
      </c>
      <c r="AH94" s="61" t="str">
        <f>IF(B94="","",IFERROR(VLOOKUP(B94,'ANÁLISE DE DADOS'!$A:$AM,32,0),""))</f>
        <v/>
      </c>
      <c r="AI94" s="61" t="str">
        <f>IF(B94="","",IFERROR(VLOOKUP(B94,'ANÁLISE DE DADOS'!$A:$AM,33,0),""))</f>
        <v/>
      </c>
      <c r="AJ94" s="61" t="str">
        <f>IF(B94="","",IFERROR(VLOOKUP(B94,'ANÁLISE DE DADOS'!$A:$AM,34,0),""))</f>
        <v/>
      </c>
      <c r="AK94" s="63" t="str">
        <f>IF(B94="","",IFERROR(VLOOKUP(B94,'ANÁLISE DE DADOS'!$A:$AM,35,0),""))</f>
        <v/>
      </c>
      <c r="AL94" s="63" t="str">
        <f>IF(B94="","",IFERROR(VLOOKUP(B94,'ANÁLISE DE DADOS'!$A:$AM,36,0),""))</f>
        <v/>
      </c>
      <c r="AM94" s="101" t="str">
        <f>IF(B94="","",IFERROR(VLOOKUP(B94,'ANÁLISE DE DADOS'!$A:$AM,37,0),""))</f>
        <v/>
      </c>
    </row>
    <row r="95" spans="3:39" x14ac:dyDescent="0.3">
      <c r="C95" s="61" t="str">
        <f>IF(B95="","",IFERROR(VLOOKUP(B95,'ANÁLISE DE DADOS'!$A:$AM,1,0),""))</f>
        <v/>
      </c>
      <c r="D95" s="61" t="str">
        <f>IF(B95="","",IFERROR(VLOOKUP(B95,'ANÁLISE DE DADOS'!$A:$AM,2,0),""))</f>
        <v/>
      </c>
      <c r="E95" s="61" t="str">
        <f>IF(B95="","",IFERROR(VLOOKUP(B95,'ANÁLISE DE DADOS'!$A:$AM,3,0),""))</f>
        <v/>
      </c>
      <c r="F95" s="61" t="str">
        <f>IF(B95="","",IFERROR(VLOOKUP(B95,'ANÁLISE DE DADOS'!$A:$AM,4,0),""))</f>
        <v/>
      </c>
      <c r="G95" s="62" t="str">
        <f>IF(B95="","",IFERROR(VLOOKUP(B95,'ANÁLISE DE DADOS'!$A:$AM,5,0),""))</f>
        <v/>
      </c>
      <c r="H95" s="62" t="str">
        <f>IF(B95="","",IFERROR(VLOOKUP(B95,'ANÁLISE DE DADOS'!$A:$AM,6,0),""))</f>
        <v/>
      </c>
      <c r="I95" s="62" t="str">
        <f>IF(B95="","",IFERROR(VLOOKUP(B95,'ANÁLISE DE DADOS'!$A:$AM,7,0),""))</f>
        <v/>
      </c>
      <c r="J95" s="62" t="str">
        <f>IF(B95="","",IFERROR(VLOOKUP(B95,'ANÁLISE DE DADOS'!$A:$AM,8,0),""))</f>
        <v/>
      </c>
      <c r="K95" s="61" t="str">
        <f>IF(B95="","",IFERROR(VLOOKUP(B95,'ANÁLISE DE DADOS'!$A:$AM,9,0),""))</f>
        <v/>
      </c>
      <c r="L95" s="61" t="str">
        <f>IF(B95="","",IFERROR(VLOOKUP(B95,'ANÁLISE DE DADOS'!$A:$AM,10,0),""))</f>
        <v/>
      </c>
      <c r="M95" s="62" t="str">
        <f>IF(B95="","",IFERROR(VLOOKUP(B95,'ANÁLISE DE DADOS'!$A:$AM,11,0),""))</f>
        <v/>
      </c>
      <c r="N95" s="61" t="str">
        <f>IF(B95="","",IFERROR(VLOOKUP(B95,'ANÁLISE DE DADOS'!$A:$AM,12,0),""))</f>
        <v/>
      </c>
      <c r="O95" s="61" t="str">
        <f>IF(B95="","",IFERROR(VLOOKUP(B95,'ANÁLISE DE DADOS'!$A:$AM,13,0),""))</f>
        <v/>
      </c>
      <c r="P95" s="63" t="str">
        <f>IF(B95="","",IFERROR(VLOOKUP(B95,'ANÁLISE DE DADOS'!$A:$AM,14,0),""))</f>
        <v/>
      </c>
      <c r="Q95" s="61" t="str">
        <f>IF(B95="","",IFERROR(VLOOKUP(B95,'ANÁLISE DE DADOS'!$A:$AM,15,0),""))</f>
        <v/>
      </c>
      <c r="R95" s="61" t="str">
        <f>IF(B95="","",IFERROR(VLOOKUP(B95,'ANÁLISE DE DADOS'!$A:$AM,16,0),""))</f>
        <v/>
      </c>
      <c r="S95" s="61" t="str">
        <f>IF(B95="","",IFERROR(VLOOKUP(B95,'ANÁLISE DE DADOS'!$A:$AM,17,0),""))</f>
        <v/>
      </c>
      <c r="T95" s="61" t="str">
        <f>IF(B95="","",IFERROR(VLOOKUP(B95,'ANÁLISE DE DADOS'!$A:$AM,18,0),""))</f>
        <v/>
      </c>
      <c r="U95" s="61" t="str">
        <f>IF(B95="","",IFERROR(VLOOKUP(B95,'ANÁLISE DE DADOS'!$A:$AM,19,0),""))</f>
        <v/>
      </c>
      <c r="V95" s="61" t="str">
        <f>IF(B95="","",IFERROR(VLOOKUP(B95,'ANÁLISE DE DADOS'!$A:$AM,20,0),""))</f>
        <v/>
      </c>
      <c r="W95" s="61" t="str">
        <f>IF(B95="","",IFERROR(VLOOKUP(B95,'ANÁLISE DE DADOS'!$A:$AM,21,0),""))</f>
        <v/>
      </c>
      <c r="X95" s="61" t="str">
        <f>IF(B95="","",IFERROR(VLOOKUP(B95,'ANÁLISE DE DADOS'!$A:$AM,22,0),""))</f>
        <v/>
      </c>
      <c r="Y95" s="61" t="str">
        <f>IF(B95="","",IFERROR(VLOOKUP(B95,'ANÁLISE DE DADOS'!$A:$AM,23,0),""))</f>
        <v/>
      </c>
      <c r="Z95" s="61" t="str">
        <f>IF(B95="","",IFERROR(VLOOKUP(B95,'ANÁLISE DE DADOS'!$A:$AM,24,0),""))</f>
        <v/>
      </c>
      <c r="AA95" s="61" t="str">
        <f>IF(B95="","",IFERROR(VLOOKUP(B95,'ANÁLISE DE DADOS'!$A:$AM,25,0),""))</f>
        <v/>
      </c>
      <c r="AB95" s="61" t="str">
        <f>IF(B95="","",IFERROR(VLOOKUP(B95,'ANÁLISE DE DADOS'!$A:$AM,26,0),""))</f>
        <v/>
      </c>
      <c r="AC95" s="61" t="str">
        <f>IF(B95="","",IFERROR(VLOOKUP(B95,'ANÁLISE DE DADOS'!$A:$AM,27,0),""))</f>
        <v/>
      </c>
      <c r="AD95" s="62" t="str">
        <f>IF(B95="","",IFERROR(VLOOKUP(B95,'ANÁLISE DE DADOS'!$A:$AM,28,0),""))</f>
        <v/>
      </c>
      <c r="AE95" s="61" t="str">
        <f>IF(B95="","",IFERROR(VLOOKUP(B95,'ANÁLISE DE DADOS'!$A:$AM,29,0),""))</f>
        <v/>
      </c>
      <c r="AF95" s="61" t="str">
        <f>IF(B95="","",IFERROR(VLOOKUP(B95,'ANÁLISE DE DADOS'!$A:$AM,30,0),""))</f>
        <v/>
      </c>
      <c r="AG95" s="62" t="str">
        <f>IF(B95="","",IFERROR(VLOOKUP(B95,'ANÁLISE DE DADOS'!$A:$AM,31,0),""))</f>
        <v/>
      </c>
      <c r="AH95" s="61" t="str">
        <f>IF(B95="","",IFERROR(VLOOKUP(B95,'ANÁLISE DE DADOS'!$A:$AM,32,0),""))</f>
        <v/>
      </c>
      <c r="AI95" s="61" t="str">
        <f>IF(B95="","",IFERROR(VLOOKUP(B95,'ANÁLISE DE DADOS'!$A:$AM,33,0),""))</f>
        <v/>
      </c>
      <c r="AJ95" s="61" t="str">
        <f>IF(B95="","",IFERROR(VLOOKUP(B95,'ANÁLISE DE DADOS'!$A:$AM,34,0),""))</f>
        <v/>
      </c>
      <c r="AK95" s="63" t="str">
        <f>IF(B95="","",IFERROR(VLOOKUP(B95,'ANÁLISE DE DADOS'!$A:$AM,35,0),""))</f>
        <v/>
      </c>
      <c r="AL95" s="63" t="str">
        <f>IF(B95="","",IFERROR(VLOOKUP(B95,'ANÁLISE DE DADOS'!$A:$AM,36,0),""))</f>
        <v/>
      </c>
      <c r="AM95" s="101" t="str">
        <f>IF(B95="","",IFERROR(VLOOKUP(B95,'ANÁLISE DE DADOS'!$A:$AM,37,0),""))</f>
        <v/>
      </c>
    </row>
    <row r="96" spans="3:39" x14ac:dyDescent="0.3">
      <c r="C96" s="61" t="str">
        <f>IF(B96="","",IFERROR(VLOOKUP(B96,'ANÁLISE DE DADOS'!$A:$AM,1,0),""))</f>
        <v/>
      </c>
      <c r="D96" s="61" t="str">
        <f>IF(B96="","",IFERROR(VLOOKUP(B96,'ANÁLISE DE DADOS'!$A:$AM,2,0),""))</f>
        <v/>
      </c>
      <c r="E96" s="61" t="str">
        <f>IF(B96="","",IFERROR(VLOOKUP(B96,'ANÁLISE DE DADOS'!$A:$AM,3,0),""))</f>
        <v/>
      </c>
      <c r="F96" s="61" t="str">
        <f>IF(B96="","",IFERROR(VLOOKUP(B96,'ANÁLISE DE DADOS'!$A:$AM,4,0),""))</f>
        <v/>
      </c>
      <c r="G96" s="62" t="str">
        <f>IF(B96="","",IFERROR(VLOOKUP(B96,'ANÁLISE DE DADOS'!$A:$AM,5,0),""))</f>
        <v/>
      </c>
      <c r="H96" s="62" t="str">
        <f>IF(B96="","",IFERROR(VLOOKUP(B96,'ANÁLISE DE DADOS'!$A:$AM,6,0),""))</f>
        <v/>
      </c>
      <c r="I96" s="62" t="str">
        <f>IF(B96="","",IFERROR(VLOOKUP(B96,'ANÁLISE DE DADOS'!$A:$AM,7,0),""))</f>
        <v/>
      </c>
      <c r="J96" s="62" t="str">
        <f>IF(B96="","",IFERROR(VLOOKUP(B96,'ANÁLISE DE DADOS'!$A:$AM,8,0),""))</f>
        <v/>
      </c>
      <c r="K96" s="61" t="str">
        <f>IF(B96="","",IFERROR(VLOOKUP(B96,'ANÁLISE DE DADOS'!$A:$AM,9,0),""))</f>
        <v/>
      </c>
      <c r="L96" s="61" t="str">
        <f>IF(B96="","",IFERROR(VLOOKUP(B96,'ANÁLISE DE DADOS'!$A:$AM,10,0),""))</f>
        <v/>
      </c>
      <c r="M96" s="62" t="str">
        <f>IF(B96="","",IFERROR(VLOOKUP(B96,'ANÁLISE DE DADOS'!$A:$AM,11,0),""))</f>
        <v/>
      </c>
      <c r="N96" s="61" t="str">
        <f>IF(B96="","",IFERROR(VLOOKUP(B96,'ANÁLISE DE DADOS'!$A:$AM,12,0),""))</f>
        <v/>
      </c>
      <c r="O96" s="61" t="str">
        <f>IF(B96="","",IFERROR(VLOOKUP(B96,'ANÁLISE DE DADOS'!$A:$AM,13,0),""))</f>
        <v/>
      </c>
      <c r="P96" s="63" t="str">
        <f>IF(B96="","",IFERROR(VLOOKUP(B96,'ANÁLISE DE DADOS'!$A:$AM,14,0),""))</f>
        <v/>
      </c>
      <c r="Q96" s="61" t="str">
        <f>IF(B96="","",IFERROR(VLOOKUP(B96,'ANÁLISE DE DADOS'!$A:$AM,15,0),""))</f>
        <v/>
      </c>
      <c r="R96" s="61" t="str">
        <f>IF(B96="","",IFERROR(VLOOKUP(B96,'ANÁLISE DE DADOS'!$A:$AM,16,0),""))</f>
        <v/>
      </c>
      <c r="S96" s="61" t="str">
        <f>IF(B96="","",IFERROR(VLOOKUP(B96,'ANÁLISE DE DADOS'!$A:$AM,17,0),""))</f>
        <v/>
      </c>
      <c r="T96" s="61" t="str">
        <f>IF(B96="","",IFERROR(VLOOKUP(B96,'ANÁLISE DE DADOS'!$A:$AM,18,0),""))</f>
        <v/>
      </c>
      <c r="U96" s="61" t="str">
        <f>IF(B96="","",IFERROR(VLOOKUP(B96,'ANÁLISE DE DADOS'!$A:$AM,19,0),""))</f>
        <v/>
      </c>
      <c r="V96" s="61" t="str">
        <f>IF(B96="","",IFERROR(VLOOKUP(B96,'ANÁLISE DE DADOS'!$A:$AM,20,0),""))</f>
        <v/>
      </c>
      <c r="W96" s="61" t="str">
        <f>IF(B96="","",IFERROR(VLOOKUP(B96,'ANÁLISE DE DADOS'!$A:$AM,21,0),""))</f>
        <v/>
      </c>
      <c r="X96" s="61" t="str">
        <f>IF(B96="","",IFERROR(VLOOKUP(B96,'ANÁLISE DE DADOS'!$A:$AM,22,0),""))</f>
        <v/>
      </c>
      <c r="Y96" s="61" t="str">
        <f>IF(B96="","",IFERROR(VLOOKUP(B96,'ANÁLISE DE DADOS'!$A:$AM,23,0),""))</f>
        <v/>
      </c>
      <c r="Z96" s="61" t="str">
        <f>IF(B96="","",IFERROR(VLOOKUP(B96,'ANÁLISE DE DADOS'!$A:$AM,24,0),""))</f>
        <v/>
      </c>
      <c r="AA96" s="61" t="str">
        <f>IF(B96="","",IFERROR(VLOOKUP(B96,'ANÁLISE DE DADOS'!$A:$AM,25,0),""))</f>
        <v/>
      </c>
      <c r="AB96" s="61" t="str">
        <f>IF(B96="","",IFERROR(VLOOKUP(B96,'ANÁLISE DE DADOS'!$A:$AM,26,0),""))</f>
        <v/>
      </c>
      <c r="AC96" s="61" t="str">
        <f>IF(B96="","",IFERROR(VLOOKUP(B96,'ANÁLISE DE DADOS'!$A:$AM,27,0),""))</f>
        <v/>
      </c>
      <c r="AD96" s="62" t="str">
        <f>IF(B96="","",IFERROR(VLOOKUP(B96,'ANÁLISE DE DADOS'!$A:$AM,28,0),""))</f>
        <v/>
      </c>
      <c r="AE96" s="61" t="str">
        <f>IF(B96="","",IFERROR(VLOOKUP(B96,'ANÁLISE DE DADOS'!$A:$AM,29,0),""))</f>
        <v/>
      </c>
      <c r="AF96" s="61" t="str">
        <f>IF(B96="","",IFERROR(VLOOKUP(B96,'ANÁLISE DE DADOS'!$A:$AM,30,0),""))</f>
        <v/>
      </c>
      <c r="AG96" s="62" t="str">
        <f>IF(B96="","",IFERROR(VLOOKUP(B96,'ANÁLISE DE DADOS'!$A:$AM,31,0),""))</f>
        <v/>
      </c>
      <c r="AH96" s="61" t="str">
        <f>IF(B96="","",IFERROR(VLOOKUP(B96,'ANÁLISE DE DADOS'!$A:$AM,32,0),""))</f>
        <v/>
      </c>
      <c r="AI96" s="61" t="str">
        <f>IF(B96="","",IFERROR(VLOOKUP(B96,'ANÁLISE DE DADOS'!$A:$AM,33,0),""))</f>
        <v/>
      </c>
      <c r="AJ96" s="61" t="str">
        <f>IF(B96="","",IFERROR(VLOOKUP(B96,'ANÁLISE DE DADOS'!$A:$AM,34,0),""))</f>
        <v/>
      </c>
      <c r="AK96" s="63" t="str">
        <f>IF(B96="","",IFERROR(VLOOKUP(B96,'ANÁLISE DE DADOS'!$A:$AM,35,0),""))</f>
        <v/>
      </c>
      <c r="AL96" s="63" t="str">
        <f>IF(B96="","",IFERROR(VLOOKUP(B96,'ANÁLISE DE DADOS'!$A:$AM,36,0),""))</f>
        <v/>
      </c>
      <c r="AM96" s="101" t="str">
        <f>IF(B96="","",IFERROR(VLOOKUP(B96,'ANÁLISE DE DADOS'!$A:$AM,37,0),""))</f>
        <v/>
      </c>
    </row>
    <row r="97" spans="3:39" x14ac:dyDescent="0.3">
      <c r="C97" s="61" t="str">
        <f>IF(B97="","",IFERROR(VLOOKUP(B97,'ANÁLISE DE DADOS'!$A:$AM,1,0),""))</f>
        <v/>
      </c>
      <c r="D97" s="61" t="str">
        <f>IF(B97="","",IFERROR(VLOOKUP(B97,'ANÁLISE DE DADOS'!$A:$AM,2,0),""))</f>
        <v/>
      </c>
      <c r="E97" s="61" t="str">
        <f>IF(B97="","",IFERROR(VLOOKUP(B97,'ANÁLISE DE DADOS'!$A:$AM,3,0),""))</f>
        <v/>
      </c>
      <c r="F97" s="61" t="str">
        <f>IF(B97="","",IFERROR(VLOOKUP(B97,'ANÁLISE DE DADOS'!$A:$AM,4,0),""))</f>
        <v/>
      </c>
      <c r="G97" s="62" t="str">
        <f>IF(B97="","",IFERROR(VLOOKUP(B97,'ANÁLISE DE DADOS'!$A:$AM,5,0),""))</f>
        <v/>
      </c>
      <c r="H97" s="62" t="str">
        <f>IF(B97="","",IFERROR(VLOOKUP(B97,'ANÁLISE DE DADOS'!$A:$AM,6,0),""))</f>
        <v/>
      </c>
      <c r="I97" s="62" t="str">
        <f>IF(B97="","",IFERROR(VLOOKUP(B97,'ANÁLISE DE DADOS'!$A:$AM,7,0),""))</f>
        <v/>
      </c>
      <c r="J97" s="62" t="str">
        <f>IF(B97="","",IFERROR(VLOOKUP(B97,'ANÁLISE DE DADOS'!$A:$AM,8,0),""))</f>
        <v/>
      </c>
      <c r="K97" s="61" t="str">
        <f>IF(B97="","",IFERROR(VLOOKUP(B97,'ANÁLISE DE DADOS'!$A:$AM,9,0),""))</f>
        <v/>
      </c>
      <c r="L97" s="61" t="str">
        <f>IF(B97="","",IFERROR(VLOOKUP(B97,'ANÁLISE DE DADOS'!$A:$AM,10,0),""))</f>
        <v/>
      </c>
      <c r="M97" s="62" t="str">
        <f>IF(B97="","",IFERROR(VLOOKUP(B97,'ANÁLISE DE DADOS'!$A:$AM,11,0),""))</f>
        <v/>
      </c>
      <c r="N97" s="61" t="str">
        <f>IF(B97="","",IFERROR(VLOOKUP(B97,'ANÁLISE DE DADOS'!$A:$AM,12,0),""))</f>
        <v/>
      </c>
      <c r="O97" s="61" t="str">
        <f>IF(B97="","",IFERROR(VLOOKUP(B97,'ANÁLISE DE DADOS'!$A:$AM,13,0),""))</f>
        <v/>
      </c>
      <c r="P97" s="63" t="str">
        <f>IF(B97="","",IFERROR(VLOOKUP(B97,'ANÁLISE DE DADOS'!$A:$AM,14,0),""))</f>
        <v/>
      </c>
      <c r="Q97" s="61" t="str">
        <f>IF(B97="","",IFERROR(VLOOKUP(B97,'ANÁLISE DE DADOS'!$A:$AM,15,0),""))</f>
        <v/>
      </c>
      <c r="R97" s="61" t="str">
        <f>IF(B97="","",IFERROR(VLOOKUP(B97,'ANÁLISE DE DADOS'!$A:$AM,16,0),""))</f>
        <v/>
      </c>
      <c r="S97" s="61" t="str">
        <f>IF(B97="","",IFERROR(VLOOKUP(B97,'ANÁLISE DE DADOS'!$A:$AM,17,0),""))</f>
        <v/>
      </c>
      <c r="T97" s="61" t="str">
        <f>IF(B97="","",IFERROR(VLOOKUP(B97,'ANÁLISE DE DADOS'!$A:$AM,18,0),""))</f>
        <v/>
      </c>
      <c r="U97" s="61" t="str">
        <f>IF(B97="","",IFERROR(VLOOKUP(B97,'ANÁLISE DE DADOS'!$A:$AM,19,0),""))</f>
        <v/>
      </c>
      <c r="V97" s="61" t="str">
        <f>IF(B97="","",IFERROR(VLOOKUP(B97,'ANÁLISE DE DADOS'!$A:$AM,20,0),""))</f>
        <v/>
      </c>
      <c r="W97" s="61" t="str">
        <f>IF(B97="","",IFERROR(VLOOKUP(B97,'ANÁLISE DE DADOS'!$A:$AM,21,0),""))</f>
        <v/>
      </c>
      <c r="X97" s="61" t="str">
        <f>IF(B97="","",IFERROR(VLOOKUP(B97,'ANÁLISE DE DADOS'!$A:$AM,22,0),""))</f>
        <v/>
      </c>
      <c r="Y97" s="61" t="str">
        <f>IF(B97="","",IFERROR(VLOOKUP(B97,'ANÁLISE DE DADOS'!$A:$AM,23,0),""))</f>
        <v/>
      </c>
      <c r="Z97" s="61" t="str">
        <f>IF(B97="","",IFERROR(VLOOKUP(B97,'ANÁLISE DE DADOS'!$A:$AM,24,0),""))</f>
        <v/>
      </c>
      <c r="AA97" s="61" t="str">
        <f>IF(B97="","",IFERROR(VLOOKUP(B97,'ANÁLISE DE DADOS'!$A:$AM,25,0),""))</f>
        <v/>
      </c>
      <c r="AB97" s="61" t="str">
        <f>IF(B97="","",IFERROR(VLOOKUP(B97,'ANÁLISE DE DADOS'!$A:$AM,26,0),""))</f>
        <v/>
      </c>
      <c r="AC97" s="61" t="str">
        <f>IF(B97="","",IFERROR(VLOOKUP(B97,'ANÁLISE DE DADOS'!$A:$AM,27,0),""))</f>
        <v/>
      </c>
      <c r="AD97" s="62" t="str">
        <f>IF(B97="","",IFERROR(VLOOKUP(B97,'ANÁLISE DE DADOS'!$A:$AM,28,0),""))</f>
        <v/>
      </c>
      <c r="AE97" s="61" t="str">
        <f>IF(B97="","",IFERROR(VLOOKUP(B97,'ANÁLISE DE DADOS'!$A:$AM,29,0),""))</f>
        <v/>
      </c>
      <c r="AF97" s="61" t="str">
        <f>IF(B97="","",IFERROR(VLOOKUP(B97,'ANÁLISE DE DADOS'!$A:$AM,30,0),""))</f>
        <v/>
      </c>
      <c r="AG97" s="62" t="str">
        <f>IF(B97="","",IFERROR(VLOOKUP(B97,'ANÁLISE DE DADOS'!$A:$AM,31,0),""))</f>
        <v/>
      </c>
      <c r="AH97" s="61" t="str">
        <f>IF(B97="","",IFERROR(VLOOKUP(B97,'ANÁLISE DE DADOS'!$A:$AM,32,0),""))</f>
        <v/>
      </c>
      <c r="AI97" s="61" t="str">
        <f>IF(B97="","",IFERROR(VLOOKUP(B97,'ANÁLISE DE DADOS'!$A:$AM,33,0),""))</f>
        <v/>
      </c>
      <c r="AJ97" s="61" t="str">
        <f>IF(B97="","",IFERROR(VLOOKUP(B97,'ANÁLISE DE DADOS'!$A:$AM,34,0),""))</f>
        <v/>
      </c>
      <c r="AK97" s="63" t="str">
        <f>IF(B97="","",IFERROR(VLOOKUP(B97,'ANÁLISE DE DADOS'!$A:$AM,35,0),""))</f>
        <v/>
      </c>
      <c r="AL97" s="63" t="str">
        <f>IF(B97="","",IFERROR(VLOOKUP(B97,'ANÁLISE DE DADOS'!$A:$AM,36,0),""))</f>
        <v/>
      </c>
      <c r="AM97" s="101" t="str">
        <f>IF(B97="","",IFERROR(VLOOKUP(B97,'ANÁLISE DE DADOS'!$A:$AM,37,0),""))</f>
        <v/>
      </c>
    </row>
    <row r="98" spans="3:39" x14ac:dyDescent="0.3">
      <c r="C98" s="61" t="str">
        <f>IF(B98="","",IFERROR(VLOOKUP(B98,'ANÁLISE DE DADOS'!$A:$AM,1,0),""))</f>
        <v/>
      </c>
      <c r="D98" s="61" t="str">
        <f>IF(B98="","",IFERROR(VLOOKUP(B98,'ANÁLISE DE DADOS'!$A:$AM,2,0),""))</f>
        <v/>
      </c>
      <c r="E98" s="61" t="str">
        <f>IF(B98="","",IFERROR(VLOOKUP(B98,'ANÁLISE DE DADOS'!$A:$AM,3,0),""))</f>
        <v/>
      </c>
      <c r="F98" s="61" t="str">
        <f>IF(B98="","",IFERROR(VLOOKUP(B98,'ANÁLISE DE DADOS'!$A:$AM,4,0),""))</f>
        <v/>
      </c>
      <c r="G98" s="62" t="str">
        <f>IF(B98="","",IFERROR(VLOOKUP(B98,'ANÁLISE DE DADOS'!$A:$AM,5,0),""))</f>
        <v/>
      </c>
      <c r="H98" s="62" t="str">
        <f>IF(B98="","",IFERROR(VLOOKUP(B98,'ANÁLISE DE DADOS'!$A:$AM,6,0),""))</f>
        <v/>
      </c>
      <c r="I98" s="62" t="str">
        <f>IF(B98="","",IFERROR(VLOOKUP(B98,'ANÁLISE DE DADOS'!$A:$AM,7,0),""))</f>
        <v/>
      </c>
      <c r="J98" s="62" t="str">
        <f>IF(B98="","",IFERROR(VLOOKUP(B98,'ANÁLISE DE DADOS'!$A:$AM,8,0),""))</f>
        <v/>
      </c>
      <c r="K98" s="61" t="str">
        <f>IF(B98="","",IFERROR(VLOOKUP(B98,'ANÁLISE DE DADOS'!$A:$AM,9,0),""))</f>
        <v/>
      </c>
      <c r="L98" s="61" t="str">
        <f>IF(B98="","",IFERROR(VLOOKUP(B98,'ANÁLISE DE DADOS'!$A:$AM,10,0),""))</f>
        <v/>
      </c>
      <c r="M98" s="62" t="str">
        <f>IF(B98="","",IFERROR(VLOOKUP(B98,'ANÁLISE DE DADOS'!$A:$AM,11,0),""))</f>
        <v/>
      </c>
      <c r="N98" s="61" t="str">
        <f>IF(B98="","",IFERROR(VLOOKUP(B98,'ANÁLISE DE DADOS'!$A:$AM,12,0),""))</f>
        <v/>
      </c>
      <c r="O98" s="61" t="str">
        <f>IF(B98="","",IFERROR(VLOOKUP(B98,'ANÁLISE DE DADOS'!$A:$AM,13,0),""))</f>
        <v/>
      </c>
      <c r="P98" s="63" t="str">
        <f>IF(B98="","",IFERROR(VLOOKUP(B98,'ANÁLISE DE DADOS'!$A:$AM,14,0),""))</f>
        <v/>
      </c>
      <c r="Q98" s="61" t="str">
        <f>IF(B98="","",IFERROR(VLOOKUP(B98,'ANÁLISE DE DADOS'!$A:$AM,15,0),""))</f>
        <v/>
      </c>
      <c r="R98" s="61" t="str">
        <f>IF(B98="","",IFERROR(VLOOKUP(B98,'ANÁLISE DE DADOS'!$A:$AM,16,0),""))</f>
        <v/>
      </c>
      <c r="S98" s="61" t="str">
        <f>IF(B98="","",IFERROR(VLOOKUP(B98,'ANÁLISE DE DADOS'!$A:$AM,17,0),""))</f>
        <v/>
      </c>
      <c r="T98" s="61" t="str">
        <f>IF(B98="","",IFERROR(VLOOKUP(B98,'ANÁLISE DE DADOS'!$A:$AM,18,0),""))</f>
        <v/>
      </c>
      <c r="U98" s="61" t="str">
        <f>IF(B98="","",IFERROR(VLOOKUP(B98,'ANÁLISE DE DADOS'!$A:$AM,19,0),""))</f>
        <v/>
      </c>
      <c r="V98" s="61" t="str">
        <f>IF(B98="","",IFERROR(VLOOKUP(B98,'ANÁLISE DE DADOS'!$A:$AM,20,0),""))</f>
        <v/>
      </c>
      <c r="W98" s="61" t="str">
        <f>IF(B98="","",IFERROR(VLOOKUP(B98,'ANÁLISE DE DADOS'!$A:$AM,21,0),""))</f>
        <v/>
      </c>
      <c r="X98" s="61" t="str">
        <f>IF(B98="","",IFERROR(VLOOKUP(B98,'ANÁLISE DE DADOS'!$A:$AM,22,0),""))</f>
        <v/>
      </c>
      <c r="Y98" s="61" t="str">
        <f>IF(B98="","",IFERROR(VLOOKUP(B98,'ANÁLISE DE DADOS'!$A:$AM,23,0),""))</f>
        <v/>
      </c>
      <c r="Z98" s="61" t="str">
        <f>IF(B98="","",IFERROR(VLOOKUP(B98,'ANÁLISE DE DADOS'!$A:$AM,24,0),""))</f>
        <v/>
      </c>
      <c r="AA98" s="61" t="str">
        <f>IF(B98="","",IFERROR(VLOOKUP(B98,'ANÁLISE DE DADOS'!$A:$AM,25,0),""))</f>
        <v/>
      </c>
      <c r="AB98" s="61" t="str">
        <f>IF(B98="","",IFERROR(VLOOKUP(B98,'ANÁLISE DE DADOS'!$A:$AM,26,0),""))</f>
        <v/>
      </c>
      <c r="AC98" s="61" t="str">
        <f>IF(B98="","",IFERROR(VLOOKUP(B98,'ANÁLISE DE DADOS'!$A:$AM,27,0),""))</f>
        <v/>
      </c>
      <c r="AD98" s="62" t="str">
        <f>IF(B98="","",IFERROR(VLOOKUP(B98,'ANÁLISE DE DADOS'!$A:$AM,28,0),""))</f>
        <v/>
      </c>
      <c r="AE98" s="61" t="str">
        <f>IF(B98="","",IFERROR(VLOOKUP(B98,'ANÁLISE DE DADOS'!$A:$AM,29,0),""))</f>
        <v/>
      </c>
      <c r="AF98" s="61" t="str">
        <f>IF(B98="","",IFERROR(VLOOKUP(B98,'ANÁLISE DE DADOS'!$A:$AM,30,0),""))</f>
        <v/>
      </c>
      <c r="AG98" s="62" t="str">
        <f>IF(B98="","",IFERROR(VLOOKUP(B98,'ANÁLISE DE DADOS'!$A:$AM,31,0),""))</f>
        <v/>
      </c>
      <c r="AH98" s="61" t="str">
        <f>IF(B98="","",IFERROR(VLOOKUP(B98,'ANÁLISE DE DADOS'!$A:$AM,32,0),""))</f>
        <v/>
      </c>
      <c r="AI98" s="61" t="str">
        <f>IF(B98="","",IFERROR(VLOOKUP(B98,'ANÁLISE DE DADOS'!$A:$AM,33,0),""))</f>
        <v/>
      </c>
      <c r="AJ98" s="61" t="str">
        <f>IF(B98="","",IFERROR(VLOOKUP(B98,'ANÁLISE DE DADOS'!$A:$AM,34,0),""))</f>
        <v/>
      </c>
      <c r="AK98" s="63" t="str">
        <f>IF(B98="","",IFERROR(VLOOKUP(B98,'ANÁLISE DE DADOS'!$A:$AM,35,0),""))</f>
        <v/>
      </c>
      <c r="AL98" s="63" t="str">
        <f>IF(B98="","",IFERROR(VLOOKUP(B98,'ANÁLISE DE DADOS'!$A:$AM,36,0),""))</f>
        <v/>
      </c>
      <c r="AM98" s="101" t="str">
        <f>IF(B98="","",IFERROR(VLOOKUP(B98,'ANÁLISE DE DADOS'!$A:$AM,37,0),""))</f>
        <v/>
      </c>
    </row>
    <row r="99" spans="3:39" x14ac:dyDescent="0.3">
      <c r="C99" s="61" t="str">
        <f>IF(B99="","",IFERROR(VLOOKUP(B99,'ANÁLISE DE DADOS'!$A:$AM,1,0),""))</f>
        <v/>
      </c>
      <c r="D99" s="61" t="str">
        <f>IF(B99="","",IFERROR(VLOOKUP(B99,'ANÁLISE DE DADOS'!$A:$AM,2,0),""))</f>
        <v/>
      </c>
      <c r="E99" s="61" t="str">
        <f>IF(B99="","",IFERROR(VLOOKUP(B99,'ANÁLISE DE DADOS'!$A:$AM,3,0),""))</f>
        <v/>
      </c>
      <c r="F99" s="61" t="str">
        <f>IF(B99="","",IFERROR(VLOOKUP(B99,'ANÁLISE DE DADOS'!$A:$AM,4,0),""))</f>
        <v/>
      </c>
      <c r="G99" s="62" t="str">
        <f>IF(B99="","",IFERROR(VLOOKUP(B99,'ANÁLISE DE DADOS'!$A:$AM,5,0),""))</f>
        <v/>
      </c>
      <c r="H99" s="62" t="str">
        <f>IF(B99="","",IFERROR(VLOOKUP(B99,'ANÁLISE DE DADOS'!$A:$AM,6,0),""))</f>
        <v/>
      </c>
      <c r="I99" s="62" t="str">
        <f>IF(B99="","",IFERROR(VLOOKUP(B99,'ANÁLISE DE DADOS'!$A:$AM,7,0),""))</f>
        <v/>
      </c>
      <c r="J99" s="62" t="str">
        <f>IF(B99="","",IFERROR(VLOOKUP(B99,'ANÁLISE DE DADOS'!$A:$AM,8,0),""))</f>
        <v/>
      </c>
      <c r="K99" s="61" t="str">
        <f>IF(B99="","",IFERROR(VLOOKUP(B99,'ANÁLISE DE DADOS'!$A:$AM,9,0),""))</f>
        <v/>
      </c>
      <c r="L99" s="61" t="str">
        <f>IF(B99="","",IFERROR(VLOOKUP(B99,'ANÁLISE DE DADOS'!$A:$AM,10,0),""))</f>
        <v/>
      </c>
      <c r="M99" s="62" t="str">
        <f>IF(B99="","",IFERROR(VLOOKUP(B99,'ANÁLISE DE DADOS'!$A:$AM,11,0),""))</f>
        <v/>
      </c>
      <c r="N99" s="61" t="str">
        <f>IF(B99="","",IFERROR(VLOOKUP(B99,'ANÁLISE DE DADOS'!$A:$AM,12,0),""))</f>
        <v/>
      </c>
      <c r="O99" s="61" t="str">
        <f>IF(B99="","",IFERROR(VLOOKUP(B99,'ANÁLISE DE DADOS'!$A:$AM,13,0),""))</f>
        <v/>
      </c>
      <c r="P99" s="63" t="str">
        <f>IF(B99="","",IFERROR(VLOOKUP(B99,'ANÁLISE DE DADOS'!$A:$AM,14,0),""))</f>
        <v/>
      </c>
      <c r="Q99" s="61" t="str">
        <f>IF(B99="","",IFERROR(VLOOKUP(B99,'ANÁLISE DE DADOS'!$A:$AM,15,0),""))</f>
        <v/>
      </c>
      <c r="R99" s="61" t="str">
        <f>IF(B99="","",IFERROR(VLOOKUP(B99,'ANÁLISE DE DADOS'!$A:$AM,16,0),""))</f>
        <v/>
      </c>
      <c r="S99" s="61" t="str">
        <f>IF(B99="","",IFERROR(VLOOKUP(B99,'ANÁLISE DE DADOS'!$A:$AM,17,0),""))</f>
        <v/>
      </c>
      <c r="T99" s="61" t="str">
        <f>IF(B99="","",IFERROR(VLOOKUP(B99,'ANÁLISE DE DADOS'!$A:$AM,18,0),""))</f>
        <v/>
      </c>
      <c r="U99" s="61" t="str">
        <f>IF(B99="","",IFERROR(VLOOKUP(B99,'ANÁLISE DE DADOS'!$A:$AM,19,0),""))</f>
        <v/>
      </c>
      <c r="V99" s="61" t="str">
        <f>IF(B99="","",IFERROR(VLOOKUP(B99,'ANÁLISE DE DADOS'!$A:$AM,20,0),""))</f>
        <v/>
      </c>
      <c r="W99" s="61" t="str">
        <f>IF(B99="","",IFERROR(VLOOKUP(B99,'ANÁLISE DE DADOS'!$A:$AM,21,0),""))</f>
        <v/>
      </c>
      <c r="X99" s="61" t="str">
        <f>IF(B99="","",IFERROR(VLOOKUP(B99,'ANÁLISE DE DADOS'!$A:$AM,22,0),""))</f>
        <v/>
      </c>
      <c r="Y99" s="61" t="str">
        <f>IF(B99="","",IFERROR(VLOOKUP(B99,'ANÁLISE DE DADOS'!$A:$AM,23,0),""))</f>
        <v/>
      </c>
      <c r="Z99" s="61" t="str">
        <f>IF(B99="","",IFERROR(VLOOKUP(B99,'ANÁLISE DE DADOS'!$A:$AM,24,0),""))</f>
        <v/>
      </c>
      <c r="AA99" s="61" t="str">
        <f>IF(B99="","",IFERROR(VLOOKUP(B99,'ANÁLISE DE DADOS'!$A:$AM,25,0),""))</f>
        <v/>
      </c>
      <c r="AB99" s="61" t="str">
        <f>IF(B99="","",IFERROR(VLOOKUP(B99,'ANÁLISE DE DADOS'!$A:$AM,26,0),""))</f>
        <v/>
      </c>
      <c r="AC99" s="61" t="str">
        <f>IF(B99="","",IFERROR(VLOOKUP(B99,'ANÁLISE DE DADOS'!$A:$AM,27,0),""))</f>
        <v/>
      </c>
      <c r="AD99" s="62" t="str">
        <f>IF(B99="","",IFERROR(VLOOKUP(B99,'ANÁLISE DE DADOS'!$A:$AM,28,0),""))</f>
        <v/>
      </c>
      <c r="AE99" s="61" t="str">
        <f>IF(B99="","",IFERROR(VLOOKUP(B99,'ANÁLISE DE DADOS'!$A:$AM,29,0),""))</f>
        <v/>
      </c>
      <c r="AF99" s="61" t="str">
        <f>IF(B99="","",IFERROR(VLOOKUP(B99,'ANÁLISE DE DADOS'!$A:$AM,30,0),""))</f>
        <v/>
      </c>
      <c r="AG99" s="62" t="str">
        <f>IF(B99="","",IFERROR(VLOOKUP(B99,'ANÁLISE DE DADOS'!$A:$AM,31,0),""))</f>
        <v/>
      </c>
      <c r="AH99" s="61" t="str">
        <f>IF(B99="","",IFERROR(VLOOKUP(B99,'ANÁLISE DE DADOS'!$A:$AM,32,0),""))</f>
        <v/>
      </c>
      <c r="AI99" s="61" t="str">
        <f>IF(B99="","",IFERROR(VLOOKUP(B99,'ANÁLISE DE DADOS'!$A:$AM,33,0),""))</f>
        <v/>
      </c>
      <c r="AJ99" s="61" t="str">
        <f>IF(B99="","",IFERROR(VLOOKUP(B99,'ANÁLISE DE DADOS'!$A:$AM,34,0),""))</f>
        <v/>
      </c>
      <c r="AK99" s="63" t="str">
        <f>IF(B99="","",IFERROR(VLOOKUP(B99,'ANÁLISE DE DADOS'!$A:$AM,35,0),""))</f>
        <v/>
      </c>
      <c r="AL99" s="63" t="str">
        <f>IF(B99="","",IFERROR(VLOOKUP(B99,'ANÁLISE DE DADOS'!$A:$AM,36,0),""))</f>
        <v/>
      </c>
      <c r="AM99" s="101" t="str">
        <f>IF(B99="","",IFERROR(VLOOKUP(B99,'ANÁLISE DE DADOS'!$A:$AM,37,0),""))</f>
        <v/>
      </c>
    </row>
    <row r="100" spans="3:39" x14ac:dyDescent="0.3">
      <c r="C100" s="61" t="str">
        <f>IF(B100="","",IFERROR(VLOOKUP(B100,'ANÁLISE DE DADOS'!$A:$AM,1,0),""))</f>
        <v/>
      </c>
      <c r="D100" s="61" t="str">
        <f>IF(B100="","",IFERROR(VLOOKUP(B100,'ANÁLISE DE DADOS'!$A:$AM,2,0),""))</f>
        <v/>
      </c>
      <c r="E100" s="61" t="str">
        <f>IF(B100="","",IFERROR(VLOOKUP(B100,'ANÁLISE DE DADOS'!$A:$AM,3,0),""))</f>
        <v/>
      </c>
      <c r="F100" s="61" t="str">
        <f>IF(B100="","",IFERROR(VLOOKUP(B100,'ANÁLISE DE DADOS'!$A:$AM,4,0),""))</f>
        <v/>
      </c>
      <c r="G100" s="62" t="str">
        <f>IF(B100="","",IFERROR(VLOOKUP(B100,'ANÁLISE DE DADOS'!$A:$AM,5,0),""))</f>
        <v/>
      </c>
      <c r="H100" s="62" t="str">
        <f>IF(B100="","",IFERROR(VLOOKUP(B100,'ANÁLISE DE DADOS'!$A:$AM,6,0),""))</f>
        <v/>
      </c>
      <c r="I100" s="62" t="str">
        <f>IF(B100="","",IFERROR(VLOOKUP(B100,'ANÁLISE DE DADOS'!$A:$AM,7,0),""))</f>
        <v/>
      </c>
      <c r="J100" s="62" t="str">
        <f>IF(B100="","",IFERROR(VLOOKUP(B100,'ANÁLISE DE DADOS'!$A:$AM,8,0),""))</f>
        <v/>
      </c>
      <c r="K100" s="61" t="str">
        <f>IF(B100="","",IFERROR(VLOOKUP(B100,'ANÁLISE DE DADOS'!$A:$AM,9,0),""))</f>
        <v/>
      </c>
      <c r="L100" s="61" t="str">
        <f>IF(B100="","",IFERROR(VLOOKUP(B100,'ANÁLISE DE DADOS'!$A:$AM,10,0),""))</f>
        <v/>
      </c>
      <c r="M100" s="62" t="str">
        <f>IF(B100="","",IFERROR(VLOOKUP(B100,'ANÁLISE DE DADOS'!$A:$AM,11,0),""))</f>
        <v/>
      </c>
      <c r="N100" s="61" t="str">
        <f>IF(B100="","",IFERROR(VLOOKUP(B100,'ANÁLISE DE DADOS'!$A:$AM,12,0),""))</f>
        <v/>
      </c>
      <c r="O100" s="61" t="str">
        <f>IF(B100="","",IFERROR(VLOOKUP(B100,'ANÁLISE DE DADOS'!$A:$AM,13,0),""))</f>
        <v/>
      </c>
      <c r="P100" s="63" t="str">
        <f>IF(B100="","",IFERROR(VLOOKUP(B100,'ANÁLISE DE DADOS'!$A:$AM,14,0),""))</f>
        <v/>
      </c>
      <c r="Q100" s="61" t="str">
        <f>IF(B100="","",IFERROR(VLOOKUP(B100,'ANÁLISE DE DADOS'!$A:$AM,15,0),""))</f>
        <v/>
      </c>
      <c r="R100" s="61" t="str">
        <f>IF(B100="","",IFERROR(VLOOKUP(B100,'ANÁLISE DE DADOS'!$A:$AM,16,0),""))</f>
        <v/>
      </c>
      <c r="S100" s="61" t="str">
        <f>IF(B100="","",IFERROR(VLOOKUP(B100,'ANÁLISE DE DADOS'!$A:$AM,17,0),""))</f>
        <v/>
      </c>
      <c r="T100" s="61" t="str">
        <f>IF(B100="","",IFERROR(VLOOKUP(B100,'ANÁLISE DE DADOS'!$A:$AM,18,0),""))</f>
        <v/>
      </c>
      <c r="U100" s="61" t="str">
        <f>IF(B100="","",IFERROR(VLOOKUP(B100,'ANÁLISE DE DADOS'!$A:$AM,19,0),""))</f>
        <v/>
      </c>
      <c r="V100" s="61" t="str">
        <f>IF(B100="","",IFERROR(VLOOKUP(B100,'ANÁLISE DE DADOS'!$A:$AM,20,0),""))</f>
        <v/>
      </c>
      <c r="W100" s="61" t="str">
        <f>IF(B100="","",IFERROR(VLOOKUP(B100,'ANÁLISE DE DADOS'!$A:$AM,21,0),""))</f>
        <v/>
      </c>
      <c r="X100" s="61" t="str">
        <f>IF(B100="","",IFERROR(VLOOKUP(B100,'ANÁLISE DE DADOS'!$A:$AM,22,0),""))</f>
        <v/>
      </c>
      <c r="Y100" s="61" t="str">
        <f>IF(B100="","",IFERROR(VLOOKUP(B100,'ANÁLISE DE DADOS'!$A:$AM,23,0),""))</f>
        <v/>
      </c>
      <c r="Z100" s="61" t="str">
        <f>IF(B100="","",IFERROR(VLOOKUP(B100,'ANÁLISE DE DADOS'!$A:$AM,24,0),""))</f>
        <v/>
      </c>
      <c r="AA100" s="61" t="str">
        <f>IF(B100="","",IFERROR(VLOOKUP(B100,'ANÁLISE DE DADOS'!$A:$AM,25,0),""))</f>
        <v/>
      </c>
      <c r="AB100" s="61" t="str">
        <f>IF(B100="","",IFERROR(VLOOKUP(B100,'ANÁLISE DE DADOS'!$A:$AM,26,0),""))</f>
        <v/>
      </c>
      <c r="AC100" s="61" t="str">
        <f>IF(B100="","",IFERROR(VLOOKUP(B100,'ANÁLISE DE DADOS'!$A:$AM,27,0),""))</f>
        <v/>
      </c>
      <c r="AD100" s="62" t="str">
        <f>IF(B100="","",IFERROR(VLOOKUP(B100,'ANÁLISE DE DADOS'!$A:$AM,28,0),""))</f>
        <v/>
      </c>
      <c r="AE100" s="61" t="str">
        <f>IF(B100="","",IFERROR(VLOOKUP(B100,'ANÁLISE DE DADOS'!$A:$AM,29,0),""))</f>
        <v/>
      </c>
      <c r="AF100" s="61" t="str">
        <f>IF(B100="","",IFERROR(VLOOKUP(B100,'ANÁLISE DE DADOS'!$A:$AM,30,0),""))</f>
        <v/>
      </c>
      <c r="AG100" s="62" t="str">
        <f>IF(B100="","",IFERROR(VLOOKUP(B100,'ANÁLISE DE DADOS'!$A:$AM,31,0),""))</f>
        <v/>
      </c>
      <c r="AH100" s="61" t="str">
        <f>IF(B100="","",IFERROR(VLOOKUP(B100,'ANÁLISE DE DADOS'!$A:$AM,32,0),""))</f>
        <v/>
      </c>
      <c r="AI100" s="61" t="str">
        <f>IF(B100="","",IFERROR(VLOOKUP(B100,'ANÁLISE DE DADOS'!$A:$AM,33,0),""))</f>
        <v/>
      </c>
      <c r="AJ100" s="61" t="str">
        <f>IF(B100="","",IFERROR(VLOOKUP(B100,'ANÁLISE DE DADOS'!$A:$AM,34,0),""))</f>
        <v/>
      </c>
      <c r="AK100" s="63" t="str">
        <f>IF(B100="","",IFERROR(VLOOKUP(B100,'ANÁLISE DE DADOS'!$A:$AM,35,0),""))</f>
        <v/>
      </c>
      <c r="AL100" s="63" t="str">
        <f>IF(B100="","",IFERROR(VLOOKUP(B100,'ANÁLISE DE DADOS'!$A:$AM,36,0),""))</f>
        <v/>
      </c>
      <c r="AM100" s="101" t="str">
        <f>IF(B100="","",IFERROR(VLOOKUP(B100,'ANÁLISE DE DADOS'!$A:$AM,37,0),""))</f>
        <v/>
      </c>
    </row>
    <row r="101" spans="3:39" x14ac:dyDescent="0.3">
      <c r="C101" s="61" t="str">
        <f>IF(B101="","",IFERROR(VLOOKUP(B101,'ANÁLISE DE DADOS'!$A:$AM,1,0),""))</f>
        <v/>
      </c>
      <c r="D101" s="61" t="str">
        <f>IF(B101="","",IFERROR(VLOOKUP(B101,'ANÁLISE DE DADOS'!$A:$AM,2,0),""))</f>
        <v/>
      </c>
      <c r="E101" s="61" t="str">
        <f>IF(B101="","",IFERROR(VLOOKUP(B101,'ANÁLISE DE DADOS'!$A:$AM,3,0),""))</f>
        <v/>
      </c>
      <c r="F101" s="61" t="str">
        <f>IF(B101="","",IFERROR(VLOOKUP(B101,'ANÁLISE DE DADOS'!$A:$AM,4,0),""))</f>
        <v/>
      </c>
      <c r="G101" s="62" t="str">
        <f>IF(B101="","",IFERROR(VLOOKUP(B101,'ANÁLISE DE DADOS'!$A:$AM,5,0),""))</f>
        <v/>
      </c>
      <c r="H101" s="62" t="str">
        <f>IF(B101="","",IFERROR(VLOOKUP(B101,'ANÁLISE DE DADOS'!$A:$AM,6,0),""))</f>
        <v/>
      </c>
      <c r="I101" s="62" t="str">
        <f>IF(B101="","",IFERROR(VLOOKUP(B101,'ANÁLISE DE DADOS'!$A:$AM,7,0),""))</f>
        <v/>
      </c>
      <c r="J101" s="62" t="str">
        <f>IF(B101="","",IFERROR(VLOOKUP(B101,'ANÁLISE DE DADOS'!$A:$AM,8,0),""))</f>
        <v/>
      </c>
      <c r="K101" s="61" t="str">
        <f>IF(B101="","",IFERROR(VLOOKUP(B101,'ANÁLISE DE DADOS'!$A:$AM,9,0),""))</f>
        <v/>
      </c>
      <c r="L101" s="61" t="str">
        <f>IF(B101="","",IFERROR(VLOOKUP(B101,'ANÁLISE DE DADOS'!$A:$AM,10,0),""))</f>
        <v/>
      </c>
      <c r="M101" s="62" t="str">
        <f>IF(B101="","",IFERROR(VLOOKUP(B101,'ANÁLISE DE DADOS'!$A:$AM,11,0),""))</f>
        <v/>
      </c>
      <c r="N101" s="61" t="str">
        <f>IF(B101="","",IFERROR(VLOOKUP(B101,'ANÁLISE DE DADOS'!$A:$AM,12,0),""))</f>
        <v/>
      </c>
      <c r="O101" s="61" t="str">
        <f>IF(B101="","",IFERROR(VLOOKUP(B101,'ANÁLISE DE DADOS'!$A:$AM,13,0),""))</f>
        <v/>
      </c>
      <c r="P101" s="63" t="str">
        <f>IF(B101="","",IFERROR(VLOOKUP(B101,'ANÁLISE DE DADOS'!$A:$AM,14,0),""))</f>
        <v/>
      </c>
      <c r="Q101" s="61" t="str">
        <f>IF(B101="","",IFERROR(VLOOKUP(B101,'ANÁLISE DE DADOS'!$A:$AM,15,0),""))</f>
        <v/>
      </c>
      <c r="R101" s="61" t="str">
        <f>IF(B101="","",IFERROR(VLOOKUP(B101,'ANÁLISE DE DADOS'!$A:$AM,16,0),""))</f>
        <v/>
      </c>
      <c r="S101" s="61" t="str">
        <f>IF(B101="","",IFERROR(VLOOKUP(B101,'ANÁLISE DE DADOS'!$A:$AM,17,0),""))</f>
        <v/>
      </c>
      <c r="T101" s="61" t="str">
        <f>IF(B101="","",IFERROR(VLOOKUP(B101,'ANÁLISE DE DADOS'!$A:$AM,18,0),""))</f>
        <v/>
      </c>
      <c r="U101" s="61" t="str">
        <f>IF(B101="","",IFERROR(VLOOKUP(B101,'ANÁLISE DE DADOS'!$A:$AM,19,0),""))</f>
        <v/>
      </c>
      <c r="V101" s="61" t="str">
        <f>IF(B101="","",IFERROR(VLOOKUP(B101,'ANÁLISE DE DADOS'!$A:$AM,20,0),""))</f>
        <v/>
      </c>
      <c r="W101" s="61" t="str">
        <f>IF(B101="","",IFERROR(VLOOKUP(B101,'ANÁLISE DE DADOS'!$A:$AM,21,0),""))</f>
        <v/>
      </c>
      <c r="X101" s="61" t="str">
        <f>IF(B101="","",IFERROR(VLOOKUP(B101,'ANÁLISE DE DADOS'!$A:$AM,22,0),""))</f>
        <v/>
      </c>
      <c r="Y101" s="61" t="str">
        <f>IF(B101="","",IFERROR(VLOOKUP(B101,'ANÁLISE DE DADOS'!$A:$AM,23,0),""))</f>
        <v/>
      </c>
      <c r="Z101" s="61" t="str">
        <f>IF(B101="","",IFERROR(VLOOKUP(B101,'ANÁLISE DE DADOS'!$A:$AM,24,0),""))</f>
        <v/>
      </c>
      <c r="AA101" s="61" t="str">
        <f>IF(B101="","",IFERROR(VLOOKUP(B101,'ANÁLISE DE DADOS'!$A:$AM,25,0),""))</f>
        <v/>
      </c>
      <c r="AB101" s="61" t="str">
        <f>IF(B101="","",IFERROR(VLOOKUP(B101,'ANÁLISE DE DADOS'!$A:$AM,26,0),""))</f>
        <v/>
      </c>
      <c r="AC101" s="61" t="str">
        <f>IF(B101="","",IFERROR(VLOOKUP(B101,'ANÁLISE DE DADOS'!$A:$AM,27,0),""))</f>
        <v/>
      </c>
      <c r="AD101" s="62" t="str">
        <f>IF(B101="","",IFERROR(VLOOKUP(B101,'ANÁLISE DE DADOS'!$A:$AM,28,0),""))</f>
        <v/>
      </c>
      <c r="AE101" s="61" t="str">
        <f>IF(B101="","",IFERROR(VLOOKUP(B101,'ANÁLISE DE DADOS'!$A:$AM,29,0),""))</f>
        <v/>
      </c>
      <c r="AF101" s="61" t="str">
        <f>IF(B101="","",IFERROR(VLOOKUP(B101,'ANÁLISE DE DADOS'!$A:$AM,30,0),""))</f>
        <v/>
      </c>
      <c r="AG101" s="62" t="str">
        <f>IF(B101="","",IFERROR(VLOOKUP(B101,'ANÁLISE DE DADOS'!$A:$AM,31,0),""))</f>
        <v/>
      </c>
      <c r="AH101" s="61" t="str">
        <f>IF(B101="","",IFERROR(VLOOKUP(B101,'ANÁLISE DE DADOS'!$A:$AM,32,0),""))</f>
        <v/>
      </c>
      <c r="AI101" s="61" t="str">
        <f>IF(B101="","",IFERROR(VLOOKUP(B101,'ANÁLISE DE DADOS'!$A:$AM,33,0),""))</f>
        <v/>
      </c>
      <c r="AJ101" s="61" t="str">
        <f>IF(B101="","",IFERROR(VLOOKUP(B101,'ANÁLISE DE DADOS'!$A:$AM,34,0),""))</f>
        <v/>
      </c>
      <c r="AK101" s="63" t="str">
        <f>IF(B101="","",IFERROR(VLOOKUP(B101,'ANÁLISE DE DADOS'!$A:$AM,35,0),""))</f>
        <v/>
      </c>
      <c r="AL101" s="63" t="str">
        <f>IF(B101="","",IFERROR(VLOOKUP(B101,'ANÁLISE DE DADOS'!$A:$AM,36,0),""))</f>
        <v/>
      </c>
      <c r="AM101" s="101" t="str">
        <f>IF(B101="","",IFERROR(VLOOKUP(B101,'ANÁLISE DE DADOS'!$A:$AM,37,0),""))</f>
        <v/>
      </c>
    </row>
    <row r="102" spans="3:39" x14ac:dyDescent="0.3">
      <c r="C102" s="61" t="str">
        <f>IF(B102="","",IFERROR(VLOOKUP(B102,'ANÁLISE DE DADOS'!$A:$AM,1,0),""))</f>
        <v/>
      </c>
      <c r="D102" s="61" t="str">
        <f>IF(B102="","",IFERROR(VLOOKUP(B102,'ANÁLISE DE DADOS'!$A:$AM,2,0),""))</f>
        <v/>
      </c>
      <c r="E102" s="61" t="str">
        <f>IF(B102="","",IFERROR(VLOOKUP(B102,'ANÁLISE DE DADOS'!$A:$AM,3,0),""))</f>
        <v/>
      </c>
      <c r="F102" s="61" t="str">
        <f>IF(B102="","",IFERROR(VLOOKUP(B102,'ANÁLISE DE DADOS'!$A:$AM,4,0),""))</f>
        <v/>
      </c>
      <c r="G102" s="62" t="str">
        <f>IF(B102="","",IFERROR(VLOOKUP(B102,'ANÁLISE DE DADOS'!$A:$AM,5,0),""))</f>
        <v/>
      </c>
      <c r="H102" s="62" t="str">
        <f>IF(B102="","",IFERROR(VLOOKUP(B102,'ANÁLISE DE DADOS'!$A:$AM,6,0),""))</f>
        <v/>
      </c>
      <c r="I102" s="62" t="str">
        <f>IF(B102="","",IFERROR(VLOOKUP(B102,'ANÁLISE DE DADOS'!$A:$AM,7,0),""))</f>
        <v/>
      </c>
      <c r="J102" s="62" t="str">
        <f>IF(B102="","",IFERROR(VLOOKUP(B102,'ANÁLISE DE DADOS'!$A:$AM,8,0),""))</f>
        <v/>
      </c>
      <c r="K102" s="61" t="str">
        <f>IF(B102="","",IFERROR(VLOOKUP(B102,'ANÁLISE DE DADOS'!$A:$AM,9,0),""))</f>
        <v/>
      </c>
      <c r="L102" s="61" t="str">
        <f>IF(B102="","",IFERROR(VLOOKUP(B102,'ANÁLISE DE DADOS'!$A:$AM,10,0),""))</f>
        <v/>
      </c>
      <c r="M102" s="62" t="str">
        <f>IF(B102="","",IFERROR(VLOOKUP(B102,'ANÁLISE DE DADOS'!$A:$AM,11,0),""))</f>
        <v/>
      </c>
      <c r="N102" s="61" t="str">
        <f>IF(B102="","",IFERROR(VLOOKUP(B102,'ANÁLISE DE DADOS'!$A:$AM,12,0),""))</f>
        <v/>
      </c>
      <c r="O102" s="61" t="str">
        <f>IF(B102="","",IFERROR(VLOOKUP(B102,'ANÁLISE DE DADOS'!$A:$AM,13,0),""))</f>
        <v/>
      </c>
      <c r="P102" s="63" t="str">
        <f>IF(B102="","",IFERROR(VLOOKUP(B102,'ANÁLISE DE DADOS'!$A:$AM,14,0),""))</f>
        <v/>
      </c>
      <c r="Q102" s="61" t="str">
        <f>IF(B102="","",IFERROR(VLOOKUP(B102,'ANÁLISE DE DADOS'!$A:$AM,15,0),""))</f>
        <v/>
      </c>
      <c r="R102" s="61" t="str">
        <f>IF(B102="","",IFERROR(VLOOKUP(B102,'ANÁLISE DE DADOS'!$A:$AM,16,0),""))</f>
        <v/>
      </c>
      <c r="S102" s="61" t="str">
        <f>IF(B102="","",IFERROR(VLOOKUP(B102,'ANÁLISE DE DADOS'!$A:$AM,17,0),""))</f>
        <v/>
      </c>
      <c r="T102" s="61" t="str">
        <f>IF(B102="","",IFERROR(VLOOKUP(B102,'ANÁLISE DE DADOS'!$A:$AM,18,0),""))</f>
        <v/>
      </c>
      <c r="U102" s="61" t="str">
        <f>IF(B102="","",IFERROR(VLOOKUP(B102,'ANÁLISE DE DADOS'!$A:$AM,19,0),""))</f>
        <v/>
      </c>
      <c r="V102" s="61" t="str">
        <f>IF(B102="","",IFERROR(VLOOKUP(B102,'ANÁLISE DE DADOS'!$A:$AM,20,0),""))</f>
        <v/>
      </c>
      <c r="W102" s="61" t="str">
        <f>IF(B102="","",IFERROR(VLOOKUP(B102,'ANÁLISE DE DADOS'!$A:$AM,21,0),""))</f>
        <v/>
      </c>
      <c r="X102" s="61" t="str">
        <f>IF(B102="","",IFERROR(VLOOKUP(B102,'ANÁLISE DE DADOS'!$A:$AM,22,0),""))</f>
        <v/>
      </c>
      <c r="Y102" s="61" t="str">
        <f>IF(B102="","",IFERROR(VLOOKUP(B102,'ANÁLISE DE DADOS'!$A:$AM,23,0),""))</f>
        <v/>
      </c>
      <c r="Z102" s="61" t="str">
        <f>IF(B102="","",IFERROR(VLOOKUP(B102,'ANÁLISE DE DADOS'!$A:$AM,24,0),""))</f>
        <v/>
      </c>
      <c r="AA102" s="61" t="str">
        <f>IF(B102="","",IFERROR(VLOOKUP(B102,'ANÁLISE DE DADOS'!$A:$AM,25,0),""))</f>
        <v/>
      </c>
      <c r="AB102" s="61" t="str">
        <f>IF(B102="","",IFERROR(VLOOKUP(B102,'ANÁLISE DE DADOS'!$A:$AM,26,0),""))</f>
        <v/>
      </c>
      <c r="AC102" s="61" t="str">
        <f>IF(B102="","",IFERROR(VLOOKUP(B102,'ANÁLISE DE DADOS'!$A:$AM,27,0),""))</f>
        <v/>
      </c>
      <c r="AD102" s="62" t="str">
        <f>IF(B102="","",IFERROR(VLOOKUP(B102,'ANÁLISE DE DADOS'!$A:$AM,28,0),""))</f>
        <v/>
      </c>
      <c r="AE102" s="61" t="str">
        <f>IF(B102="","",IFERROR(VLOOKUP(B102,'ANÁLISE DE DADOS'!$A:$AM,29,0),""))</f>
        <v/>
      </c>
      <c r="AF102" s="61" t="str">
        <f>IF(B102="","",IFERROR(VLOOKUP(B102,'ANÁLISE DE DADOS'!$A:$AM,30,0),""))</f>
        <v/>
      </c>
      <c r="AG102" s="62" t="str">
        <f>IF(B102="","",IFERROR(VLOOKUP(B102,'ANÁLISE DE DADOS'!$A:$AM,31,0),""))</f>
        <v/>
      </c>
      <c r="AH102" s="61" t="str">
        <f>IF(B102="","",IFERROR(VLOOKUP(B102,'ANÁLISE DE DADOS'!$A:$AM,32,0),""))</f>
        <v/>
      </c>
      <c r="AI102" s="61" t="str">
        <f>IF(B102="","",IFERROR(VLOOKUP(B102,'ANÁLISE DE DADOS'!$A:$AM,33,0),""))</f>
        <v/>
      </c>
      <c r="AJ102" s="61" t="str">
        <f>IF(B102="","",IFERROR(VLOOKUP(B102,'ANÁLISE DE DADOS'!$A:$AM,34,0),""))</f>
        <v/>
      </c>
      <c r="AK102" s="63" t="str">
        <f>IF(B102="","",IFERROR(VLOOKUP(B102,'ANÁLISE DE DADOS'!$A:$AM,35,0),""))</f>
        <v/>
      </c>
      <c r="AL102" s="63" t="str">
        <f>IF(B102="","",IFERROR(VLOOKUP(B102,'ANÁLISE DE DADOS'!$A:$AM,36,0),""))</f>
        <v/>
      </c>
      <c r="AM102" s="101" t="str">
        <f>IF(B102="","",IFERROR(VLOOKUP(B102,'ANÁLISE DE DADOS'!$A:$AM,37,0),""))</f>
        <v/>
      </c>
    </row>
    <row r="103" spans="3:39" x14ac:dyDescent="0.3">
      <c r="C103" s="61" t="str">
        <f>IF(B103="","",IFERROR(VLOOKUP(B103,'ANÁLISE DE DADOS'!$A:$AM,1,0),""))</f>
        <v/>
      </c>
      <c r="D103" s="61" t="str">
        <f>IF(B103="","",IFERROR(VLOOKUP(B103,'ANÁLISE DE DADOS'!$A:$AM,2,0),""))</f>
        <v/>
      </c>
      <c r="E103" s="61" t="str">
        <f>IF(B103="","",IFERROR(VLOOKUP(B103,'ANÁLISE DE DADOS'!$A:$AM,3,0),""))</f>
        <v/>
      </c>
      <c r="F103" s="61" t="str">
        <f>IF(B103="","",IFERROR(VLOOKUP(B103,'ANÁLISE DE DADOS'!$A:$AM,4,0),""))</f>
        <v/>
      </c>
      <c r="G103" s="62" t="str">
        <f>IF(B103="","",IFERROR(VLOOKUP(B103,'ANÁLISE DE DADOS'!$A:$AM,5,0),""))</f>
        <v/>
      </c>
      <c r="H103" s="62" t="str">
        <f>IF(B103="","",IFERROR(VLOOKUP(B103,'ANÁLISE DE DADOS'!$A:$AM,6,0),""))</f>
        <v/>
      </c>
      <c r="I103" s="62" t="str">
        <f>IF(B103="","",IFERROR(VLOOKUP(B103,'ANÁLISE DE DADOS'!$A:$AM,7,0),""))</f>
        <v/>
      </c>
      <c r="J103" s="62" t="str">
        <f>IF(B103="","",IFERROR(VLOOKUP(B103,'ANÁLISE DE DADOS'!$A:$AM,8,0),""))</f>
        <v/>
      </c>
      <c r="K103" s="61" t="str">
        <f>IF(B103="","",IFERROR(VLOOKUP(B103,'ANÁLISE DE DADOS'!$A:$AM,9,0),""))</f>
        <v/>
      </c>
      <c r="L103" s="61" t="str">
        <f>IF(B103="","",IFERROR(VLOOKUP(B103,'ANÁLISE DE DADOS'!$A:$AM,10,0),""))</f>
        <v/>
      </c>
      <c r="M103" s="62" t="str">
        <f>IF(B103="","",IFERROR(VLOOKUP(B103,'ANÁLISE DE DADOS'!$A:$AM,11,0),""))</f>
        <v/>
      </c>
      <c r="N103" s="61" t="str">
        <f>IF(B103="","",IFERROR(VLOOKUP(B103,'ANÁLISE DE DADOS'!$A:$AM,12,0),""))</f>
        <v/>
      </c>
      <c r="O103" s="61" t="str">
        <f>IF(B103="","",IFERROR(VLOOKUP(B103,'ANÁLISE DE DADOS'!$A:$AM,13,0),""))</f>
        <v/>
      </c>
      <c r="P103" s="63" t="str">
        <f>IF(B103="","",IFERROR(VLOOKUP(B103,'ANÁLISE DE DADOS'!$A:$AM,14,0),""))</f>
        <v/>
      </c>
      <c r="Q103" s="61" t="str">
        <f>IF(B103="","",IFERROR(VLOOKUP(B103,'ANÁLISE DE DADOS'!$A:$AM,15,0),""))</f>
        <v/>
      </c>
      <c r="R103" s="61" t="str">
        <f>IF(B103="","",IFERROR(VLOOKUP(B103,'ANÁLISE DE DADOS'!$A:$AM,16,0),""))</f>
        <v/>
      </c>
      <c r="S103" s="61" t="str">
        <f>IF(B103="","",IFERROR(VLOOKUP(B103,'ANÁLISE DE DADOS'!$A:$AM,17,0),""))</f>
        <v/>
      </c>
      <c r="T103" s="61" t="str">
        <f>IF(B103="","",IFERROR(VLOOKUP(B103,'ANÁLISE DE DADOS'!$A:$AM,18,0),""))</f>
        <v/>
      </c>
      <c r="U103" s="61" t="str">
        <f>IF(B103="","",IFERROR(VLOOKUP(B103,'ANÁLISE DE DADOS'!$A:$AM,19,0),""))</f>
        <v/>
      </c>
      <c r="V103" s="61" t="str">
        <f>IF(B103="","",IFERROR(VLOOKUP(B103,'ANÁLISE DE DADOS'!$A:$AM,20,0),""))</f>
        <v/>
      </c>
      <c r="W103" s="61" t="str">
        <f>IF(B103="","",IFERROR(VLOOKUP(B103,'ANÁLISE DE DADOS'!$A:$AM,21,0),""))</f>
        <v/>
      </c>
      <c r="X103" s="61" t="str">
        <f>IF(B103="","",IFERROR(VLOOKUP(B103,'ANÁLISE DE DADOS'!$A:$AM,22,0),""))</f>
        <v/>
      </c>
      <c r="Y103" s="61" t="str">
        <f>IF(B103="","",IFERROR(VLOOKUP(B103,'ANÁLISE DE DADOS'!$A:$AM,23,0),""))</f>
        <v/>
      </c>
      <c r="Z103" s="61" t="str">
        <f>IF(B103="","",IFERROR(VLOOKUP(B103,'ANÁLISE DE DADOS'!$A:$AM,24,0),""))</f>
        <v/>
      </c>
      <c r="AA103" s="61" t="str">
        <f>IF(B103="","",IFERROR(VLOOKUP(B103,'ANÁLISE DE DADOS'!$A:$AM,25,0),""))</f>
        <v/>
      </c>
      <c r="AB103" s="61" t="str">
        <f>IF(B103="","",IFERROR(VLOOKUP(B103,'ANÁLISE DE DADOS'!$A:$AM,26,0),""))</f>
        <v/>
      </c>
      <c r="AC103" s="61" t="str">
        <f>IF(B103="","",IFERROR(VLOOKUP(B103,'ANÁLISE DE DADOS'!$A:$AM,27,0),""))</f>
        <v/>
      </c>
      <c r="AD103" s="62" t="str">
        <f>IF(B103="","",IFERROR(VLOOKUP(B103,'ANÁLISE DE DADOS'!$A:$AM,28,0),""))</f>
        <v/>
      </c>
      <c r="AE103" s="61" t="str">
        <f>IF(B103="","",IFERROR(VLOOKUP(B103,'ANÁLISE DE DADOS'!$A:$AM,29,0),""))</f>
        <v/>
      </c>
      <c r="AF103" s="61" t="str">
        <f>IF(B103="","",IFERROR(VLOOKUP(B103,'ANÁLISE DE DADOS'!$A:$AM,30,0),""))</f>
        <v/>
      </c>
      <c r="AG103" s="62" t="str">
        <f>IF(B103="","",IFERROR(VLOOKUP(B103,'ANÁLISE DE DADOS'!$A:$AM,31,0),""))</f>
        <v/>
      </c>
      <c r="AH103" s="61" t="str">
        <f>IF(B103="","",IFERROR(VLOOKUP(B103,'ANÁLISE DE DADOS'!$A:$AM,32,0),""))</f>
        <v/>
      </c>
      <c r="AI103" s="61" t="str">
        <f>IF(B103="","",IFERROR(VLOOKUP(B103,'ANÁLISE DE DADOS'!$A:$AM,33,0),""))</f>
        <v/>
      </c>
      <c r="AJ103" s="61" t="str">
        <f>IF(B103="","",IFERROR(VLOOKUP(B103,'ANÁLISE DE DADOS'!$A:$AM,34,0),""))</f>
        <v/>
      </c>
      <c r="AK103" s="63" t="str">
        <f>IF(B103="","",IFERROR(VLOOKUP(B103,'ANÁLISE DE DADOS'!$A:$AM,35,0),""))</f>
        <v/>
      </c>
      <c r="AL103" s="63" t="str">
        <f>IF(B103="","",IFERROR(VLOOKUP(B103,'ANÁLISE DE DADOS'!$A:$AM,36,0),""))</f>
        <v/>
      </c>
      <c r="AM103" s="101" t="str">
        <f>IF(B103="","",IFERROR(VLOOKUP(B103,'ANÁLISE DE DADOS'!$A:$AM,37,0),""))</f>
        <v/>
      </c>
    </row>
    <row r="104" spans="3:39" x14ac:dyDescent="0.3">
      <c r="C104" s="61" t="str">
        <f>IF(B104="","",IFERROR(VLOOKUP(B104,'ANÁLISE DE DADOS'!$A:$AM,1,0),""))</f>
        <v/>
      </c>
      <c r="D104" s="61" t="str">
        <f>IF(B104="","",IFERROR(VLOOKUP(B104,'ANÁLISE DE DADOS'!$A:$AM,2,0),""))</f>
        <v/>
      </c>
      <c r="E104" s="61" t="str">
        <f>IF(B104="","",IFERROR(VLOOKUP(B104,'ANÁLISE DE DADOS'!$A:$AM,3,0),""))</f>
        <v/>
      </c>
      <c r="F104" s="61" t="str">
        <f>IF(B104="","",IFERROR(VLOOKUP(B104,'ANÁLISE DE DADOS'!$A:$AM,4,0),""))</f>
        <v/>
      </c>
      <c r="G104" s="62" t="str">
        <f>IF(B104="","",IFERROR(VLOOKUP(B104,'ANÁLISE DE DADOS'!$A:$AM,5,0),""))</f>
        <v/>
      </c>
      <c r="H104" s="62" t="str">
        <f>IF(B104="","",IFERROR(VLOOKUP(B104,'ANÁLISE DE DADOS'!$A:$AM,6,0),""))</f>
        <v/>
      </c>
      <c r="I104" s="62" t="str">
        <f>IF(B104="","",IFERROR(VLOOKUP(B104,'ANÁLISE DE DADOS'!$A:$AM,7,0),""))</f>
        <v/>
      </c>
      <c r="J104" s="62" t="str">
        <f>IF(B104="","",IFERROR(VLOOKUP(B104,'ANÁLISE DE DADOS'!$A:$AM,8,0),""))</f>
        <v/>
      </c>
      <c r="K104" s="61" t="str">
        <f>IF(B104="","",IFERROR(VLOOKUP(B104,'ANÁLISE DE DADOS'!$A:$AM,9,0),""))</f>
        <v/>
      </c>
      <c r="L104" s="61" t="str">
        <f>IF(B104="","",IFERROR(VLOOKUP(B104,'ANÁLISE DE DADOS'!$A:$AM,10,0),""))</f>
        <v/>
      </c>
      <c r="M104" s="62" t="str">
        <f>IF(B104="","",IFERROR(VLOOKUP(B104,'ANÁLISE DE DADOS'!$A:$AM,11,0),""))</f>
        <v/>
      </c>
      <c r="N104" s="61" t="str">
        <f>IF(B104="","",IFERROR(VLOOKUP(B104,'ANÁLISE DE DADOS'!$A:$AM,12,0),""))</f>
        <v/>
      </c>
      <c r="O104" s="61" t="str">
        <f>IF(B104="","",IFERROR(VLOOKUP(B104,'ANÁLISE DE DADOS'!$A:$AM,13,0),""))</f>
        <v/>
      </c>
      <c r="P104" s="63" t="str">
        <f>IF(B104="","",IFERROR(VLOOKUP(B104,'ANÁLISE DE DADOS'!$A:$AM,14,0),""))</f>
        <v/>
      </c>
      <c r="Q104" s="61" t="str">
        <f>IF(B104="","",IFERROR(VLOOKUP(B104,'ANÁLISE DE DADOS'!$A:$AM,15,0),""))</f>
        <v/>
      </c>
      <c r="R104" s="61" t="str">
        <f>IF(B104="","",IFERROR(VLOOKUP(B104,'ANÁLISE DE DADOS'!$A:$AM,16,0),""))</f>
        <v/>
      </c>
      <c r="S104" s="61" t="str">
        <f>IF(B104="","",IFERROR(VLOOKUP(B104,'ANÁLISE DE DADOS'!$A:$AM,17,0),""))</f>
        <v/>
      </c>
      <c r="T104" s="61" t="str">
        <f>IF(B104="","",IFERROR(VLOOKUP(B104,'ANÁLISE DE DADOS'!$A:$AM,18,0),""))</f>
        <v/>
      </c>
      <c r="U104" s="61" t="str">
        <f>IF(B104="","",IFERROR(VLOOKUP(B104,'ANÁLISE DE DADOS'!$A:$AM,19,0),""))</f>
        <v/>
      </c>
      <c r="V104" s="61" t="str">
        <f>IF(B104="","",IFERROR(VLOOKUP(B104,'ANÁLISE DE DADOS'!$A:$AM,20,0),""))</f>
        <v/>
      </c>
      <c r="W104" s="61" t="str">
        <f>IF(B104="","",IFERROR(VLOOKUP(B104,'ANÁLISE DE DADOS'!$A:$AM,21,0),""))</f>
        <v/>
      </c>
      <c r="X104" s="61" t="str">
        <f>IF(B104="","",IFERROR(VLOOKUP(B104,'ANÁLISE DE DADOS'!$A:$AM,22,0),""))</f>
        <v/>
      </c>
      <c r="Y104" s="61" t="str">
        <f>IF(B104="","",IFERROR(VLOOKUP(B104,'ANÁLISE DE DADOS'!$A:$AM,23,0),""))</f>
        <v/>
      </c>
      <c r="Z104" s="61" t="str">
        <f>IF(B104="","",IFERROR(VLOOKUP(B104,'ANÁLISE DE DADOS'!$A:$AM,24,0),""))</f>
        <v/>
      </c>
      <c r="AA104" s="61" t="str">
        <f>IF(B104="","",IFERROR(VLOOKUP(B104,'ANÁLISE DE DADOS'!$A:$AM,25,0),""))</f>
        <v/>
      </c>
      <c r="AB104" s="61" t="str">
        <f>IF(B104="","",IFERROR(VLOOKUP(B104,'ANÁLISE DE DADOS'!$A:$AM,26,0),""))</f>
        <v/>
      </c>
      <c r="AC104" s="61" t="str">
        <f>IF(B104="","",IFERROR(VLOOKUP(B104,'ANÁLISE DE DADOS'!$A:$AM,27,0),""))</f>
        <v/>
      </c>
      <c r="AD104" s="62" t="str">
        <f>IF(B104="","",IFERROR(VLOOKUP(B104,'ANÁLISE DE DADOS'!$A:$AM,28,0),""))</f>
        <v/>
      </c>
      <c r="AE104" s="61" t="str">
        <f>IF(B104="","",IFERROR(VLOOKUP(B104,'ANÁLISE DE DADOS'!$A:$AM,29,0),""))</f>
        <v/>
      </c>
      <c r="AF104" s="61" t="str">
        <f>IF(B104="","",IFERROR(VLOOKUP(B104,'ANÁLISE DE DADOS'!$A:$AM,30,0),""))</f>
        <v/>
      </c>
      <c r="AG104" s="62" t="str">
        <f>IF(B104="","",IFERROR(VLOOKUP(B104,'ANÁLISE DE DADOS'!$A:$AM,31,0),""))</f>
        <v/>
      </c>
      <c r="AH104" s="61" t="str">
        <f>IF(B104="","",IFERROR(VLOOKUP(B104,'ANÁLISE DE DADOS'!$A:$AM,32,0),""))</f>
        <v/>
      </c>
      <c r="AI104" s="61" t="str">
        <f>IF(B104="","",IFERROR(VLOOKUP(B104,'ANÁLISE DE DADOS'!$A:$AM,33,0),""))</f>
        <v/>
      </c>
      <c r="AJ104" s="61" t="str">
        <f>IF(B104="","",IFERROR(VLOOKUP(B104,'ANÁLISE DE DADOS'!$A:$AM,34,0),""))</f>
        <v/>
      </c>
      <c r="AK104" s="63" t="str">
        <f>IF(B104="","",IFERROR(VLOOKUP(B104,'ANÁLISE DE DADOS'!$A:$AM,35,0),""))</f>
        <v/>
      </c>
      <c r="AL104" s="63" t="str">
        <f>IF(B104="","",IFERROR(VLOOKUP(B104,'ANÁLISE DE DADOS'!$A:$AM,36,0),""))</f>
        <v/>
      </c>
      <c r="AM104" s="101" t="str">
        <f>IF(B104="","",IFERROR(VLOOKUP(B104,'ANÁLISE DE DADOS'!$A:$AM,37,0),""))</f>
        <v/>
      </c>
    </row>
    <row r="105" spans="3:39" x14ac:dyDescent="0.3">
      <c r="C105" s="61" t="str">
        <f>IF(B105="","",IFERROR(VLOOKUP(B105,'ANÁLISE DE DADOS'!$A:$AM,1,0),""))</f>
        <v/>
      </c>
      <c r="D105" s="61" t="str">
        <f>IF(B105="","",IFERROR(VLOOKUP(B105,'ANÁLISE DE DADOS'!$A:$AM,2,0),""))</f>
        <v/>
      </c>
      <c r="E105" s="61" t="str">
        <f>IF(B105="","",IFERROR(VLOOKUP(B105,'ANÁLISE DE DADOS'!$A:$AM,3,0),""))</f>
        <v/>
      </c>
      <c r="F105" s="61" t="str">
        <f>IF(B105="","",IFERROR(VLOOKUP(B105,'ANÁLISE DE DADOS'!$A:$AM,4,0),""))</f>
        <v/>
      </c>
      <c r="G105" s="62" t="str">
        <f>IF(B105="","",IFERROR(VLOOKUP(B105,'ANÁLISE DE DADOS'!$A:$AM,5,0),""))</f>
        <v/>
      </c>
      <c r="H105" s="62" t="str">
        <f>IF(B105="","",IFERROR(VLOOKUP(B105,'ANÁLISE DE DADOS'!$A:$AM,6,0),""))</f>
        <v/>
      </c>
      <c r="I105" s="62" t="str">
        <f>IF(B105="","",IFERROR(VLOOKUP(B105,'ANÁLISE DE DADOS'!$A:$AM,7,0),""))</f>
        <v/>
      </c>
      <c r="J105" s="62" t="str">
        <f>IF(B105="","",IFERROR(VLOOKUP(B105,'ANÁLISE DE DADOS'!$A:$AM,8,0),""))</f>
        <v/>
      </c>
      <c r="K105" s="61" t="str">
        <f>IF(B105="","",IFERROR(VLOOKUP(B105,'ANÁLISE DE DADOS'!$A:$AM,9,0),""))</f>
        <v/>
      </c>
      <c r="L105" s="61" t="str">
        <f>IF(B105="","",IFERROR(VLOOKUP(B105,'ANÁLISE DE DADOS'!$A:$AM,10,0),""))</f>
        <v/>
      </c>
      <c r="M105" s="62" t="str">
        <f>IF(B105="","",IFERROR(VLOOKUP(B105,'ANÁLISE DE DADOS'!$A:$AM,11,0),""))</f>
        <v/>
      </c>
      <c r="N105" s="61" t="str">
        <f>IF(B105="","",IFERROR(VLOOKUP(B105,'ANÁLISE DE DADOS'!$A:$AM,12,0),""))</f>
        <v/>
      </c>
      <c r="O105" s="61" t="str">
        <f>IF(B105="","",IFERROR(VLOOKUP(B105,'ANÁLISE DE DADOS'!$A:$AM,13,0),""))</f>
        <v/>
      </c>
      <c r="P105" s="63" t="str">
        <f>IF(B105="","",IFERROR(VLOOKUP(B105,'ANÁLISE DE DADOS'!$A:$AM,14,0),""))</f>
        <v/>
      </c>
      <c r="Q105" s="61" t="str">
        <f>IF(B105="","",IFERROR(VLOOKUP(B105,'ANÁLISE DE DADOS'!$A:$AM,15,0),""))</f>
        <v/>
      </c>
      <c r="R105" s="61" t="str">
        <f>IF(B105="","",IFERROR(VLOOKUP(B105,'ANÁLISE DE DADOS'!$A:$AM,16,0),""))</f>
        <v/>
      </c>
      <c r="S105" s="61" t="str">
        <f>IF(B105="","",IFERROR(VLOOKUP(B105,'ANÁLISE DE DADOS'!$A:$AM,17,0),""))</f>
        <v/>
      </c>
      <c r="T105" s="61" t="str">
        <f>IF(B105="","",IFERROR(VLOOKUP(B105,'ANÁLISE DE DADOS'!$A:$AM,18,0),""))</f>
        <v/>
      </c>
      <c r="U105" s="61" t="str">
        <f>IF(B105="","",IFERROR(VLOOKUP(B105,'ANÁLISE DE DADOS'!$A:$AM,19,0),""))</f>
        <v/>
      </c>
      <c r="V105" s="61" t="str">
        <f>IF(B105="","",IFERROR(VLOOKUP(B105,'ANÁLISE DE DADOS'!$A:$AM,20,0),""))</f>
        <v/>
      </c>
      <c r="W105" s="61" t="str">
        <f>IF(B105="","",IFERROR(VLOOKUP(B105,'ANÁLISE DE DADOS'!$A:$AM,21,0),""))</f>
        <v/>
      </c>
      <c r="X105" s="61" t="str">
        <f>IF(B105="","",IFERROR(VLOOKUP(B105,'ANÁLISE DE DADOS'!$A:$AM,22,0),""))</f>
        <v/>
      </c>
      <c r="Y105" s="61" t="str">
        <f>IF(B105="","",IFERROR(VLOOKUP(B105,'ANÁLISE DE DADOS'!$A:$AM,23,0),""))</f>
        <v/>
      </c>
      <c r="Z105" s="61" t="str">
        <f>IF(B105="","",IFERROR(VLOOKUP(B105,'ANÁLISE DE DADOS'!$A:$AM,24,0),""))</f>
        <v/>
      </c>
      <c r="AA105" s="61" t="str">
        <f>IF(B105="","",IFERROR(VLOOKUP(B105,'ANÁLISE DE DADOS'!$A:$AM,25,0),""))</f>
        <v/>
      </c>
      <c r="AB105" s="61" t="str">
        <f>IF(B105="","",IFERROR(VLOOKUP(B105,'ANÁLISE DE DADOS'!$A:$AM,26,0),""))</f>
        <v/>
      </c>
      <c r="AC105" s="61" t="str">
        <f>IF(B105="","",IFERROR(VLOOKUP(B105,'ANÁLISE DE DADOS'!$A:$AM,27,0),""))</f>
        <v/>
      </c>
      <c r="AD105" s="62" t="str">
        <f>IF(B105="","",IFERROR(VLOOKUP(B105,'ANÁLISE DE DADOS'!$A:$AM,28,0),""))</f>
        <v/>
      </c>
      <c r="AE105" s="61" t="str">
        <f>IF(B105="","",IFERROR(VLOOKUP(B105,'ANÁLISE DE DADOS'!$A:$AM,29,0),""))</f>
        <v/>
      </c>
      <c r="AF105" s="61" t="str">
        <f>IF(B105="","",IFERROR(VLOOKUP(B105,'ANÁLISE DE DADOS'!$A:$AM,30,0),""))</f>
        <v/>
      </c>
      <c r="AG105" s="62" t="str">
        <f>IF(B105="","",IFERROR(VLOOKUP(B105,'ANÁLISE DE DADOS'!$A:$AM,31,0),""))</f>
        <v/>
      </c>
      <c r="AH105" s="61" t="str">
        <f>IF(B105="","",IFERROR(VLOOKUP(B105,'ANÁLISE DE DADOS'!$A:$AM,32,0),""))</f>
        <v/>
      </c>
      <c r="AI105" s="61" t="str">
        <f>IF(B105="","",IFERROR(VLOOKUP(B105,'ANÁLISE DE DADOS'!$A:$AM,33,0),""))</f>
        <v/>
      </c>
      <c r="AJ105" s="61" t="str">
        <f>IF(B105="","",IFERROR(VLOOKUP(B105,'ANÁLISE DE DADOS'!$A:$AM,34,0),""))</f>
        <v/>
      </c>
      <c r="AK105" s="63" t="str">
        <f>IF(B105="","",IFERROR(VLOOKUP(B105,'ANÁLISE DE DADOS'!$A:$AM,35,0),""))</f>
        <v/>
      </c>
      <c r="AL105" s="63" t="str">
        <f>IF(B105="","",IFERROR(VLOOKUP(B105,'ANÁLISE DE DADOS'!$A:$AM,36,0),""))</f>
        <v/>
      </c>
      <c r="AM105" s="101" t="str">
        <f>IF(B105="","",IFERROR(VLOOKUP(B105,'ANÁLISE DE DADOS'!$A:$AM,37,0),""))</f>
        <v/>
      </c>
    </row>
    <row r="106" spans="3:39" x14ac:dyDescent="0.3">
      <c r="C106" s="61" t="str">
        <f>IF(B106="","",IFERROR(VLOOKUP(B106,'ANÁLISE DE DADOS'!$A:$AM,1,0),""))</f>
        <v/>
      </c>
      <c r="D106" s="61" t="str">
        <f>IF(B106="","",IFERROR(VLOOKUP(B106,'ANÁLISE DE DADOS'!$A:$AM,2,0),""))</f>
        <v/>
      </c>
      <c r="E106" s="61" t="str">
        <f>IF(B106="","",IFERROR(VLOOKUP(B106,'ANÁLISE DE DADOS'!$A:$AM,3,0),""))</f>
        <v/>
      </c>
      <c r="F106" s="61" t="str">
        <f>IF(B106="","",IFERROR(VLOOKUP(B106,'ANÁLISE DE DADOS'!$A:$AM,4,0),""))</f>
        <v/>
      </c>
      <c r="G106" s="62" t="str">
        <f>IF(B106="","",IFERROR(VLOOKUP(B106,'ANÁLISE DE DADOS'!$A:$AM,5,0),""))</f>
        <v/>
      </c>
      <c r="H106" s="62" t="str">
        <f>IF(B106="","",IFERROR(VLOOKUP(B106,'ANÁLISE DE DADOS'!$A:$AM,6,0),""))</f>
        <v/>
      </c>
      <c r="I106" s="62" t="str">
        <f>IF(B106="","",IFERROR(VLOOKUP(B106,'ANÁLISE DE DADOS'!$A:$AM,7,0),""))</f>
        <v/>
      </c>
      <c r="J106" s="62" t="str">
        <f>IF(B106="","",IFERROR(VLOOKUP(B106,'ANÁLISE DE DADOS'!$A:$AM,8,0),""))</f>
        <v/>
      </c>
      <c r="K106" s="61" t="str">
        <f>IF(B106="","",IFERROR(VLOOKUP(B106,'ANÁLISE DE DADOS'!$A:$AM,9,0),""))</f>
        <v/>
      </c>
      <c r="L106" s="61" t="str">
        <f>IF(B106="","",IFERROR(VLOOKUP(B106,'ANÁLISE DE DADOS'!$A:$AM,10,0),""))</f>
        <v/>
      </c>
      <c r="M106" s="62" t="str">
        <f>IF(B106="","",IFERROR(VLOOKUP(B106,'ANÁLISE DE DADOS'!$A:$AM,11,0),""))</f>
        <v/>
      </c>
      <c r="N106" s="61" t="str">
        <f>IF(B106="","",IFERROR(VLOOKUP(B106,'ANÁLISE DE DADOS'!$A:$AM,12,0),""))</f>
        <v/>
      </c>
      <c r="O106" s="61" t="str">
        <f>IF(B106="","",IFERROR(VLOOKUP(B106,'ANÁLISE DE DADOS'!$A:$AM,13,0),""))</f>
        <v/>
      </c>
      <c r="P106" s="63" t="str">
        <f>IF(B106="","",IFERROR(VLOOKUP(B106,'ANÁLISE DE DADOS'!$A:$AM,14,0),""))</f>
        <v/>
      </c>
      <c r="Q106" s="61" t="str">
        <f>IF(B106="","",IFERROR(VLOOKUP(B106,'ANÁLISE DE DADOS'!$A:$AM,15,0),""))</f>
        <v/>
      </c>
      <c r="R106" s="61" t="str">
        <f>IF(B106="","",IFERROR(VLOOKUP(B106,'ANÁLISE DE DADOS'!$A:$AM,16,0),""))</f>
        <v/>
      </c>
      <c r="S106" s="61" t="str">
        <f>IF(B106="","",IFERROR(VLOOKUP(B106,'ANÁLISE DE DADOS'!$A:$AM,17,0),""))</f>
        <v/>
      </c>
      <c r="T106" s="61" t="str">
        <f>IF(B106="","",IFERROR(VLOOKUP(B106,'ANÁLISE DE DADOS'!$A:$AM,18,0),""))</f>
        <v/>
      </c>
      <c r="U106" s="61" t="str">
        <f>IF(B106="","",IFERROR(VLOOKUP(B106,'ANÁLISE DE DADOS'!$A:$AM,19,0),""))</f>
        <v/>
      </c>
      <c r="V106" s="61" t="str">
        <f>IF(B106="","",IFERROR(VLOOKUP(B106,'ANÁLISE DE DADOS'!$A:$AM,20,0),""))</f>
        <v/>
      </c>
      <c r="W106" s="61" t="str">
        <f>IF(B106="","",IFERROR(VLOOKUP(B106,'ANÁLISE DE DADOS'!$A:$AM,21,0),""))</f>
        <v/>
      </c>
      <c r="X106" s="61" t="str">
        <f>IF(B106="","",IFERROR(VLOOKUP(B106,'ANÁLISE DE DADOS'!$A:$AM,22,0),""))</f>
        <v/>
      </c>
      <c r="Y106" s="61" t="str">
        <f>IF(B106="","",IFERROR(VLOOKUP(B106,'ANÁLISE DE DADOS'!$A:$AM,23,0),""))</f>
        <v/>
      </c>
      <c r="Z106" s="61" t="str">
        <f>IF(B106="","",IFERROR(VLOOKUP(B106,'ANÁLISE DE DADOS'!$A:$AM,24,0),""))</f>
        <v/>
      </c>
      <c r="AA106" s="61" t="str">
        <f>IF(B106="","",IFERROR(VLOOKUP(B106,'ANÁLISE DE DADOS'!$A:$AM,25,0),""))</f>
        <v/>
      </c>
      <c r="AB106" s="61" t="str">
        <f>IF(B106="","",IFERROR(VLOOKUP(B106,'ANÁLISE DE DADOS'!$A:$AM,26,0),""))</f>
        <v/>
      </c>
      <c r="AC106" s="61" t="str">
        <f>IF(B106="","",IFERROR(VLOOKUP(B106,'ANÁLISE DE DADOS'!$A:$AM,27,0),""))</f>
        <v/>
      </c>
      <c r="AD106" s="62" t="str">
        <f>IF(B106="","",IFERROR(VLOOKUP(B106,'ANÁLISE DE DADOS'!$A:$AM,28,0),""))</f>
        <v/>
      </c>
      <c r="AE106" s="61" t="str">
        <f>IF(B106="","",IFERROR(VLOOKUP(B106,'ANÁLISE DE DADOS'!$A:$AM,29,0),""))</f>
        <v/>
      </c>
      <c r="AF106" s="61" t="str">
        <f>IF(B106="","",IFERROR(VLOOKUP(B106,'ANÁLISE DE DADOS'!$A:$AM,30,0),""))</f>
        <v/>
      </c>
      <c r="AG106" s="62" t="str">
        <f>IF(B106="","",IFERROR(VLOOKUP(B106,'ANÁLISE DE DADOS'!$A:$AM,31,0),""))</f>
        <v/>
      </c>
      <c r="AH106" s="61" t="str">
        <f>IF(B106="","",IFERROR(VLOOKUP(B106,'ANÁLISE DE DADOS'!$A:$AM,32,0),""))</f>
        <v/>
      </c>
      <c r="AI106" s="61" t="str">
        <f>IF(B106="","",IFERROR(VLOOKUP(B106,'ANÁLISE DE DADOS'!$A:$AM,33,0),""))</f>
        <v/>
      </c>
      <c r="AJ106" s="61" t="str">
        <f>IF(B106="","",IFERROR(VLOOKUP(B106,'ANÁLISE DE DADOS'!$A:$AM,34,0),""))</f>
        <v/>
      </c>
      <c r="AK106" s="63" t="str">
        <f>IF(B106="","",IFERROR(VLOOKUP(B106,'ANÁLISE DE DADOS'!$A:$AM,35,0),""))</f>
        <v/>
      </c>
      <c r="AL106" s="63" t="str">
        <f>IF(B106="","",IFERROR(VLOOKUP(B106,'ANÁLISE DE DADOS'!$A:$AM,36,0),""))</f>
        <v/>
      </c>
      <c r="AM106" s="101" t="str">
        <f>IF(B106="","",IFERROR(VLOOKUP(B106,'ANÁLISE DE DADOS'!$A:$AM,37,0),""))</f>
        <v/>
      </c>
    </row>
    <row r="107" spans="3:39" x14ac:dyDescent="0.3">
      <c r="C107" s="61" t="str">
        <f>IF(B107="","",IFERROR(VLOOKUP(B107,'ANÁLISE DE DADOS'!$A:$AM,1,0),""))</f>
        <v/>
      </c>
      <c r="D107" s="61" t="str">
        <f>IF(B107="","",IFERROR(VLOOKUP(B107,'ANÁLISE DE DADOS'!$A:$AM,2,0),""))</f>
        <v/>
      </c>
      <c r="E107" s="61" t="str">
        <f>IF(B107="","",IFERROR(VLOOKUP(B107,'ANÁLISE DE DADOS'!$A:$AM,3,0),""))</f>
        <v/>
      </c>
      <c r="F107" s="61" t="str">
        <f>IF(B107="","",IFERROR(VLOOKUP(B107,'ANÁLISE DE DADOS'!$A:$AM,4,0),""))</f>
        <v/>
      </c>
      <c r="G107" s="62" t="str">
        <f>IF(B107="","",IFERROR(VLOOKUP(B107,'ANÁLISE DE DADOS'!$A:$AM,5,0),""))</f>
        <v/>
      </c>
      <c r="H107" s="62" t="str">
        <f>IF(B107="","",IFERROR(VLOOKUP(B107,'ANÁLISE DE DADOS'!$A:$AM,6,0),""))</f>
        <v/>
      </c>
      <c r="I107" s="62" t="str">
        <f>IF(B107="","",IFERROR(VLOOKUP(B107,'ANÁLISE DE DADOS'!$A:$AM,7,0),""))</f>
        <v/>
      </c>
      <c r="J107" s="62" t="str">
        <f>IF(B107="","",IFERROR(VLOOKUP(B107,'ANÁLISE DE DADOS'!$A:$AM,8,0),""))</f>
        <v/>
      </c>
      <c r="K107" s="61" t="str">
        <f>IF(B107="","",IFERROR(VLOOKUP(B107,'ANÁLISE DE DADOS'!$A:$AM,9,0),""))</f>
        <v/>
      </c>
      <c r="L107" s="61" t="str">
        <f>IF(B107="","",IFERROR(VLOOKUP(B107,'ANÁLISE DE DADOS'!$A:$AM,10,0),""))</f>
        <v/>
      </c>
      <c r="M107" s="62" t="str">
        <f>IF(B107="","",IFERROR(VLOOKUP(B107,'ANÁLISE DE DADOS'!$A:$AM,11,0),""))</f>
        <v/>
      </c>
      <c r="N107" s="61" t="str">
        <f>IF(B107="","",IFERROR(VLOOKUP(B107,'ANÁLISE DE DADOS'!$A:$AM,12,0),""))</f>
        <v/>
      </c>
      <c r="O107" s="61" t="str">
        <f>IF(B107="","",IFERROR(VLOOKUP(B107,'ANÁLISE DE DADOS'!$A:$AM,13,0),""))</f>
        <v/>
      </c>
      <c r="P107" s="63" t="str">
        <f>IF(B107="","",IFERROR(VLOOKUP(B107,'ANÁLISE DE DADOS'!$A:$AM,14,0),""))</f>
        <v/>
      </c>
      <c r="Q107" s="61" t="str">
        <f>IF(B107="","",IFERROR(VLOOKUP(B107,'ANÁLISE DE DADOS'!$A:$AM,15,0),""))</f>
        <v/>
      </c>
      <c r="R107" s="61" t="str">
        <f>IF(B107="","",IFERROR(VLOOKUP(B107,'ANÁLISE DE DADOS'!$A:$AM,16,0),""))</f>
        <v/>
      </c>
      <c r="S107" s="61" t="str">
        <f>IF(B107="","",IFERROR(VLOOKUP(B107,'ANÁLISE DE DADOS'!$A:$AM,17,0),""))</f>
        <v/>
      </c>
      <c r="T107" s="61" t="str">
        <f>IF(B107="","",IFERROR(VLOOKUP(B107,'ANÁLISE DE DADOS'!$A:$AM,18,0),""))</f>
        <v/>
      </c>
      <c r="U107" s="61" t="str">
        <f>IF(B107="","",IFERROR(VLOOKUP(B107,'ANÁLISE DE DADOS'!$A:$AM,19,0),""))</f>
        <v/>
      </c>
      <c r="V107" s="61" t="str">
        <f>IF(B107="","",IFERROR(VLOOKUP(B107,'ANÁLISE DE DADOS'!$A:$AM,20,0),""))</f>
        <v/>
      </c>
      <c r="W107" s="61" t="str">
        <f>IF(B107="","",IFERROR(VLOOKUP(B107,'ANÁLISE DE DADOS'!$A:$AM,21,0),""))</f>
        <v/>
      </c>
      <c r="X107" s="61" t="str">
        <f>IF(B107="","",IFERROR(VLOOKUP(B107,'ANÁLISE DE DADOS'!$A:$AM,22,0),""))</f>
        <v/>
      </c>
      <c r="Y107" s="61" t="str">
        <f>IF(B107="","",IFERROR(VLOOKUP(B107,'ANÁLISE DE DADOS'!$A:$AM,23,0),""))</f>
        <v/>
      </c>
      <c r="Z107" s="61" t="str">
        <f>IF(B107="","",IFERROR(VLOOKUP(B107,'ANÁLISE DE DADOS'!$A:$AM,24,0),""))</f>
        <v/>
      </c>
      <c r="AA107" s="61" t="str">
        <f>IF(B107="","",IFERROR(VLOOKUP(B107,'ANÁLISE DE DADOS'!$A:$AM,25,0),""))</f>
        <v/>
      </c>
      <c r="AB107" s="61" t="str">
        <f>IF(B107="","",IFERROR(VLOOKUP(B107,'ANÁLISE DE DADOS'!$A:$AM,26,0),""))</f>
        <v/>
      </c>
      <c r="AC107" s="61" t="str">
        <f>IF(B107="","",IFERROR(VLOOKUP(B107,'ANÁLISE DE DADOS'!$A:$AM,27,0),""))</f>
        <v/>
      </c>
      <c r="AD107" s="62" t="str">
        <f>IF(B107="","",IFERROR(VLOOKUP(B107,'ANÁLISE DE DADOS'!$A:$AM,28,0),""))</f>
        <v/>
      </c>
      <c r="AE107" s="61" t="str">
        <f>IF(B107="","",IFERROR(VLOOKUP(B107,'ANÁLISE DE DADOS'!$A:$AM,29,0),""))</f>
        <v/>
      </c>
      <c r="AF107" s="61" t="str">
        <f>IF(B107="","",IFERROR(VLOOKUP(B107,'ANÁLISE DE DADOS'!$A:$AM,30,0),""))</f>
        <v/>
      </c>
      <c r="AG107" s="62" t="str">
        <f>IF(B107="","",IFERROR(VLOOKUP(B107,'ANÁLISE DE DADOS'!$A:$AM,31,0),""))</f>
        <v/>
      </c>
      <c r="AH107" s="61" t="str">
        <f>IF(B107="","",IFERROR(VLOOKUP(B107,'ANÁLISE DE DADOS'!$A:$AM,32,0),""))</f>
        <v/>
      </c>
      <c r="AI107" s="61" t="str">
        <f>IF(B107="","",IFERROR(VLOOKUP(B107,'ANÁLISE DE DADOS'!$A:$AM,33,0),""))</f>
        <v/>
      </c>
      <c r="AJ107" s="61" t="str">
        <f>IF(B107="","",IFERROR(VLOOKUP(B107,'ANÁLISE DE DADOS'!$A:$AM,34,0),""))</f>
        <v/>
      </c>
      <c r="AK107" s="63" t="str">
        <f>IF(B107="","",IFERROR(VLOOKUP(B107,'ANÁLISE DE DADOS'!$A:$AM,35,0),""))</f>
        <v/>
      </c>
      <c r="AL107" s="63" t="str">
        <f>IF(B107="","",IFERROR(VLOOKUP(B107,'ANÁLISE DE DADOS'!$A:$AM,36,0),""))</f>
        <v/>
      </c>
      <c r="AM107" s="101" t="str">
        <f>IF(B107="","",IFERROR(VLOOKUP(B107,'ANÁLISE DE DADOS'!$A:$AM,37,0),""))</f>
        <v/>
      </c>
    </row>
    <row r="108" spans="3:39" x14ac:dyDescent="0.3">
      <c r="C108" s="61" t="str">
        <f>IF(B108="","",IFERROR(VLOOKUP(B108,'ANÁLISE DE DADOS'!$A:$AM,1,0),""))</f>
        <v/>
      </c>
      <c r="D108" s="61" t="str">
        <f>IF(B108="","",IFERROR(VLOOKUP(B108,'ANÁLISE DE DADOS'!$A:$AM,2,0),""))</f>
        <v/>
      </c>
      <c r="E108" s="61" t="str">
        <f>IF(B108="","",IFERROR(VLOOKUP(B108,'ANÁLISE DE DADOS'!$A:$AM,3,0),""))</f>
        <v/>
      </c>
      <c r="F108" s="61" t="str">
        <f>IF(B108="","",IFERROR(VLOOKUP(B108,'ANÁLISE DE DADOS'!$A:$AM,4,0),""))</f>
        <v/>
      </c>
      <c r="G108" s="62" t="str">
        <f>IF(B108="","",IFERROR(VLOOKUP(B108,'ANÁLISE DE DADOS'!$A:$AM,5,0),""))</f>
        <v/>
      </c>
      <c r="H108" s="62" t="str">
        <f>IF(B108="","",IFERROR(VLOOKUP(B108,'ANÁLISE DE DADOS'!$A:$AM,6,0),""))</f>
        <v/>
      </c>
      <c r="I108" s="62" t="str">
        <f>IF(B108="","",IFERROR(VLOOKUP(B108,'ANÁLISE DE DADOS'!$A:$AM,7,0),""))</f>
        <v/>
      </c>
      <c r="J108" s="62" t="str">
        <f>IF(B108="","",IFERROR(VLOOKUP(B108,'ANÁLISE DE DADOS'!$A:$AM,8,0),""))</f>
        <v/>
      </c>
      <c r="K108" s="61" t="str">
        <f>IF(B108="","",IFERROR(VLOOKUP(B108,'ANÁLISE DE DADOS'!$A:$AM,9,0),""))</f>
        <v/>
      </c>
      <c r="L108" s="61" t="str">
        <f>IF(B108="","",IFERROR(VLOOKUP(B108,'ANÁLISE DE DADOS'!$A:$AM,10,0),""))</f>
        <v/>
      </c>
      <c r="M108" s="62" t="str">
        <f>IF(B108="","",IFERROR(VLOOKUP(B108,'ANÁLISE DE DADOS'!$A:$AM,11,0),""))</f>
        <v/>
      </c>
      <c r="N108" s="61" t="str">
        <f>IF(B108="","",IFERROR(VLOOKUP(B108,'ANÁLISE DE DADOS'!$A:$AM,12,0),""))</f>
        <v/>
      </c>
      <c r="O108" s="61" t="str">
        <f>IF(B108="","",IFERROR(VLOOKUP(B108,'ANÁLISE DE DADOS'!$A:$AM,13,0),""))</f>
        <v/>
      </c>
      <c r="P108" s="63" t="str">
        <f>IF(B108="","",IFERROR(VLOOKUP(B108,'ANÁLISE DE DADOS'!$A:$AM,14,0),""))</f>
        <v/>
      </c>
      <c r="Q108" s="61" t="str">
        <f>IF(B108="","",IFERROR(VLOOKUP(B108,'ANÁLISE DE DADOS'!$A:$AM,15,0),""))</f>
        <v/>
      </c>
      <c r="R108" s="61" t="str">
        <f>IF(B108="","",IFERROR(VLOOKUP(B108,'ANÁLISE DE DADOS'!$A:$AM,16,0),""))</f>
        <v/>
      </c>
      <c r="S108" s="61" t="str">
        <f>IF(B108="","",IFERROR(VLOOKUP(B108,'ANÁLISE DE DADOS'!$A:$AM,17,0),""))</f>
        <v/>
      </c>
      <c r="T108" s="61" t="str">
        <f>IF(B108="","",IFERROR(VLOOKUP(B108,'ANÁLISE DE DADOS'!$A:$AM,18,0),""))</f>
        <v/>
      </c>
      <c r="U108" s="61" t="str">
        <f>IF(B108="","",IFERROR(VLOOKUP(B108,'ANÁLISE DE DADOS'!$A:$AM,19,0),""))</f>
        <v/>
      </c>
      <c r="V108" s="61" t="str">
        <f>IF(B108="","",IFERROR(VLOOKUP(B108,'ANÁLISE DE DADOS'!$A:$AM,20,0),""))</f>
        <v/>
      </c>
      <c r="W108" s="61" t="str">
        <f>IF(B108="","",IFERROR(VLOOKUP(B108,'ANÁLISE DE DADOS'!$A:$AM,21,0),""))</f>
        <v/>
      </c>
      <c r="X108" s="61" t="str">
        <f>IF(B108="","",IFERROR(VLOOKUP(B108,'ANÁLISE DE DADOS'!$A:$AM,22,0),""))</f>
        <v/>
      </c>
      <c r="Y108" s="61" t="str">
        <f>IF(B108="","",IFERROR(VLOOKUP(B108,'ANÁLISE DE DADOS'!$A:$AM,23,0),""))</f>
        <v/>
      </c>
      <c r="Z108" s="61" t="str">
        <f>IF(B108="","",IFERROR(VLOOKUP(B108,'ANÁLISE DE DADOS'!$A:$AM,24,0),""))</f>
        <v/>
      </c>
      <c r="AA108" s="61" t="str">
        <f>IF(B108="","",IFERROR(VLOOKUP(B108,'ANÁLISE DE DADOS'!$A:$AM,25,0),""))</f>
        <v/>
      </c>
      <c r="AB108" s="61" t="str">
        <f>IF(B108="","",IFERROR(VLOOKUP(B108,'ANÁLISE DE DADOS'!$A:$AM,26,0),""))</f>
        <v/>
      </c>
      <c r="AC108" s="61" t="str">
        <f>IF(B108="","",IFERROR(VLOOKUP(B108,'ANÁLISE DE DADOS'!$A:$AM,27,0),""))</f>
        <v/>
      </c>
      <c r="AD108" s="62" t="str">
        <f>IF(B108="","",IFERROR(VLOOKUP(B108,'ANÁLISE DE DADOS'!$A:$AM,28,0),""))</f>
        <v/>
      </c>
      <c r="AE108" s="61" t="str">
        <f>IF(B108="","",IFERROR(VLOOKUP(B108,'ANÁLISE DE DADOS'!$A:$AM,29,0),""))</f>
        <v/>
      </c>
      <c r="AF108" s="61" t="str">
        <f>IF(B108="","",IFERROR(VLOOKUP(B108,'ANÁLISE DE DADOS'!$A:$AM,30,0),""))</f>
        <v/>
      </c>
      <c r="AG108" s="62" t="str">
        <f>IF(B108="","",IFERROR(VLOOKUP(B108,'ANÁLISE DE DADOS'!$A:$AM,31,0),""))</f>
        <v/>
      </c>
      <c r="AH108" s="61" t="str">
        <f>IF(B108="","",IFERROR(VLOOKUP(B108,'ANÁLISE DE DADOS'!$A:$AM,32,0),""))</f>
        <v/>
      </c>
      <c r="AI108" s="61" t="str">
        <f>IF(B108="","",IFERROR(VLOOKUP(B108,'ANÁLISE DE DADOS'!$A:$AM,33,0),""))</f>
        <v/>
      </c>
      <c r="AJ108" s="61" t="str">
        <f>IF(B108="","",IFERROR(VLOOKUP(B108,'ANÁLISE DE DADOS'!$A:$AM,34,0),""))</f>
        <v/>
      </c>
      <c r="AK108" s="63" t="str">
        <f>IF(B108="","",IFERROR(VLOOKUP(B108,'ANÁLISE DE DADOS'!$A:$AM,35,0),""))</f>
        <v/>
      </c>
      <c r="AL108" s="63" t="str">
        <f>IF(B108="","",IFERROR(VLOOKUP(B108,'ANÁLISE DE DADOS'!$A:$AM,36,0),""))</f>
        <v/>
      </c>
      <c r="AM108" s="101" t="str">
        <f>IF(B108="","",IFERROR(VLOOKUP(B108,'ANÁLISE DE DADOS'!$A:$AM,37,0),""))</f>
        <v/>
      </c>
    </row>
    <row r="109" spans="3:39" x14ac:dyDescent="0.3">
      <c r="C109" s="61" t="str">
        <f>IF(B109="","",IFERROR(VLOOKUP(B109,'ANÁLISE DE DADOS'!$A:$AM,1,0),""))</f>
        <v/>
      </c>
      <c r="D109" s="61" t="str">
        <f>IF(B109="","",IFERROR(VLOOKUP(B109,'ANÁLISE DE DADOS'!$A:$AM,2,0),""))</f>
        <v/>
      </c>
      <c r="E109" s="61" t="str">
        <f>IF(B109="","",IFERROR(VLOOKUP(B109,'ANÁLISE DE DADOS'!$A:$AM,3,0),""))</f>
        <v/>
      </c>
      <c r="F109" s="61" t="str">
        <f>IF(B109="","",IFERROR(VLOOKUP(B109,'ANÁLISE DE DADOS'!$A:$AM,4,0),""))</f>
        <v/>
      </c>
      <c r="G109" s="62" t="str">
        <f>IF(B109="","",IFERROR(VLOOKUP(B109,'ANÁLISE DE DADOS'!$A:$AM,5,0),""))</f>
        <v/>
      </c>
      <c r="H109" s="62" t="str">
        <f>IF(B109="","",IFERROR(VLOOKUP(B109,'ANÁLISE DE DADOS'!$A:$AM,6,0),""))</f>
        <v/>
      </c>
      <c r="I109" s="62" t="str">
        <f>IF(B109="","",IFERROR(VLOOKUP(B109,'ANÁLISE DE DADOS'!$A:$AM,7,0),""))</f>
        <v/>
      </c>
      <c r="J109" s="62" t="str">
        <f>IF(B109="","",IFERROR(VLOOKUP(B109,'ANÁLISE DE DADOS'!$A:$AM,8,0),""))</f>
        <v/>
      </c>
      <c r="K109" s="61" t="str">
        <f>IF(B109="","",IFERROR(VLOOKUP(B109,'ANÁLISE DE DADOS'!$A:$AM,9,0),""))</f>
        <v/>
      </c>
      <c r="L109" s="61" t="str">
        <f>IF(B109="","",IFERROR(VLOOKUP(B109,'ANÁLISE DE DADOS'!$A:$AM,10,0),""))</f>
        <v/>
      </c>
      <c r="M109" s="62" t="str">
        <f>IF(B109="","",IFERROR(VLOOKUP(B109,'ANÁLISE DE DADOS'!$A:$AM,11,0),""))</f>
        <v/>
      </c>
      <c r="N109" s="61" t="str">
        <f>IF(B109="","",IFERROR(VLOOKUP(B109,'ANÁLISE DE DADOS'!$A:$AM,12,0),""))</f>
        <v/>
      </c>
      <c r="O109" s="61" t="str">
        <f>IF(B109="","",IFERROR(VLOOKUP(B109,'ANÁLISE DE DADOS'!$A:$AM,13,0),""))</f>
        <v/>
      </c>
      <c r="P109" s="63" t="str">
        <f>IF(B109="","",IFERROR(VLOOKUP(B109,'ANÁLISE DE DADOS'!$A:$AM,14,0),""))</f>
        <v/>
      </c>
      <c r="Q109" s="61" t="str">
        <f>IF(B109="","",IFERROR(VLOOKUP(B109,'ANÁLISE DE DADOS'!$A:$AM,15,0),""))</f>
        <v/>
      </c>
      <c r="R109" s="61" t="str">
        <f>IF(B109="","",IFERROR(VLOOKUP(B109,'ANÁLISE DE DADOS'!$A:$AM,16,0),""))</f>
        <v/>
      </c>
      <c r="S109" s="61" t="str">
        <f>IF(B109="","",IFERROR(VLOOKUP(B109,'ANÁLISE DE DADOS'!$A:$AM,17,0),""))</f>
        <v/>
      </c>
      <c r="T109" s="61" t="str">
        <f>IF(B109="","",IFERROR(VLOOKUP(B109,'ANÁLISE DE DADOS'!$A:$AM,18,0),""))</f>
        <v/>
      </c>
      <c r="U109" s="61" t="str">
        <f>IF(B109="","",IFERROR(VLOOKUP(B109,'ANÁLISE DE DADOS'!$A:$AM,19,0),""))</f>
        <v/>
      </c>
      <c r="V109" s="61" t="str">
        <f>IF(B109="","",IFERROR(VLOOKUP(B109,'ANÁLISE DE DADOS'!$A:$AM,20,0),""))</f>
        <v/>
      </c>
      <c r="W109" s="61" t="str">
        <f>IF(B109="","",IFERROR(VLOOKUP(B109,'ANÁLISE DE DADOS'!$A:$AM,21,0),""))</f>
        <v/>
      </c>
      <c r="X109" s="61" t="str">
        <f>IF(B109="","",IFERROR(VLOOKUP(B109,'ANÁLISE DE DADOS'!$A:$AM,22,0),""))</f>
        <v/>
      </c>
      <c r="Y109" s="61" t="str">
        <f>IF(B109="","",IFERROR(VLOOKUP(B109,'ANÁLISE DE DADOS'!$A:$AM,23,0),""))</f>
        <v/>
      </c>
      <c r="Z109" s="61" t="str">
        <f>IF(B109="","",IFERROR(VLOOKUP(B109,'ANÁLISE DE DADOS'!$A:$AM,24,0),""))</f>
        <v/>
      </c>
      <c r="AA109" s="61" t="str">
        <f>IF(B109="","",IFERROR(VLOOKUP(B109,'ANÁLISE DE DADOS'!$A:$AM,25,0),""))</f>
        <v/>
      </c>
      <c r="AB109" s="61" t="str">
        <f>IF(B109="","",IFERROR(VLOOKUP(B109,'ANÁLISE DE DADOS'!$A:$AM,26,0),""))</f>
        <v/>
      </c>
      <c r="AC109" s="61" t="str">
        <f>IF(B109="","",IFERROR(VLOOKUP(B109,'ANÁLISE DE DADOS'!$A:$AM,27,0),""))</f>
        <v/>
      </c>
      <c r="AD109" s="62" t="str">
        <f>IF(B109="","",IFERROR(VLOOKUP(B109,'ANÁLISE DE DADOS'!$A:$AM,28,0),""))</f>
        <v/>
      </c>
      <c r="AE109" s="61" t="str">
        <f>IF(B109="","",IFERROR(VLOOKUP(B109,'ANÁLISE DE DADOS'!$A:$AM,29,0),""))</f>
        <v/>
      </c>
      <c r="AF109" s="61" t="str">
        <f>IF(B109="","",IFERROR(VLOOKUP(B109,'ANÁLISE DE DADOS'!$A:$AM,30,0),""))</f>
        <v/>
      </c>
      <c r="AG109" s="62" t="str">
        <f>IF(B109="","",IFERROR(VLOOKUP(B109,'ANÁLISE DE DADOS'!$A:$AM,31,0),""))</f>
        <v/>
      </c>
      <c r="AH109" s="61" t="str">
        <f>IF(B109="","",IFERROR(VLOOKUP(B109,'ANÁLISE DE DADOS'!$A:$AM,32,0),""))</f>
        <v/>
      </c>
      <c r="AI109" s="61" t="str">
        <f>IF(B109="","",IFERROR(VLOOKUP(B109,'ANÁLISE DE DADOS'!$A:$AM,33,0),""))</f>
        <v/>
      </c>
      <c r="AJ109" s="61" t="str">
        <f>IF(B109="","",IFERROR(VLOOKUP(B109,'ANÁLISE DE DADOS'!$A:$AM,34,0),""))</f>
        <v/>
      </c>
      <c r="AK109" s="63" t="str">
        <f>IF(B109="","",IFERROR(VLOOKUP(B109,'ANÁLISE DE DADOS'!$A:$AM,35,0),""))</f>
        <v/>
      </c>
      <c r="AL109" s="63" t="str">
        <f>IF(B109="","",IFERROR(VLOOKUP(B109,'ANÁLISE DE DADOS'!$A:$AM,36,0),""))</f>
        <v/>
      </c>
      <c r="AM109" s="101" t="str">
        <f>IF(B109="","",IFERROR(VLOOKUP(B109,'ANÁLISE DE DADOS'!$A:$AM,37,0),""))</f>
        <v/>
      </c>
    </row>
    <row r="110" spans="3:39" x14ac:dyDescent="0.3">
      <c r="C110" s="61" t="str">
        <f>IF(B110="","",IFERROR(VLOOKUP(B110,'ANÁLISE DE DADOS'!$A:$AM,1,0),""))</f>
        <v/>
      </c>
      <c r="D110" s="61" t="str">
        <f>IF(B110="","",IFERROR(VLOOKUP(B110,'ANÁLISE DE DADOS'!$A:$AM,2,0),""))</f>
        <v/>
      </c>
      <c r="E110" s="61" t="str">
        <f>IF(B110="","",IFERROR(VLOOKUP(B110,'ANÁLISE DE DADOS'!$A:$AM,3,0),""))</f>
        <v/>
      </c>
      <c r="F110" s="61" t="str">
        <f>IF(B110="","",IFERROR(VLOOKUP(B110,'ANÁLISE DE DADOS'!$A:$AM,4,0),""))</f>
        <v/>
      </c>
      <c r="G110" s="62" t="str">
        <f>IF(B110="","",IFERROR(VLOOKUP(B110,'ANÁLISE DE DADOS'!$A:$AM,5,0),""))</f>
        <v/>
      </c>
      <c r="H110" s="62" t="str">
        <f>IF(B110="","",IFERROR(VLOOKUP(B110,'ANÁLISE DE DADOS'!$A:$AM,6,0),""))</f>
        <v/>
      </c>
      <c r="I110" s="62" t="str">
        <f>IF(B110="","",IFERROR(VLOOKUP(B110,'ANÁLISE DE DADOS'!$A:$AM,7,0),""))</f>
        <v/>
      </c>
      <c r="J110" s="62" t="str">
        <f>IF(B110="","",IFERROR(VLOOKUP(B110,'ANÁLISE DE DADOS'!$A:$AM,8,0),""))</f>
        <v/>
      </c>
      <c r="K110" s="61" t="str">
        <f>IF(B110="","",IFERROR(VLOOKUP(B110,'ANÁLISE DE DADOS'!$A:$AM,9,0),""))</f>
        <v/>
      </c>
      <c r="L110" s="61" t="str">
        <f>IF(B110="","",IFERROR(VLOOKUP(B110,'ANÁLISE DE DADOS'!$A:$AM,10,0),""))</f>
        <v/>
      </c>
      <c r="M110" s="62" t="str">
        <f>IF(B110="","",IFERROR(VLOOKUP(B110,'ANÁLISE DE DADOS'!$A:$AM,11,0),""))</f>
        <v/>
      </c>
      <c r="N110" s="61" t="str">
        <f>IF(B110="","",IFERROR(VLOOKUP(B110,'ANÁLISE DE DADOS'!$A:$AM,12,0),""))</f>
        <v/>
      </c>
      <c r="O110" s="61" t="str">
        <f>IF(B110="","",IFERROR(VLOOKUP(B110,'ANÁLISE DE DADOS'!$A:$AM,13,0),""))</f>
        <v/>
      </c>
      <c r="P110" s="63" t="str">
        <f>IF(B110="","",IFERROR(VLOOKUP(B110,'ANÁLISE DE DADOS'!$A:$AM,14,0),""))</f>
        <v/>
      </c>
      <c r="Q110" s="61" t="str">
        <f>IF(B110="","",IFERROR(VLOOKUP(B110,'ANÁLISE DE DADOS'!$A:$AM,15,0),""))</f>
        <v/>
      </c>
      <c r="R110" s="61" t="str">
        <f>IF(B110="","",IFERROR(VLOOKUP(B110,'ANÁLISE DE DADOS'!$A:$AM,16,0),""))</f>
        <v/>
      </c>
      <c r="S110" s="61" t="str">
        <f>IF(B110="","",IFERROR(VLOOKUP(B110,'ANÁLISE DE DADOS'!$A:$AM,17,0),""))</f>
        <v/>
      </c>
      <c r="T110" s="61" t="str">
        <f>IF(B110="","",IFERROR(VLOOKUP(B110,'ANÁLISE DE DADOS'!$A:$AM,18,0),""))</f>
        <v/>
      </c>
      <c r="U110" s="61" t="str">
        <f>IF(B110="","",IFERROR(VLOOKUP(B110,'ANÁLISE DE DADOS'!$A:$AM,19,0),""))</f>
        <v/>
      </c>
      <c r="V110" s="61" t="str">
        <f>IF(B110="","",IFERROR(VLOOKUP(B110,'ANÁLISE DE DADOS'!$A:$AM,20,0),""))</f>
        <v/>
      </c>
      <c r="W110" s="61" t="str">
        <f>IF(B110="","",IFERROR(VLOOKUP(B110,'ANÁLISE DE DADOS'!$A:$AM,21,0),""))</f>
        <v/>
      </c>
      <c r="X110" s="61" t="str">
        <f>IF(B110="","",IFERROR(VLOOKUP(B110,'ANÁLISE DE DADOS'!$A:$AM,22,0),""))</f>
        <v/>
      </c>
      <c r="Y110" s="61" t="str">
        <f>IF(B110="","",IFERROR(VLOOKUP(B110,'ANÁLISE DE DADOS'!$A:$AM,23,0),""))</f>
        <v/>
      </c>
      <c r="Z110" s="61" t="str">
        <f>IF(B110="","",IFERROR(VLOOKUP(B110,'ANÁLISE DE DADOS'!$A:$AM,24,0),""))</f>
        <v/>
      </c>
      <c r="AA110" s="61" t="str">
        <f>IF(B110="","",IFERROR(VLOOKUP(B110,'ANÁLISE DE DADOS'!$A:$AM,25,0),""))</f>
        <v/>
      </c>
      <c r="AB110" s="61" t="str">
        <f>IF(B110="","",IFERROR(VLOOKUP(B110,'ANÁLISE DE DADOS'!$A:$AM,26,0),""))</f>
        <v/>
      </c>
      <c r="AC110" s="61" t="str">
        <f>IF(B110="","",IFERROR(VLOOKUP(B110,'ANÁLISE DE DADOS'!$A:$AM,27,0),""))</f>
        <v/>
      </c>
      <c r="AD110" s="62" t="str">
        <f>IF(B110="","",IFERROR(VLOOKUP(B110,'ANÁLISE DE DADOS'!$A:$AM,28,0),""))</f>
        <v/>
      </c>
      <c r="AE110" s="61" t="str">
        <f>IF(B110="","",IFERROR(VLOOKUP(B110,'ANÁLISE DE DADOS'!$A:$AM,29,0),""))</f>
        <v/>
      </c>
      <c r="AF110" s="61" t="str">
        <f>IF(B110="","",IFERROR(VLOOKUP(B110,'ANÁLISE DE DADOS'!$A:$AM,30,0),""))</f>
        <v/>
      </c>
      <c r="AG110" s="62" t="str">
        <f>IF(B110="","",IFERROR(VLOOKUP(B110,'ANÁLISE DE DADOS'!$A:$AM,31,0),""))</f>
        <v/>
      </c>
      <c r="AH110" s="61" t="str">
        <f>IF(B110="","",IFERROR(VLOOKUP(B110,'ANÁLISE DE DADOS'!$A:$AM,32,0),""))</f>
        <v/>
      </c>
      <c r="AI110" s="61" t="str">
        <f>IF(B110="","",IFERROR(VLOOKUP(B110,'ANÁLISE DE DADOS'!$A:$AM,33,0),""))</f>
        <v/>
      </c>
      <c r="AJ110" s="61" t="str">
        <f>IF(B110="","",IFERROR(VLOOKUP(B110,'ANÁLISE DE DADOS'!$A:$AM,34,0),""))</f>
        <v/>
      </c>
      <c r="AK110" s="63" t="str">
        <f>IF(B110="","",IFERROR(VLOOKUP(B110,'ANÁLISE DE DADOS'!$A:$AM,35,0),""))</f>
        <v/>
      </c>
      <c r="AL110" s="63" t="str">
        <f>IF(B110="","",IFERROR(VLOOKUP(B110,'ANÁLISE DE DADOS'!$A:$AM,36,0),""))</f>
        <v/>
      </c>
      <c r="AM110" s="101" t="str">
        <f>IF(B110="","",IFERROR(VLOOKUP(B110,'ANÁLISE DE DADOS'!$A:$AM,37,0),""))</f>
        <v/>
      </c>
    </row>
    <row r="111" spans="3:39" x14ac:dyDescent="0.3">
      <c r="C111" s="61" t="str">
        <f>IF(B111="","",IFERROR(VLOOKUP(B111,'ANÁLISE DE DADOS'!$A:$AM,1,0),""))</f>
        <v/>
      </c>
      <c r="D111" s="61" t="str">
        <f>IF(B111="","",IFERROR(VLOOKUP(B111,'ANÁLISE DE DADOS'!$A:$AM,2,0),""))</f>
        <v/>
      </c>
      <c r="E111" s="61" t="str">
        <f>IF(B111="","",IFERROR(VLOOKUP(B111,'ANÁLISE DE DADOS'!$A:$AM,3,0),""))</f>
        <v/>
      </c>
      <c r="F111" s="61" t="str">
        <f>IF(B111="","",IFERROR(VLOOKUP(B111,'ANÁLISE DE DADOS'!$A:$AM,4,0),""))</f>
        <v/>
      </c>
      <c r="G111" s="62" t="str">
        <f>IF(B111="","",IFERROR(VLOOKUP(B111,'ANÁLISE DE DADOS'!$A:$AM,5,0),""))</f>
        <v/>
      </c>
      <c r="H111" s="62" t="str">
        <f>IF(B111="","",IFERROR(VLOOKUP(B111,'ANÁLISE DE DADOS'!$A:$AM,6,0),""))</f>
        <v/>
      </c>
      <c r="I111" s="62" t="str">
        <f>IF(B111="","",IFERROR(VLOOKUP(B111,'ANÁLISE DE DADOS'!$A:$AM,7,0),""))</f>
        <v/>
      </c>
      <c r="J111" s="62" t="str">
        <f>IF(B111="","",IFERROR(VLOOKUP(B111,'ANÁLISE DE DADOS'!$A:$AM,8,0),""))</f>
        <v/>
      </c>
      <c r="K111" s="61" t="str">
        <f>IF(B111="","",IFERROR(VLOOKUP(B111,'ANÁLISE DE DADOS'!$A:$AM,9,0),""))</f>
        <v/>
      </c>
      <c r="L111" s="61" t="str">
        <f>IF(B111="","",IFERROR(VLOOKUP(B111,'ANÁLISE DE DADOS'!$A:$AM,10,0),""))</f>
        <v/>
      </c>
      <c r="M111" s="62" t="str">
        <f>IF(B111="","",IFERROR(VLOOKUP(B111,'ANÁLISE DE DADOS'!$A:$AM,11,0),""))</f>
        <v/>
      </c>
      <c r="N111" s="61" t="str">
        <f>IF(B111="","",IFERROR(VLOOKUP(B111,'ANÁLISE DE DADOS'!$A:$AM,12,0),""))</f>
        <v/>
      </c>
      <c r="O111" s="61" t="str">
        <f>IF(B111="","",IFERROR(VLOOKUP(B111,'ANÁLISE DE DADOS'!$A:$AM,13,0),""))</f>
        <v/>
      </c>
      <c r="P111" s="63" t="str">
        <f>IF(B111="","",IFERROR(VLOOKUP(B111,'ANÁLISE DE DADOS'!$A:$AM,14,0),""))</f>
        <v/>
      </c>
      <c r="Q111" s="61" t="str">
        <f>IF(B111="","",IFERROR(VLOOKUP(B111,'ANÁLISE DE DADOS'!$A:$AM,15,0),""))</f>
        <v/>
      </c>
      <c r="R111" s="61" t="str">
        <f>IF(B111="","",IFERROR(VLOOKUP(B111,'ANÁLISE DE DADOS'!$A:$AM,16,0),""))</f>
        <v/>
      </c>
      <c r="S111" s="61" t="str">
        <f>IF(B111="","",IFERROR(VLOOKUP(B111,'ANÁLISE DE DADOS'!$A:$AM,17,0),""))</f>
        <v/>
      </c>
      <c r="T111" s="61" t="str">
        <f>IF(B111="","",IFERROR(VLOOKUP(B111,'ANÁLISE DE DADOS'!$A:$AM,18,0),""))</f>
        <v/>
      </c>
      <c r="U111" s="61" t="str">
        <f>IF(B111="","",IFERROR(VLOOKUP(B111,'ANÁLISE DE DADOS'!$A:$AM,19,0),""))</f>
        <v/>
      </c>
      <c r="V111" s="61" t="str">
        <f>IF(B111="","",IFERROR(VLOOKUP(B111,'ANÁLISE DE DADOS'!$A:$AM,20,0),""))</f>
        <v/>
      </c>
      <c r="W111" s="61" t="str">
        <f>IF(B111="","",IFERROR(VLOOKUP(B111,'ANÁLISE DE DADOS'!$A:$AM,21,0),""))</f>
        <v/>
      </c>
      <c r="X111" s="61" t="str">
        <f>IF(B111="","",IFERROR(VLOOKUP(B111,'ANÁLISE DE DADOS'!$A:$AM,22,0),""))</f>
        <v/>
      </c>
      <c r="Y111" s="61" t="str">
        <f>IF(B111="","",IFERROR(VLOOKUP(B111,'ANÁLISE DE DADOS'!$A:$AM,23,0),""))</f>
        <v/>
      </c>
      <c r="Z111" s="61" t="str">
        <f>IF(B111="","",IFERROR(VLOOKUP(B111,'ANÁLISE DE DADOS'!$A:$AM,24,0),""))</f>
        <v/>
      </c>
      <c r="AA111" s="61" t="str">
        <f>IF(B111="","",IFERROR(VLOOKUP(B111,'ANÁLISE DE DADOS'!$A:$AM,25,0),""))</f>
        <v/>
      </c>
      <c r="AB111" s="61" t="str">
        <f>IF(B111="","",IFERROR(VLOOKUP(B111,'ANÁLISE DE DADOS'!$A:$AM,26,0),""))</f>
        <v/>
      </c>
      <c r="AC111" s="61" t="str">
        <f>IF(B111="","",IFERROR(VLOOKUP(B111,'ANÁLISE DE DADOS'!$A:$AM,27,0),""))</f>
        <v/>
      </c>
      <c r="AD111" s="62" t="str">
        <f>IF(B111="","",IFERROR(VLOOKUP(B111,'ANÁLISE DE DADOS'!$A:$AM,28,0),""))</f>
        <v/>
      </c>
      <c r="AE111" s="61" t="str">
        <f>IF(B111="","",IFERROR(VLOOKUP(B111,'ANÁLISE DE DADOS'!$A:$AM,29,0),""))</f>
        <v/>
      </c>
      <c r="AF111" s="61" t="str">
        <f>IF(B111="","",IFERROR(VLOOKUP(B111,'ANÁLISE DE DADOS'!$A:$AM,30,0),""))</f>
        <v/>
      </c>
      <c r="AG111" s="62" t="str">
        <f>IF(B111="","",IFERROR(VLOOKUP(B111,'ANÁLISE DE DADOS'!$A:$AM,31,0),""))</f>
        <v/>
      </c>
      <c r="AH111" s="61" t="str">
        <f>IF(B111="","",IFERROR(VLOOKUP(B111,'ANÁLISE DE DADOS'!$A:$AM,32,0),""))</f>
        <v/>
      </c>
      <c r="AI111" s="61" t="str">
        <f>IF(B111="","",IFERROR(VLOOKUP(B111,'ANÁLISE DE DADOS'!$A:$AM,33,0),""))</f>
        <v/>
      </c>
      <c r="AJ111" s="61" t="str">
        <f>IF(B111="","",IFERROR(VLOOKUP(B111,'ANÁLISE DE DADOS'!$A:$AM,34,0),""))</f>
        <v/>
      </c>
      <c r="AK111" s="63" t="str">
        <f>IF(B111="","",IFERROR(VLOOKUP(B111,'ANÁLISE DE DADOS'!$A:$AM,35,0),""))</f>
        <v/>
      </c>
      <c r="AL111" s="63" t="str">
        <f>IF(B111="","",IFERROR(VLOOKUP(B111,'ANÁLISE DE DADOS'!$A:$AM,36,0),""))</f>
        <v/>
      </c>
      <c r="AM111" s="101" t="str">
        <f>IF(B111="","",IFERROR(VLOOKUP(B111,'ANÁLISE DE DADOS'!$A:$AM,37,0),""))</f>
        <v/>
      </c>
    </row>
    <row r="112" spans="3:39" x14ac:dyDescent="0.3">
      <c r="C112" s="61" t="str">
        <f>IF(B112="","",IFERROR(VLOOKUP(B112,'ANÁLISE DE DADOS'!$A:$AM,1,0),""))</f>
        <v/>
      </c>
      <c r="D112" s="61" t="str">
        <f>IF(B112="","",IFERROR(VLOOKUP(B112,'ANÁLISE DE DADOS'!$A:$AM,2,0),""))</f>
        <v/>
      </c>
      <c r="E112" s="61" t="str">
        <f>IF(B112="","",IFERROR(VLOOKUP(B112,'ANÁLISE DE DADOS'!$A:$AM,3,0),""))</f>
        <v/>
      </c>
      <c r="F112" s="61" t="str">
        <f>IF(B112="","",IFERROR(VLOOKUP(B112,'ANÁLISE DE DADOS'!$A:$AM,4,0),""))</f>
        <v/>
      </c>
      <c r="G112" s="62" t="str">
        <f>IF(B112="","",IFERROR(VLOOKUP(B112,'ANÁLISE DE DADOS'!$A:$AM,5,0),""))</f>
        <v/>
      </c>
      <c r="H112" s="62" t="str">
        <f>IF(B112="","",IFERROR(VLOOKUP(B112,'ANÁLISE DE DADOS'!$A:$AM,6,0),""))</f>
        <v/>
      </c>
      <c r="I112" s="62" t="str">
        <f>IF(B112="","",IFERROR(VLOOKUP(B112,'ANÁLISE DE DADOS'!$A:$AM,7,0),""))</f>
        <v/>
      </c>
      <c r="J112" s="62" t="str">
        <f>IF(B112="","",IFERROR(VLOOKUP(B112,'ANÁLISE DE DADOS'!$A:$AM,8,0),""))</f>
        <v/>
      </c>
      <c r="K112" s="61" t="str">
        <f>IF(B112="","",IFERROR(VLOOKUP(B112,'ANÁLISE DE DADOS'!$A:$AM,9,0),""))</f>
        <v/>
      </c>
      <c r="L112" s="61" t="str">
        <f>IF(B112="","",IFERROR(VLOOKUP(B112,'ANÁLISE DE DADOS'!$A:$AM,10,0),""))</f>
        <v/>
      </c>
      <c r="M112" s="62" t="str">
        <f>IF(B112="","",IFERROR(VLOOKUP(B112,'ANÁLISE DE DADOS'!$A:$AM,11,0),""))</f>
        <v/>
      </c>
      <c r="N112" s="61" t="str">
        <f>IF(B112="","",IFERROR(VLOOKUP(B112,'ANÁLISE DE DADOS'!$A:$AM,12,0),""))</f>
        <v/>
      </c>
      <c r="O112" s="61" t="str">
        <f>IF(B112="","",IFERROR(VLOOKUP(B112,'ANÁLISE DE DADOS'!$A:$AM,13,0),""))</f>
        <v/>
      </c>
      <c r="P112" s="63" t="str">
        <f>IF(B112="","",IFERROR(VLOOKUP(B112,'ANÁLISE DE DADOS'!$A:$AM,14,0),""))</f>
        <v/>
      </c>
      <c r="Q112" s="61" t="str">
        <f>IF(B112="","",IFERROR(VLOOKUP(B112,'ANÁLISE DE DADOS'!$A:$AM,15,0),""))</f>
        <v/>
      </c>
      <c r="R112" s="61" t="str">
        <f>IF(B112="","",IFERROR(VLOOKUP(B112,'ANÁLISE DE DADOS'!$A:$AM,16,0),""))</f>
        <v/>
      </c>
      <c r="S112" s="61" t="str">
        <f>IF(B112="","",IFERROR(VLOOKUP(B112,'ANÁLISE DE DADOS'!$A:$AM,17,0),""))</f>
        <v/>
      </c>
      <c r="T112" s="61" t="str">
        <f>IF(B112="","",IFERROR(VLOOKUP(B112,'ANÁLISE DE DADOS'!$A:$AM,18,0),""))</f>
        <v/>
      </c>
      <c r="U112" s="61" t="str">
        <f>IF(B112="","",IFERROR(VLOOKUP(B112,'ANÁLISE DE DADOS'!$A:$AM,19,0),""))</f>
        <v/>
      </c>
      <c r="V112" s="61" t="str">
        <f>IF(B112="","",IFERROR(VLOOKUP(B112,'ANÁLISE DE DADOS'!$A:$AM,20,0),""))</f>
        <v/>
      </c>
      <c r="W112" s="61" t="str">
        <f>IF(B112="","",IFERROR(VLOOKUP(B112,'ANÁLISE DE DADOS'!$A:$AM,21,0),""))</f>
        <v/>
      </c>
      <c r="X112" s="61" t="str">
        <f>IF(B112="","",IFERROR(VLOOKUP(B112,'ANÁLISE DE DADOS'!$A:$AM,22,0),""))</f>
        <v/>
      </c>
      <c r="Y112" s="61" t="str">
        <f>IF(B112="","",IFERROR(VLOOKUP(B112,'ANÁLISE DE DADOS'!$A:$AM,23,0),""))</f>
        <v/>
      </c>
      <c r="Z112" s="61" t="str">
        <f>IF(B112="","",IFERROR(VLOOKUP(B112,'ANÁLISE DE DADOS'!$A:$AM,24,0),""))</f>
        <v/>
      </c>
      <c r="AA112" s="61" t="str">
        <f>IF(B112="","",IFERROR(VLOOKUP(B112,'ANÁLISE DE DADOS'!$A:$AM,25,0),""))</f>
        <v/>
      </c>
      <c r="AB112" s="61" t="str">
        <f>IF(B112="","",IFERROR(VLOOKUP(B112,'ANÁLISE DE DADOS'!$A:$AM,26,0),""))</f>
        <v/>
      </c>
      <c r="AC112" s="61" t="str">
        <f>IF(B112="","",IFERROR(VLOOKUP(B112,'ANÁLISE DE DADOS'!$A:$AM,27,0),""))</f>
        <v/>
      </c>
      <c r="AD112" s="62" t="str">
        <f>IF(B112="","",IFERROR(VLOOKUP(B112,'ANÁLISE DE DADOS'!$A:$AM,28,0),""))</f>
        <v/>
      </c>
      <c r="AE112" s="61" t="str">
        <f>IF(B112="","",IFERROR(VLOOKUP(B112,'ANÁLISE DE DADOS'!$A:$AM,29,0),""))</f>
        <v/>
      </c>
      <c r="AF112" s="61" t="str">
        <f>IF(B112="","",IFERROR(VLOOKUP(B112,'ANÁLISE DE DADOS'!$A:$AM,30,0),""))</f>
        <v/>
      </c>
      <c r="AG112" s="62" t="str">
        <f>IF(B112="","",IFERROR(VLOOKUP(B112,'ANÁLISE DE DADOS'!$A:$AM,31,0),""))</f>
        <v/>
      </c>
      <c r="AH112" s="61" t="str">
        <f>IF(B112="","",IFERROR(VLOOKUP(B112,'ANÁLISE DE DADOS'!$A:$AM,32,0),""))</f>
        <v/>
      </c>
      <c r="AI112" s="61" t="str">
        <f>IF(B112="","",IFERROR(VLOOKUP(B112,'ANÁLISE DE DADOS'!$A:$AM,33,0),""))</f>
        <v/>
      </c>
      <c r="AJ112" s="61" t="str">
        <f>IF(B112="","",IFERROR(VLOOKUP(B112,'ANÁLISE DE DADOS'!$A:$AM,34,0),""))</f>
        <v/>
      </c>
      <c r="AK112" s="63" t="str">
        <f>IF(B112="","",IFERROR(VLOOKUP(B112,'ANÁLISE DE DADOS'!$A:$AM,35,0),""))</f>
        <v/>
      </c>
      <c r="AL112" s="63" t="str">
        <f>IF(B112="","",IFERROR(VLOOKUP(B112,'ANÁLISE DE DADOS'!$A:$AM,36,0),""))</f>
        <v/>
      </c>
      <c r="AM112" s="101" t="str">
        <f>IF(B112="","",IFERROR(VLOOKUP(B112,'ANÁLISE DE DADOS'!$A:$AM,37,0),""))</f>
        <v/>
      </c>
    </row>
    <row r="113" spans="3:39" x14ac:dyDescent="0.3">
      <c r="C113" s="61" t="str">
        <f>IF(B113="","",IFERROR(VLOOKUP(B113,'ANÁLISE DE DADOS'!$A:$AM,1,0),""))</f>
        <v/>
      </c>
      <c r="D113" s="61" t="str">
        <f>IF(B113="","",IFERROR(VLOOKUP(B113,'ANÁLISE DE DADOS'!$A:$AM,2,0),""))</f>
        <v/>
      </c>
      <c r="E113" s="61" t="str">
        <f>IF(B113="","",IFERROR(VLOOKUP(B113,'ANÁLISE DE DADOS'!$A:$AM,3,0),""))</f>
        <v/>
      </c>
      <c r="F113" s="61" t="str">
        <f>IF(B113="","",IFERROR(VLOOKUP(B113,'ANÁLISE DE DADOS'!$A:$AM,4,0),""))</f>
        <v/>
      </c>
      <c r="G113" s="62" t="str">
        <f>IF(B113="","",IFERROR(VLOOKUP(B113,'ANÁLISE DE DADOS'!$A:$AM,5,0),""))</f>
        <v/>
      </c>
      <c r="H113" s="62" t="str">
        <f>IF(B113="","",IFERROR(VLOOKUP(B113,'ANÁLISE DE DADOS'!$A:$AM,6,0),""))</f>
        <v/>
      </c>
      <c r="I113" s="62" t="str">
        <f>IF(B113="","",IFERROR(VLOOKUP(B113,'ANÁLISE DE DADOS'!$A:$AM,7,0),""))</f>
        <v/>
      </c>
      <c r="J113" s="62" t="str">
        <f>IF(B113="","",IFERROR(VLOOKUP(B113,'ANÁLISE DE DADOS'!$A:$AM,8,0),""))</f>
        <v/>
      </c>
      <c r="K113" s="61" t="str">
        <f>IF(B113="","",IFERROR(VLOOKUP(B113,'ANÁLISE DE DADOS'!$A:$AM,9,0),""))</f>
        <v/>
      </c>
      <c r="L113" s="61" t="str">
        <f>IF(B113="","",IFERROR(VLOOKUP(B113,'ANÁLISE DE DADOS'!$A:$AM,10,0),""))</f>
        <v/>
      </c>
      <c r="M113" s="62" t="str">
        <f>IF(B113="","",IFERROR(VLOOKUP(B113,'ANÁLISE DE DADOS'!$A:$AM,11,0),""))</f>
        <v/>
      </c>
      <c r="N113" s="61" t="str">
        <f>IF(B113="","",IFERROR(VLOOKUP(B113,'ANÁLISE DE DADOS'!$A:$AM,12,0),""))</f>
        <v/>
      </c>
      <c r="O113" s="61" t="str">
        <f>IF(B113="","",IFERROR(VLOOKUP(B113,'ANÁLISE DE DADOS'!$A:$AM,13,0),""))</f>
        <v/>
      </c>
      <c r="P113" s="63" t="str">
        <f>IF(B113="","",IFERROR(VLOOKUP(B113,'ANÁLISE DE DADOS'!$A:$AM,14,0),""))</f>
        <v/>
      </c>
      <c r="Q113" s="61" t="str">
        <f>IF(B113="","",IFERROR(VLOOKUP(B113,'ANÁLISE DE DADOS'!$A:$AM,15,0),""))</f>
        <v/>
      </c>
      <c r="R113" s="61" t="str">
        <f>IF(B113="","",IFERROR(VLOOKUP(B113,'ANÁLISE DE DADOS'!$A:$AM,16,0),""))</f>
        <v/>
      </c>
      <c r="S113" s="61" t="str">
        <f>IF(B113="","",IFERROR(VLOOKUP(B113,'ANÁLISE DE DADOS'!$A:$AM,17,0),""))</f>
        <v/>
      </c>
      <c r="T113" s="61" t="str">
        <f>IF(B113="","",IFERROR(VLOOKUP(B113,'ANÁLISE DE DADOS'!$A:$AM,18,0),""))</f>
        <v/>
      </c>
      <c r="U113" s="61" t="str">
        <f>IF(B113="","",IFERROR(VLOOKUP(B113,'ANÁLISE DE DADOS'!$A:$AM,19,0),""))</f>
        <v/>
      </c>
      <c r="V113" s="61" t="str">
        <f>IF(B113="","",IFERROR(VLOOKUP(B113,'ANÁLISE DE DADOS'!$A:$AM,20,0),""))</f>
        <v/>
      </c>
      <c r="W113" s="61" t="str">
        <f>IF(B113="","",IFERROR(VLOOKUP(B113,'ANÁLISE DE DADOS'!$A:$AM,21,0),""))</f>
        <v/>
      </c>
      <c r="X113" s="61" t="str">
        <f>IF(B113="","",IFERROR(VLOOKUP(B113,'ANÁLISE DE DADOS'!$A:$AM,22,0),""))</f>
        <v/>
      </c>
      <c r="Y113" s="61" t="str">
        <f>IF(B113="","",IFERROR(VLOOKUP(B113,'ANÁLISE DE DADOS'!$A:$AM,23,0),""))</f>
        <v/>
      </c>
      <c r="Z113" s="61" t="str">
        <f>IF(B113="","",IFERROR(VLOOKUP(B113,'ANÁLISE DE DADOS'!$A:$AM,24,0),""))</f>
        <v/>
      </c>
      <c r="AA113" s="61" t="str">
        <f>IF(B113="","",IFERROR(VLOOKUP(B113,'ANÁLISE DE DADOS'!$A:$AM,25,0),""))</f>
        <v/>
      </c>
      <c r="AB113" s="61" t="str">
        <f>IF(B113="","",IFERROR(VLOOKUP(B113,'ANÁLISE DE DADOS'!$A:$AM,26,0),""))</f>
        <v/>
      </c>
      <c r="AC113" s="61" t="str">
        <f>IF(B113="","",IFERROR(VLOOKUP(B113,'ANÁLISE DE DADOS'!$A:$AM,27,0),""))</f>
        <v/>
      </c>
      <c r="AD113" s="62" t="str">
        <f>IF(B113="","",IFERROR(VLOOKUP(B113,'ANÁLISE DE DADOS'!$A:$AM,28,0),""))</f>
        <v/>
      </c>
      <c r="AE113" s="61" t="str">
        <f>IF(B113="","",IFERROR(VLOOKUP(B113,'ANÁLISE DE DADOS'!$A:$AM,29,0),""))</f>
        <v/>
      </c>
      <c r="AF113" s="61" t="str">
        <f>IF(B113="","",IFERROR(VLOOKUP(B113,'ANÁLISE DE DADOS'!$A:$AM,30,0),""))</f>
        <v/>
      </c>
      <c r="AG113" s="62" t="str">
        <f>IF(B113="","",IFERROR(VLOOKUP(B113,'ANÁLISE DE DADOS'!$A:$AM,31,0),""))</f>
        <v/>
      </c>
      <c r="AH113" s="61" t="str">
        <f>IF(B113="","",IFERROR(VLOOKUP(B113,'ANÁLISE DE DADOS'!$A:$AM,32,0),""))</f>
        <v/>
      </c>
      <c r="AI113" s="61" t="str">
        <f>IF(B113="","",IFERROR(VLOOKUP(B113,'ANÁLISE DE DADOS'!$A:$AM,33,0),""))</f>
        <v/>
      </c>
      <c r="AJ113" s="61" t="str">
        <f>IF(B113="","",IFERROR(VLOOKUP(B113,'ANÁLISE DE DADOS'!$A:$AM,34,0),""))</f>
        <v/>
      </c>
      <c r="AK113" s="63" t="str">
        <f>IF(B113="","",IFERROR(VLOOKUP(B113,'ANÁLISE DE DADOS'!$A:$AM,35,0),""))</f>
        <v/>
      </c>
      <c r="AL113" s="63" t="str">
        <f>IF(B113="","",IFERROR(VLOOKUP(B113,'ANÁLISE DE DADOS'!$A:$AM,36,0),""))</f>
        <v/>
      </c>
      <c r="AM113" s="101" t="str">
        <f>IF(B113="","",IFERROR(VLOOKUP(B113,'ANÁLISE DE DADOS'!$A:$AM,37,0),""))</f>
        <v/>
      </c>
    </row>
    <row r="114" spans="3:39" x14ac:dyDescent="0.3">
      <c r="C114" s="61" t="str">
        <f>IF(B114="","",IFERROR(VLOOKUP(B114,'ANÁLISE DE DADOS'!$A:$AM,1,0),""))</f>
        <v/>
      </c>
      <c r="D114" s="61" t="str">
        <f>IF(B114="","",IFERROR(VLOOKUP(B114,'ANÁLISE DE DADOS'!$A:$AM,2,0),""))</f>
        <v/>
      </c>
      <c r="E114" s="61" t="str">
        <f>IF(B114="","",IFERROR(VLOOKUP(B114,'ANÁLISE DE DADOS'!$A:$AM,3,0),""))</f>
        <v/>
      </c>
      <c r="F114" s="61" t="str">
        <f>IF(B114="","",IFERROR(VLOOKUP(B114,'ANÁLISE DE DADOS'!$A:$AM,4,0),""))</f>
        <v/>
      </c>
      <c r="G114" s="62" t="str">
        <f>IF(B114="","",IFERROR(VLOOKUP(B114,'ANÁLISE DE DADOS'!$A:$AM,5,0),""))</f>
        <v/>
      </c>
      <c r="H114" s="62" t="str">
        <f>IF(B114="","",IFERROR(VLOOKUP(B114,'ANÁLISE DE DADOS'!$A:$AM,6,0),""))</f>
        <v/>
      </c>
      <c r="I114" s="62" t="str">
        <f>IF(B114="","",IFERROR(VLOOKUP(B114,'ANÁLISE DE DADOS'!$A:$AM,7,0),""))</f>
        <v/>
      </c>
      <c r="J114" s="62" t="str">
        <f>IF(B114="","",IFERROR(VLOOKUP(B114,'ANÁLISE DE DADOS'!$A:$AM,8,0),""))</f>
        <v/>
      </c>
      <c r="K114" s="61" t="str">
        <f>IF(B114="","",IFERROR(VLOOKUP(B114,'ANÁLISE DE DADOS'!$A:$AM,9,0),""))</f>
        <v/>
      </c>
      <c r="L114" s="61" t="str">
        <f>IF(B114="","",IFERROR(VLOOKUP(B114,'ANÁLISE DE DADOS'!$A:$AM,10,0),""))</f>
        <v/>
      </c>
      <c r="M114" s="62" t="str">
        <f>IF(B114="","",IFERROR(VLOOKUP(B114,'ANÁLISE DE DADOS'!$A:$AM,11,0),""))</f>
        <v/>
      </c>
      <c r="N114" s="61" t="str">
        <f>IF(B114="","",IFERROR(VLOOKUP(B114,'ANÁLISE DE DADOS'!$A:$AM,12,0),""))</f>
        <v/>
      </c>
      <c r="O114" s="61" t="str">
        <f>IF(B114="","",IFERROR(VLOOKUP(B114,'ANÁLISE DE DADOS'!$A:$AM,13,0),""))</f>
        <v/>
      </c>
      <c r="P114" s="63" t="str">
        <f>IF(B114="","",IFERROR(VLOOKUP(B114,'ANÁLISE DE DADOS'!$A:$AM,14,0),""))</f>
        <v/>
      </c>
      <c r="Q114" s="61" t="str">
        <f>IF(B114="","",IFERROR(VLOOKUP(B114,'ANÁLISE DE DADOS'!$A:$AM,15,0),""))</f>
        <v/>
      </c>
      <c r="R114" s="61" t="str">
        <f>IF(B114="","",IFERROR(VLOOKUP(B114,'ANÁLISE DE DADOS'!$A:$AM,16,0),""))</f>
        <v/>
      </c>
      <c r="S114" s="61" t="str">
        <f>IF(B114="","",IFERROR(VLOOKUP(B114,'ANÁLISE DE DADOS'!$A:$AM,17,0),""))</f>
        <v/>
      </c>
      <c r="T114" s="61" t="str">
        <f>IF(B114="","",IFERROR(VLOOKUP(B114,'ANÁLISE DE DADOS'!$A:$AM,18,0),""))</f>
        <v/>
      </c>
      <c r="U114" s="61" t="str">
        <f>IF(B114="","",IFERROR(VLOOKUP(B114,'ANÁLISE DE DADOS'!$A:$AM,19,0),""))</f>
        <v/>
      </c>
      <c r="V114" s="61" t="str">
        <f>IF(B114="","",IFERROR(VLOOKUP(B114,'ANÁLISE DE DADOS'!$A:$AM,20,0),""))</f>
        <v/>
      </c>
      <c r="W114" s="61" t="str">
        <f>IF(B114="","",IFERROR(VLOOKUP(B114,'ANÁLISE DE DADOS'!$A:$AM,21,0),""))</f>
        <v/>
      </c>
      <c r="X114" s="61" t="str">
        <f>IF(B114="","",IFERROR(VLOOKUP(B114,'ANÁLISE DE DADOS'!$A:$AM,22,0),""))</f>
        <v/>
      </c>
      <c r="Y114" s="61" t="str">
        <f>IF(B114="","",IFERROR(VLOOKUP(B114,'ANÁLISE DE DADOS'!$A:$AM,23,0),""))</f>
        <v/>
      </c>
      <c r="Z114" s="61" t="str">
        <f>IF(B114="","",IFERROR(VLOOKUP(B114,'ANÁLISE DE DADOS'!$A:$AM,24,0),""))</f>
        <v/>
      </c>
      <c r="AA114" s="61" t="str">
        <f>IF(B114="","",IFERROR(VLOOKUP(B114,'ANÁLISE DE DADOS'!$A:$AM,25,0),""))</f>
        <v/>
      </c>
      <c r="AB114" s="61" t="str">
        <f>IF(B114="","",IFERROR(VLOOKUP(B114,'ANÁLISE DE DADOS'!$A:$AM,26,0),""))</f>
        <v/>
      </c>
      <c r="AC114" s="61" t="str">
        <f>IF(B114="","",IFERROR(VLOOKUP(B114,'ANÁLISE DE DADOS'!$A:$AM,27,0),""))</f>
        <v/>
      </c>
      <c r="AD114" s="62" t="str">
        <f>IF(B114="","",IFERROR(VLOOKUP(B114,'ANÁLISE DE DADOS'!$A:$AM,28,0),""))</f>
        <v/>
      </c>
      <c r="AE114" s="61" t="str">
        <f>IF(B114="","",IFERROR(VLOOKUP(B114,'ANÁLISE DE DADOS'!$A:$AM,29,0),""))</f>
        <v/>
      </c>
      <c r="AF114" s="61" t="str">
        <f>IF(B114="","",IFERROR(VLOOKUP(B114,'ANÁLISE DE DADOS'!$A:$AM,30,0),""))</f>
        <v/>
      </c>
      <c r="AG114" s="62" t="str">
        <f>IF(B114="","",IFERROR(VLOOKUP(B114,'ANÁLISE DE DADOS'!$A:$AM,31,0),""))</f>
        <v/>
      </c>
      <c r="AH114" s="61" t="str">
        <f>IF(B114="","",IFERROR(VLOOKUP(B114,'ANÁLISE DE DADOS'!$A:$AM,32,0),""))</f>
        <v/>
      </c>
      <c r="AI114" s="61" t="str">
        <f>IF(B114="","",IFERROR(VLOOKUP(B114,'ANÁLISE DE DADOS'!$A:$AM,33,0),""))</f>
        <v/>
      </c>
      <c r="AJ114" s="61" t="str">
        <f>IF(B114="","",IFERROR(VLOOKUP(B114,'ANÁLISE DE DADOS'!$A:$AM,34,0),""))</f>
        <v/>
      </c>
      <c r="AK114" s="63" t="str">
        <f>IF(B114="","",IFERROR(VLOOKUP(B114,'ANÁLISE DE DADOS'!$A:$AM,35,0),""))</f>
        <v/>
      </c>
      <c r="AL114" s="63" t="str">
        <f>IF(B114="","",IFERROR(VLOOKUP(B114,'ANÁLISE DE DADOS'!$A:$AM,36,0),""))</f>
        <v/>
      </c>
      <c r="AM114" s="101" t="str">
        <f>IF(B114="","",IFERROR(VLOOKUP(B114,'ANÁLISE DE DADOS'!$A:$AM,37,0),""))</f>
        <v/>
      </c>
    </row>
    <row r="115" spans="3:39" x14ac:dyDescent="0.3">
      <c r="C115" s="61" t="str">
        <f>IF(B115="","",IFERROR(VLOOKUP(B115,'ANÁLISE DE DADOS'!$A:$AM,1,0),""))</f>
        <v/>
      </c>
      <c r="D115" s="61" t="str">
        <f>IF(B115="","",IFERROR(VLOOKUP(B115,'ANÁLISE DE DADOS'!$A:$AM,2,0),""))</f>
        <v/>
      </c>
      <c r="E115" s="61" t="str">
        <f>IF(B115="","",IFERROR(VLOOKUP(B115,'ANÁLISE DE DADOS'!$A:$AM,3,0),""))</f>
        <v/>
      </c>
      <c r="F115" s="61" t="str">
        <f>IF(B115="","",IFERROR(VLOOKUP(B115,'ANÁLISE DE DADOS'!$A:$AM,4,0),""))</f>
        <v/>
      </c>
      <c r="G115" s="62" t="str">
        <f>IF(B115="","",IFERROR(VLOOKUP(B115,'ANÁLISE DE DADOS'!$A:$AM,5,0),""))</f>
        <v/>
      </c>
      <c r="H115" s="62" t="str">
        <f>IF(B115="","",IFERROR(VLOOKUP(B115,'ANÁLISE DE DADOS'!$A:$AM,6,0),""))</f>
        <v/>
      </c>
      <c r="I115" s="62" t="str">
        <f>IF(B115="","",IFERROR(VLOOKUP(B115,'ANÁLISE DE DADOS'!$A:$AM,7,0),""))</f>
        <v/>
      </c>
      <c r="J115" s="62" t="str">
        <f>IF(B115="","",IFERROR(VLOOKUP(B115,'ANÁLISE DE DADOS'!$A:$AM,8,0),""))</f>
        <v/>
      </c>
      <c r="K115" s="61" t="str">
        <f>IF(B115="","",IFERROR(VLOOKUP(B115,'ANÁLISE DE DADOS'!$A:$AM,9,0),""))</f>
        <v/>
      </c>
      <c r="L115" s="61" t="str">
        <f>IF(B115="","",IFERROR(VLOOKUP(B115,'ANÁLISE DE DADOS'!$A:$AM,10,0),""))</f>
        <v/>
      </c>
      <c r="M115" s="62" t="str">
        <f>IF(B115="","",IFERROR(VLOOKUP(B115,'ANÁLISE DE DADOS'!$A:$AM,11,0),""))</f>
        <v/>
      </c>
      <c r="N115" s="61" t="str">
        <f>IF(B115="","",IFERROR(VLOOKUP(B115,'ANÁLISE DE DADOS'!$A:$AM,12,0),""))</f>
        <v/>
      </c>
      <c r="O115" s="61" t="str">
        <f>IF(B115="","",IFERROR(VLOOKUP(B115,'ANÁLISE DE DADOS'!$A:$AM,13,0),""))</f>
        <v/>
      </c>
      <c r="P115" s="63" t="str">
        <f>IF(B115="","",IFERROR(VLOOKUP(B115,'ANÁLISE DE DADOS'!$A:$AM,14,0),""))</f>
        <v/>
      </c>
      <c r="Q115" s="61" t="str">
        <f>IF(B115="","",IFERROR(VLOOKUP(B115,'ANÁLISE DE DADOS'!$A:$AM,15,0),""))</f>
        <v/>
      </c>
      <c r="R115" s="61" t="str">
        <f>IF(B115="","",IFERROR(VLOOKUP(B115,'ANÁLISE DE DADOS'!$A:$AM,16,0),""))</f>
        <v/>
      </c>
      <c r="S115" s="61" t="str">
        <f>IF(B115="","",IFERROR(VLOOKUP(B115,'ANÁLISE DE DADOS'!$A:$AM,17,0),""))</f>
        <v/>
      </c>
      <c r="T115" s="61" t="str">
        <f>IF(B115="","",IFERROR(VLOOKUP(B115,'ANÁLISE DE DADOS'!$A:$AM,18,0),""))</f>
        <v/>
      </c>
      <c r="U115" s="61" t="str">
        <f>IF(B115="","",IFERROR(VLOOKUP(B115,'ANÁLISE DE DADOS'!$A:$AM,19,0),""))</f>
        <v/>
      </c>
      <c r="V115" s="61" t="str">
        <f>IF(B115="","",IFERROR(VLOOKUP(B115,'ANÁLISE DE DADOS'!$A:$AM,20,0),""))</f>
        <v/>
      </c>
      <c r="W115" s="61" t="str">
        <f>IF(B115="","",IFERROR(VLOOKUP(B115,'ANÁLISE DE DADOS'!$A:$AM,21,0),""))</f>
        <v/>
      </c>
      <c r="X115" s="61" t="str">
        <f>IF(B115="","",IFERROR(VLOOKUP(B115,'ANÁLISE DE DADOS'!$A:$AM,22,0),""))</f>
        <v/>
      </c>
      <c r="Y115" s="61" t="str">
        <f>IF(B115="","",IFERROR(VLOOKUP(B115,'ANÁLISE DE DADOS'!$A:$AM,23,0),""))</f>
        <v/>
      </c>
      <c r="Z115" s="61" t="str">
        <f>IF(B115="","",IFERROR(VLOOKUP(B115,'ANÁLISE DE DADOS'!$A:$AM,24,0),""))</f>
        <v/>
      </c>
      <c r="AA115" s="61" t="str">
        <f>IF(B115="","",IFERROR(VLOOKUP(B115,'ANÁLISE DE DADOS'!$A:$AM,25,0),""))</f>
        <v/>
      </c>
      <c r="AB115" s="61" t="str">
        <f>IF(B115="","",IFERROR(VLOOKUP(B115,'ANÁLISE DE DADOS'!$A:$AM,26,0),""))</f>
        <v/>
      </c>
      <c r="AC115" s="61" t="str">
        <f>IF(B115="","",IFERROR(VLOOKUP(B115,'ANÁLISE DE DADOS'!$A:$AM,27,0),""))</f>
        <v/>
      </c>
      <c r="AD115" s="62" t="str">
        <f>IF(B115="","",IFERROR(VLOOKUP(B115,'ANÁLISE DE DADOS'!$A:$AM,28,0),""))</f>
        <v/>
      </c>
      <c r="AE115" s="61" t="str">
        <f>IF(B115="","",IFERROR(VLOOKUP(B115,'ANÁLISE DE DADOS'!$A:$AM,29,0),""))</f>
        <v/>
      </c>
      <c r="AF115" s="61" t="str">
        <f>IF(B115="","",IFERROR(VLOOKUP(B115,'ANÁLISE DE DADOS'!$A:$AM,30,0),""))</f>
        <v/>
      </c>
      <c r="AG115" s="62" t="str">
        <f>IF(B115="","",IFERROR(VLOOKUP(B115,'ANÁLISE DE DADOS'!$A:$AM,31,0),""))</f>
        <v/>
      </c>
      <c r="AH115" s="61" t="str">
        <f>IF(B115="","",IFERROR(VLOOKUP(B115,'ANÁLISE DE DADOS'!$A:$AM,32,0),""))</f>
        <v/>
      </c>
      <c r="AI115" s="61" t="str">
        <f>IF(B115="","",IFERROR(VLOOKUP(B115,'ANÁLISE DE DADOS'!$A:$AM,33,0),""))</f>
        <v/>
      </c>
      <c r="AJ115" s="61" t="str">
        <f>IF(B115="","",IFERROR(VLOOKUP(B115,'ANÁLISE DE DADOS'!$A:$AM,34,0),""))</f>
        <v/>
      </c>
      <c r="AK115" s="63" t="str">
        <f>IF(B115="","",IFERROR(VLOOKUP(B115,'ANÁLISE DE DADOS'!$A:$AM,35,0),""))</f>
        <v/>
      </c>
      <c r="AL115" s="63" t="str">
        <f>IF(B115="","",IFERROR(VLOOKUP(B115,'ANÁLISE DE DADOS'!$A:$AM,36,0),""))</f>
        <v/>
      </c>
      <c r="AM115" s="101" t="str">
        <f>IF(B115="","",IFERROR(VLOOKUP(B115,'ANÁLISE DE DADOS'!$A:$AM,37,0),""))</f>
        <v/>
      </c>
    </row>
    <row r="116" spans="3:39" x14ac:dyDescent="0.3">
      <c r="C116" s="61" t="str">
        <f>IF(B116="","",IFERROR(VLOOKUP(B116,'ANÁLISE DE DADOS'!$A:$AM,1,0),""))</f>
        <v/>
      </c>
      <c r="D116" s="61" t="str">
        <f>IF(B116="","",IFERROR(VLOOKUP(B116,'ANÁLISE DE DADOS'!$A:$AM,2,0),""))</f>
        <v/>
      </c>
      <c r="E116" s="61" t="str">
        <f>IF(B116="","",IFERROR(VLOOKUP(B116,'ANÁLISE DE DADOS'!$A:$AM,3,0),""))</f>
        <v/>
      </c>
      <c r="F116" s="61" t="str">
        <f>IF(B116="","",IFERROR(VLOOKUP(B116,'ANÁLISE DE DADOS'!$A:$AM,4,0),""))</f>
        <v/>
      </c>
      <c r="G116" s="62" t="str">
        <f>IF(B116="","",IFERROR(VLOOKUP(B116,'ANÁLISE DE DADOS'!$A:$AM,5,0),""))</f>
        <v/>
      </c>
      <c r="H116" s="62" t="str">
        <f>IF(B116="","",IFERROR(VLOOKUP(B116,'ANÁLISE DE DADOS'!$A:$AM,6,0),""))</f>
        <v/>
      </c>
      <c r="I116" s="62" t="str">
        <f>IF(B116="","",IFERROR(VLOOKUP(B116,'ANÁLISE DE DADOS'!$A:$AM,7,0),""))</f>
        <v/>
      </c>
      <c r="J116" s="62" t="str">
        <f>IF(B116="","",IFERROR(VLOOKUP(B116,'ANÁLISE DE DADOS'!$A:$AM,8,0),""))</f>
        <v/>
      </c>
      <c r="K116" s="61" t="str">
        <f>IF(B116="","",IFERROR(VLOOKUP(B116,'ANÁLISE DE DADOS'!$A:$AM,9,0),""))</f>
        <v/>
      </c>
      <c r="L116" s="61" t="str">
        <f>IF(B116="","",IFERROR(VLOOKUP(B116,'ANÁLISE DE DADOS'!$A:$AM,10,0),""))</f>
        <v/>
      </c>
      <c r="M116" s="62" t="str">
        <f>IF(B116="","",IFERROR(VLOOKUP(B116,'ANÁLISE DE DADOS'!$A:$AM,11,0),""))</f>
        <v/>
      </c>
      <c r="N116" s="61" t="str">
        <f>IF(B116="","",IFERROR(VLOOKUP(B116,'ANÁLISE DE DADOS'!$A:$AM,12,0),""))</f>
        <v/>
      </c>
      <c r="O116" s="61" t="str">
        <f>IF(B116="","",IFERROR(VLOOKUP(B116,'ANÁLISE DE DADOS'!$A:$AM,13,0),""))</f>
        <v/>
      </c>
      <c r="P116" s="63" t="str">
        <f>IF(B116="","",IFERROR(VLOOKUP(B116,'ANÁLISE DE DADOS'!$A:$AM,14,0),""))</f>
        <v/>
      </c>
      <c r="Q116" s="61" t="str">
        <f>IF(B116="","",IFERROR(VLOOKUP(B116,'ANÁLISE DE DADOS'!$A:$AM,15,0),""))</f>
        <v/>
      </c>
      <c r="R116" s="61" t="str">
        <f>IF(B116="","",IFERROR(VLOOKUP(B116,'ANÁLISE DE DADOS'!$A:$AM,16,0),""))</f>
        <v/>
      </c>
      <c r="S116" s="61" t="str">
        <f>IF(B116="","",IFERROR(VLOOKUP(B116,'ANÁLISE DE DADOS'!$A:$AM,17,0),""))</f>
        <v/>
      </c>
      <c r="T116" s="61" t="str">
        <f>IF(B116="","",IFERROR(VLOOKUP(B116,'ANÁLISE DE DADOS'!$A:$AM,18,0),""))</f>
        <v/>
      </c>
      <c r="U116" s="61" t="str">
        <f>IF(B116="","",IFERROR(VLOOKUP(B116,'ANÁLISE DE DADOS'!$A:$AM,19,0),""))</f>
        <v/>
      </c>
      <c r="V116" s="61" t="str">
        <f>IF(B116="","",IFERROR(VLOOKUP(B116,'ANÁLISE DE DADOS'!$A:$AM,20,0),""))</f>
        <v/>
      </c>
      <c r="W116" s="61" t="str">
        <f>IF(B116="","",IFERROR(VLOOKUP(B116,'ANÁLISE DE DADOS'!$A:$AM,21,0),""))</f>
        <v/>
      </c>
      <c r="X116" s="61" t="str">
        <f>IF(B116="","",IFERROR(VLOOKUP(B116,'ANÁLISE DE DADOS'!$A:$AM,22,0),""))</f>
        <v/>
      </c>
      <c r="Y116" s="61" t="str">
        <f>IF(B116="","",IFERROR(VLOOKUP(B116,'ANÁLISE DE DADOS'!$A:$AM,23,0),""))</f>
        <v/>
      </c>
      <c r="Z116" s="61" t="str">
        <f>IF(B116="","",IFERROR(VLOOKUP(B116,'ANÁLISE DE DADOS'!$A:$AM,24,0),""))</f>
        <v/>
      </c>
      <c r="AA116" s="61" t="str">
        <f>IF(B116="","",IFERROR(VLOOKUP(B116,'ANÁLISE DE DADOS'!$A:$AM,25,0),""))</f>
        <v/>
      </c>
      <c r="AB116" s="61" t="str">
        <f>IF(B116="","",IFERROR(VLOOKUP(B116,'ANÁLISE DE DADOS'!$A:$AM,26,0),""))</f>
        <v/>
      </c>
      <c r="AC116" s="61" t="str">
        <f>IF(B116="","",IFERROR(VLOOKUP(B116,'ANÁLISE DE DADOS'!$A:$AM,27,0),""))</f>
        <v/>
      </c>
      <c r="AD116" s="62" t="str">
        <f>IF(B116="","",IFERROR(VLOOKUP(B116,'ANÁLISE DE DADOS'!$A:$AM,28,0),""))</f>
        <v/>
      </c>
      <c r="AE116" s="61" t="str">
        <f>IF(B116="","",IFERROR(VLOOKUP(B116,'ANÁLISE DE DADOS'!$A:$AM,29,0),""))</f>
        <v/>
      </c>
      <c r="AF116" s="61" t="str">
        <f>IF(B116="","",IFERROR(VLOOKUP(B116,'ANÁLISE DE DADOS'!$A:$AM,30,0),""))</f>
        <v/>
      </c>
      <c r="AG116" s="62" t="str">
        <f>IF(B116="","",IFERROR(VLOOKUP(B116,'ANÁLISE DE DADOS'!$A:$AM,31,0),""))</f>
        <v/>
      </c>
      <c r="AH116" s="61" t="str">
        <f>IF(B116="","",IFERROR(VLOOKUP(B116,'ANÁLISE DE DADOS'!$A:$AM,32,0),""))</f>
        <v/>
      </c>
      <c r="AI116" s="61" t="str">
        <f>IF(B116="","",IFERROR(VLOOKUP(B116,'ANÁLISE DE DADOS'!$A:$AM,33,0),""))</f>
        <v/>
      </c>
      <c r="AJ116" s="61" t="str">
        <f>IF(B116="","",IFERROR(VLOOKUP(B116,'ANÁLISE DE DADOS'!$A:$AM,34,0),""))</f>
        <v/>
      </c>
      <c r="AK116" s="63" t="str">
        <f>IF(B116="","",IFERROR(VLOOKUP(B116,'ANÁLISE DE DADOS'!$A:$AM,35,0),""))</f>
        <v/>
      </c>
      <c r="AL116" s="63" t="str">
        <f>IF(B116="","",IFERROR(VLOOKUP(B116,'ANÁLISE DE DADOS'!$A:$AM,36,0),""))</f>
        <v/>
      </c>
      <c r="AM116" s="101" t="str">
        <f>IF(B116="","",IFERROR(VLOOKUP(B116,'ANÁLISE DE DADOS'!$A:$AM,37,0),""))</f>
        <v/>
      </c>
    </row>
    <row r="117" spans="3:39" x14ac:dyDescent="0.3">
      <c r="C117" s="61" t="str">
        <f>IF(B117="","",IFERROR(VLOOKUP(B117,'ANÁLISE DE DADOS'!$A:$AM,1,0),""))</f>
        <v/>
      </c>
      <c r="D117" s="61" t="str">
        <f>IF(B117="","",IFERROR(VLOOKUP(B117,'ANÁLISE DE DADOS'!$A:$AM,2,0),""))</f>
        <v/>
      </c>
      <c r="E117" s="61" t="str">
        <f>IF(B117="","",IFERROR(VLOOKUP(B117,'ANÁLISE DE DADOS'!$A:$AM,3,0),""))</f>
        <v/>
      </c>
      <c r="F117" s="61" t="str">
        <f>IF(B117="","",IFERROR(VLOOKUP(B117,'ANÁLISE DE DADOS'!$A:$AM,4,0),""))</f>
        <v/>
      </c>
      <c r="G117" s="62" t="str">
        <f>IF(B117="","",IFERROR(VLOOKUP(B117,'ANÁLISE DE DADOS'!$A:$AM,5,0),""))</f>
        <v/>
      </c>
      <c r="H117" s="62" t="str">
        <f>IF(B117="","",IFERROR(VLOOKUP(B117,'ANÁLISE DE DADOS'!$A:$AM,6,0),""))</f>
        <v/>
      </c>
      <c r="I117" s="62" t="str">
        <f>IF(B117="","",IFERROR(VLOOKUP(B117,'ANÁLISE DE DADOS'!$A:$AM,7,0),""))</f>
        <v/>
      </c>
      <c r="J117" s="62" t="str">
        <f>IF(B117="","",IFERROR(VLOOKUP(B117,'ANÁLISE DE DADOS'!$A:$AM,8,0),""))</f>
        <v/>
      </c>
      <c r="K117" s="61" t="str">
        <f>IF(B117="","",IFERROR(VLOOKUP(B117,'ANÁLISE DE DADOS'!$A:$AM,9,0),""))</f>
        <v/>
      </c>
      <c r="L117" s="61" t="str">
        <f>IF(B117="","",IFERROR(VLOOKUP(B117,'ANÁLISE DE DADOS'!$A:$AM,10,0),""))</f>
        <v/>
      </c>
      <c r="M117" s="62" t="str">
        <f>IF(B117="","",IFERROR(VLOOKUP(B117,'ANÁLISE DE DADOS'!$A:$AM,11,0),""))</f>
        <v/>
      </c>
      <c r="N117" s="61" t="str">
        <f>IF(B117="","",IFERROR(VLOOKUP(B117,'ANÁLISE DE DADOS'!$A:$AM,12,0),""))</f>
        <v/>
      </c>
      <c r="O117" s="61" t="str">
        <f>IF(B117="","",IFERROR(VLOOKUP(B117,'ANÁLISE DE DADOS'!$A:$AM,13,0),""))</f>
        <v/>
      </c>
      <c r="P117" s="63" t="str">
        <f>IF(B117="","",IFERROR(VLOOKUP(B117,'ANÁLISE DE DADOS'!$A:$AM,14,0),""))</f>
        <v/>
      </c>
      <c r="Q117" s="61" t="str">
        <f>IF(B117="","",IFERROR(VLOOKUP(B117,'ANÁLISE DE DADOS'!$A:$AM,15,0),""))</f>
        <v/>
      </c>
      <c r="R117" s="61" t="str">
        <f>IF(B117="","",IFERROR(VLOOKUP(B117,'ANÁLISE DE DADOS'!$A:$AM,16,0),""))</f>
        <v/>
      </c>
      <c r="S117" s="61" t="str">
        <f>IF(B117="","",IFERROR(VLOOKUP(B117,'ANÁLISE DE DADOS'!$A:$AM,17,0),""))</f>
        <v/>
      </c>
      <c r="T117" s="61" t="str">
        <f>IF(B117="","",IFERROR(VLOOKUP(B117,'ANÁLISE DE DADOS'!$A:$AM,18,0),""))</f>
        <v/>
      </c>
      <c r="U117" s="61" t="str">
        <f>IF(B117="","",IFERROR(VLOOKUP(B117,'ANÁLISE DE DADOS'!$A:$AM,19,0),""))</f>
        <v/>
      </c>
      <c r="V117" s="61" t="str">
        <f>IF(B117="","",IFERROR(VLOOKUP(B117,'ANÁLISE DE DADOS'!$A:$AM,20,0),""))</f>
        <v/>
      </c>
      <c r="W117" s="61" t="str">
        <f>IF(B117="","",IFERROR(VLOOKUP(B117,'ANÁLISE DE DADOS'!$A:$AM,21,0),""))</f>
        <v/>
      </c>
      <c r="X117" s="61" t="str">
        <f>IF(B117="","",IFERROR(VLOOKUP(B117,'ANÁLISE DE DADOS'!$A:$AM,22,0),""))</f>
        <v/>
      </c>
      <c r="Y117" s="61" t="str">
        <f>IF(B117="","",IFERROR(VLOOKUP(B117,'ANÁLISE DE DADOS'!$A:$AM,23,0),""))</f>
        <v/>
      </c>
      <c r="Z117" s="61" t="str">
        <f>IF(B117="","",IFERROR(VLOOKUP(B117,'ANÁLISE DE DADOS'!$A:$AM,24,0),""))</f>
        <v/>
      </c>
      <c r="AA117" s="61" t="str">
        <f>IF(B117="","",IFERROR(VLOOKUP(B117,'ANÁLISE DE DADOS'!$A:$AM,25,0),""))</f>
        <v/>
      </c>
      <c r="AB117" s="61" t="str">
        <f>IF(B117="","",IFERROR(VLOOKUP(B117,'ANÁLISE DE DADOS'!$A:$AM,26,0),""))</f>
        <v/>
      </c>
      <c r="AC117" s="61" t="str">
        <f>IF(B117="","",IFERROR(VLOOKUP(B117,'ANÁLISE DE DADOS'!$A:$AM,27,0),""))</f>
        <v/>
      </c>
      <c r="AD117" s="62" t="str">
        <f>IF(B117="","",IFERROR(VLOOKUP(B117,'ANÁLISE DE DADOS'!$A:$AM,28,0),""))</f>
        <v/>
      </c>
      <c r="AE117" s="61" t="str">
        <f>IF(B117="","",IFERROR(VLOOKUP(B117,'ANÁLISE DE DADOS'!$A:$AM,29,0),""))</f>
        <v/>
      </c>
      <c r="AF117" s="61" t="str">
        <f>IF(B117="","",IFERROR(VLOOKUP(B117,'ANÁLISE DE DADOS'!$A:$AM,30,0),""))</f>
        <v/>
      </c>
      <c r="AG117" s="62" t="str">
        <f>IF(B117="","",IFERROR(VLOOKUP(B117,'ANÁLISE DE DADOS'!$A:$AM,31,0),""))</f>
        <v/>
      </c>
      <c r="AH117" s="61" t="str">
        <f>IF(B117="","",IFERROR(VLOOKUP(B117,'ANÁLISE DE DADOS'!$A:$AM,32,0),""))</f>
        <v/>
      </c>
      <c r="AI117" s="61" t="str">
        <f>IF(B117="","",IFERROR(VLOOKUP(B117,'ANÁLISE DE DADOS'!$A:$AM,33,0),""))</f>
        <v/>
      </c>
      <c r="AJ117" s="61" t="str">
        <f>IF(B117="","",IFERROR(VLOOKUP(B117,'ANÁLISE DE DADOS'!$A:$AM,34,0),""))</f>
        <v/>
      </c>
      <c r="AK117" s="63" t="str">
        <f>IF(B117="","",IFERROR(VLOOKUP(B117,'ANÁLISE DE DADOS'!$A:$AM,35,0),""))</f>
        <v/>
      </c>
      <c r="AL117" s="63" t="str">
        <f>IF(B117="","",IFERROR(VLOOKUP(B117,'ANÁLISE DE DADOS'!$A:$AM,36,0),""))</f>
        <v/>
      </c>
      <c r="AM117" s="101" t="str">
        <f>IF(B117="","",IFERROR(VLOOKUP(B117,'ANÁLISE DE DADOS'!$A:$AM,37,0),""))</f>
        <v/>
      </c>
    </row>
  </sheetData>
  <sheetProtection algorithmName="SHA-512" hashValue="qscpt7jtKL/LsJRZ5t60VZrruPZN1reBcA1qJYITH9RKhDeL5Cs9qpsRFC1btUTwVyHLwAv1vRT4OrwfFBisnQ==" saltValue="NaI5AWr70ZuzEm0SPmVyxQ==" spinCount="100000" sheet="1" objects="1" scenarios="1"/>
  <conditionalFormatting sqref="D4:D117">
    <cfRule type="containsText" dxfId="13" priority="5" operator="containsText" text="FILIAL">
      <formula>NOT(ISERROR(SEARCH("FILIAL",D4)))</formula>
    </cfRule>
    <cfRule type="containsText" dxfId="12" priority="6" operator="containsText" text="MATRIZ">
      <formula>NOT(ISERROR(SEARCH("MATRIZ",D4)))</formula>
    </cfRule>
  </conditionalFormatting>
  <conditionalFormatting sqref="P4:P117">
    <cfRule type="colorScale" priority="18">
      <colorScale>
        <cfvo type="min"/>
        <cfvo type="max"/>
        <color rgb="FF63BE7B"/>
        <color rgb="FFFFEF9C"/>
      </colorScale>
    </cfRule>
  </conditionalFormatting>
  <conditionalFormatting sqref="S4:S113">
    <cfRule type="containsText" dxfId="11" priority="14" operator="containsText" text="NÃO">
      <formula>NOT(ISERROR(SEARCH("NÃO",S4)))</formula>
    </cfRule>
    <cfRule type="containsText" dxfId="10" priority="15" operator="containsText" text="sim">
      <formula>NOT(ISERROR(SEARCH("sim",S4)))</formula>
    </cfRule>
  </conditionalFormatting>
  <conditionalFormatting sqref="U4:U116">
    <cfRule type="containsText" dxfId="9" priority="11" operator="containsText" text="A VENCER">
      <formula>NOT(ISERROR(SEARCH("A VENCER",U4)))</formula>
    </cfRule>
    <cfRule type="containsText" dxfId="8" priority="12" operator="containsText" text="QUITADO">
      <formula>NOT(ISERROR(SEARCH("QUITADO",U4)))</formula>
    </cfRule>
    <cfRule type="containsText" dxfId="7" priority="13" operator="containsText" text="VENCIDO">
      <formula>NOT(ISERROR(SEARCH("VENCIDO",U4)))</formula>
    </cfRule>
  </conditionalFormatting>
  <conditionalFormatting sqref="V4:V1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X4:X115">
    <cfRule type="containsText" dxfId="6" priority="7" operator="containsText" text="RECENTE">
      <formula>NOT(ISERROR(SEARCH("RECENTE",X4)))</formula>
    </cfRule>
    <cfRule type="containsText" dxfId="5" priority="8" operator="containsText" text="MÉDIO">
      <formula>NOT(ISERROR(SEARCH("MÉDIO",X4)))</formula>
    </cfRule>
    <cfRule type="containsText" dxfId="4" priority="9" operator="containsText" text="CRÍTICO">
      <formula>NOT(ISERROR(SEARCH("CRÍTICO",X4)))</formula>
    </cfRule>
  </conditionalFormatting>
  <conditionalFormatting sqref="Z4:Z117">
    <cfRule type="containsText" dxfId="3" priority="3" operator="containsText" text="NÃO">
      <formula>NOT(ISERROR(SEARCH("NÃO",Z4)))</formula>
    </cfRule>
    <cfRule type="containsText" dxfId="2" priority="4" operator="containsText" text="SIM">
      <formula>NOT(ISERROR(SEARCH("SIM",Z4)))</formula>
    </cfRule>
  </conditionalFormatting>
  <conditionalFormatting sqref="AC4:AC117">
    <cfRule type="containsText" dxfId="1" priority="1" operator="containsText" text="NÃO">
      <formula>NOT(ISERROR(SEARCH("NÃO",AC4)))</formula>
    </cfRule>
    <cfRule type="containsText" dxfId="0" priority="2" operator="containsText" text="SIM">
      <formula>NOT(ISERROR(SEARCH("SIM",AC4)))</formula>
    </cfRule>
  </conditionalFormatting>
  <conditionalFormatting sqref="AK4:AK117">
    <cfRule type="colorScale" priority="17">
      <colorScale>
        <cfvo type="min"/>
        <cfvo type="max"/>
        <color rgb="FF63BE7B"/>
        <color rgb="FFFFEF9C"/>
      </colorScale>
    </cfRule>
  </conditionalFormatting>
  <conditionalFormatting sqref="AL4:AL117">
    <cfRule type="colorScale" priority="16">
      <colorScale>
        <cfvo type="min"/>
        <cfvo type="max"/>
        <color rgb="FF63BE7B"/>
        <color rgb="FFFFEF9C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D85D-9E5A-4C89-953B-44385DDFDF6C}">
  <sheetPr codeName="Planilha16">
    <tabColor rgb="FFFFC000"/>
    <pageSetUpPr fitToPage="1"/>
  </sheetPr>
  <dimension ref="B2:AU3"/>
  <sheetViews>
    <sheetView showGridLines="0" view="pageBreakPreview" topLeftCell="A2" zoomScale="70" zoomScaleNormal="70" zoomScaleSheetLayoutView="70" workbookViewId="0">
      <selection activeCell="X41" sqref="X41"/>
    </sheetView>
  </sheetViews>
  <sheetFormatPr defaultRowHeight="14.4" x14ac:dyDescent="0.3"/>
  <cols>
    <col min="1" max="1" width="1.77734375" customWidth="1"/>
  </cols>
  <sheetData>
    <row r="2" spans="2:47" s="4" customFormat="1" ht="15.6" x14ac:dyDescent="0.3">
      <c r="B2" s="47"/>
      <c r="C2" s="161" t="s">
        <v>157</v>
      </c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47"/>
      <c r="P2" s="48" t="s">
        <v>158</v>
      </c>
      <c r="Q2" s="162">
        <f ca="1">TODAY()</f>
        <v>45795</v>
      </c>
      <c r="R2" s="163"/>
      <c r="U2" s="4" t="s">
        <v>134</v>
      </c>
      <c r="W2" s="155"/>
    </row>
    <row r="3" spans="2:47" x14ac:dyDescent="0.3">
      <c r="S3" s="156" t="s">
        <v>200</v>
      </c>
      <c r="AU3" t="s">
        <v>201</v>
      </c>
    </row>
  </sheetData>
  <sheetProtection algorithmName="SHA-512" hashValue="SJHLSBCfF8iAGkXpBMt8Q8fKVL+k2kOy21682Ce1RTzyfUdw88I8N8hF0Iq3w9rLVIkSvGwvnH6wsXopxtoioA==" saltValue="X99S3Og7O9hLqTuApafgUw==" spinCount="100000" sheet="1" objects="1" scenarios="1"/>
  <mergeCells count="2">
    <mergeCell ref="C2:N2"/>
    <mergeCell ref="Q2:R2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96" fitToHeight="0" orientation="landscape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231E-0E3B-4BFA-99E7-746755D1DB74}">
  <sheetPr>
    <tabColor rgb="FFFFC000"/>
    <pageSetUpPr fitToPage="1"/>
  </sheetPr>
  <dimension ref="A1:CV118"/>
  <sheetViews>
    <sheetView showGridLines="0" view="pageBreakPreview" zoomScale="35" zoomScaleNormal="40" zoomScaleSheetLayoutView="35" workbookViewId="0">
      <selection activeCell="BL56" sqref="BL56"/>
    </sheetView>
  </sheetViews>
  <sheetFormatPr defaultRowHeight="14.4" x14ac:dyDescent="0.3"/>
  <sheetData>
    <row r="1" spans="1:100" ht="19.95" customHeight="1" x14ac:dyDescent="0.3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</row>
    <row r="2" spans="1:100" ht="19.95" customHeight="1" x14ac:dyDescent="0.3"/>
    <row r="3" spans="1:100" ht="46.8" customHeight="1" x14ac:dyDescent="0.3">
      <c r="B3" s="167"/>
      <c r="C3" s="167"/>
      <c r="D3" s="167"/>
      <c r="E3" s="167"/>
      <c r="F3" s="167"/>
      <c r="G3" s="167"/>
      <c r="H3" s="167"/>
      <c r="I3" s="167"/>
      <c r="K3" s="166" t="str">
        <f>'RELATÓRIO COBRANÇA - TABELA'!B29</f>
        <v>VALOR FATURAMENTO</v>
      </c>
      <c r="L3" s="166"/>
      <c r="M3" s="166"/>
      <c r="N3" s="166"/>
      <c r="O3" s="166"/>
      <c r="P3" s="166"/>
      <c r="Q3" s="166"/>
      <c r="R3" s="166"/>
      <c r="T3" s="166" t="str">
        <f>'RELATÓRIO COBRANÇA - TABELA'!C29</f>
        <v>VALORES A VENCER</v>
      </c>
      <c r="U3" s="166"/>
      <c r="V3" s="166"/>
      <c r="W3" s="166"/>
      <c r="X3" s="166"/>
      <c r="Y3" s="166"/>
      <c r="Z3" s="166"/>
      <c r="AA3" s="166"/>
      <c r="AC3" s="166" t="str">
        <f>'RELATÓRIO COBRANÇA - TABELA'!D29</f>
        <v>VALORES VENCIDOS</v>
      </c>
      <c r="AD3" s="166"/>
      <c r="AE3" s="166"/>
      <c r="AF3" s="166"/>
      <c r="AG3" s="166"/>
      <c r="AH3" s="166"/>
      <c r="AI3" s="166"/>
      <c r="AJ3" s="166"/>
      <c r="AL3" s="166" t="str">
        <f>'RELATÓRIO COBRANÇA - TABELA'!E29</f>
        <v>%</v>
      </c>
      <c r="AM3" s="166"/>
      <c r="AN3" s="166"/>
      <c r="AO3" s="166"/>
      <c r="AP3" s="166"/>
      <c r="AQ3" s="166"/>
      <c r="AR3" s="166"/>
      <c r="AS3" s="166"/>
      <c r="BV3">
        <v>19</v>
      </c>
      <c r="CE3">
        <v>28</v>
      </c>
      <c r="CO3" s="166">
        <f>'RELATÓRIO COBRANÇA - TABELA'!N29</f>
        <v>0</v>
      </c>
      <c r="CP3" s="166"/>
      <c r="CQ3" s="166"/>
      <c r="CR3" s="166"/>
      <c r="CS3" s="166"/>
      <c r="CT3" s="166"/>
      <c r="CU3" s="166"/>
      <c r="CV3" s="166"/>
    </row>
    <row r="4" spans="1:100" ht="19.95" customHeight="1" x14ac:dyDescent="0.3">
      <c r="F4" s="43"/>
      <c r="G4" s="43"/>
      <c r="H4" s="43"/>
      <c r="I4" s="43"/>
      <c r="O4" s="43"/>
      <c r="P4" s="43"/>
      <c r="Q4" s="43"/>
      <c r="R4" s="43"/>
    </row>
    <row r="5" spans="1:100" ht="19.95" customHeight="1" x14ac:dyDescent="0.3">
      <c r="B5" s="168" t="str">
        <f>'RELATÓRIO COBRANÇA - TABELA'!A30</f>
        <v>SOMA</v>
      </c>
      <c r="C5" s="169"/>
      <c r="D5" s="169"/>
      <c r="E5" s="169"/>
      <c r="F5" s="169"/>
      <c r="G5" s="169"/>
      <c r="H5" s="169"/>
      <c r="I5" s="169"/>
      <c r="K5" s="170">
        <f>'RELATÓRIO COBRANÇA - TABELA'!B30</f>
        <v>15000000</v>
      </c>
      <c r="L5" s="165"/>
      <c r="M5" s="165"/>
      <c r="N5" s="165"/>
      <c r="O5" s="165"/>
      <c r="P5" s="165"/>
      <c r="Q5" s="165"/>
      <c r="R5" s="165"/>
      <c r="T5" s="170">
        <f ca="1">'RELATÓRIO COBRANÇA - TABELA'!C30</f>
        <v>2000</v>
      </c>
      <c r="U5" s="165"/>
      <c r="V5" s="165"/>
      <c r="W5" s="165"/>
      <c r="X5" s="165"/>
      <c r="Y5" s="165"/>
      <c r="Z5" s="165"/>
      <c r="AA5" s="165"/>
      <c r="AC5" s="170">
        <f ca="1">'RELATÓRIO COBRANÇA - TABELA'!D30</f>
        <v>145100</v>
      </c>
      <c r="AD5" s="165"/>
      <c r="AE5" s="165"/>
      <c r="AF5" s="165"/>
      <c r="AG5" s="165"/>
      <c r="AH5" s="165"/>
      <c r="AI5" s="165"/>
      <c r="AJ5" s="165"/>
      <c r="AL5" s="164">
        <f ca="1">'RELATÓRIO COBRANÇA - TABELA'!E30</f>
        <v>9.6733333333333341E-3</v>
      </c>
      <c r="AM5" s="165"/>
      <c r="AN5" s="165"/>
      <c r="AO5" s="165"/>
      <c r="AP5" s="165"/>
      <c r="AQ5" s="165"/>
      <c r="AR5" s="165"/>
      <c r="AS5" s="165"/>
      <c r="CO5" s="164">
        <f>'RELATÓRIO COBRANÇA - TABELA'!N30</f>
        <v>0</v>
      </c>
      <c r="CP5" s="165"/>
      <c r="CQ5" s="165"/>
      <c r="CR5" s="165"/>
      <c r="CS5" s="165"/>
      <c r="CT5" s="165"/>
      <c r="CU5" s="165"/>
      <c r="CV5" s="165"/>
    </row>
    <row r="6" spans="1:100" ht="19.95" customHeight="1" x14ac:dyDescent="0.3">
      <c r="B6" s="169"/>
      <c r="C6" s="169"/>
      <c r="D6" s="169"/>
      <c r="E6" s="169"/>
      <c r="F6" s="169"/>
      <c r="G6" s="169"/>
      <c r="H6" s="169"/>
      <c r="I6" s="169"/>
      <c r="K6" s="165"/>
      <c r="L6" s="165"/>
      <c r="M6" s="165"/>
      <c r="N6" s="165"/>
      <c r="O6" s="165"/>
      <c r="P6" s="165"/>
      <c r="Q6" s="165"/>
      <c r="R6" s="165"/>
      <c r="T6" s="165"/>
      <c r="U6" s="165"/>
      <c r="V6" s="165"/>
      <c r="W6" s="165"/>
      <c r="X6" s="165"/>
      <c r="Y6" s="165"/>
      <c r="Z6" s="165"/>
      <c r="AA6" s="165"/>
      <c r="AC6" s="165"/>
      <c r="AD6" s="165"/>
      <c r="AE6" s="165"/>
      <c r="AF6" s="165"/>
      <c r="AG6" s="165"/>
      <c r="AH6" s="165"/>
      <c r="AI6" s="165"/>
      <c r="AJ6" s="165"/>
      <c r="AL6" s="165"/>
      <c r="AM6" s="165"/>
      <c r="AN6" s="165"/>
      <c r="AO6" s="165"/>
      <c r="AP6" s="165"/>
      <c r="AQ6" s="165"/>
      <c r="AR6" s="165"/>
      <c r="AS6" s="165"/>
      <c r="CO6" s="165"/>
      <c r="CP6" s="165"/>
      <c r="CQ6" s="165"/>
      <c r="CR6" s="165"/>
      <c r="CS6" s="165"/>
      <c r="CT6" s="165"/>
      <c r="CU6" s="165"/>
      <c r="CV6" s="165"/>
    </row>
    <row r="7" spans="1:100" ht="19.95" customHeight="1" x14ac:dyDescent="0.3">
      <c r="F7" s="43"/>
      <c r="G7" s="43"/>
      <c r="H7" s="43"/>
      <c r="I7" s="43"/>
      <c r="O7" s="43"/>
      <c r="P7" s="43"/>
      <c r="Q7" s="43"/>
      <c r="R7" s="43"/>
    </row>
    <row r="8" spans="1:100" ht="19.95" customHeight="1" x14ac:dyDescent="0.3">
      <c r="B8" s="168" t="str">
        <f>'RELATÓRIO COBRANÇA - TABELA'!A33</f>
        <v>DESVIO PADRÃO</v>
      </c>
      <c r="C8" s="169"/>
      <c r="D8" s="169"/>
      <c r="E8" s="169"/>
      <c r="F8" s="169"/>
      <c r="G8" s="169"/>
      <c r="H8" s="169"/>
      <c r="I8" s="169"/>
      <c r="K8" s="171">
        <f>'RELATÓRIO COBRANÇA - TABELA'!B33</f>
        <v>279508.49718747369</v>
      </c>
      <c r="L8" s="172"/>
      <c r="M8" s="172"/>
      <c r="N8" s="172"/>
      <c r="O8" s="172"/>
      <c r="P8" s="172"/>
      <c r="Q8" s="172"/>
      <c r="R8" s="172"/>
      <c r="T8" s="170">
        <f ca="1">'RELATÓRIO COBRANÇA - TABELA'!C33</f>
        <v>800</v>
      </c>
      <c r="U8" s="165"/>
      <c r="V8" s="165"/>
      <c r="W8" s="165"/>
      <c r="X8" s="165"/>
      <c r="Y8" s="165"/>
      <c r="Z8" s="165"/>
      <c r="AA8" s="165"/>
      <c r="AC8" s="170">
        <f ca="1">'RELATÓRIO COBRANÇA - TABELA'!D33</f>
        <v>31102.437203537604</v>
      </c>
      <c r="AD8" s="165"/>
      <c r="AE8" s="165"/>
      <c r="AF8" s="165"/>
      <c r="AG8" s="165"/>
      <c r="AH8" s="165"/>
      <c r="AI8" s="165"/>
      <c r="AJ8" s="165"/>
      <c r="AL8" s="164">
        <f ca="1">'RELATÓRIO COBRANÇA - TABELA'!E33</f>
        <v>4.6652292568087326</v>
      </c>
      <c r="AM8" s="165"/>
      <c r="AN8" s="165"/>
      <c r="AO8" s="165"/>
      <c r="AP8" s="165"/>
      <c r="AQ8" s="165"/>
      <c r="AR8" s="165"/>
      <c r="AS8" s="165"/>
      <c r="CO8" s="164">
        <f>'RELATÓRIO COBRANÇA - TABELA'!N33</f>
        <v>0</v>
      </c>
      <c r="CP8" s="165"/>
      <c r="CQ8" s="165"/>
      <c r="CR8" s="165"/>
      <c r="CS8" s="165"/>
      <c r="CT8" s="165"/>
      <c r="CU8" s="165"/>
      <c r="CV8" s="165"/>
    </row>
    <row r="9" spans="1:100" ht="19.95" customHeight="1" x14ac:dyDescent="0.3">
      <c r="B9" s="169"/>
      <c r="C9" s="169"/>
      <c r="D9" s="169"/>
      <c r="E9" s="169"/>
      <c r="F9" s="169"/>
      <c r="G9" s="169"/>
      <c r="H9" s="169"/>
      <c r="I9" s="169"/>
      <c r="K9" s="172"/>
      <c r="L9" s="172"/>
      <c r="M9" s="172"/>
      <c r="N9" s="172"/>
      <c r="O9" s="172"/>
      <c r="P9" s="172"/>
      <c r="Q9" s="172"/>
      <c r="R9" s="172"/>
      <c r="T9" s="165"/>
      <c r="U9" s="165"/>
      <c r="V9" s="165"/>
      <c r="W9" s="165"/>
      <c r="X9" s="165"/>
      <c r="Y9" s="165"/>
      <c r="Z9" s="165"/>
      <c r="AA9" s="165"/>
      <c r="AC9" s="165"/>
      <c r="AD9" s="165"/>
      <c r="AE9" s="165"/>
      <c r="AF9" s="165"/>
      <c r="AG9" s="165"/>
      <c r="AH9" s="165"/>
      <c r="AI9" s="165"/>
      <c r="AJ9" s="165"/>
      <c r="AL9" s="165"/>
      <c r="AM9" s="165"/>
      <c r="AN9" s="165"/>
      <c r="AO9" s="165"/>
      <c r="AP9" s="165"/>
      <c r="AQ9" s="165"/>
      <c r="AR9" s="165"/>
      <c r="AS9" s="165"/>
      <c r="CO9" s="165"/>
      <c r="CP9" s="165"/>
      <c r="CQ9" s="165"/>
      <c r="CR9" s="165"/>
      <c r="CS9" s="165"/>
      <c r="CT9" s="165"/>
      <c r="CU9" s="165"/>
      <c r="CV9" s="165"/>
    </row>
    <row r="118" hidden="1" x14ac:dyDescent="0.3"/>
  </sheetData>
  <sheetProtection algorithmName="SHA-512" hashValue="Jm5NQvhIX8Lij0mkUgoLdCoW9KxyKqIeVpE4mLEiwgc+SElFOPFFW2/gK5C6jhJWzGhP0TrrDDtV8bHbcfnY8A==" saltValue="G5yKQW/4O3b9fSrEZS+rnA==" spinCount="100000" sheet="1" objects="1" scenarios="1"/>
  <mergeCells count="18">
    <mergeCell ref="B3:I3"/>
    <mergeCell ref="B5:I6"/>
    <mergeCell ref="B8:I9"/>
    <mergeCell ref="T3:AA3"/>
    <mergeCell ref="AC3:AJ3"/>
    <mergeCell ref="T5:AA6"/>
    <mergeCell ref="T8:AA9"/>
    <mergeCell ref="AC5:AJ6"/>
    <mergeCell ref="AC8:AJ9"/>
    <mergeCell ref="K3:R3"/>
    <mergeCell ref="K5:R6"/>
    <mergeCell ref="K8:R9"/>
    <mergeCell ref="CO5:CV6"/>
    <mergeCell ref="CO8:CV9"/>
    <mergeCell ref="CO3:CV3"/>
    <mergeCell ref="AL3:AS3"/>
    <mergeCell ref="AL5:AS6"/>
    <mergeCell ref="AL8:AS9"/>
  </mergeCells>
  <printOptions horizontalCentered="1" verticalCentered="1"/>
  <pageMargins left="0.11811023622047245" right="0.11811023622047245" top="0.11811023622047245" bottom="0.19685039370078741" header="0.31496062992125984" footer="0.31496062992125984"/>
  <pageSetup paperSize="9" scale="32" fitToHeight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570D-42AE-485D-993B-A50ADFF2578A}">
  <sheetPr>
    <tabColor rgb="FFFFD0C5"/>
  </sheetPr>
  <dimension ref="A1:C8"/>
  <sheetViews>
    <sheetView topLeftCell="A7" workbookViewId="0">
      <selection activeCell="K26" sqref="K26"/>
    </sheetView>
  </sheetViews>
  <sheetFormatPr defaultRowHeight="14.4" x14ac:dyDescent="0.3"/>
  <cols>
    <col min="1" max="1" width="17.21875" bestFit="1" customWidth="1"/>
    <col min="2" max="2" width="16.109375" style="43" bestFit="1" customWidth="1"/>
    <col min="3" max="3" width="11" style="116" bestFit="1" customWidth="1"/>
  </cols>
  <sheetData>
    <row r="1" spans="1:3" x14ac:dyDescent="0.3">
      <c r="A1" s="38" t="s">
        <v>145</v>
      </c>
      <c r="B1" t="s">
        <v>169</v>
      </c>
      <c r="C1" s="116" t="s">
        <v>183</v>
      </c>
    </row>
    <row r="2" spans="1:3" x14ac:dyDescent="0.3">
      <c r="A2" s="39" t="s">
        <v>180</v>
      </c>
      <c r="B2" s="43">
        <v>0</v>
      </c>
      <c r="C2" s="116">
        <v>166</v>
      </c>
    </row>
    <row r="3" spans="1:3" x14ac:dyDescent="0.3">
      <c r="A3" s="39" t="s">
        <v>181</v>
      </c>
      <c r="B3" s="43">
        <v>1400</v>
      </c>
      <c r="C3" s="116">
        <v>1</v>
      </c>
    </row>
    <row r="4" spans="1:3" x14ac:dyDescent="0.3">
      <c r="A4" s="39" t="s">
        <v>182</v>
      </c>
      <c r="B4" s="43">
        <v>2000</v>
      </c>
      <c r="C4" s="116">
        <v>1</v>
      </c>
    </row>
    <row r="5" spans="1:3" x14ac:dyDescent="0.3">
      <c r="A5" s="39" t="s">
        <v>147</v>
      </c>
      <c r="B5" s="43">
        <v>2000</v>
      </c>
      <c r="C5" s="116">
        <v>1</v>
      </c>
    </row>
    <row r="6" spans="1:3" x14ac:dyDescent="0.3">
      <c r="A6" s="39" t="s">
        <v>146</v>
      </c>
      <c r="B6" s="43">
        <v>41000</v>
      </c>
      <c r="C6" s="116">
        <v>21</v>
      </c>
    </row>
    <row r="7" spans="1:3" x14ac:dyDescent="0.3">
      <c r="A7" s="39" t="s">
        <v>148</v>
      </c>
      <c r="B7" s="43">
        <v>103400</v>
      </c>
      <c r="C7" s="116">
        <v>48</v>
      </c>
    </row>
    <row r="8" spans="1:3" x14ac:dyDescent="0.3">
      <c r="A8" s="39" t="s">
        <v>119</v>
      </c>
      <c r="B8" s="43">
        <v>149800</v>
      </c>
      <c r="C8" s="116">
        <v>238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A1A2-F305-490C-A4F5-EE241DA1BFE0}">
  <sheetPr>
    <tabColor rgb="FFFFD0C5"/>
  </sheetPr>
  <dimension ref="A1:B60"/>
  <sheetViews>
    <sheetView workbookViewId="0">
      <selection activeCell="I19" sqref="I19"/>
    </sheetView>
  </sheetViews>
  <sheetFormatPr defaultRowHeight="14.4" x14ac:dyDescent="0.3"/>
  <cols>
    <col min="1" max="1" width="17.21875" bestFit="1" customWidth="1"/>
    <col min="2" max="2" width="20.21875" bestFit="1" customWidth="1"/>
  </cols>
  <sheetData>
    <row r="1" spans="1:2" x14ac:dyDescent="0.3">
      <c r="A1" s="38" t="s">
        <v>145</v>
      </c>
      <c r="B1" t="s">
        <v>151</v>
      </c>
    </row>
    <row r="2" spans="1:2" x14ac:dyDescent="0.3">
      <c r="A2" s="39">
        <v>0</v>
      </c>
      <c r="B2">
        <v>166</v>
      </c>
    </row>
    <row r="3" spans="1:2" x14ac:dyDescent="0.3">
      <c r="A3" s="40">
        <v>0</v>
      </c>
      <c r="B3">
        <v>166</v>
      </c>
    </row>
    <row r="4" spans="1:2" x14ac:dyDescent="0.3">
      <c r="A4" s="39" t="s">
        <v>40</v>
      </c>
      <c r="B4">
        <v>6</v>
      </c>
    </row>
    <row r="5" spans="1:2" x14ac:dyDescent="0.3">
      <c r="A5" s="40">
        <v>39</v>
      </c>
      <c r="B5">
        <v>1</v>
      </c>
    </row>
    <row r="6" spans="1:2" x14ac:dyDescent="0.3">
      <c r="A6" s="40">
        <v>68</v>
      </c>
      <c r="B6">
        <v>1</v>
      </c>
    </row>
    <row r="7" spans="1:2" x14ac:dyDescent="0.3">
      <c r="A7" s="40">
        <v>70</v>
      </c>
      <c r="B7">
        <v>1</v>
      </c>
    </row>
    <row r="8" spans="1:2" x14ac:dyDescent="0.3">
      <c r="A8" s="40">
        <v>86</v>
      </c>
      <c r="B8">
        <v>1</v>
      </c>
    </row>
    <row r="9" spans="1:2" x14ac:dyDescent="0.3">
      <c r="A9" s="40">
        <v>74</v>
      </c>
      <c r="B9">
        <v>1</v>
      </c>
    </row>
    <row r="10" spans="1:2" x14ac:dyDescent="0.3">
      <c r="A10" s="40">
        <v>72</v>
      </c>
      <c r="B10">
        <v>1</v>
      </c>
    </row>
    <row r="11" spans="1:2" x14ac:dyDescent="0.3">
      <c r="A11" s="39" t="s">
        <v>13</v>
      </c>
      <c r="B11">
        <v>7</v>
      </c>
    </row>
    <row r="12" spans="1:2" x14ac:dyDescent="0.3">
      <c r="A12" s="40">
        <v>78</v>
      </c>
      <c r="B12">
        <v>1</v>
      </c>
    </row>
    <row r="13" spans="1:2" x14ac:dyDescent="0.3">
      <c r="A13" s="40">
        <v>463</v>
      </c>
      <c r="B13">
        <v>1</v>
      </c>
    </row>
    <row r="14" spans="1:2" x14ac:dyDescent="0.3">
      <c r="A14" s="40">
        <v>87</v>
      </c>
      <c r="B14">
        <v>1</v>
      </c>
    </row>
    <row r="15" spans="1:2" x14ac:dyDescent="0.3">
      <c r="A15" s="40">
        <v>86</v>
      </c>
      <c r="B15">
        <v>2</v>
      </c>
    </row>
    <row r="16" spans="1:2" x14ac:dyDescent="0.3">
      <c r="A16" s="40">
        <v>77</v>
      </c>
      <c r="B16">
        <v>1</v>
      </c>
    </row>
    <row r="17" spans="1:2" x14ac:dyDescent="0.3">
      <c r="A17" s="40">
        <v>76</v>
      </c>
      <c r="B17">
        <v>1</v>
      </c>
    </row>
    <row r="18" spans="1:2" x14ac:dyDescent="0.3">
      <c r="A18" s="39" t="s">
        <v>7</v>
      </c>
      <c r="B18">
        <v>1</v>
      </c>
    </row>
    <row r="19" spans="1:2" x14ac:dyDescent="0.3">
      <c r="A19" s="40">
        <v>86</v>
      </c>
      <c r="B19">
        <v>1</v>
      </c>
    </row>
    <row r="20" spans="1:2" x14ac:dyDescent="0.3">
      <c r="A20" s="39" t="s">
        <v>8</v>
      </c>
      <c r="B20">
        <v>2</v>
      </c>
    </row>
    <row r="21" spans="1:2" x14ac:dyDescent="0.3">
      <c r="A21" s="40">
        <v>86</v>
      </c>
      <c r="B21">
        <v>2</v>
      </c>
    </row>
    <row r="22" spans="1:2" x14ac:dyDescent="0.3">
      <c r="A22" s="39" t="s">
        <v>41</v>
      </c>
      <c r="B22">
        <v>10</v>
      </c>
    </row>
    <row r="23" spans="1:2" x14ac:dyDescent="0.3">
      <c r="A23" s="40">
        <v>61</v>
      </c>
      <c r="B23">
        <v>5</v>
      </c>
    </row>
    <row r="24" spans="1:2" x14ac:dyDescent="0.3">
      <c r="A24" s="40">
        <v>62</v>
      </c>
      <c r="B24">
        <v>1</v>
      </c>
    </row>
    <row r="25" spans="1:2" x14ac:dyDescent="0.3">
      <c r="A25" s="40">
        <v>64</v>
      </c>
      <c r="B25">
        <v>1</v>
      </c>
    </row>
    <row r="26" spans="1:2" x14ac:dyDescent="0.3">
      <c r="A26" s="40">
        <v>66</v>
      </c>
      <c r="B26">
        <v>1</v>
      </c>
    </row>
    <row r="27" spans="1:2" x14ac:dyDescent="0.3">
      <c r="A27" s="40">
        <v>68</v>
      </c>
      <c r="B27">
        <v>1</v>
      </c>
    </row>
    <row r="28" spans="1:2" x14ac:dyDescent="0.3">
      <c r="A28" s="40"/>
      <c r="B28">
        <v>1</v>
      </c>
    </row>
    <row r="29" spans="1:2" x14ac:dyDescent="0.3">
      <c r="A29" s="39" t="s">
        <v>14</v>
      </c>
      <c r="B29">
        <v>10</v>
      </c>
    </row>
    <row r="30" spans="1:2" x14ac:dyDescent="0.3">
      <c r="A30" s="40">
        <v>32</v>
      </c>
      <c r="B30">
        <v>1</v>
      </c>
    </row>
    <row r="31" spans="1:2" x14ac:dyDescent="0.3">
      <c r="A31" s="40">
        <v>39</v>
      </c>
      <c r="B31">
        <v>4</v>
      </c>
    </row>
    <row r="32" spans="1:2" x14ac:dyDescent="0.3">
      <c r="A32" s="40">
        <v>38</v>
      </c>
      <c r="B32">
        <v>1</v>
      </c>
    </row>
    <row r="33" spans="1:2" x14ac:dyDescent="0.3">
      <c r="A33" s="40">
        <v>37</v>
      </c>
      <c r="B33">
        <v>1</v>
      </c>
    </row>
    <row r="34" spans="1:2" x14ac:dyDescent="0.3">
      <c r="A34" s="40">
        <v>36</v>
      </c>
      <c r="B34">
        <v>1</v>
      </c>
    </row>
    <row r="35" spans="1:2" x14ac:dyDescent="0.3">
      <c r="A35" s="40">
        <v>35</v>
      </c>
      <c r="B35">
        <v>1</v>
      </c>
    </row>
    <row r="36" spans="1:2" x14ac:dyDescent="0.3">
      <c r="A36" s="40">
        <v>34</v>
      </c>
      <c r="B36">
        <v>1</v>
      </c>
    </row>
    <row r="37" spans="1:2" x14ac:dyDescent="0.3">
      <c r="A37" s="39" t="s">
        <v>15</v>
      </c>
      <c r="B37">
        <v>8</v>
      </c>
    </row>
    <row r="38" spans="1:2" x14ac:dyDescent="0.3">
      <c r="A38" s="40">
        <v>0</v>
      </c>
      <c r="B38">
        <v>1</v>
      </c>
    </row>
    <row r="39" spans="1:2" x14ac:dyDescent="0.3">
      <c r="A39" s="40">
        <v>39</v>
      </c>
      <c r="B39">
        <v>7</v>
      </c>
    </row>
    <row r="40" spans="1:2" x14ac:dyDescent="0.3">
      <c r="A40" s="39" t="s">
        <v>11</v>
      </c>
      <c r="B40">
        <v>9</v>
      </c>
    </row>
    <row r="41" spans="1:2" x14ac:dyDescent="0.3">
      <c r="A41" s="40">
        <v>61</v>
      </c>
      <c r="B41">
        <v>1</v>
      </c>
    </row>
    <row r="42" spans="1:2" x14ac:dyDescent="0.3">
      <c r="A42" s="40">
        <v>63</v>
      </c>
      <c r="B42">
        <v>1</v>
      </c>
    </row>
    <row r="43" spans="1:2" x14ac:dyDescent="0.3">
      <c r="A43" s="40">
        <v>65</v>
      </c>
      <c r="B43">
        <v>1</v>
      </c>
    </row>
    <row r="44" spans="1:2" x14ac:dyDescent="0.3">
      <c r="A44" s="40">
        <v>67</v>
      </c>
      <c r="B44">
        <v>2</v>
      </c>
    </row>
    <row r="45" spans="1:2" x14ac:dyDescent="0.3">
      <c r="A45" s="40">
        <v>69</v>
      </c>
      <c r="B45">
        <v>1</v>
      </c>
    </row>
    <row r="46" spans="1:2" x14ac:dyDescent="0.3">
      <c r="A46" s="40">
        <v>75</v>
      </c>
      <c r="B46">
        <v>1</v>
      </c>
    </row>
    <row r="47" spans="1:2" x14ac:dyDescent="0.3">
      <c r="A47" s="40">
        <v>73</v>
      </c>
      <c r="B47">
        <v>1</v>
      </c>
    </row>
    <row r="48" spans="1:2" x14ac:dyDescent="0.3">
      <c r="A48" s="40">
        <v>71</v>
      </c>
      <c r="B48">
        <v>1</v>
      </c>
    </row>
    <row r="49" spans="1:2" x14ac:dyDescent="0.3">
      <c r="A49" s="39" t="s">
        <v>16</v>
      </c>
      <c r="B49">
        <v>9</v>
      </c>
    </row>
    <row r="50" spans="1:2" x14ac:dyDescent="0.3">
      <c r="A50" s="40">
        <v>39</v>
      </c>
      <c r="B50">
        <v>8</v>
      </c>
    </row>
    <row r="51" spans="1:2" x14ac:dyDescent="0.3">
      <c r="A51" s="40">
        <v>98</v>
      </c>
      <c r="B51">
        <v>1</v>
      </c>
    </row>
    <row r="52" spans="1:2" x14ac:dyDescent="0.3">
      <c r="A52" s="39" t="s">
        <v>12</v>
      </c>
      <c r="B52">
        <v>8</v>
      </c>
    </row>
    <row r="53" spans="1:2" x14ac:dyDescent="0.3">
      <c r="A53" s="40">
        <v>61</v>
      </c>
      <c r="B53">
        <v>6</v>
      </c>
    </row>
    <row r="54" spans="1:2" x14ac:dyDescent="0.3">
      <c r="A54" s="40">
        <v>47</v>
      </c>
      <c r="B54">
        <v>1</v>
      </c>
    </row>
    <row r="55" spans="1:2" x14ac:dyDescent="0.3">
      <c r="A55" s="40">
        <v>40</v>
      </c>
      <c r="B55">
        <v>1</v>
      </c>
    </row>
    <row r="56" spans="1:2" x14ac:dyDescent="0.3">
      <c r="A56" s="39" t="s">
        <v>10</v>
      </c>
      <c r="B56">
        <v>1</v>
      </c>
    </row>
    <row r="57" spans="1:2" x14ac:dyDescent="0.3">
      <c r="A57" s="40">
        <v>86</v>
      </c>
      <c r="B57">
        <v>1</v>
      </c>
    </row>
    <row r="58" spans="1:2" x14ac:dyDescent="0.3">
      <c r="A58" s="39" t="s">
        <v>9</v>
      </c>
      <c r="B58">
        <v>1</v>
      </c>
    </row>
    <row r="59" spans="1:2" x14ac:dyDescent="0.3">
      <c r="A59" s="40">
        <v>86</v>
      </c>
      <c r="B59">
        <v>1</v>
      </c>
    </row>
    <row r="60" spans="1:2" x14ac:dyDescent="0.3">
      <c r="A60" s="39" t="s">
        <v>119</v>
      </c>
      <c r="B60">
        <v>238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EC3-8E83-4A55-9234-4F874F5668E5}">
  <sheetPr codeName="Planilha15">
    <tabColor rgb="FF00B050"/>
  </sheetPr>
  <dimension ref="A1:AM239"/>
  <sheetViews>
    <sheetView zoomScale="70" zoomScaleNormal="70" workbookViewId="0">
      <selection activeCell="A2" sqref="A2"/>
    </sheetView>
  </sheetViews>
  <sheetFormatPr defaultRowHeight="14.4" x14ac:dyDescent="0.3"/>
  <cols>
    <col min="1" max="1" width="11.33203125" style="30" customWidth="1"/>
    <col min="2" max="2" width="19.88671875" style="30" bestFit="1" customWidth="1"/>
    <col min="3" max="3" width="18.33203125" style="30" bestFit="1" customWidth="1"/>
    <col min="4" max="4" width="20.88671875" style="30" bestFit="1" customWidth="1"/>
    <col min="5" max="7" width="21" style="44" customWidth="1"/>
    <col min="8" max="10" width="25.88671875" style="44" customWidth="1"/>
    <col min="11" max="13" width="23" style="44" customWidth="1"/>
    <col min="14" max="14" width="20" style="46" customWidth="1"/>
    <col min="15" max="15" width="16.77734375" style="30" customWidth="1"/>
    <col min="16" max="16" width="17.6640625" style="30" bestFit="1" customWidth="1"/>
    <col min="17" max="17" width="9.109375" style="30" customWidth="1"/>
    <col min="18" max="18" width="51.5546875" style="30" bestFit="1" customWidth="1"/>
    <col min="19" max="19" width="23.21875" style="30" customWidth="1"/>
    <col min="20" max="20" width="16.77734375" style="30" customWidth="1"/>
    <col min="21" max="21" width="17.33203125" style="30" customWidth="1"/>
    <col min="22" max="22" width="16" style="30" customWidth="1"/>
    <col min="23" max="23" width="16.5546875" style="30" customWidth="1"/>
    <col min="24" max="24" width="22" style="30" customWidth="1"/>
    <col min="25" max="25" width="24.44140625" style="30" customWidth="1"/>
    <col min="26" max="26" width="32.109375" style="30" customWidth="1"/>
    <col min="27" max="27" width="20" style="30" customWidth="1"/>
    <col min="28" max="30" width="22.21875" style="44" customWidth="1"/>
    <col min="31" max="33" width="33.77734375" style="44" customWidth="1"/>
    <col min="34" max="34" width="26.88671875" style="30" customWidth="1"/>
    <col min="35" max="38" width="26.88671875" style="46" customWidth="1"/>
    <col min="39" max="39" width="19.44140625" style="46" customWidth="1"/>
  </cols>
  <sheetData>
    <row r="1" spans="1:39" x14ac:dyDescent="0.3">
      <c r="A1" s="49" t="s">
        <v>2</v>
      </c>
      <c r="B1" s="50" t="s">
        <v>45</v>
      </c>
      <c r="C1" s="50" t="s">
        <v>46</v>
      </c>
      <c r="D1" s="50" t="s">
        <v>47</v>
      </c>
      <c r="E1" s="51" t="s">
        <v>48</v>
      </c>
      <c r="F1" s="51" t="s">
        <v>135</v>
      </c>
      <c r="G1" s="51" t="s">
        <v>136</v>
      </c>
      <c r="H1" s="51" t="s">
        <v>49</v>
      </c>
      <c r="I1" s="51" t="s">
        <v>137</v>
      </c>
      <c r="J1" s="51" t="s">
        <v>138</v>
      </c>
      <c r="K1" s="51" t="s">
        <v>58</v>
      </c>
      <c r="L1" s="51" t="s">
        <v>139</v>
      </c>
      <c r="M1" s="51" t="s">
        <v>140</v>
      </c>
      <c r="N1" s="52" t="s">
        <v>50</v>
      </c>
      <c r="O1" s="49" t="s">
        <v>3</v>
      </c>
      <c r="P1" s="49" t="s">
        <v>83</v>
      </c>
      <c r="Q1" s="49" t="s">
        <v>57</v>
      </c>
      <c r="R1" s="53" t="s">
        <v>37</v>
      </c>
      <c r="S1" s="53" t="s">
        <v>59</v>
      </c>
      <c r="T1" s="53" t="s">
        <v>38</v>
      </c>
      <c r="U1" s="53" t="s">
        <v>43</v>
      </c>
      <c r="V1" s="53" t="s">
        <v>42</v>
      </c>
      <c r="W1" s="53" t="s">
        <v>39</v>
      </c>
      <c r="X1" s="53" t="s">
        <v>44</v>
      </c>
      <c r="Y1" s="54" t="s">
        <v>88</v>
      </c>
      <c r="Z1" s="54" t="s">
        <v>4</v>
      </c>
      <c r="AA1" s="54" t="s">
        <v>86</v>
      </c>
      <c r="AB1" s="45" t="s">
        <v>87</v>
      </c>
      <c r="AC1" s="45" t="s">
        <v>141</v>
      </c>
      <c r="AD1" s="45" t="s">
        <v>142</v>
      </c>
      <c r="AE1" s="45" t="s">
        <v>6</v>
      </c>
      <c r="AF1" s="45" t="s">
        <v>143</v>
      </c>
      <c r="AG1" s="45" t="s">
        <v>144</v>
      </c>
      <c r="AH1" s="55" t="s">
        <v>5</v>
      </c>
      <c r="AI1" s="56" t="s">
        <v>98</v>
      </c>
      <c r="AJ1" s="56" t="s">
        <v>123</v>
      </c>
      <c r="AK1" s="99" t="s">
        <v>162</v>
      </c>
      <c r="AL1" s="99" t="s">
        <v>163</v>
      </c>
      <c r="AM1" s="99" t="s">
        <v>164</v>
      </c>
    </row>
    <row r="2" spans="1:39" x14ac:dyDescent="0.3">
      <c r="A2" s="30">
        <f>'DADOS FINANCEIROS'!D8</f>
        <v>52</v>
      </c>
      <c r="B2" s="30" t="str">
        <f>'DADOS FINANCEIROS'!A8</f>
        <v>Filial</v>
      </c>
      <c r="C2" s="30">
        <f>'DADOS FINANCEIROS'!B8</f>
        <v>0</v>
      </c>
      <c r="D2" s="30" t="str">
        <f>'DADOS FINANCEIROS'!C8</f>
        <v>BemEstar</v>
      </c>
      <c r="E2" s="44">
        <f>'DADOS FINANCEIROS'!E8</f>
        <v>45311</v>
      </c>
      <c r="F2" s="44" t="str">
        <f>TEXT(Tabela1[[#This Row],[DATA DE EMISSÃO]],"MMM-AA")</f>
        <v>jan-24</v>
      </c>
      <c r="G2" s="44" t="str">
        <f>TEXT(Tabela1[[#This Row],[DATA DE EMISSÃO]],"AAAA")</f>
        <v>2024</v>
      </c>
      <c r="H2" s="44">
        <f>'DADOS FINANCEIROS'!F8</f>
        <v>45313</v>
      </c>
      <c r="I2" s="44" t="str">
        <f>TEXT(Tabela1[[#This Row],[VENCIMENTO ORIGINAL]],"MMM-AA")</f>
        <v>jan-24</v>
      </c>
      <c r="J2" s="44" t="str">
        <f>TEXT(Tabela1[[#This Row],[VENCIMENTO ORIGINAL]],"AAAA")</f>
        <v>2024</v>
      </c>
      <c r="K2" s="44">
        <f>'DADOS FINANCEIROS'!G8</f>
        <v>45314</v>
      </c>
      <c r="L2" s="44" t="str">
        <f>TEXT(Tabela1[[#This Row],[VENCIMENTO ATUAL]],"MMM-AA")</f>
        <v>jan-24</v>
      </c>
      <c r="M2" s="44" t="str">
        <f>TEXT(Tabela1[[#This Row],[VENCIMENTO ATUAL]],"AAAA")</f>
        <v>2024</v>
      </c>
      <c r="N2" s="46">
        <f>'DADOS FINANCEIROS'!H8</f>
        <v>1400</v>
      </c>
      <c r="O2" s="30" t="str">
        <f>'DADOS FINANCEIROS'!I8</f>
        <v>Felipe</v>
      </c>
      <c r="P2" s="30" t="str">
        <f>'DADOS FINANCEIROS'!J8</f>
        <v>ANALISTA LUCAS</v>
      </c>
      <c r="Q2" s="30" t="str">
        <f>'DADOS FINANCEIROS'!K8</f>
        <v>NÃO</v>
      </c>
      <c r="R2" s="30" t="str">
        <f>'DADOS FINANCEIROS'!L8</f>
        <v>Promessa de pagamento não cumprida</v>
      </c>
      <c r="S2" s="30" t="str">
        <f ca="1">'DADOS FINANCEIROS'!M8</f>
        <v>Vencido</v>
      </c>
      <c r="T2" s="30">
        <f ca="1">IFERROR('DADOS FINANCEIROS'!N8,"")</f>
        <v>482</v>
      </c>
      <c r="U2" s="30" t="str">
        <f ca="1">'DADOS FINANCEIROS'!O8</f>
        <v>61+ dias</v>
      </c>
      <c r="V2" s="30" t="str">
        <f ca="1">'DADOS FINANCEIROS'!P8</f>
        <v>Atraso Crítico</v>
      </c>
      <c r="W2" s="30" t="str">
        <f>'DADOS FINANCEIROS'!Q8</f>
        <v>-</v>
      </c>
      <c r="X2" s="30" t="str">
        <f>'DADOS FINANCEIROS'!R8</f>
        <v>Sim</v>
      </c>
      <c r="Y2" s="30">
        <f>'DADOS FINANCEIROS'!S8</f>
        <v>0</v>
      </c>
      <c r="Z2" s="30">
        <f>'DADOS FINANCEIROS'!T8</f>
        <v>1</v>
      </c>
      <c r="AA2" s="30" t="str">
        <f>'DADOS FINANCEIROS'!U8</f>
        <v>Sim</v>
      </c>
      <c r="AB2" s="44">
        <f>'DADOS FINANCEIROS'!V8</f>
        <v>45740</v>
      </c>
      <c r="AC2" s="44" t="str">
        <f>TEXT(Tabela1[[#This Row],[Data de Negociação]],"MMM-AA")</f>
        <v>mar-25</v>
      </c>
      <c r="AD2" s="44" t="str">
        <f>TEXT(Tabela1[[#This Row],[Data de Negociação]],"AAAA")</f>
        <v>2025</v>
      </c>
      <c r="AE2" s="44">
        <f>'DADOS FINANCEIROS'!W8</f>
        <v>45772</v>
      </c>
      <c r="AF2" s="44" t="str">
        <f>TEXT(Tabela1[[#This Row],[Data da Entrada/Primeira Parcela]],"MMM-AA")</f>
        <v>abr-25</v>
      </c>
      <c r="AG2" s="44" t="str">
        <f>TEXT(Tabela1[[#This Row],[Data da Entrada/Primeira Parcela]],"AAAA")</f>
        <v>2025</v>
      </c>
      <c r="AH2" s="30" t="str">
        <f>'DADOS FINANCEIROS'!X8</f>
        <v>Acompanhando</v>
      </c>
      <c r="AI2" s="46">
        <f ca="1">'DADOS FINANCEIROS'!Y8</f>
        <v>1400</v>
      </c>
      <c r="AJ2" s="46" t="str">
        <f ca="1">'DADOS FINANCEIROS'!Z8</f>
        <v>0</v>
      </c>
      <c r="AK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2" s="98"/>
    </row>
    <row r="3" spans="1:39" x14ac:dyDescent="0.3">
      <c r="A3" s="30">
        <f>'DADOS FINANCEIROS'!D9</f>
        <v>33</v>
      </c>
      <c r="B3" s="30" t="str">
        <f>'DADOS FINANCEIROS'!A9</f>
        <v>Matriz</v>
      </c>
      <c r="C3" s="30" t="str">
        <f>'DADOS FINANCEIROS'!B9</f>
        <v>Gamma &amp; CIA</v>
      </c>
      <c r="D3" s="30" t="str">
        <f>'DADOS FINANCEIROS'!C9</f>
        <v>Gamma &amp; CIA</v>
      </c>
      <c r="E3" s="44">
        <f>'DADOS FINANCEIROS'!E9</f>
        <v>45337</v>
      </c>
      <c r="F3" s="44" t="str">
        <f>TEXT(Tabela1[[#This Row],[DATA DE EMISSÃO]],"MMM-AA")</f>
        <v>fev-24</v>
      </c>
      <c r="G3" s="44" t="str">
        <f>TEXT(Tabela1[[#This Row],[DATA DE EMISSÃO]],"AAAA")</f>
        <v>2024</v>
      </c>
      <c r="H3" s="44" t="str">
        <f>'DADOS FINANCEIROS'!F9</f>
        <v xml:space="preserve"> </v>
      </c>
      <c r="I3" s="44" t="str">
        <f>TEXT(Tabela1[[#This Row],[VENCIMENTO ORIGINAL]],"MMM-AA")</f>
        <v xml:space="preserve"> </v>
      </c>
      <c r="J3" s="44" t="str">
        <f>TEXT(Tabela1[[#This Row],[VENCIMENTO ORIGINAL]],"AAAA")</f>
        <v xml:space="preserve"> </v>
      </c>
      <c r="K3" s="44">
        <f>'DADOS FINANCEIROS'!G9</f>
        <v>45339</v>
      </c>
      <c r="L3" s="44" t="str">
        <f>TEXT(Tabela1[[#This Row],[VENCIMENTO ATUAL]],"MMM-AA")</f>
        <v>fev-24</v>
      </c>
      <c r="M3" s="44" t="str">
        <f>TEXT(Tabela1[[#This Row],[VENCIMENTO ATUAL]],"AAAA")</f>
        <v>2024</v>
      </c>
      <c r="N3" s="46">
        <f>'DADOS FINANCEIROS'!H9</f>
        <v>2000</v>
      </c>
      <c r="O3" s="30" t="str">
        <f>'DADOS FINANCEIROS'!I9</f>
        <v>Luana</v>
      </c>
      <c r="P3" s="30" t="str">
        <f>'DADOS FINANCEIROS'!J9</f>
        <v>ANALISTA GUSTAVO</v>
      </c>
      <c r="Q3" s="30" t="str">
        <f>'DADOS FINANCEIROS'!K9</f>
        <v>NÃO</v>
      </c>
      <c r="R3" s="30" t="str">
        <f>'DADOS FINANCEIROS'!L9</f>
        <v>Cliente em inadimplência sem previsão de pagamento</v>
      </c>
      <c r="S3" s="30" t="str">
        <f ca="1">'DADOS FINANCEIROS'!M9</f>
        <v>A Vencer</v>
      </c>
      <c r="T3" s="30" t="str">
        <f ca="1">IFERROR('DADOS FINANCEIROS'!N9,"")</f>
        <v/>
      </c>
      <c r="U3" s="30" t="str">
        <f ca="1">'DADOS FINANCEIROS'!O9</f>
        <v/>
      </c>
      <c r="V3" s="30" t="str">
        <f ca="1">'DADOS FINANCEIROS'!P9</f>
        <v/>
      </c>
      <c r="W3" s="30" t="str">
        <f>'DADOS FINANCEIROS'!Q9</f>
        <v>-</v>
      </c>
      <c r="X3" s="30" t="str">
        <f>'DADOS FINANCEIROS'!R9</f>
        <v>Sim</v>
      </c>
      <c r="Y3" s="30">
        <f>'DADOS FINANCEIROS'!S9</f>
        <v>0</v>
      </c>
      <c r="Z3" s="30">
        <f>'DADOS FINANCEIROS'!T9</f>
        <v>1</v>
      </c>
      <c r="AA3" s="30" t="str">
        <f>'DADOS FINANCEIROS'!U9</f>
        <v>Sim</v>
      </c>
      <c r="AB3" s="44">
        <f>'DADOS FINANCEIROS'!V9</f>
        <v>45740</v>
      </c>
      <c r="AC3" s="44" t="str">
        <f>TEXT(Tabela1[[#This Row],[Data de Negociação]],"MMM-AA")</f>
        <v>mar-25</v>
      </c>
      <c r="AD3" s="44" t="str">
        <f>TEXT(Tabela1[[#This Row],[Data de Negociação]],"AAAA")</f>
        <v>2025</v>
      </c>
      <c r="AE3" s="44">
        <f>'DADOS FINANCEIROS'!W9</f>
        <v>45772</v>
      </c>
      <c r="AF3" s="44" t="str">
        <f>TEXT(Tabela1[[#This Row],[Data da Entrada/Primeira Parcela]],"MMM-AA")</f>
        <v>abr-25</v>
      </c>
      <c r="AG3" s="44" t="str">
        <f>TEXT(Tabela1[[#This Row],[Data da Entrada/Primeira Parcela]],"AAAA")</f>
        <v>2025</v>
      </c>
      <c r="AH3" s="30" t="str">
        <f>'DADOS FINANCEIROS'!X9</f>
        <v>Acompanhando</v>
      </c>
      <c r="AI3" s="46" t="str">
        <f ca="1">'DADOS FINANCEIROS'!Y9</f>
        <v>0</v>
      </c>
      <c r="AJ3" s="46">
        <f ca="1">'DADOS FINANCEIROS'!Z9</f>
        <v>2000</v>
      </c>
      <c r="AK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3" s="98"/>
    </row>
    <row r="4" spans="1:39" x14ac:dyDescent="0.3">
      <c r="A4" s="30">
        <f>'DADOS FINANCEIROS'!D10</f>
        <v>34</v>
      </c>
      <c r="B4" s="30" t="str">
        <f>'DADOS FINANCEIROS'!A10</f>
        <v>Matriz</v>
      </c>
      <c r="C4" s="30">
        <f>'DADOS FINANCEIROS'!B10</f>
        <v>0</v>
      </c>
      <c r="D4" s="30" t="str">
        <f>'DADOS FINANCEIROS'!C10</f>
        <v>BemEstar</v>
      </c>
      <c r="E4" s="44">
        <f>'DADOS FINANCEIROS'!E10</f>
        <v>45658</v>
      </c>
      <c r="F4" s="44" t="str">
        <f>TEXT(Tabela1[[#This Row],[DATA DE EMISSÃO]],"MMM-AA")</f>
        <v>jan-25</v>
      </c>
      <c r="G4" s="44" t="str">
        <f>TEXT(Tabela1[[#This Row],[DATA DE EMISSÃO]],"AAAA")</f>
        <v>2025</v>
      </c>
      <c r="H4" s="44">
        <f>'DADOS FINANCEIROS'!F10</f>
        <v>45689</v>
      </c>
      <c r="I4" s="44" t="str">
        <f>TEXT(Tabela1[[#This Row],[VENCIMENTO ORIGINAL]],"MMM-AA")</f>
        <v>fev-25</v>
      </c>
      <c r="J4" s="44" t="str">
        <f>TEXT(Tabela1[[#This Row],[VENCIMENTO ORIGINAL]],"AAAA")</f>
        <v>2025</v>
      </c>
      <c r="K4" s="44">
        <f>'DADOS FINANCEIROS'!G10</f>
        <v>45737</v>
      </c>
      <c r="L4" s="44" t="str">
        <f>TEXT(Tabela1[[#This Row],[VENCIMENTO ATUAL]],"MMM-AA")</f>
        <v>mar-25</v>
      </c>
      <c r="M4" s="44" t="str">
        <f>TEXT(Tabela1[[#This Row],[VENCIMENTO ATUAL]],"AAAA")</f>
        <v>2025</v>
      </c>
      <c r="N4" s="46">
        <f>'DADOS FINANCEIROS'!H10</f>
        <v>2000</v>
      </c>
      <c r="O4" s="30" t="str">
        <f>'DADOS FINANCEIROS'!I10</f>
        <v>Luana</v>
      </c>
      <c r="P4" s="30" t="str">
        <f>'DADOS FINANCEIROS'!J10</f>
        <v>ANALISTA GUSTAVO</v>
      </c>
      <c r="Q4" s="30" t="str">
        <f>'DADOS FINANCEIROS'!K10</f>
        <v>NÃO</v>
      </c>
      <c r="R4" s="30" t="str">
        <f>'DADOS FINANCEIROS'!L10</f>
        <v>Pagamento em processo (aguardando confirmação bancária)</v>
      </c>
      <c r="S4" s="30" t="str">
        <f ca="1">'DADOS FINANCEIROS'!M10</f>
        <v>Vencido</v>
      </c>
      <c r="T4" s="30">
        <f ca="1">IFERROR('DADOS FINANCEIROS'!N10,"")</f>
        <v>106</v>
      </c>
      <c r="U4" s="30" t="str">
        <f ca="1">'DADOS FINANCEIROS'!O10</f>
        <v>61+ dias</v>
      </c>
      <c r="V4" s="30" t="str">
        <f ca="1">'DADOS FINANCEIROS'!P10</f>
        <v>Atraso Crítico</v>
      </c>
      <c r="W4" s="30" t="str">
        <f>'DADOS FINANCEIROS'!Q10</f>
        <v>-</v>
      </c>
      <c r="X4" s="30" t="str">
        <f>'DADOS FINANCEIROS'!R10</f>
        <v>Sim</v>
      </c>
      <c r="Y4" s="30">
        <f>'DADOS FINANCEIROS'!S10</f>
        <v>0</v>
      </c>
      <c r="Z4" s="30">
        <f>'DADOS FINANCEIROS'!T10</f>
        <v>1</v>
      </c>
      <c r="AA4" s="30" t="str">
        <f>'DADOS FINANCEIROS'!U10</f>
        <v>Sim</v>
      </c>
      <c r="AB4" s="44">
        <f>'DADOS FINANCEIROS'!V10</f>
        <v>45740</v>
      </c>
      <c r="AC4" s="44" t="str">
        <f>TEXT(Tabela1[[#This Row],[Data de Negociação]],"MMM-AA")</f>
        <v>mar-25</v>
      </c>
      <c r="AD4" s="44" t="str">
        <f>TEXT(Tabela1[[#This Row],[Data de Negociação]],"AAAA")</f>
        <v>2025</v>
      </c>
      <c r="AE4" s="44">
        <f>'DADOS FINANCEIROS'!W10</f>
        <v>45772</v>
      </c>
      <c r="AF4" s="44" t="str">
        <f>TEXT(Tabela1[[#This Row],[Data da Entrada/Primeira Parcela]],"MMM-AA")</f>
        <v>abr-25</v>
      </c>
      <c r="AG4" s="44" t="str">
        <f>TEXT(Tabela1[[#This Row],[Data da Entrada/Primeira Parcela]],"AAAA")</f>
        <v>2025</v>
      </c>
      <c r="AH4" s="30" t="str">
        <f>'DADOS FINANCEIROS'!X10</f>
        <v>Acompanhando</v>
      </c>
      <c r="AI4" s="46">
        <f ca="1">'DADOS FINANCEIROS'!Y10</f>
        <v>2000</v>
      </c>
      <c r="AJ4" s="46" t="str">
        <f ca="1">'DADOS FINANCEIROS'!Z10</f>
        <v>0</v>
      </c>
      <c r="AK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4" s="98"/>
    </row>
    <row r="5" spans="1:39" x14ac:dyDescent="0.3">
      <c r="A5" s="30">
        <f>'DADOS FINANCEIROS'!D11</f>
        <v>1</v>
      </c>
      <c r="B5" s="30" t="str">
        <f>'DADOS FINANCEIROS'!A11</f>
        <v>Matriz</v>
      </c>
      <c r="C5" s="30" t="str">
        <f>'DADOS FINANCEIROS'!B11</f>
        <v>Alpha &amp; CIA</v>
      </c>
      <c r="D5" s="30" t="str">
        <f>'DADOS FINANCEIROS'!C11</f>
        <v>Alpha &amp; CIA</v>
      </c>
      <c r="E5" s="44">
        <f>'DADOS FINANCEIROS'!E11</f>
        <v>45658</v>
      </c>
      <c r="F5" s="44" t="str">
        <f>TEXT(Tabela1[[#This Row],[DATA DE EMISSÃO]],"MMM-AA")</f>
        <v>jan-25</v>
      </c>
      <c r="G5" s="44" t="str">
        <f>TEXT(Tabela1[[#This Row],[DATA DE EMISSÃO]],"AAAA")</f>
        <v>2025</v>
      </c>
      <c r="H5" s="44">
        <f>'DADOS FINANCEIROS'!F11</f>
        <v>45690</v>
      </c>
      <c r="I5" s="44" t="str">
        <f>TEXT(Tabela1[[#This Row],[VENCIMENTO ORIGINAL]],"MMM-AA")</f>
        <v>fev-25</v>
      </c>
      <c r="J5" s="44" t="str">
        <f>TEXT(Tabela1[[#This Row],[VENCIMENTO ORIGINAL]],"AAAA")</f>
        <v>2025</v>
      </c>
      <c r="K5" s="44">
        <f>'DADOS FINANCEIROS'!G11</f>
        <v>45737</v>
      </c>
      <c r="L5" s="44" t="str">
        <f>TEXT(Tabela1[[#This Row],[VENCIMENTO ATUAL]],"MMM-AA")</f>
        <v>mar-25</v>
      </c>
      <c r="M5" s="44" t="str">
        <f>TEXT(Tabela1[[#This Row],[VENCIMENTO ATUAL]],"AAAA")</f>
        <v>2025</v>
      </c>
      <c r="N5" s="46">
        <f>'DADOS FINANCEIROS'!H11</f>
        <v>1000</v>
      </c>
      <c r="O5" s="30" t="str">
        <f>'DADOS FINANCEIROS'!I11</f>
        <v>João</v>
      </c>
      <c r="P5" s="30" t="str">
        <f>'DADOS FINANCEIROS'!J11</f>
        <v>ANALISTA SIMONE</v>
      </c>
      <c r="Q5" s="30" t="str">
        <f>'DADOS FINANCEIROS'!K11</f>
        <v>NÃO</v>
      </c>
      <c r="R5" s="30" t="str">
        <f>'DADOS FINANCEIROS'!L11</f>
        <v>Situação com comercial (aguardando análise comercial)</v>
      </c>
      <c r="S5" s="30" t="str">
        <f ca="1">'DADOS FINANCEIROS'!M11</f>
        <v>Vencido</v>
      </c>
      <c r="T5" s="30">
        <f ca="1">IFERROR('DADOS FINANCEIROS'!N11,"")</f>
        <v>105</v>
      </c>
      <c r="U5" s="30" t="str">
        <f ca="1">'DADOS FINANCEIROS'!O11</f>
        <v>61+ dias</v>
      </c>
      <c r="V5" s="30" t="str">
        <f ca="1">'DADOS FINANCEIROS'!P11</f>
        <v>Atraso Crítico</v>
      </c>
      <c r="W5" s="30" t="str">
        <f>'DADOS FINANCEIROS'!Q11</f>
        <v>-</v>
      </c>
      <c r="X5" s="30" t="str">
        <f>'DADOS FINANCEIROS'!R11</f>
        <v>Sim</v>
      </c>
      <c r="Y5" s="30">
        <f>'DADOS FINANCEIROS'!S11</f>
        <v>0</v>
      </c>
      <c r="Z5" s="30">
        <f>'DADOS FINANCEIROS'!T11</f>
        <v>1</v>
      </c>
      <c r="AA5" s="30" t="str">
        <f>'DADOS FINANCEIROS'!U11</f>
        <v>Sim</v>
      </c>
      <c r="AB5" s="44">
        <f>'DADOS FINANCEIROS'!V11</f>
        <v>45740</v>
      </c>
      <c r="AC5" s="44" t="str">
        <f>TEXT(Tabela1[[#This Row],[Data de Negociação]],"MMM-AA")</f>
        <v>mar-25</v>
      </c>
      <c r="AD5" s="44" t="str">
        <f>TEXT(Tabela1[[#This Row],[Data de Negociação]],"AAAA")</f>
        <v>2025</v>
      </c>
      <c r="AE5" s="44">
        <f>'DADOS FINANCEIROS'!W11</f>
        <v>45772</v>
      </c>
      <c r="AF5" s="44" t="str">
        <f>TEXT(Tabela1[[#This Row],[Data da Entrada/Primeira Parcela]],"MMM-AA")</f>
        <v>abr-25</v>
      </c>
      <c r="AG5" s="44" t="str">
        <f>TEXT(Tabela1[[#This Row],[Data da Entrada/Primeira Parcela]],"AAAA")</f>
        <v>2025</v>
      </c>
      <c r="AH5" s="30" t="str">
        <f>'DADOS FINANCEIROS'!X11</f>
        <v>Acompanhando</v>
      </c>
      <c r="AI5" s="46">
        <f ca="1">'DADOS FINANCEIROS'!Y11</f>
        <v>1000</v>
      </c>
      <c r="AJ5" s="46" t="str">
        <f ca="1">'DADOS FINANCEIROS'!Z11</f>
        <v>0</v>
      </c>
      <c r="AK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5" s="98"/>
    </row>
    <row r="6" spans="1:39" x14ac:dyDescent="0.3">
      <c r="A6" s="30">
        <f>'DADOS FINANCEIROS'!D12</f>
        <v>2</v>
      </c>
      <c r="B6" s="30" t="str">
        <f>'DADOS FINANCEIROS'!A12</f>
        <v>Matriz</v>
      </c>
      <c r="C6" s="30" t="str">
        <f>'DADOS FINANCEIROS'!B12</f>
        <v>Alpha &amp; CIA</v>
      </c>
      <c r="D6" s="30" t="str">
        <f>'DADOS FINANCEIROS'!C12</f>
        <v>Beta</v>
      </c>
      <c r="E6" s="44">
        <f>'DADOS FINANCEIROS'!E12</f>
        <v>45658</v>
      </c>
      <c r="F6" s="44" t="str">
        <f>TEXT(Tabela1[[#This Row],[DATA DE EMISSÃO]],"MMM-AA")</f>
        <v>jan-25</v>
      </c>
      <c r="G6" s="44" t="str">
        <f>TEXT(Tabela1[[#This Row],[DATA DE EMISSÃO]],"AAAA")</f>
        <v>2025</v>
      </c>
      <c r="H6" s="44">
        <f>'DADOS FINANCEIROS'!F12</f>
        <v>45690</v>
      </c>
      <c r="I6" s="44" t="str">
        <f>TEXT(Tabela1[[#This Row],[VENCIMENTO ORIGINAL]],"MMM-AA")</f>
        <v>fev-25</v>
      </c>
      <c r="J6" s="44" t="str">
        <f>TEXT(Tabela1[[#This Row],[VENCIMENTO ORIGINAL]],"AAAA")</f>
        <v>2025</v>
      </c>
      <c r="K6" s="44">
        <f>'DADOS FINANCEIROS'!G12</f>
        <v>45737</v>
      </c>
      <c r="L6" s="44" t="str">
        <f>TEXT(Tabela1[[#This Row],[VENCIMENTO ATUAL]],"MMM-AA")</f>
        <v>mar-25</v>
      </c>
      <c r="M6" s="44" t="str">
        <f>TEXT(Tabela1[[#This Row],[VENCIMENTO ATUAL]],"AAAA")</f>
        <v>2025</v>
      </c>
      <c r="N6" s="46">
        <f>'DADOS FINANCEIROS'!H12</f>
        <v>1000</v>
      </c>
      <c r="O6" s="30" t="str">
        <f>'DADOS FINANCEIROS'!I12</f>
        <v>João</v>
      </c>
      <c r="P6" s="30" t="str">
        <f>'DADOS FINANCEIROS'!J12</f>
        <v>ANALISTA SIMONE</v>
      </c>
      <c r="Q6" s="30" t="str">
        <f>'DADOS FINANCEIROS'!K12</f>
        <v>NÃO</v>
      </c>
      <c r="R6" s="30" t="str">
        <f>'DADOS FINANCEIROS'!L12</f>
        <v>Aguardando aprovação de crédito</v>
      </c>
      <c r="S6" s="30" t="str">
        <f ca="1">'DADOS FINANCEIROS'!M12</f>
        <v>Vencido</v>
      </c>
      <c r="T6" s="30">
        <f ca="1">IFERROR('DADOS FINANCEIROS'!N12,"")</f>
        <v>105</v>
      </c>
      <c r="U6" s="30" t="str">
        <f ca="1">'DADOS FINANCEIROS'!O12</f>
        <v>61+ dias</v>
      </c>
      <c r="V6" s="30" t="str">
        <f ca="1">'DADOS FINANCEIROS'!P12</f>
        <v>Atraso Crítico</v>
      </c>
      <c r="W6" s="30" t="str">
        <f>'DADOS FINANCEIROS'!Q12</f>
        <v>-</v>
      </c>
      <c r="X6" s="30" t="str">
        <f>'DADOS FINANCEIROS'!R12</f>
        <v>Sim</v>
      </c>
      <c r="Y6" s="30">
        <f>'DADOS FINANCEIROS'!S12</f>
        <v>0</v>
      </c>
      <c r="Z6" s="30">
        <f>'DADOS FINANCEIROS'!T12</f>
        <v>1</v>
      </c>
      <c r="AA6" s="30" t="str">
        <f>'DADOS FINANCEIROS'!U12</f>
        <v>Sim</v>
      </c>
      <c r="AB6" s="44">
        <f>'DADOS FINANCEIROS'!V12</f>
        <v>45740</v>
      </c>
      <c r="AC6" s="44" t="str">
        <f>TEXT(Tabela1[[#This Row],[Data de Negociação]],"MMM-AA")</f>
        <v>mar-25</v>
      </c>
      <c r="AD6" s="44" t="str">
        <f>TEXT(Tabela1[[#This Row],[Data de Negociação]],"AAAA")</f>
        <v>2025</v>
      </c>
      <c r="AE6" s="44">
        <f>'DADOS FINANCEIROS'!W12</f>
        <v>45802</v>
      </c>
      <c r="AF6" s="44" t="str">
        <f>TEXT(Tabela1[[#This Row],[Data da Entrada/Primeira Parcela]],"MMM-AA")</f>
        <v>mai-25</v>
      </c>
      <c r="AG6" s="44" t="str">
        <f>TEXT(Tabela1[[#This Row],[Data da Entrada/Primeira Parcela]],"AAAA")</f>
        <v>2025</v>
      </c>
      <c r="AH6" s="30" t="str">
        <f>'DADOS FINANCEIROS'!X12</f>
        <v>Acompanhando</v>
      </c>
      <c r="AI6" s="46">
        <f ca="1">'DADOS FINANCEIROS'!Y12</f>
        <v>1000</v>
      </c>
      <c r="AJ6" s="46" t="str">
        <f ca="1">'DADOS FINANCEIROS'!Z12</f>
        <v>0</v>
      </c>
      <c r="AK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6" s="98"/>
    </row>
    <row r="7" spans="1:39" x14ac:dyDescent="0.3">
      <c r="A7" s="30">
        <f>'DADOS FINANCEIROS'!D13</f>
        <v>3</v>
      </c>
      <c r="B7" s="30" t="str">
        <f>'DADOS FINANCEIROS'!A13</f>
        <v>Filial</v>
      </c>
      <c r="C7" s="30" t="str">
        <f>'DADOS FINANCEIROS'!B13</f>
        <v>Alpha &amp; CIA</v>
      </c>
      <c r="D7" s="30" t="str">
        <f>'DADOS FINANCEIROS'!C13</f>
        <v>Delta</v>
      </c>
      <c r="E7" s="44">
        <f>'DADOS FINANCEIROS'!E13</f>
        <v>45659</v>
      </c>
      <c r="F7" s="44" t="str">
        <f>TEXT(Tabela1[[#This Row],[DATA DE EMISSÃO]],"MMM-AA")</f>
        <v>jan-25</v>
      </c>
      <c r="G7" s="44" t="str">
        <f>TEXT(Tabela1[[#This Row],[DATA DE EMISSÃO]],"AAAA")</f>
        <v>2025</v>
      </c>
      <c r="H7" s="44">
        <f>'DADOS FINANCEIROS'!F13</f>
        <v>45690</v>
      </c>
      <c r="I7" s="44" t="str">
        <f>TEXT(Tabela1[[#This Row],[VENCIMENTO ORIGINAL]],"MMM-AA")</f>
        <v>fev-25</v>
      </c>
      <c r="J7" s="44" t="str">
        <f>TEXT(Tabela1[[#This Row],[VENCIMENTO ORIGINAL]],"AAAA")</f>
        <v>2025</v>
      </c>
      <c r="K7" s="44">
        <f>'DADOS FINANCEIROS'!G13</f>
        <v>45737</v>
      </c>
      <c r="L7" s="44" t="str">
        <f>TEXT(Tabela1[[#This Row],[VENCIMENTO ATUAL]],"MMM-AA")</f>
        <v>mar-25</v>
      </c>
      <c r="M7" s="44" t="str">
        <f>TEXT(Tabela1[[#This Row],[VENCIMENTO ATUAL]],"AAAA")</f>
        <v>2025</v>
      </c>
      <c r="N7" s="46">
        <f>'DADOS FINANCEIROS'!H13</f>
        <v>2500</v>
      </c>
      <c r="O7" s="30" t="str">
        <f>'DADOS FINANCEIROS'!I13</f>
        <v>Maria</v>
      </c>
      <c r="P7" s="30" t="str">
        <f>'DADOS FINANCEIROS'!J13</f>
        <v>ANALISTA SIMONE</v>
      </c>
      <c r="Q7" s="30" t="str">
        <f>'DADOS FINANCEIROS'!K13</f>
        <v>NÃO</v>
      </c>
      <c r="R7" s="30" t="str">
        <f>'DADOS FINANCEIROS'!L13</f>
        <v>Cliente não localizado</v>
      </c>
      <c r="S7" s="30" t="str">
        <f ca="1">'DADOS FINANCEIROS'!M13</f>
        <v>Vencido</v>
      </c>
      <c r="T7" s="30">
        <f ca="1">IFERROR('DADOS FINANCEIROS'!N13,"")</f>
        <v>105</v>
      </c>
      <c r="U7" s="30" t="str">
        <f ca="1">'DADOS FINANCEIROS'!O13</f>
        <v>61+ dias</v>
      </c>
      <c r="V7" s="30" t="str">
        <f ca="1">'DADOS FINANCEIROS'!P13</f>
        <v>Atraso Crítico</v>
      </c>
      <c r="W7" s="30" t="str">
        <f>'DADOS FINANCEIROS'!Q13</f>
        <v>-</v>
      </c>
      <c r="X7" s="30" t="str">
        <f>'DADOS FINANCEIROS'!R13</f>
        <v>Sim</v>
      </c>
      <c r="Y7" s="30">
        <f>'DADOS FINANCEIROS'!S13</f>
        <v>0</v>
      </c>
      <c r="Z7" s="30">
        <f>'DADOS FINANCEIROS'!T13</f>
        <v>1</v>
      </c>
      <c r="AA7" s="30" t="str">
        <f>'DADOS FINANCEIROS'!U13</f>
        <v>Sim</v>
      </c>
      <c r="AB7" s="44">
        <f>'DADOS FINANCEIROS'!V13</f>
        <v>45740</v>
      </c>
      <c r="AC7" s="44" t="str">
        <f>TEXT(Tabela1[[#This Row],[Data de Negociação]],"MMM-AA")</f>
        <v>mar-25</v>
      </c>
      <c r="AD7" s="44" t="str">
        <f>TEXT(Tabela1[[#This Row],[Data de Negociação]],"AAAA")</f>
        <v>2025</v>
      </c>
      <c r="AE7" s="44">
        <f>'DADOS FINANCEIROS'!W13</f>
        <v>45802</v>
      </c>
      <c r="AF7" s="44" t="str">
        <f>TEXT(Tabela1[[#This Row],[Data da Entrada/Primeira Parcela]],"MMM-AA")</f>
        <v>mai-25</v>
      </c>
      <c r="AG7" s="44" t="str">
        <f>TEXT(Tabela1[[#This Row],[Data da Entrada/Primeira Parcela]],"AAAA")</f>
        <v>2025</v>
      </c>
      <c r="AH7" s="30" t="str">
        <f>'DADOS FINANCEIROS'!X13</f>
        <v>Acompanhando</v>
      </c>
      <c r="AI7" s="46">
        <f ca="1">'DADOS FINANCEIROS'!Y13</f>
        <v>2500</v>
      </c>
      <c r="AJ7" s="46" t="str">
        <f ca="1">'DADOS FINANCEIROS'!Z13</f>
        <v>0</v>
      </c>
      <c r="AK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7" s="98"/>
    </row>
    <row r="8" spans="1:39" x14ac:dyDescent="0.3">
      <c r="A8" s="30">
        <f>'DADOS FINANCEIROS'!D14</f>
        <v>4</v>
      </c>
      <c r="B8" s="30" t="str">
        <f>'DADOS FINANCEIROS'!A14</f>
        <v>Filial</v>
      </c>
      <c r="C8" s="30" t="str">
        <f>'DADOS FINANCEIROS'!B14</f>
        <v>Alpha &amp; CIA</v>
      </c>
      <c r="D8" s="30" t="str">
        <f>'DADOS FINANCEIROS'!C14</f>
        <v>Delta</v>
      </c>
      <c r="E8" s="44">
        <f>'DADOS FINANCEIROS'!E14</f>
        <v>45659</v>
      </c>
      <c r="F8" s="44" t="str">
        <f>TEXT(Tabela1[[#This Row],[DATA DE EMISSÃO]],"MMM-AA")</f>
        <v>jan-25</v>
      </c>
      <c r="G8" s="44" t="str">
        <f>TEXT(Tabela1[[#This Row],[DATA DE EMISSÃO]],"AAAA")</f>
        <v>2025</v>
      </c>
      <c r="H8" s="44">
        <f>'DADOS FINANCEIROS'!F14</f>
        <v>45690</v>
      </c>
      <c r="I8" s="44" t="str">
        <f>TEXT(Tabela1[[#This Row],[VENCIMENTO ORIGINAL]],"MMM-AA")</f>
        <v>fev-25</v>
      </c>
      <c r="J8" s="44" t="str">
        <f>TEXT(Tabela1[[#This Row],[VENCIMENTO ORIGINAL]],"AAAA")</f>
        <v>2025</v>
      </c>
      <c r="K8" s="44">
        <f>'DADOS FINANCEIROS'!G14</f>
        <v>45737</v>
      </c>
      <c r="L8" s="44" t="str">
        <f>TEXT(Tabela1[[#This Row],[VENCIMENTO ATUAL]],"MMM-AA")</f>
        <v>mar-25</v>
      </c>
      <c r="M8" s="44" t="str">
        <f>TEXT(Tabela1[[#This Row],[VENCIMENTO ATUAL]],"AAAA")</f>
        <v>2025</v>
      </c>
      <c r="N8" s="46">
        <f>'DADOS FINANCEIROS'!H14</f>
        <v>2500</v>
      </c>
      <c r="O8" s="30" t="str">
        <f>'DADOS FINANCEIROS'!I14</f>
        <v>Maria</v>
      </c>
      <c r="P8" s="30" t="str">
        <f>'DADOS FINANCEIROS'!J14</f>
        <v>ANALISTA SIMONE</v>
      </c>
      <c r="Q8" s="30" t="str">
        <f>'DADOS FINANCEIROS'!K14</f>
        <v>NÃO</v>
      </c>
      <c r="R8" s="30" t="str">
        <f>'DADOS FINANCEIROS'!L14</f>
        <v>Promessa de pagamento refeito</v>
      </c>
      <c r="S8" s="30" t="str">
        <f ca="1">'DADOS FINANCEIROS'!M14</f>
        <v>Vencido</v>
      </c>
      <c r="T8" s="30">
        <f ca="1">IFERROR('DADOS FINANCEIROS'!N14,"")</f>
        <v>105</v>
      </c>
      <c r="U8" s="30" t="str">
        <f ca="1">'DADOS FINANCEIROS'!O14</f>
        <v>61+ dias</v>
      </c>
      <c r="V8" s="30" t="str">
        <f ca="1">'DADOS FINANCEIROS'!P14</f>
        <v>Atraso Crítico</v>
      </c>
      <c r="W8" s="30" t="str">
        <f>'DADOS FINANCEIROS'!Q14</f>
        <v>-</v>
      </c>
      <c r="X8" s="30" t="str">
        <f>'DADOS FINANCEIROS'!R14</f>
        <v>Sim</v>
      </c>
      <c r="Y8" s="30">
        <f>'DADOS FINANCEIROS'!S14</f>
        <v>0</v>
      </c>
      <c r="Z8" s="30">
        <f>'DADOS FINANCEIROS'!T14</f>
        <v>1</v>
      </c>
      <c r="AA8" s="30" t="str">
        <f>'DADOS FINANCEIROS'!U14</f>
        <v>Sim</v>
      </c>
      <c r="AB8" s="44">
        <f>'DADOS FINANCEIROS'!V14</f>
        <v>45740</v>
      </c>
      <c r="AC8" s="44" t="str">
        <f>TEXT(Tabela1[[#This Row],[Data de Negociação]],"MMM-AA")</f>
        <v>mar-25</v>
      </c>
      <c r="AD8" s="44" t="str">
        <f>TEXT(Tabela1[[#This Row],[Data de Negociação]],"AAAA")</f>
        <v>2025</v>
      </c>
      <c r="AE8" s="44">
        <f>'DADOS FINANCEIROS'!W14</f>
        <v>45802</v>
      </c>
      <c r="AF8" s="44" t="str">
        <f>TEXT(Tabela1[[#This Row],[Data da Entrada/Primeira Parcela]],"MMM-AA")</f>
        <v>mai-25</v>
      </c>
      <c r="AG8" s="44" t="str">
        <f>TEXT(Tabela1[[#This Row],[Data da Entrada/Primeira Parcela]],"AAAA")</f>
        <v>2025</v>
      </c>
      <c r="AH8" s="30" t="str">
        <f>'DADOS FINANCEIROS'!X14</f>
        <v>Acompanhando</v>
      </c>
      <c r="AI8" s="46">
        <f ca="1">'DADOS FINANCEIROS'!Y14</f>
        <v>2500</v>
      </c>
      <c r="AJ8" s="46" t="str">
        <f ca="1">'DADOS FINANCEIROS'!Z14</f>
        <v>0</v>
      </c>
      <c r="AK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8" s="98"/>
    </row>
    <row r="9" spans="1:39" x14ac:dyDescent="0.3">
      <c r="A9" s="30">
        <f>'DADOS FINANCEIROS'!D15</f>
        <v>5</v>
      </c>
      <c r="B9" s="30" t="str">
        <f>'DADOS FINANCEIROS'!A15</f>
        <v>Matriz</v>
      </c>
      <c r="C9" s="30" t="str">
        <f>'DADOS FINANCEIROS'!B15</f>
        <v>Alpha &amp; CIA</v>
      </c>
      <c r="D9" s="30" t="str">
        <f>'DADOS FINANCEIROS'!C15</f>
        <v>Theta</v>
      </c>
      <c r="E9" s="44">
        <f>'DADOS FINANCEIROS'!E15</f>
        <v>45662</v>
      </c>
      <c r="F9" s="44" t="str">
        <f>TEXT(Tabela1[[#This Row],[DATA DE EMISSÃO]],"MMM-AA")</f>
        <v>jan-25</v>
      </c>
      <c r="G9" s="44" t="str">
        <f>TEXT(Tabela1[[#This Row],[DATA DE EMISSÃO]],"AAAA")</f>
        <v>2025</v>
      </c>
      <c r="H9" s="44">
        <f>'DADOS FINANCEIROS'!F15</f>
        <v>45690</v>
      </c>
      <c r="I9" s="44" t="str">
        <f>TEXT(Tabela1[[#This Row],[VENCIMENTO ORIGINAL]],"MMM-AA")</f>
        <v>fev-25</v>
      </c>
      <c r="J9" s="44" t="str">
        <f>TEXT(Tabela1[[#This Row],[VENCIMENTO ORIGINAL]],"AAAA")</f>
        <v>2025</v>
      </c>
      <c r="K9" s="44">
        <f>'DADOS FINANCEIROS'!G15</f>
        <v>45737</v>
      </c>
      <c r="L9" s="44" t="str">
        <f>TEXT(Tabela1[[#This Row],[VENCIMENTO ATUAL]],"MMM-AA")</f>
        <v>mar-25</v>
      </c>
      <c r="M9" s="44" t="str">
        <f>TEXT(Tabela1[[#This Row],[VENCIMENTO ATUAL]],"AAAA")</f>
        <v>2025</v>
      </c>
      <c r="N9" s="46">
        <f>'DADOS FINANCEIROS'!H15</f>
        <v>3000</v>
      </c>
      <c r="O9" s="30" t="str">
        <f>'DADOS FINANCEIROS'!I15</f>
        <v>Carlos</v>
      </c>
      <c r="P9" s="30" t="str">
        <f>'DADOS FINANCEIROS'!J15</f>
        <v>ANALISTA SIMONE</v>
      </c>
      <c r="Q9" s="30" t="str">
        <f>'DADOS FINANCEIROS'!K15</f>
        <v>NÃO</v>
      </c>
      <c r="R9" s="30" t="str">
        <f>'DADOS FINANCEIROS'!L15</f>
        <v>Proposta de renegociação pendente</v>
      </c>
      <c r="S9" s="30" t="str">
        <f ca="1">'DADOS FINANCEIROS'!M15</f>
        <v>Vencido</v>
      </c>
      <c r="T9" s="30">
        <f ca="1">IFERROR('DADOS FINANCEIROS'!N15,"")</f>
        <v>105</v>
      </c>
      <c r="U9" s="30" t="str">
        <f ca="1">'DADOS FINANCEIROS'!O15</f>
        <v>61+ dias</v>
      </c>
      <c r="V9" s="30" t="str">
        <f ca="1">'DADOS FINANCEIROS'!P15</f>
        <v>Atraso Crítico</v>
      </c>
      <c r="W9" s="30" t="str">
        <f>'DADOS FINANCEIROS'!Q15</f>
        <v>-</v>
      </c>
      <c r="X9" s="30" t="str">
        <f>'DADOS FINANCEIROS'!R15</f>
        <v>Sim</v>
      </c>
      <c r="Y9" s="30">
        <f>'DADOS FINANCEIROS'!S15</f>
        <v>0</v>
      </c>
      <c r="Z9" s="30">
        <f>'DADOS FINANCEIROS'!T15</f>
        <v>1</v>
      </c>
      <c r="AA9" s="30" t="str">
        <f>'DADOS FINANCEIROS'!U15</f>
        <v>Sim</v>
      </c>
      <c r="AB9" s="44">
        <f>'DADOS FINANCEIROS'!V15</f>
        <v>45740</v>
      </c>
      <c r="AC9" s="44" t="str">
        <f>TEXT(Tabela1[[#This Row],[Data de Negociação]],"MMM-AA")</f>
        <v>mar-25</v>
      </c>
      <c r="AD9" s="44" t="str">
        <f>TEXT(Tabela1[[#This Row],[Data de Negociação]],"AAAA")</f>
        <v>2025</v>
      </c>
      <c r="AE9" s="44">
        <f>'DADOS FINANCEIROS'!W15</f>
        <v>45802</v>
      </c>
      <c r="AF9" s="44" t="str">
        <f>TEXT(Tabela1[[#This Row],[Data da Entrada/Primeira Parcela]],"MMM-AA")</f>
        <v>mai-25</v>
      </c>
      <c r="AG9" s="44" t="str">
        <f>TEXT(Tabela1[[#This Row],[Data da Entrada/Primeira Parcela]],"AAAA")</f>
        <v>2025</v>
      </c>
      <c r="AH9" s="30" t="str">
        <f>'DADOS FINANCEIROS'!X15</f>
        <v>Acompanhando</v>
      </c>
      <c r="AI9" s="46">
        <f ca="1">'DADOS FINANCEIROS'!Y15</f>
        <v>3000</v>
      </c>
      <c r="AJ9" s="46" t="str">
        <f ca="1">'DADOS FINANCEIROS'!Z15</f>
        <v>0</v>
      </c>
      <c r="AK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9" s="98"/>
    </row>
    <row r="10" spans="1:39" x14ac:dyDescent="0.3">
      <c r="A10" s="30">
        <f>'DADOS FINANCEIROS'!D16</f>
        <v>6</v>
      </c>
      <c r="B10" s="30" t="str">
        <f>'DADOS FINANCEIROS'!A16</f>
        <v>Matriz</v>
      </c>
      <c r="C10" s="30" t="str">
        <f>'DADOS FINANCEIROS'!B16</f>
        <v>Alpha &amp; CIA</v>
      </c>
      <c r="D10" s="30" t="str">
        <f>'DADOS FINANCEIROS'!C16</f>
        <v>Zeta</v>
      </c>
      <c r="E10" s="44">
        <f>'DADOS FINANCEIROS'!E16</f>
        <v>45662</v>
      </c>
      <c r="F10" s="44" t="str">
        <f>TEXT(Tabela1[[#This Row],[DATA DE EMISSÃO]],"MMM-AA")</f>
        <v>jan-25</v>
      </c>
      <c r="G10" s="44" t="str">
        <f>TEXT(Tabela1[[#This Row],[DATA DE EMISSÃO]],"AAAA")</f>
        <v>2025</v>
      </c>
      <c r="H10" s="44">
        <f>'DADOS FINANCEIROS'!F16</f>
        <v>45690</v>
      </c>
      <c r="I10" s="44" t="str">
        <f>TEXT(Tabela1[[#This Row],[VENCIMENTO ORIGINAL]],"MMM-AA")</f>
        <v>fev-25</v>
      </c>
      <c r="J10" s="44" t="str">
        <f>TEXT(Tabela1[[#This Row],[VENCIMENTO ORIGINAL]],"AAAA")</f>
        <v>2025</v>
      </c>
      <c r="K10" s="44">
        <f>'DADOS FINANCEIROS'!G16</f>
        <v>45737</v>
      </c>
      <c r="L10" s="44" t="str">
        <f>TEXT(Tabela1[[#This Row],[VENCIMENTO ATUAL]],"MMM-AA")</f>
        <v>mar-25</v>
      </c>
      <c r="M10" s="44" t="str">
        <f>TEXT(Tabela1[[#This Row],[VENCIMENTO ATUAL]],"AAAA")</f>
        <v>2025</v>
      </c>
      <c r="N10" s="46">
        <f>'DADOS FINANCEIROS'!H16</f>
        <v>3000</v>
      </c>
      <c r="O10" s="30" t="str">
        <f>'DADOS FINANCEIROS'!I16</f>
        <v>Carlos</v>
      </c>
      <c r="P10" s="30" t="str">
        <f>'DADOS FINANCEIROS'!J16</f>
        <v>ANALISTA SIMONE</v>
      </c>
      <c r="Q10" s="30" t="str">
        <f>'DADOS FINANCEIROS'!K16</f>
        <v>NÃO</v>
      </c>
      <c r="R10" s="30" t="str">
        <f>'DADOS FINANCEIROS'!L16</f>
        <v>Bloqueio de sistema por inadimplência</v>
      </c>
      <c r="S10" s="30" t="str">
        <f ca="1">'DADOS FINANCEIROS'!M16</f>
        <v>Vencido</v>
      </c>
      <c r="T10" s="30">
        <f ca="1">IFERROR('DADOS FINANCEIROS'!N16,"")</f>
        <v>105</v>
      </c>
      <c r="U10" s="30" t="str">
        <f ca="1">'DADOS FINANCEIROS'!O16</f>
        <v>61+ dias</v>
      </c>
      <c r="V10" s="30" t="str">
        <f ca="1">'DADOS FINANCEIROS'!P16</f>
        <v>Atraso Crítico</v>
      </c>
      <c r="W10" s="30" t="str">
        <f>'DADOS FINANCEIROS'!Q16</f>
        <v>-</v>
      </c>
      <c r="X10" s="30" t="str">
        <f>'DADOS FINANCEIROS'!R16</f>
        <v>Sim</v>
      </c>
      <c r="Y10" s="30">
        <f>'DADOS FINANCEIROS'!S16</f>
        <v>0</v>
      </c>
      <c r="Z10" s="30">
        <f>'DADOS FINANCEIROS'!T16</f>
        <v>1</v>
      </c>
      <c r="AA10" s="30" t="str">
        <f>'DADOS FINANCEIROS'!U16</f>
        <v>Sim</v>
      </c>
      <c r="AB10" s="44">
        <f>'DADOS FINANCEIROS'!V16</f>
        <v>45740</v>
      </c>
      <c r="AC10" s="44" t="str">
        <f>TEXT(Tabela1[[#This Row],[Data de Negociação]],"MMM-AA")</f>
        <v>mar-25</v>
      </c>
      <c r="AD10" s="44" t="str">
        <f>TEXT(Tabela1[[#This Row],[Data de Negociação]],"AAAA")</f>
        <v>2025</v>
      </c>
      <c r="AE10" s="44">
        <f>'DADOS FINANCEIROS'!W16</f>
        <v>45802</v>
      </c>
      <c r="AF10" s="44" t="str">
        <f>TEXT(Tabela1[[#This Row],[Data da Entrada/Primeira Parcela]],"MMM-AA")</f>
        <v>mai-25</v>
      </c>
      <c r="AG10" s="44" t="str">
        <f>TEXT(Tabela1[[#This Row],[Data da Entrada/Primeira Parcela]],"AAAA")</f>
        <v>2025</v>
      </c>
      <c r="AH10" s="30" t="str">
        <f>'DADOS FINANCEIROS'!X16</f>
        <v>Acompanhando</v>
      </c>
      <c r="AI10" s="46">
        <f ca="1">'DADOS FINANCEIROS'!Y16</f>
        <v>3000</v>
      </c>
      <c r="AJ10" s="46" t="str">
        <f ca="1">'DADOS FINANCEIROS'!Z16</f>
        <v>0</v>
      </c>
      <c r="AK1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0" s="98"/>
    </row>
    <row r="11" spans="1:39" x14ac:dyDescent="0.3">
      <c r="A11" s="30">
        <f>'DADOS FINANCEIROS'!D17</f>
        <v>7</v>
      </c>
      <c r="B11" s="30" t="str">
        <f>'DADOS FINANCEIROS'!A17</f>
        <v>Filial</v>
      </c>
      <c r="C11" s="30">
        <f>'DADOS FINANCEIROS'!B17</f>
        <v>0</v>
      </c>
      <c r="D11" s="30" t="str">
        <f>'DADOS FINANCEIROS'!C17</f>
        <v>BemEstar</v>
      </c>
      <c r="E11" s="44">
        <f>'DADOS FINANCEIROS'!E17</f>
        <v>45663</v>
      </c>
      <c r="F11" s="44" t="str">
        <f>TEXT(Tabela1[[#This Row],[DATA DE EMISSÃO]],"MMM-AA")</f>
        <v>jan-25</v>
      </c>
      <c r="G11" s="44" t="str">
        <f>TEXT(Tabela1[[#This Row],[DATA DE EMISSÃO]],"AAAA")</f>
        <v>2025</v>
      </c>
      <c r="H11" s="44">
        <f>'DADOS FINANCEIROS'!F17</f>
        <v>45690</v>
      </c>
      <c r="I11" s="44" t="str">
        <f>TEXT(Tabela1[[#This Row],[VENCIMENTO ORIGINAL]],"MMM-AA")</f>
        <v>fev-25</v>
      </c>
      <c r="J11" s="44" t="str">
        <f>TEXT(Tabela1[[#This Row],[VENCIMENTO ORIGINAL]],"AAAA")</f>
        <v>2025</v>
      </c>
      <c r="K11" s="44">
        <f>'DADOS FINANCEIROS'!G17</f>
        <v>45737</v>
      </c>
      <c r="L11" s="44" t="str">
        <f>TEXT(Tabela1[[#This Row],[VENCIMENTO ATUAL]],"MMM-AA")</f>
        <v>mar-25</v>
      </c>
      <c r="M11" s="44" t="str">
        <f>TEXT(Tabela1[[#This Row],[VENCIMENTO ATUAL]],"AAAA")</f>
        <v>2025</v>
      </c>
      <c r="N11" s="46">
        <f>'DADOS FINANCEIROS'!H17</f>
        <v>1500</v>
      </c>
      <c r="O11" s="30" t="str">
        <f>'DADOS FINANCEIROS'!I17</f>
        <v>Ana</v>
      </c>
      <c r="P11" s="30" t="str">
        <f>'DADOS FINANCEIROS'!J17</f>
        <v>ANALISTA SIMONE</v>
      </c>
      <c r="Q11" s="30" t="str">
        <f>'DADOS FINANCEIROS'!K17</f>
        <v>NÃO</v>
      </c>
      <c r="R11" s="30" t="str">
        <f>'DADOS FINANCEIROS'!L17</f>
        <v>Acordo em andamento (aguardando pagamento)</v>
      </c>
      <c r="S11" s="30" t="str">
        <f ca="1">'DADOS FINANCEIROS'!M17</f>
        <v>Vencido</v>
      </c>
      <c r="T11" s="30">
        <f ca="1">IFERROR('DADOS FINANCEIROS'!N17,"")</f>
        <v>105</v>
      </c>
      <c r="U11" s="30" t="str">
        <f ca="1">'DADOS FINANCEIROS'!O17</f>
        <v>61+ dias</v>
      </c>
      <c r="V11" s="30" t="str">
        <f ca="1">'DADOS FINANCEIROS'!P17</f>
        <v>Atraso Crítico</v>
      </c>
      <c r="W11" s="30" t="str">
        <f>'DADOS FINANCEIROS'!Q17</f>
        <v>-</v>
      </c>
      <c r="X11" s="30" t="str">
        <f>'DADOS FINANCEIROS'!R17</f>
        <v>Sim</v>
      </c>
      <c r="Y11" s="30">
        <f>'DADOS FINANCEIROS'!S17</f>
        <v>0</v>
      </c>
      <c r="Z11" s="30">
        <f>'DADOS FINANCEIROS'!T17</f>
        <v>1</v>
      </c>
      <c r="AA11" s="30" t="str">
        <f>'DADOS FINANCEIROS'!U17</f>
        <v>Sim</v>
      </c>
      <c r="AB11" s="44">
        <f>'DADOS FINANCEIROS'!V17</f>
        <v>45740</v>
      </c>
      <c r="AC11" s="44" t="str">
        <f>TEXT(Tabela1[[#This Row],[Data de Negociação]],"MMM-AA")</f>
        <v>mar-25</v>
      </c>
      <c r="AD11" s="44" t="str">
        <f>TEXT(Tabela1[[#This Row],[Data de Negociação]],"AAAA")</f>
        <v>2025</v>
      </c>
      <c r="AE11" s="44">
        <f>'DADOS FINANCEIROS'!W17</f>
        <v>45802</v>
      </c>
      <c r="AF11" s="44" t="str">
        <f>TEXT(Tabela1[[#This Row],[Data da Entrada/Primeira Parcela]],"MMM-AA")</f>
        <v>mai-25</v>
      </c>
      <c r="AG11" s="44" t="str">
        <f>TEXT(Tabela1[[#This Row],[Data da Entrada/Primeira Parcela]],"AAAA")</f>
        <v>2025</v>
      </c>
      <c r="AH11" s="30" t="str">
        <f>'DADOS FINANCEIROS'!X17</f>
        <v>Acompanhando</v>
      </c>
      <c r="AI11" s="46">
        <f ca="1">'DADOS FINANCEIROS'!Y17</f>
        <v>1500</v>
      </c>
      <c r="AJ11" s="46" t="str">
        <f ca="1">'DADOS FINANCEIROS'!Z17</f>
        <v>0</v>
      </c>
      <c r="AK1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1" s="98"/>
    </row>
    <row r="12" spans="1:39" x14ac:dyDescent="0.3">
      <c r="A12" s="30">
        <f>'DADOS FINANCEIROS'!D18</f>
        <v>8</v>
      </c>
      <c r="B12" s="30" t="str">
        <f>'DADOS FINANCEIROS'!A18</f>
        <v>Filial</v>
      </c>
      <c r="C12" s="30">
        <f>'DADOS FINANCEIROS'!B18</f>
        <v>0</v>
      </c>
      <c r="D12" s="30" t="str">
        <f>'DADOS FINANCEIROS'!C18</f>
        <v>BemEstar</v>
      </c>
      <c r="E12" s="44">
        <f>'DADOS FINANCEIROS'!E18</f>
        <v>45663</v>
      </c>
      <c r="F12" s="44" t="str">
        <f>TEXT(Tabela1[[#This Row],[DATA DE EMISSÃO]],"MMM-AA")</f>
        <v>jan-25</v>
      </c>
      <c r="G12" s="44" t="str">
        <f>TEXT(Tabela1[[#This Row],[DATA DE EMISSÃO]],"AAAA")</f>
        <v>2025</v>
      </c>
      <c r="H12" s="44">
        <f>'DADOS FINANCEIROS'!F18</f>
        <v>45690</v>
      </c>
      <c r="I12" s="44" t="str">
        <f>TEXT(Tabela1[[#This Row],[VENCIMENTO ORIGINAL]],"MMM-AA")</f>
        <v>fev-25</v>
      </c>
      <c r="J12" s="44" t="str">
        <f>TEXT(Tabela1[[#This Row],[VENCIMENTO ORIGINAL]],"AAAA")</f>
        <v>2025</v>
      </c>
      <c r="K12" s="44">
        <f>'DADOS FINANCEIROS'!G18</f>
        <v>45737</v>
      </c>
      <c r="L12" s="44" t="str">
        <f>TEXT(Tabela1[[#This Row],[VENCIMENTO ATUAL]],"MMM-AA")</f>
        <v>mar-25</v>
      </c>
      <c r="M12" s="44" t="str">
        <f>TEXT(Tabela1[[#This Row],[VENCIMENTO ATUAL]],"AAAA")</f>
        <v>2025</v>
      </c>
      <c r="N12" s="46">
        <f>'DADOS FINANCEIROS'!H18</f>
        <v>1500</v>
      </c>
      <c r="O12" s="30" t="str">
        <f>'DADOS FINANCEIROS'!I18</f>
        <v>Ana</v>
      </c>
      <c r="P12" s="30" t="str">
        <f>'DADOS FINANCEIROS'!J18</f>
        <v>ANALISTA SIMONE</v>
      </c>
      <c r="Q12" s="30" t="str">
        <f>'DADOS FINANCEIROS'!K18</f>
        <v>NÃO</v>
      </c>
      <c r="R12" s="30" t="str">
        <f>'DADOS FINANCEIROS'!L18</f>
        <v>Negociação finalizada, pendente de pagamento</v>
      </c>
      <c r="S12" s="30" t="str">
        <f ca="1">'DADOS FINANCEIROS'!M18</f>
        <v>Vencido</v>
      </c>
      <c r="T12" s="30">
        <f ca="1">IFERROR('DADOS FINANCEIROS'!N18,"")</f>
        <v>105</v>
      </c>
      <c r="U12" s="30" t="str">
        <f ca="1">'DADOS FINANCEIROS'!O18</f>
        <v>61+ dias</v>
      </c>
      <c r="V12" s="30" t="str">
        <f ca="1">'DADOS FINANCEIROS'!P18</f>
        <v>Atraso Crítico</v>
      </c>
      <c r="W12" s="30" t="str">
        <f>'DADOS FINANCEIROS'!Q18</f>
        <v>-</v>
      </c>
      <c r="X12" s="30" t="str">
        <f>'DADOS FINANCEIROS'!R18</f>
        <v>Sim</v>
      </c>
      <c r="Y12" s="30">
        <f>'DADOS FINANCEIROS'!S18</f>
        <v>0</v>
      </c>
      <c r="Z12" s="30">
        <f>'DADOS FINANCEIROS'!T18</f>
        <v>1</v>
      </c>
      <c r="AA12" s="30" t="str">
        <f>'DADOS FINANCEIROS'!U18</f>
        <v>Sim</v>
      </c>
      <c r="AB12" s="44">
        <f>'DADOS FINANCEIROS'!V18</f>
        <v>45740</v>
      </c>
      <c r="AC12" s="44" t="str">
        <f>TEXT(Tabela1[[#This Row],[Data de Negociação]],"MMM-AA")</f>
        <v>mar-25</v>
      </c>
      <c r="AD12" s="44" t="str">
        <f>TEXT(Tabela1[[#This Row],[Data de Negociação]],"AAAA")</f>
        <v>2025</v>
      </c>
      <c r="AE12" s="44">
        <f>'DADOS FINANCEIROS'!W18</f>
        <v>45802</v>
      </c>
      <c r="AF12" s="44" t="str">
        <f>TEXT(Tabela1[[#This Row],[Data da Entrada/Primeira Parcela]],"MMM-AA")</f>
        <v>mai-25</v>
      </c>
      <c r="AG12" s="44" t="str">
        <f>TEXT(Tabela1[[#This Row],[Data da Entrada/Primeira Parcela]],"AAAA")</f>
        <v>2025</v>
      </c>
      <c r="AH12" s="30" t="str">
        <f>'DADOS FINANCEIROS'!X18</f>
        <v>Acompanhando</v>
      </c>
      <c r="AI12" s="46">
        <f ca="1">'DADOS FINANCEIROS'!Y18</f>
        <v>1500</v>
      </c>
      <c r="AJ12" s="46" t="str">
        <f ca="1">'DADOS FINANCEIROS'!Z18</f>
        <v>0</v>
      </c>
      <c r="AK1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2" s="98"/>
    </row>
    <row r="13" spans="1:39" x14ac:dyDescent="0.3">
      <c r="A13" s="30">
        <f>'DADOS FINANCEIROS'!D19</f>
        <v>9</v>
      </c>
      <c r="B13" s="30" t="str">
        <f>'DADOS FINANCEIROS'!A19</f>
        <v>Matriz</v>
      </c>
      <c r="C13" s="30">
        <f>'DADOS FINANCEIROS'!B19</f>
        <v>0</v>
      </c>
      <c r="D13" s="30" t="str">
        <f>'DADOS FINANCEIROS'!C19</f>
        <v>BemEstar</v>
      </c>
      <c r="E13" s="44">
        <f>'DADOS FINANCEIROS'!E19</f>
        <v>45667</v>
      </c>
      <c r="F13" s="44" t="str">
        <f>TEXT(Tabela1[[#This Row],[DATA DE EMISSÃO]],"MMM-AA")</f>
        <v>jan-25</v>
      </c>
      <c r="G13" s="44" t="str">
        <f>TEXT(Tabela1[[#This Row],[DATA DE EMISSÃO]],"AAAA")</f>
        <v>2025</v>
      </c>
      <c r="H13" s="44">
        <f>'DADOS FINANCEIROS'!F19</f>
        <v>45698</v>
      </c>
      <c r="I13" s="44" t="str">
        <f>TEXT(Tabela1[[#This Row],[VENCIMENTO ORIGINAL]],"MMM-AA")</f>
        <v>fev-25</v>
      </c>
      <c r="J13" s="44" t="str">
        <f>TEXT(Tabela1[[#This Row],[VENCIMENTO ORIGINAL]],"AAAA")</f>
        <v>2025</v>
      </c>
      <c r="K13" s="44">
        <f>'DADOS FINANCEIROS'!G19</f>
        <v>45737</v>
      </c>
      <c r="L13" s="44" t="str">
        <f>TEXT(Tabela1[[#This Row],[VENCIMENTO ATUAL]],"MMM-AA")</f>
        <v>mar-25</v>
      </c>
      <c r="M13" s="44" t="str">
        <f>TEXT(Tabela1[[#This Row],[VENCIMENTO ATUAL]],"AAAA")</f>
        <v>2025</v>
      </c>
      <c r="N13" s="46">
        <f>'DADOS FINANCEIROS'!H19</f>
        <v>2200</v>
      </c>
      <c r="O13" s="30" t="str">
        <f>'DADOS FINANCEIROS'!I19</f>
        <v>Beatriz</v>
      </c>
      <c r="P13" s="30" t="str">
        <f>'DADOS FINANCEIROS'!J19</f>
        <v>ANALISTA SIMONE</v>
      </c>
      <c r="Q13" s="30" t="str">
        <f>'DADOS FINANCEIROS'!K19</f>
        <v>NÃO</v>
      </c>
      <c r="R13" s="30" t="str">
        <f>'DADOS FINANCEIROS'!L19</f>
        <v>Cliente em processo de análise para reativação</v>
      </c>
      <c r="S13" s="30" t="str">
        <f ca="1">'DADOS FINANCEIROS'!M19</f>
        <v>Vencido</v>
      </c>
      <c r="T13" s="30">
        <f ca="1">IFERROR('DADOS FINANCEIROS'!N19,"")</f>
        <v>97</v>
      </c>
      <c r="U13" s="30" t="str">
        <f ca="1">'DADOS FINANCEIROS'!O19</f>
        <v>61+ dias</v>
      </c>
      <c r="V13" s="30" t="str">
        <f ca="1">'DADOS FINANCEIROS'!P19</f>
        <v>Atraso Crítico</v>
      </c>
      <c r="W13" s="30" t="str">
        <f>'DADOS FINANCEIROS'!Q19</f>
        <v>-</v>
      </c>
      <c r="X13" s="30" t="str">
        <f>'DADOS FINANCEIROS'!R19</f>
        <v>Sim</v>
      </c>
      <c r="Y13" s="30">
        <f>'DADOS FINANCEIROS'!S19</f>
        <v>0</v>
      </c>
      <c r="Z13" s="30">
        <f>'DADOS FINANCEIROS'!T19</f>
        <v>1</v>
      </c>
      <c r="AA13" s="30" t="str">
        <f>'DADOS FINANCEIROS'!U19</f>
        <v>Sim</v>
      </c>
      <c r="AB13" s="44">
        <f>'DADOS FINANCEIROS'!V19</f>
        <v>45740</v>
      </c>
      <c r="AC13" s="44" t="str">
        <f>TEXT(Tabela1[[#This Row],[Data de Negociação]],"MMM-AA")</f>
        <v>mar-25</v>
      </c>
      <c r="AD13" s="44" t="str">
        <f>TEXT(Tabela1[[#This Row],[Data de Negociação]],"AAAA")</f>
        <v>2025</v>
      </c>
      <c r="AE13" s="44">
        <f>'DADOS FINANCEIROS'!W19</f>
        <v>45802</v>
      </c>
      <c r="AF13" s="44" t="str">
        <f>TEXT(Tabela1[[#This Row],[Data da Entrada/Primeira Parcela]],"MMM-AA")</f>
        <v>mai-25</v>
      </c>
      <c r="AG13" s="44" t="str">
        <f>TEXT(Tabela1[[#This Row],[Data da Entrada/Primeira Parcela]],"AAAA")</f>
        <v>2025</v>
      </c>
      <c r="AH13" s="30" t="str">
        <f>'DADOS FINANCEIROS'!X19</f>
        <v>Acompanhando</v>
      </c>
      <c r="AI13" s="46">
        <f ca="1">'DADOS FINANCEIROS'!Y19</f>
        <v>2200</v>
      </c>
      <c r="AJ13" s="46" t="str">
        <f ca="1">'DADOS FINANCEIROS'!Z19</f>
        <v>0</v>
      </c>
      <c r="AK1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3" s="98"/>
    </row>
    <row r="14" spans="1:39" x14ac:dyDescent="0.3">
      <c r="A14" s="30">
        <f>'DADOS FINANCEIROS'!D20</f>
        <v>10</v>
      </c>
      <c r="B14" s="30" t="str">
        <f>'DADOS FINANCEIROS'!A20</f>
        <v>Matriz</v>
      </c>
      <c r="C14" s="30">
        <f>'DADOS FINANCEIROS'!B20</f>
        <v>0</v>
      </c>
      <c r="D14" s="30" t="str">
        <f>'DADOS FINANCEIROS'!C20</f>
        <v>BemEstar</v>
      </c>
      <c r="E14" s="44">
        <f>'DADOS FINANCEIROS'!E20</f>
        <v>45667</v>
      </c>
      <c r="F14" s="44" t="str">
        <f>TEXT(Tabela1[[#This Row],[DATA DE EMISSÃO]],"MMM-AA")</f>
        <v>jan-25</v>
      </c>
      <c r="G14" s="44" t="str">
        <f>TEXT(Tabela1[[#This Row],[DATA DE EMISSÃO]],"AAAA")</f>
        <v>2025</v>
      </c>
      <c r="H14" s="44">
        <f>'DADOS FINANCEIROS'!F20</f>
        <v>45699</v>
      </c>
      <c r="I14" s="44" t="str">
        <f>TEXT(Tabela1[[#This Row],[VENCIMENTO ORIGINAL]],"MMM-AA")</f>
        <v>fev-25</v>
      </c>
      <c r="J14" s="44" t="str">
        <f>TEXT(Tabela1[[#This Row],[VENCIMENTO ORIGINAL]],"AAAA")</f>
        <v>2025</v>
      </c>
      <c r="K14" s="44">
        <f>'DADOS FINANCEIROS'!G20</f>
        <v>45737</v>
      </c>
      <c r="L14" s="44" t="str">
        <f>TEXT(Tabela1[[#This Row],[VENCIMENTO ATUAL]],"MMM-AA")</f>
        <v>mar-25</v>
      </c>
      <c r="M14" s="44" t="str">
        <f>TEXT(Tabela1[[#This Row],[VENCIMENTO ATUAL]],"AAAA")</f>
        <v>2025</v>
      </c>
      <c r="N14" s="46">
        <f>'DADOS FINANCEIROS'!H20</f>
        <v>2200</v>
      </c>
      <c r="O14" s="30" t="str">
        <f>'DADOS FINANCEIROS'!I20</f>
        <v>Beatriz</v>
      </c>
      <c r="P14" s="30" t="str">
        <f>'DADOS FINANCEIROS'!J20</f>
        <v>ANALISTA SIMONE</v>
      </c>
      <c r="Q14" s="30" t="str">
        <f>'DADOS FINANCEIROS'!K20</f>
        <v>NÃO</v>
      </c>
      <c r="R14" s="30" t="str">
        <f>'DADOS FINANCEIROS'!L20</f>
        <v>Acordo cumprido parcialmente</v>
      </c>
      <c r="S14" s="30" t="str">
        <f ca="1">'DADOS FINANCEIROS'!M20</f>
        <v>Vencido</v>
      </c>
      <c r="T14" s="30">
        <f ca="1">IFERROR('DADOS FINANCEIROS'!N20,"")</f>
        <v>96</v>
      </c>
      <c r="U14" s="30" t="str">
        <f ca="1">'DADOS FINANCEIROS'!O20</f>
        <v>61+ dias</v>
      </c>
      <c r="V14" s="30" t="str">
        <f ca="1">'DADOS FINANCEIROS'!P20</f>
        <v>Atraso Crítico</v>
      </c>
      <c r="W14" s="30" t="str">
        <f>'DADOS FINANCEIROS'!Q20</f>
        <v>-</v>
      </c>
      <c r="X14" s="30" t="str">
        <f>'DADOS FINANCEIROS'!R20</f>
        <v>Sim</v>
      </c>
      <c r="Y14" s="30">
        <f>'DADOS FINANCEIROS'!S20</f>
        <v>0</v>
      </c>
      <c r="Z14" s="30">
        <f>'DADOS FINANCEIROS'!T20</f>
        <v>1</v>
      </c>
      <c r="AA14" s="30" t="str">
        <f>'DADOS FINANCEIROS'!U20</f>
        <v>Sim</v>
      </c>
      <c r="AB14" s="44">
        <f>'DADOS FINANCEIROS'!V20</f>
        <v>45740</v>
      </c>
      <c r="AC14" s="44" t="str">
        <f>TEXT(Tabela1[[#This Row],[Data de Negociação]],"MMM-AA")</f>
        <v>mar-25</v>
      </c>
      <c r="AD14" s="44" t="str">
        <f>TEXT(Tabela1[[#This Row],[Data de Negociação]],"AAAA")</f>
        <v>2025</v>
      </c>
      <c r="AE14" s="44">
        <f>'DADOS FINANCEIROS'!W20</f>
        <v>45802</v>
      </c>
      <c r="AF14" s="44" t="str">
        <f>TEXT(Tabela1[[#This Row],[Data da Entrada/Primeira Parcela]],"MMM-AA")</f>
        <v>mai-25</v>
      </c>
      <c r="AG14" s="44" t="str">
        <f>TEXT(Tabela1[[#This Row],[Data da Entrada/Primeira Parcela]],"AAAA")</f>
        <v>2025</v>
      </c>
      <c r="AH14" s="30" t="str">
        <f>'DADOS FINANCEIROS'!X20</f>
        <v>Acompanhando</v>
      </c>
      <c r="AI14" s="46">
        <f ca="1">'DADOS FINANCEIROS'!Y20</f>
        <v>2200</v>
      </c>
      <c r="AJ14" s="46" t="str">
        <f ca="1">'DADOS FINANCEIROS'!Z20</f>
        <v>0</v>
      </c>
      <c r="AK1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4" s="98"/>
    </row>
    <row r="15" spans="1:39" x14ac:dyDescent="0.3">
      <c r="A15" s="30">
        <f>'DADOS FINANCEIROS'!D21</f>
        <v>11</v>
      </c>
      <c r="B15" s="30" t="str">
        <f>'DADOS FINANCEIROS'!A21</f>
        <v>Filial</v>
      </c>
      <c r="C15" s="30">
        <f>'DADOS FINANCEIROS'!B21</f>
        <v>0</v>
      </c>
      <c r="D15" s="30" t="str">
        <f>'DADOS FINANCEIROS'!C21</f>
        <v>BemEstar</v>
      </c>
      <c r="E15" s="44">
        <f>'DADOS FINANCEIROS'!E21</f>
        <v>45669</v>
      </c>
      <c r="F15" s="44" t="str">
        <f>TEXT(Tabela1[[#This Row],[DATA DE EMISSÃO]],"MMM-AA")</f>
        <v>jan-25</v>
      </c>
      <c r="G15" s="44" t="str">
        <f>TEXT(Tabela1[[#This Row],[DATA DE EMISSÃO]],"AAAA")</f>
        <v>2025</v>
      </c>
      <c r="H15" s="44">
        <f>'DADOS FINANCEIROS'!F21</f>
        <v>45700</v>
      </c>
      <c r="I15" s="44" t="str">
        <f>TEXT(Tabela1[[#This Row],[VENCIMENTO ORIGINAL]],"MMM-AA")</f>
        <v>fev-25</v>
      </c>
      <c r="J15" s="44" t="str">
        <f>TEXT(Tabela1[[#This Row],[VENCIMENTO ORIGINAL]],"AAAA")</f>
        <v>2025</v>
      </c>
      <c r="K15" s="44">
        <f>'DADOS FINANCEIROS'!G21</f>
        <v>45701</v>
      </c>
      <c r="L15" s="44" t="str">
        <f>TEXT(Tabela1[[#This Row],[VENCIMENTO ATUAL]],"MMM-AA")</f>
        <v>fev-25</v>
      </c>
      <c r="M15" s="44" t="str">
        <f>TEXT(Tabela1[[#This Row],[VENCIMENTO ATUAL]],"AAAA")</f>
        <v>2025</v>
      </c>
      <c r="N15" s="46">
        <f>'DADOS FINANCEIROS'!H21</f>
        <v>1000</v>
      </c>
      <c r="O15" s="30" t="str">
        <f>'DADOS FINANCEIROS'!I21</f>
        <v>Lucas</v>
      </c>
      <c r="P15" s="30" t="str">
        <f>'DADOS FINANCEIROS'!J21</f>
        <v>ANALISTA SIMONE</v>
      </c>
      <c r="Q15" s="30" t="str">
        <f>'DADOS FINANCEIROS'!K21</f>
        <v>NÃO</v>
      </c>
      <c r="R15" s="30" t="str">
        <f>'DADOS FINANCEIROS'!L21</f>
        <v>Aguardando liberação do financeiro</v>
      </c>
      <c r="S15" s="30" t="str">
        <f ca="1">'DADOS FINANCEIROS'!M21</f>
        <v>Vencido</v>
      </c>
      <c r="T15" s="30">
        <f ca="1">IFERROR('DADOS FINANCEIROS'!N21,"")</f>
        <v>95</v>
      </c>
      <c r="U15" s="30" t="str">
        <f ca="1">'DADOS FINANCEIROS'!O21</f>
        <v>61+ dias</v>
      </c>
      <c r="V15" s="30" t="str">
        <f ca="1">'DADOS FINANCEIROS'!P21</f>
        <v>Atraso Crítico</v>
      </c>
      <c r="W15" s="30" t="str">
        <f>'DADOS FINANCEIROS'!Q21</f>
        <v>-</v>
      </c>
      <c r="X15" s="30" t="str">
        <f>'DADOS FINANCEIROS'!R21</f>
        <v>Sim</v>
      </c>
      <c r="Y15" s="30">
        <f>'DADOS FINANCEIROS'!S21</f>
        <v>0</v>
      </c>
      <c r="Z15" s="30">
        <f>'DADOS FINANCEIROS'!T21</f>
        <v>1</v>
      </c>
      <c r="AA15" s="30" t="str">
        <f>'DADOS FINANCEIROS'!U21</f>
        <v>Sim</v>
      </c>
      <c r="AB15" s="44">
        <f>'DADOS FINANCEIROS'!V21</f>
        <v>45740</v>
      </c>
      <c r="AC15" s="44" t="str">
        <f>TEXT(Tabela1[[#This Row],[Data de Negociação]],"MMM-AA")</f>
        <v>mar-25</v>
      </c>
      <c r="AD15" s="44" t="str">
        <f>TEXT(Tabela1[[#This Row],[Data de Negociação]],"AAAA")</f>
        <v>2025</v>
      </c>
      <c r="AE15" s="44">
        <f>'DADOS FINANCEIROS'!W21</f>
        <v>45802</v>
      </c>
      <c r="AF15" s="44" t="str">
        <f>TEXT(Tabela1[[#This Row],[Data da Entrada/Primeira Parcela]],"MMM-AA")</f>
        <v>mai-25</v>
      </c>
      <c r="AG15" s="44" t="str">
        <f>TEXT(Tabela1[[#This Row],[Data da Entrada/Primeira Parcela]],"AAAA")</f>
        <v>2025</v>
      </c>
      <c r="AH15" s="30" t="str">
        <f>'DADOS FINANCEIROS'!X21</f>
        <v>Acompanhando</v>
      </c>
      <c r="AI15" s="46">
        <f ca="1">'DADOS FINANCEIROS'!Y21</f>
        <v>1000</v>
      </c>
      <c r="AJ15" s="46" t="str">
        <f ca="1">'DADOS FINANCEIROS'!Z21</f>
        <v>0</v>
      </c>
      <c r="AK1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5" s="98"/>
    </row>
    <row r="16" spans="1:39" x14ac:dyDescent="0.3">
      <c r="A16" s="30">
        <f>'DADOS FINANCEIROS'!D22</f>
        <v>12</v>
      </c>
      <c r="B16" s="30" t="str">
        <f>'DADOS FINANCEIROS'!A22</f>
        <v>Filial</v>
      </c>
      <c r="C16" s="30">
        <f>'DADOS FINANCEIROS'!B22</f>
        <v>0</v>
      </c>
      <c r="D16" s="30" t="str">
        <f>'DADOS FINANCEIROS'!C22</f>
        <v>MundoInovador</v>
      </c>
      <c r="E16" s="44">
        <f>'DADOS FINANCEIROS'!E22</f>
        <v>45669</v>
      </c>
      <c r="F16" s="44" t="str">
        <f>TEXT(Tabela1[[#This Row],[DATA DE EMISSÃO]],"MMM-AA")</f>
        <v>jan-25</v>
      </c>
      <c r="G16" s="44" t="str">
        <f>TEXT(Tabela1[[#This Row],[DATA DE EMISSÃO]],"AAAA")</f>
        <v>2025</v>
      </c>
      <c r="H16" s="44">
        <f>'DADOS FINANCEIROS'!F22</f>
        <v>45701</v>
      </c>
      <c r="I16" s="44" t="str">
        <f>TEXT(Tabela1[[#This Row],[VENCIMENTO ORIGINAL]],"MMM-AA")</f>
        <v>fev-25</v>
      </c>
      <c r="J16" s="44" t="str">
        <f>TEXT(Tabela1[[#This Row],[VENCIMENTO ORIGINAL]],"AAAA")</f>
        <v>2025</v>
      </c>
      <c r="K16" s="44">
        <f>'DADOS FINANCEIROS'!G22</f>
        <v>45737</v>
      </c>
      <c r="L16" s="44" t="str">
        <f>TEXT(Tabela1[[#This Row],[VENCIMENTO ATUAL]],"MMM-AA")</f>
        <v>mar-25</v>
      </c>
      <c r="M16" s="44" t="str">
        <f>TEXT(Tabela1[[#This Row],[VENCIMENTO ATUAL]],"AAAA")</f>
        <v>2025</v>
      </c>
      <c r="N16" s="46">
        <f>'DADOS FINANCEIROS'!H22</f>
        <v>1000</v>
      </c>
      <c r="O16" s="30" t="str">
        <f>'DADOS FINANCEIROS'!I22</f>
        <v>Lucas</v>
      </c>
      <c r="P16" s="30" t="str">
        <f>'DADOS FINANCEIROS'!J22</f>
        <v>ANALISTA SIMONE</v>
      </c>
      <c r="Q16" s="30" t="str">
        <f>'DADOS FINANCEIROS'!K22</f>
        <v>NÃO</v>
      </c>
      <c r="R16" s="30" t="str">
        <f>'DADOS FINANCEIROS'!L22</f>
        <v>Pagamento em processo (aguardando confirmação bancária)</v>
      </c>
      <c r="S16" s="30" t="str">
        <f ca="1">'DADOS FINANCEIROS'!M22</f>
        <v>Vencido</v>
      </c>
      <c r="T16" s="30">
        <f ca="1">IFERROR('DADOS FINANCEIROS'!N22,"")</f>
        <v>94</v>
      </c>
      <c r="U16" s="30" t="str">
        <f ca="1">'DADOS FINANCEIROS'!O22</f>
        <v>61+ dias</v>
      </c>
      <c r="V16" s="30" t="str">
        <f ca="1">'DADOS FINANCEIROS'!P22</f>
        <v>Atraso Crítico</v>
      </c>
      <c r="W16" s="30" t="str">
        <f>'DADOS FINANCEIROS'!Q22</f>
        <v>-</v>
      </c>
      <c r="X16" s="30" t="str">
        <f>'DADOS FINANCEIROS'!R22</f>
        <v>Sim</v>
      </c>
      <c r="Y16" s="30">
        <f>'DADOS FINANCEIROS'!S22</f>
        <v>0</v>
      </c>
      <c r="Z16" s="30">
        <f>'DADOS FINANCEIROS'!T22</f>
        <v>1</v>
      </c>
      <c r="AA16" s="30" t="str">
        <f>'DADOS FINANCEIROS'!U22</f>
        <v>Sim</v>
      </c>
      <c r="AB16" s="44">
        <f>'DADOS FINANCEIROS'!V22</f>
        <v>45740</v>
      </c>
      <c r="AC16" s="44" t="str">
        <f>TEXT(Tabela1[[#This Row],[Data de Negociação]],"MMM-AA")</f>
        <v>mar-25</v>
      </c>
      <c r="AD16" s="44" t="str">
        <f>TEXT(Tabela1[[#This Row],[Data de Negociação]],"AAAA")</f>
        <v>2025</v>
      </c>
      <c r="AE16" s="44">
        <f>'DADOS FINANCEIROS'!W22</f>
        <v>45802</v>
      </c>
      <c r="AF16" s="44" t="str">
        <f>TEXT(Tabela1[[#This Row],[Data da Entrada/Primeira Parcela]],"MMM-AA")</f>
        <v>mai-25</v>
      </c>
      <c r="AG16" s="44" t="str">
        <f>TEXT(Tabela1[[#This Row],[Data da Entrada/Primeira Parcela]],"AAAA")</f>
        <v>2025</v>
      </c>
      <c r="AH16" s="30" t="str">
        <f>'DADOS FINANCEIROS'!X22</f>
        <v>Acompanhando</v>
      </c>
      <c r="AI16" s="46">
        <f ca="1">'DADOS FINANCEIROS'!Y22</f>
        <v>1000</v>
      </c>
      <c r="AJ16" s="46" t="str">
        <f ca="1">'DADOS FINANCEIROS'!Z22</f>
        <v>0</v>
      </c>
      <c r="AK1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6" s="98"/>
    </row>
    <row r="17" spans="1:38" x14ac:dyDescent="0.3">
      <c r="A17" s="30">
        <f>'DADOS FINANCEIROS'!D23</f>
        <v>13</v>
      </c>
      <c r="B17" s="30" t="str">
        <f>'DADOS FINANCEIROS'!A23</f>
        <v>Matriz</v>
      </c>
      <c r="C17" s="30" t="str">
        <f>'DADOS FINANCEIROS'!B23</f>
        <v>Alpha &amp; CIA</v>
      </c>
      <c r="D17" s="30" t="str">
        <f>'DADOS FINANCEIROS'!C23</f>
        <v>Alpha &amp; CIA</v>
      </c>
      <c r="E17" s="44">
        <f>'DADOS FINANCEIROS'!E23</f>
        <v>45672</v>
      </c>
      <c r="F17" s="44" t="str">
        <f>TEXT(Tabela1[[#This Row],[DATA DE EMISSÃO]],"MMM-AA")</f>
        <v>jan-25</v>
      </c>
      <c r="G17" s="44" t="str">
        <f>TEXT(Tabela1[[#This Row],[DATA DE EMISSÃO]],"AAAA")</f>
        <v>2025</v>
      </c>
      <c r="H17" s="44">
        <f>'DADOS FINANCEIROS'!F23</f>
        <v>45702</v>
      </c>
      <c r="I17" s="44" t="str">
        <f>TEXT(Tabela1[[#This Row],[VENCIMENTO ORIGINAL]],"MMM-AA")</f>
        <v>fev-25</v>
      </c>
      <c r="J17" s="44" t="str">
        <f>TEXT(Tabela1[[#This Row],[VENCIMENTO ORIGINAL]],"AAAA")</f>
        <v>2025</v>
      </c>
      <c r="K17" s="44">
        <f>'DADOS FINANCEIROS'!G23</f>
        <v>45737</v>
      </c>
      <c r="L17" s="44" t="str">
        <f>TEXT(Tabela1[[#This Row],[VENCIMENTO ATUAL]],"MMM-AA")</f>
        <v>mar-25</v>
      </c>
      <c r="M17" s="44" t="str">
        <f>TEXT(Tabela1[[#This Row],[VENCIMENTO ATUAL]],"AAAA")</f>
        <v>2025</v>
      </c>
      <c r="N17" s="46">
        <f>'DADOS FINANCEIROS'!H23</f>
        <v>1500</v>
      </c>
      <c r="O17" s="30" t="str">
        <f>'DADOS FINANCEIROS'!I23</f>
        <v>Carla</v>
      </c>
      <c r="P17" s="30" t="str">
        <f>'DADOS FINANCEIROS'!J23</f>
        <v>ANALISTA SIMONE</v>
      </c>
      <c r="Q17" s="30" t="str">
        <f>'DADOS FINANCEIROS'!K23</f>
        <v>NÃO</v>
      </c>
      <c r="R17" s="30" t="str">
        <f>'DADOS FINANCEIROS'!L23</f>
        <v>Cliente em inadimplência sem previsão de pagamento</v>
      </c>
      <c r="S17" s="30" t="str">
        <f ca="1">'DADOS FINANCEIROS'!M23</f>
        <v>Vencido</v>
      </c>
      <c r="T17" s="30">
        <f ca="1">IFERROR('DADOS FINANCEIROS'!N23,"")</f>
        <v>93</v>
      </c>
      <c r="U17" s="30" t="str">
        <f ca="1">'DADOS FINANCEIROS'!O23</f>
        <v>61+ dias</v>
      </c>
      <c r="V17" s="30" t="str">
        <f ca="1">'DADOS FINANCEIROS'!P23</f>
        <v>Atraso Crítico</v>
      </c>
      <c r="W17" s="30" t="str">
        <f>'DADOS FINANCEIROS'!Q23</f>
        <v>-</v>
      </c>
      <c r="X17" s="30" t="str">
        <f>'DADOS FINANCEIROS'!R23</f>
        <v>Sim</v>
      </c>
      <c r="Y17" s="30">
        <f>'DADOS FINANCEIROS'!S23</f>
        <v>0</v>
      </c>
      <c r="Z17" s="30">
        <f>'DADOS FINANCEIROS'!T23</f>
        <v>1</v>
      </c>
      <c r="AA17" s="30" t="str">
        <f>'DADOS FINANCEIROS'!U23</f>
        <v>Sim</v>
      </c>
      <c r="AB17" s="44">
        <f>'DADOS FINANCEIROS'!V23</f>
        <v>45740</v>
      </c>
      <c r="AC17" s="44" t="str">
        <f>TEXT(Tabela1[[#This Row],[Data de Negociação]],"MMM-AA")</f>
        <v>mar-25</v>
      </c>
      <c r="AD17" s="44" t="str">
        <f>TEXT(Tabela1[[#This Row],[Data de Negociação]],"AAAA")</f>
        <v>2025</v>
      </c>
      <c r="AE17" s="44">
        <f>'DADOS FINANCEIROS'!W23</f>
        <v>45802</v>
      </c>
      <c r="AF17" s="44" t="str">
        <f>TEXT(Tabela1[[#This Row],[Data da Entrada/Primeira Parcela]],"MMM-AA")</f>
        <v>mai-25</v>
      </c>
      <c r="AG17" s="44" t="str">
        <f>TEXT(Tabela1[[#This Row],[Data da Entrada/Primeira Parcela]],"AAAA")</f>
        <v>2025</v>
      </c>
      <c r="AH17" s="30" t="str">
        <f>'DADOS FINANCEIROS'!X23</f>
        <v>Acompanhando</v>
      </c>
      <c r="AI17" s="46">
        <f ca="1">'DADOS FINANCEIROS'!Y23</f>
        <v>1500</v>
      </c>
      <c r="AJ17" s="46" t="str">
        <f ca="1">'DADOS FINANCEIROS'!Z23</f>
        <v>0</v>
      </c>
      <c r="AK1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7" s="98"/>
    </row>
    <row r="18" spans="1:38" x14ac:dyDescent="0.3">
      <c r="A18" s="30">
        <f>'DADOS FINANCEIROS'!D24</f>
        <v>14</v>
      </c>
      <c r="B18" s="30" t="str">
        <f>'DADOS FINANCEIROS'!A24</f>
        <v>Matriz</v>
      </c>
      <c r="C18" s="30">
        <f>'DADOS FINANCEIROS'!B24</f>
        <v>0</v>
      </c>
      <c r="D18" s="30" t="str">
        <f>'DADOS FINANCEIROS'!C24</f>
        <v>MundoInovador</v>
      </c>
      <c r="E18" s="44">
        <f>'DADOS FINANCEIROS'!E24</f>
        <v>45672</v>
      </c>
      <c r="F18" s="44" t="str">
        <f>TEXT(Tabela1[[#This Row],[DATA DE EMISSÃO]],"MMM-AA")</f>
        <v>jan-25</v>
      </c>
      <c r="G18" s="44" t="str">
        <f>TEXT(Tabela1[[#This Row],[DATA DE EMISSÃO]],"AAAA")</f>
        <v>2025</v>
      </c>
      <c r="H18" s="44">
        <f>'DADOS FINANCEIROS'!F24</f>
        <v>45703</v>
      </c>
      <c r="I18" s="44" t="str">
        <f>TEXT(Tabela1[[#This Row],[VENCIMENTO ORIGINAL]],"MMM-AA")</f>
        <v>fev-25</v>
      </c>
      <c r="J18" s="44" t="str">
        <f>TEXT(Tabela1[[#This Row],[VENCIMENTO ORIGINAL]],"AAAA")</f>
        <v>2025</v>
      </c>
      <c r="K18" s="44">
        <f>'DADOS FINANCEIROS'!G24</f>
        <v>45737</v>
      </c>
      <c r="L18" s="44" t="str">
        <f>TEXT(Tabela1[[#This Row],[VENCIMENTO ATUAL]],"MMM-AA")</f>
        <v>mar-25</v>
      </c>
      <c r="M18" s="44" t="str">
        <f>TEXT(Tabela1[[#This Row],[VENCIMENTO ATUAL]],"AAAA")</f>
        <v>2025</v>
      </c>
      <c r="N18" s="46">
        <f>'DADOS FINANCEIROS'!H24</f>
        <v>1500</v>
      </c>
      <c r="O18" s="30" t="str">
        <f>'DADOS FINANCEIROS'!I24</f>
        <v>Carla</v>
      </c>
      <c r="P18" s="30" t="str">
        <f>'DADOS FINANCEIROS'!J24</f>
        <v>ANALISTA SIMONE</v>
      </c>
      <c r="Q18" s="30" t="str">
        <f>'DADOS FINANCEIROS'!K24</f>
        <v>NÃO</v>
      </c>
      <c r="R18" s="30" t="str">
        <f>'DADOS FINANCEIROS'!L24</f>
        <v>Pagamento em processo (aguardando confirmação bancária)</v>
      </c>
      <c r="S18" s="30" t="str">
        <f ca="1">'DADOS FINANCEIROS'!M24</f>
        <v>Vencido</v>
      </c>
      <c r="T18" s="30">
        <f ca="1">IFERROR('DADOS FINANCEIROS'!N24,"")</f>
        <v>92</v>
      </c>
      <c r="U18" s="30" t="str">
        <f ca="1">'DADOS FINANCEIROS'!O24</f>
        <v>61+ dias</v>
      </c>
      <c r="V18" s="30" t="str">
        <f ca="1">'DADOS FINANCEIROS'!P24</f>
        <v>Atraso Crítico</v>
      </c>
      <c r="W18" s="30" t="str">
        <f>'DADOS FINANCEIROS'!Q24</f>
        <v>-</v>
      </c>
      <c r="X18" s="30" t="str">
        <f>'DADOS FINANCEIROS'!R24</f>
        <v>Sim</v>
      </c>
      <c r="Y18" s="30">
        <f>'DADOS FINANCEIROS'!S24</f>
        <v>0</v>
      </c>
      <c r="Z18" s="30">
        <f>'DADOS FINANCEIROS'!T24</f>
        <v>1</v>
      </c>
      <c r="AA18" s="30" t="str">
        <f>'DADOS FINANCEIROS'!U24</f>
        <v>Sim</v>
      </c>
      <c r="AB18" s="44">
        <f>'DADOS FINANCEIROS'!V24</f>
        <v>45740</v>
      </c>
      <c r="AC18" s="44" t="str">
        <f>TEXT(Tabela1[[#This Row],[Data de Negociação]],"MMM-AA")</f>
        <v>mar-25</v>
      </c>
      <c r="AD18" s="44" t="str">
        <f>TEXT(Tabela1[[#This Row],[Data de Negociação]],"AAAA")</f>
        <v>2025</v>
      </c>
      <c r="AE18" s="44">
        <f>'DADOS FINANCEIROS'!W24</f>
        <v>45802</v>
      </c>
      <c r="AF18" s="44" t="str">
        <f>TEXT(Tabela1[[#This Row],[Data da Entrada/Primeira Parcela]],"MMM-AA")</f>
        <v>mai-25</v>
      </c>
      <c r="AG18" s="44" t="str">
        <f>TEXT(Tabela1[[#This Row],[Data da Entrada/Primeira Parcela]],"AAAA")</f>
        <v>2025</v>
      </c>
      <c r="AH18" s="30" t="str">
        <f>'DADOS FINANCEIROS'!X24</f>
        <v>Acompanhando</v>
      </c>
      <c r="AI18" s="46">
        <f ca="1">'DADOS FINANCEIROS'!Y24</f>
        <v>1500</v>
      </c>
      <c r="AJ18" s="46" t="str">
        <f ca="1">'DADOS FINANCEIROS'!Z24</f>
        <v>0</v>
      </c>
      <c r="AK1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8" s="98"/>
    </row>
    <row r="19" spans="1:38" x14ac:dyDescent="0.3">
      <c r="A19" s="30">
        <f>'DADOS FINANCEIROS'!D25</f>
        <v>15</v>
      </c>
      <c r="B19" s="30" t="str">
        <f>'DADOS FINANCEIROS'!A25</f>
        <v>Filial</v>
      </c>
      <c r="C19" s="30" t="str">
        <f>'DADOS FINANCEIROS'!B25</f>
        <v>Alpha &amp; CIA</v>
      </c>
      <c r="D19" s="30" t="str">
        <f>'DADOS FINANCEIROS'!C25</f>
        <v>Alpha &amp; CIA</v>
      </c>
      <c r="E19" s="44">
        <f>'DADOS FINANCEIROS'!E25</f>
        <v>45675</v>
      </c>
      <c r="F19" s="44" t="str">
        <f>TEXT(Tabela1[[#This Row],[DATA DE EMISSÃO]],"MMM-AA")</f>
        <v>jan-25</v>
      </c>
      <c r="G19" s="44" t="str">
        <f>TEXT(Tabela1[[#This Row],[DATA DE EMISSÃO]],"AAAA")</f>
        <v>2025</v>
      </c>
      <c r="H19" s="44">
        <f>'DADOS FINANCEIROS'!F25</f>
        <v>45704</v>
      </c>
      <c r="I19" s="44" t="str">
        <f>TEXT(Tabela1[[#This Row],[VENCIMENTO ORIGINAL]],"MMM-AA")</f>
        <v>fev-25</v>
      </c>
      <c r="J19" s="44" t="str">
        <f>TEXT(Tabela1[[#This Row],[VENCIMENTO ORIGINAL]],"AAAA")</f>
        <v>2025</v>
      </c>
      <c r="K19" s="44">
        <f>'DADOS FINANCEIROS'!G25</f>
        <v>45737</v>
      </c>
      <c r="L19" s="44" t="str">
        <f>TEXT(Tabela1[[#This Row],[VENCIMENTO ATUAL]],"MMM-AA")</f>
        <v>mar-25</v>
      </c>
      <c r="M19" s="44" t="str">
        <f>TEXT(Tabela1[[#This Row],[VENCIMENTO ATUAL]],"AAAA")</f>
        <v>2025</v>
      </c>
      <c r="N19" s="46">
        <f>'DADOS FINANCEIROS'!H25</f>
        <v>3000</v>
      </c>
      <c r="O19" s="30" t="str">
        <f>'DADOS FINANCEIROS'!I25</f>
        <v>Roberto</v>
      </c>
      <c r="P19" s="30" t="str">
        <f>'DADOS FINANCEIROS'!J25</f>
        <v>ANALISTA SIMONE</v>
      </c>
      <c r="Q19" s="30" t="str">
        <f>'DADOS FINANCEIROS'!K25</f>
        <v>NÃO</v>
      </c>
      <c r="R19" s="30" t="str">
        <f>'DADOS FINANCEIROS'!L25</f>
        <v>Situação jurídica em andamento (em processo judicial)</v>
      </c>
      <c r="S19" s="30" t="str">
        <f ca="1">'DADOS FINANCEIROS'!M25</f>
        <v>Vencido</v>
      </c>
      <c r="T19" s="30">
        <f ca="1">IFERROR('DADOS FINANCEIROS'!N25,"")</f>
        <v>91</v>
      </c>
      <c r="U19" s="30" t="str">
        <f ca="1">'DADOS FINANCEIROS'!O25</f>
        <v>61+ dias</v>
      </c>
      <c r="V19" s="30" t="str">
        <f ca="1">'DADOS FINANCEIROS'!P25</f>
        <v>Atraso Crítico</v>
      </c>
      <c r="W19" s="30" t="str">
        <f>'DADOS FINANCEIROS'!Q25</f>
        <v>-</v>
      </c>
      <c r="X19" s="30" t="str">
        <f>'DADOS FINANCEIROS'!R25</f>
        <v>Sim</v>
      </c>
      <c r="Y19" s="30">
        <f>'DADOS FINANCEIROS'!S25</f>
        <v>0</v>
      </c>
      <c r="Z19" s="30">
        <f>'DADOS FINANCEIROS'!T25</f>
        <v>1</v>
      </c>
      <c r="AA19" s="30" t="str">
        <f>'DADOS FINANCEIROS'!U25</f>
        <v>Sim</v>
      </c>
      <c r="AB19" s="44">
        <f>'DADOS FINANCEIROS'!V25</f>
        <v>45740</v>
      </c>
      <c r="AC19" s="44" t="str">
        <f>TEXT(Tabela1[[#This Row],[Data de Negociação]],"MMM-AA")</f>
        <v>mar-25</v>
      </c>
      <c r="AD19" s="44" t="str">
        <f>TEXT(Tabela1[[#This Row],[Data de Negociação]],"AAAA")</f>
        <v>2025</v>
      </c>
      <c r="AE19" s="44">
        <f>'DADOS FINANCEIROS'!W25</f>
        <v>45802</v>
      </c>
      <c r="AF19" s="44" t="str">
        <f>TEXT(Tabela1[[#This Row],[Data da Entrada/Primeira Parcela]],"MMM-AA")</f>
        <v>mai-25</v>
      </c>
      <c r="AG19" s="44" t="str">
        <f>TEXT(Tabela1[[#This Row],[Data da Entrada/Primeira Parcela]],"AAAA")</f>
        <v>2025</v>
      </c>
      <c r="AH19" s="30" t="str">
        <f>'DADOS FINANCEIROS'!X25</f>
        <v>Acompanhando</v>
      </c>
      <c r="AI19" s="46">
        <f ca="1">'DADOS FINANCEIROS'!Y25</f>
        <v>3000</v>
      </c>
      <c r="AJ19" s="46" t="str">
        <f ca="1">'DADOS FINANCEIROS'!Z25</f>
        <v>0</v>
      </c>
      <c r="AK1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19" s="98"/>
    </row>
    <row r="20" spans="1:38" x14ac:dyDescent="0.3">
      <c r="A20" s="30">
        <f>'DADOS FINANCEIROS'!D26</f>
        <v>16</v>
      </c>
      <c r="B20" s="30" t="str">
        <f>'DADOS FINANCEIROS'!A26</f>
        <v>Filial</v>
      </c>
      <c r="C20" s="30">
        <f>'DADOS FINANCEIROS'!B26</f>
        <v>0</v>
      </c>
      <c r="D20" s="30" t="str">
        <f>'DADOS FINANCEIROS'!C26</f>
        <v>MundoInovador</v>
      </c>
      <c r="E20" s="44">
        <f>'DADOS FINANCEIROS'!E26</f>
        <v>45675</v>
      </c>
      <c r="F20" s="44" t="str">
        <f>TEXT(Tabela1[[#This Row],[DATA DE EMISSÃO]],"MMM-AA")</f>
        <v>jan-25</v>
      </c>
      <c r="G20" s="44" t="str">
        <f>TEXT(Tabela1[[#This Row],[DATA DE EMISSÃO]],"AAAA")</f>
        <v>2025</v>
      </c>
      <c r="H20" s="44">
        <f>'DADOS FINANCEIROS'!F26</f>
        <v>45705</v>
      </c>
      <c r="I20" s="44" t="str">
        <f>TEXT(Tabela1[[#This Row],[VENCIMENTO ORIGINAL]],"MMM-AA")</f>
        <v>fev-25</v>
      </c>
      <c r="J20" s="44" t="str">
        <f>TEXT(Tabela1[[#This Row],[VENCIMENTO ORIGINAL]],"AAAA")</f>
        <v>2025</v>
      </c>
      <c r="K20" s="44">
        <f>'DADOS FINANCEIROS'!G26</f>
        <v>45737</v>
      </c>
      <c r="L20" s="44" t="str">
        <f>TEXT(Tabela1[[#This Row],[VENCIMENTO ATUAL]],"MMM-AA")</f>
        <v>mar-25</v>
      </c>
      <c r="M20" s="44" t="str">
        <f>TEXT(Tabela1[[#This Row],[VENCIMENTO ATUAL]],"AAAA")</f>
        <v>2025</v>
      </c>
      <c r="N20" s="46">
        <f>'DADOS FINANCEIROS'!H26</f>
        <v>3000</v>
      </c>
      <c r="O20" s="30" t="str">
        <f>'DADOS FINANCEIROS'!I26</f>
        <v>Roberto</v>
      </c>
      <c r="P20" s="30" t="str">
        <f>'DADOS FINANCEIROS'!J26</f>
        <v>ANALISTA SIMONE</v>
      </c>
      <c r="Q20" s="30" t="str">
        <f>'DADOS FINANCEIROS'!K26</f>
        <v>NÃO</v>
      </c>
      <c r="R20" s="30" t="str">
        <f>'DADOS FINANCEIROS'!L26</f>
        <v>Cancelamento de cobrança solicitado</v>
      </c>
      <c r="S20" s="30" t="str">
        <f ca="1">'DADOS FINANCEIROS'!M26</f>
        <v>Vencido</v>
      </c>
      <c r="T20" s="30">
        <f ca="1">IFERROR('DADOS FINANCEIROS'!N26,"")</f>
        <v>90</v>
      </c>
      <c r="U20" s="30" t="str">
        <f ca="1">'DADOS FINANCEIROS'!O26</f>
        <v>61+ dias</v>
      </c>
      <c r="V20" s="30" t="str">
        <f ca="1">'DADOS FINANCEIROS'!P26</f>
        <v>Atraso Crítico</v>
      </c>
      <c r="W20" s="30" t="str">
        <f>'DADOS FINANCEIROS'!Q26</f>
        <v>-</v>
      </c>
      <c r="X20" s="30" t="str">
        <f>'DADOS FINANCEIROS'!R26</f>
        <v>Sim</v>
      </c>
      <c r="Y20" s="30">
        <f>'DADOS FINANCEIROS'!S26</f>
        <v>0</v>
      </c>
      <c r="Z20" s="30">
        <f>'DADOS FINANCEIROS'!T26</f>
        <v>1</v>
      </c>
      <c r="AA20" s="30" t="str">
        <f>'DADOS FINANCEIROS'!U26</f>
        <v>Sim</v>
      </c>
      <c r="AB20" s="44">
        <f>'DADOS FINANCEIROS'!V26</f>
        <v>45740</v>
      </c>
      <c r="AC20" s="44" t="str">
        <f>TEXT(Tabela1[[#This Row],[Data de Negociação]],"MMM-AA")</f>
        <v>mar-25</v>
      </c>
      <c r="AD20" s="44" t="str">
        <f>TEXT(Tabela1[[#This Row],[Data de Negociação]],"AAAA")</f>
        <v>2025</v>
      </c>
      <c r="AE20" s="44">
        <f>'DADOS FINANCEIROS'!W26</f>
        <v>45802</v>
      </c>
      <c r="AF20" s="44" t="str">
        <f>TEXT(Tabela1[[#This Row],[Data da Entrada/Primeira Parcela]],"MMM-AA")</f>
        <v>mai-25</v>
      </c>
      <c r="AG20" s="44" t="str">
        <f>TEXT(Tabela1[[#This Row],[Data da Entrada/Primeira Parcela]],"AAAA")</f>
        <v>2025</v>
      </c>
      <c r="AH20" s="30" t="str">
        <f>'DADOS FINANCEIROS'!X26</f>
        <v>Acompanhando</v>
      </c>
      <c r="AI20" s="46">
        <f ca="1">'DADOS FINANCEIROS'!Y26</f>
        <v>3000</v>
      </c>
      <c r="AJ20" s="46" t="str">
        <f ca="1">'DADOS FINANCEIROS'!Z26</f>
        <v>0</v>
      </c>
      <c r="AK2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0" s="98"/>
    </row>
    <row r="21" spans="1:38" x14ac:dyDescent="0.3">
      <c r="A21" s="30">
        <f>'DADOS FINANCEIROS'!D27</f>
        <v>17</v>
      </c>
      <c r="B21" s="30" t="str">
        <f>'DADOS FINANCEIROS'!A27</f>
        <v>Matriz</v>
      </c>
      <c r="C21" s="30" t="str">
        <f>'DADOS FINANCEIROS'!B27</f>
        <v>Alpha &amp; CIA</v>
      </c>
      <c r="D21" s="30" t="str">
        <f>'DADOS FINANCEIROS'!C27</f>
        <v>Alpha &amp; CIA</v>
      </c>
      <c r="E21" s="44">
        <f>'DADOS FINANCEIROS'!E27</f>
        <v>45677</v>
      </c>
      <c r="F21" s="44" t="str">
        <f>TEXT(Tabela1[[#This Row],[DATA DE EMISSÃO]],"MMM-AA")</f>
        <v>jan-25</v>
      </c>
      <c r="G21" s="44" t="str">
        <f>TEXT(Tabela1[[#This Row],[DATA DE EMISSÃO]],"AAAA")</f>
        <v>2025</v>
      </c>
      <c r="H21" s="44">
        <f>'DADOS FINANCEIROS'!F27</f>
        <v>45706</v>
      </c>
      <c r="I21" s="44" t="str">
        <f>TEXT(Tabela1[[#This Row],[VENCIMENTO ORIGINAL]],"MMM-AA")</f>
        <v>fev-25</v>
      </c>
      <c r="J21" s="44" t="str">
        <f>TEXT(Tabela1[[#This Row],[VENCIMENTO ORIGINAL]],"AAAA")</f>
        <v>2025</v>
      </c>
      <c r="K21" s="44">
        <f>'DADOS FINANCEIROS'!G27</f>
        <v>45737</v>
      </c>
      <c r="L21" s="44" t="str">
        <f>TEXT(Tabela1[[#This Row],[VENCIMENTO ATUAL]],"MMM-AA")</f>
        <v>mar-25</v>
      </c>
      <c r="M21" s="44" t="str">
        <f>TEXT(Tabela1[[#This Row],[VENCIMENTO ATUAL]],"AAAA")</f>
        <v>2025</v>
      </c>
      <c r="N21" s="46">
        <f>'DADOS FINANCEIROS'!H27</f>
        <v>2800</v>
      </c>
      <c r="O21" s="30" t="str">
        <f>'DADOS FINANCEIROS'!I27</f>
        <v>Juliana</v>
      </c>
      <c r="P21" s="30" t="str">
        <f>'DADOS FINANCEIROS'!J27</f>
        <v>ANALISTA SIMONE</v>
      </c>
      <c r="Q21" s="30" t="str">
        <f>'DADOS FINANCEIROS'!K27</f>
        <v>NÃO</v>
      </c>
      <c r="R21" s="30" t="str">
        <f>'DADOS FINANCEIROS'!L27</f>
        <v>Cliente alegando dificuldades financeiras</v>
      </c>
      <c r="S21" s="30" t="str">
        <f ca="1">'DADOS FINANCEIROS'!M27</f>
        <v>Vencido</v>
      </c>
      <c r="T21" s="30">
        <f ca="1">IFERROR('DADOS FINANCEIROS'!N27,"")</f>
        <v>89</v>
      </c>
      <c r="U21" s="30" t="str">
        <f ca="1">'DADOS FINANCEIROS'!O27</f>
        <v>61+ dias</v>
      </c>
      <c r="V21" s="30" t="str">
        <f ca="1">'DADOS FINANCEIROS'!P27</f>
        <v>Atraso Crítico</v>
      </c>
      <c r="W21" s="30" t="str">
        <f>'DADOS FINANCEIROS'!Q27</f>
        <v>-</v>
      </c>
      <c r="X21" s="30" t="str">
        <f>'DADOS FINANCEIROS'!R27</f>
        <v>Sim</v>
      </c>
      <c r="Y21" s="30">
        <f>'DADOS FINANCEIROS'!S27</f>
        <v>0</v>
      </c>
      <c r="Z21" s="30">
        <f>'DADOS FINANCEIROS'!T27</f>
        <v>1</v>
      </c>
      <c r="AA21" s="30" t="str">
        <f>'DADOS FINANCEIROS'!U27</f>
        <v>Sim</v>
      </c>
      <c r="AB21" s="44">
        <f>'DADOS FINANCEIROS'!V27</f>
        <v>45740</v>
      </c>
      <c r="AC21" s="44" t="str">
        <f>TEXT(Tabela1[[#This Row],[Data de Negociação]],"MMM-AA")</f>
        <v>mar-25</v>
      </c>
      <c r="AD21" s="44" t="str">
        <f>TEXT(Tabela1[[#This Row],[Data de Negociação]],"AAAA")</f>
        <v>2025</v>
      </c>
      <c r="AE21" s="44">
        <f>'DADOS FINANCEIROS'!W27</f>
        <v>45802</v>
      </c>
      <c r="AF21" s="44" t="str">
        <f>TEXT(Tabela1[[#This Row],[Data da Entrada/Primeira Parcela]],"MMM-AA")</f>
        <v>mai-25</v>
      </c>
      <c r="AG21" s="44" t="str">
        <f>TEXT(Tabela1[[#This Row],[Data da Entrada/Primeira Parcela]],"AAAA")</f>
        <v>2025</v>
      </c>
      <c r="AH21" s="30" t="str">
        <f>'DADOS FINANCEIROS'!X27</f>
        <v>Acompanhando</v>
      </c>
      <c r="AI21" s="46">
        <f ca="1">'DADOS FINANCEIROS'!Y27</f>
        <v>2800</v>
      </c>
      <c r="AJ21" s="46" t="str">
        <f ca="1">'DADOS FINANCEIROS'!Z27</f>
        <v>0</v>
      </c>
      <c r="AK2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1" s="98"/>
    </row>
    <row r="22" spans="1:38" x14ac:dyDescent="0.3">
      <c r="A22" s="30">
        <f>'DADOS FINANCEIROS'!D28</f>
        <v>18</v>
      </c>
      <c r="B22" s="30" t="str">
        <f>'DADOS FINANCEIROS'!A28</f>
        <v>Matriz</v>
      </c>
      <c r="C22" s="30">
        <f>'DADOS FINANCEIROS'!B28</f>
        <v>0</v>
      </c>
      <c r="D22" s="30" t="str">
        <f>'DADOS FINANCEIROS'!C28</f>
        <v>MundoInovador</v>
      </c>
      <c r="E22" s="44">
        <f>'DADOS FINANCEIROS'!E28</f>
        <v>45677</v>
      </c>
      <c r="F22" s="44" t="str">
        <f>TEXT(Tabela1[[#This Row],[DATA DE EMISSÃO]],"MMM-AA")</f>
        <v>jan-25</v>
      </c>
      <c r="G22" s="44" t="str">
        <f>TEXT(Tabela1[[#This Row],[DATA DE EMISSÃO]],"AAAA")</f>
        <v>2025</v>
      </c>
      <c r="H22" s="44">
        <f>'DADOS FINANCEIROS'!F28</f>
        <v>45707</v>
      </c>
      <c r="I22" s="44" t="str">
        <f>TEXT(Tabela1[[#This Row],[VENCIMENTO ORIGINAL]],"MMM-AA")</f>
        <v>fev-25</v>
      </c>
      <c r="J22" s="44" t="str">
        <f>TEXT(Tabela1[[#This Row],[VENCIMENTO ORIGINAL]],"AAAA")</f>
        <v>2025</v>
      </c>
      <c r="K22" s="44">
        <f>'DADOS FINANCEIROS'!G28</f>
        <v>45737</v>
      </c>
      <c r="L22" s="44" t="str">
        <f>TEXT(Tabela1[[#This Row],[VENCIMENTO ATUAL]],"MMM-AA")</f>
        <v>mar-25</v>
      </c>
      <c r="M22" s="44" t="str">
        <f>TEXT(Tabela1[[#This Row],[VENCIMENTO ATUAL]],"AAAA")</f>
        <v>2025</v>
      </c>
      <c r="N22" s="46">
        <f>'DADOS FINANCEIROS'!H28</f>
        <v>2800</v>
      </c>
      <c r="O22" s="30" t="str">
        <f>'DADOS FINANCEIROS'!I28</f>
        <v>Juliana</v>
      </c>
      <c r="P22" s="30" t="str">
        <f>'DADOS FINANCEIROS'!J28</f>
        <v>ANALISTA SIMONE</v>
      </c>
      <c r="Q22" s="30" t="str">
        <f>'DADOS FINANCEIROS'!K28</f>
        <v>NÃO</v>
      </c>
      <c r="R22" s="30" t="str">
        <f>'DADOS FINANCEIROS'!L28</f>
        <v>Aguardando resolução interna da empresa</v>
      </c>
      <c r="S22" s="30" t="str">
        <f ca="1">'DADOS FINANCEIROS'!M28</f>
        <v>Vencido</v>
      </c>
      <c r="T22" s="30">
        <f ca="1">IFERROR('DADOS FINANCEIROS'!N28,"")</f>
        <v>88</v>
      </c>
      <c r="U22" s="30" t="str">
        <f ca="1">'DADOS FINANCEIROS'!O28</f>
        <v>61+ dias</v>
      </c>
      <c r="V22" s="30" t="str">
        <f ca="1">'DADOS FINANCEIROS'!P28</f>
        <v>Atraso Crítico</v>
      </c>
      <c r="W22" s="30" t="str">
        <f>'DADOS FINANCEIROS'!Q28</f>
        <v>-</v>
      </c>
      <c r="X22" s="30" t="str">
        <f>'DADOS FINANCEIROS'!R28</f>
        <v>Sim</v>
      </c>
      <c r="Y22" s="30">
        <f>'DADOS FINANCEIROS'!S28</f>
        <v>0</v>
      </c>
      <c r="Z22" s="30">
        <f>'DADOS FINANCEIROS'!T28</f>
        <v>1</v>
      </c>
      <c r="AA22" s="30" t="str">
        <f>'DADOS FINANCEIROS'!U28</f>
        <v>Sim</v>
      </c>
      <c r="AB22" s="44">
        <f>'DADOS FINANCEIROS'!V28</f>
        <v>45740</v>
      </c>
      <c r="AC22" s="44" t="str">
        <f>TEXT(Tabela1[[#This Row],[Data de Negociação]],"MMM-AA")</f>
        <v>mar-25</v>
      </c>
      <c r="AD22" s="44" t="str">
        <f>TEXT(Tabela1[[#This Row],[Data de Negociação]],"AAAA")</f>
        <v>2025</v>
      </c>
      <c r="AE22" s="44">
        <f>'DADOS FINANCEIROS'!W28</f>
        <v>45802</v>
      </c>
      <c r="AF22" s="44" t="str">
        <f>TEXT(Tabela1[[#This Row],[Data da Entrada/Primeira Parcela]],"MMM-AA")</f>
        <v>mai-25</v>
      </c>
      <c r="AG22" s="44" t="str">
        <f>TEXT(Tabela1[[#This Row],[Data da Entrada/Primeira Parcela]],"AAAA")</f>
        <v>2025</v>
      </c>
      <c r="AH22" s="30" t="str">
        <f>'DADOS FINANCEIROS'!X28</f>
        <v>Acompanhando</v>
      </c>
      <c r="AI22" s="46">
        <f ca="1">'DADOS FINANCEIROS'!Y28</f>
        <v>2800</v>
      </c>
      <c r="AJ22" s="46" t="str">
        <f ca="1">'DADOS FINANCEIROS'!Z28</f>
        <v>0</v>
      </c>
      <c r="AK2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2" s="98"/>
    </row>
    <row r="23" spans="1:38" x14ac:dyDescent="0.3">
      <c r="A23" s="30">
        <f>'DADOS FINANCEIROS'!D29</f>
        <v>19</v>
      </c>
      <c r="B23" s="30" t="str">
        <f>'DADOS FINANCEIROS'!A29</f>
        <v>Filial</v>
      </c>
      <c r="C23" s="30" t="str">
        <f>'DADOS FINANCEIROS'!B29</f>
        <v>Alpha &amp; CIA</v>
      </c>
      <c r="D23" s="30" t="str">
        <f>'DADOS FINANCEIROS'!C29</f>
        <v>Alpha &amp; CIA</v>
      </c>
      <c r="E23" s="44">
        <f>'DADOS FINANCEIROS'!E29</f>
        <v>45682</v>
      </c>
      <c r="F23" s="44" t="str">
        <f>TEXT(Tabela1[[#This Row],[DATA DE EMISSÃO]],"MMM-AA")</f>
        <v>jan-25</v>
      </c>
      <c r="G23" s="44" t="str">
        <f>TEXT(Tabela1[[#This Row],[DATA DE EMISSÃO]],"AAAA")</f>
        <v>2025</v>
      </c>
      <c r="H23" s="44">
        <f>'DADOS FINANCEIROS'!F29</f>
        <v>45708</v>
      </c>
      <c r="I23" s="44" t="str">
        <f>TEXT(Tabela1[[#This Row],[VENCIMENTO ORIGINAL]],"MMM-AA")</f>
        <v>fev-25</v>
      </c>
      <c r="J23" s="44" t="str">
        <f>TEXT(Tabela1[[#This Row],[VENCIMENTO ORIGINAL]],"AAAA")</f>
        <v>2025</v>
      </c>
      <c r="K23" s="44">
        <f>'DADOS FINANCEIROS'!G29</f>
        <v>45737</v>
      </c>
      <c r="L23" s="44" t="str">
        <f>TEXT(Tabela1[[#This Row],[VENCIMENTO ATUAL]],"MMM-AA")</f>
        <v>mar-25</v>
      </c>
      <c r="M23" s="44" t="str">
        <f>TEXT(Tabela1[[#This Row],[VENCIMENTO ATUAL]],"AAAA")</f>
        <v>2025</v>
      </c>
      <c r="N23" s="46">
        <f>'DADOS FINANCEIROS'!H29</f>
        <v>1200</v>
      </c>
      <c r="O23" s="30" t="str">
        <f>'DADOS FINANCEIROS'!I29</f>
        <v>Gustavo</v>
      </c>
      <c r="P23" s="30" t="str">
        <f>'DADOS FINANCEIROS'!J29</f>
        <v>ANALISTA SIMONE</v>
      </c>
      <c r="Q23" s="30" t="str">
        <f>'DADOS FINANCEIROS'!K29</f>
        <v>NÃO</v>
      </c>
      <c r="R23" s="30" t="str">
        <f>'DADOS FINANCEIROS'!L29</f>
        <v>Promessa de pagamento não cumprida</v>
      </c>
      <c r="S23" s="30" t="str">
        <f ca="1">'DADOS FINANCEIROS'!M29</f>
        <v>Vencido</v>
      </c>
      <c r="T23" s="30">
        <f ca="1">IFERROR('DADOS FINANCEIROS'!N29,"")</f>
        <v>87</v>
      </c>
      <c r="U23" s="30" t="str">
        <f ca="1">'DADOS FINANCEIROS'!O29</f>
        <v>61+ dias</v>
      </c>
      <c r="V23" s="30" t="str">
        <f ca="1">'DADOS FINANCEIROS'!P29</f>
        <v>Atraso Crítico</v>
      </c>
      <c r="W23" s="30" t="str">
        <f>'DADOS FINANCEIROS'!Q29</f>
        <v>-</v>
      </c>
      <c r="X23" s="30" t="str">
        <f>'DADOS FINANCEIROS'!R29</f>
        <v>Sim</v>
      </c>
      <c r="Y23" s="30">
        <f>'DADOS FINANCEIROS'!S29</f>
        <v>0</v>
      </c>
      <c r="Z23" s="30">
        <f>'DADOS FINANCEIROS'!T29</f>
        <v>1</v>
      </c>
      <c r="AA23" s="30" t="str">
        <f>'DADOS FINANCEIROS'!U29</f>
        <v>Sim</v>
      </c>
      <c r="AB23" s="44">
        <f>'DADOS FINANCEIROS'!V29</f>
        <v>45740</v>
      </c>
      <c r="AC23" s="44" t="str">
        <f>TEXT(Tabela1[[#This Row],[Data de Negociação]],"MMM-AA")</f>
        <v>mar-25</v>
      </c>
      <c r="AD23" s="44" t="str">
        <f>TEXT(Tabela1[[#This Row],[Data de Negociação]],"AAAA")</f>
        <v>2025</v>
      </c>
      <c r="AE23" s="44">
        <f>'DADOS FINANCEIROS'!W29</f>
        <v>45802</v>
      </c>
      <c r="AF23" s="44" t="str">
        <f>TEXT(Tabela1[[#This Row],[Data da Entrada/Primeira Parcela]],"MMM-AA")</f>
        <v>mai-25</v>
      </c>
      <c r="AG23" s="44" t="str">
        <f>TEXT(Tabela1[[#This Row],[Data da Entrada/Primeira Parcela]],"AAAA")</f>
        <v>2025</v>
      </c>
      <c r="AH23" s="30" t="str">
        <f>'DADOS FINANCEIROS'!X29</f>
        <v>Acompanhando</v>
      </c>
      <c r="AI23" s="46">
        <f ca="1">'DADOS FINANCEIROS'!Y29</f>
        <v>1200</v>
      </c>
      <c r="AJ23" s="46" t="str">
        <f ca="1">'DADOS FINANCEIROS'!Z29</f>
        <v>0</v>
      </c>
      <c r="AK2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3" s="98"/>
    </row>
    <row r="24" spans="1:38" x14ac:dyDescent="0.3">
      <c r="A24" s="30">
        <f>'DADOS FINANCEIROS'!D30</f>
        <v>21</v>
      </c>
      <c r="B24" s="30" t="str">
        <f>'DADOS FINANCEIROS'!A30</f>
        <v>Matriz</v>
      </c>
      <c r="C24" s="30" t="str">
        <f>'DADOS FINANCEIROS'!B30</f>
        <v>Gamma &amp; CIA</v>
      </c>
      <c r="D24" s="30" t="str">
        <f>'DADOS FINANCEIROS'!C30</f>
        <v>Gamma &amp; CIA</v>
      </c>
      <c r="E24" s="44">
        <f>'DADOS FINANCEIROS'!E30</f>
        <v>45689</v>
      </c>
      <c r="F24" s="44" t="str">
        <f>TEXT(Tabela1[[#This Row],[DATA DE EMISSÃO]],"MMM-AA")</f>
        <v>fev-25</v>
      </c>
      <c r="G24" s="44" t="str">
        <f>TEXT(Tabela1[[#This Row],[DATA DE EMISSÃO]],"AAAA")</f>
        <v>2025</v>
      </c>
      <c r="H24" s="44">
        <f>'DADOS FINANCEIROS'!F30</f>
        <v>45708</v>
      </c>
      <c r="I24" s="44" t="str">
        <f>TEXT(Tabela1[[#This Row],[VENCIMENTO ORIGINAL]],"MMM-AA")</f>
        <v>fev-25</v>
      </c>
      <c r="J24" s="44" t="str">
        <f>TEXT(Tabela1[[#This Row],[VENCIMENTO ORIGINAL]],"AAAA")</f>
        <v>2025</v>
      </c>
      <c r="K24" s="44">
        <f>'DADOS FINANCEIROS'!G30</f>
        <v>45708</v>
      </c>
      <c r="L24" s="44" t="str">
        <f>TEXT(Tabela1[[#This Row],[VENCIMENTO ATUAL]],"MMM-AA")</f>
        <v>fev-25</v>
      </c>
      <c r="M24" s="44" t="str">
        <f>TEXT(Tabela1[[#This Row],[VENCIMENTO ATUAL]],"AAAA")</f>
        <v>2025</v>
      </c>
      <c r="N24" s="46">
        <f>'DADOS FINANCEIROS'!H30</f>
        <v>2500</v>
      </c>
      <c r="O24" s="30" t="str">
        <f>'DADOS FINANCEIROS'!I30</f>
        <v>Fernanda</v>
      </c>
      <c r="P24" s="30" t="str">
        <f>'DADOS FINANCEIROS'!J30</f>
        <v>ANALISTA SIMONE</v>
      </c>
      <c r="Q24" s="30" t="str">
        <f>'DADOS FINANCEIROS'!K30</f>
        <v>NÃO</v>
      </c>
      <c r="R24" s="30" t="str">
        <f>'DADOS FINANCEIROS'!L30</f>
        <v>Acordo de pagamento pendente</v>
      </c>
      <c r="S24" s="30" t="str">
        <f ca="1">'DADOS FINANCEIROS'!M30</f>
        <v>Vencido</v>
      </c>
      <c r="T24" s="30">
        <f ca="1">IFERROR('DADOS FINANCEIROS'!N30,"")</f>
        <v>87</v>
      </c>
      <c r="U24" s="30" t="str">
        <f ca="1">'DADOS FINANCEIROS'!O30</f>
        <v>61+ dias</v>
      </c>
      <c r="V24" s="30" t="str">
        <f ca="1">'DADOS FINANCEIROS'!P30</f>
        <v>Atraso Crítico</v>
      </c>
      <c r="W24" s="30" t="str">
        <f>'DADOS FINANCEIROS'!Q30</f>
        <v>-</v>
      </c>
      <c r="X24" s="30" t="str">
        <f>'DADOS FINANCEIROS'!R30</f>
        <v>Sim</v>
      </c>
      <c r="Y24" s="30">
        <f>'DADOS FINANCEIROS'!S30</f>
        <v>0</v>
      </c>
      <c r="Z24" s="30">
        <f>'DADOS FINANCEIROS'!T30</f>
        <v>1</v>
      </c>
      <c r="AA24" s="30" t="str">
        <f>'DADOS FINANCEIROS'!U30</f>
        <v>Sim</v>
      </c>
      <c r="AB24" s="44">
        <f>'DADOS FINANCEIROS'!V30</f>
        <v>45740</v>
      </c>
      <c r="AC24" s="44" t="str">
        <f>TEXT(Tabela1[[#This Row],[Data de Negociação]],"MMM-AA")</f>
        <v>mar-25</v>
      </c>
      <c r="AD24" s="44" t="str">
        <f>TEXT(Tabela1[[#This Row],[Data de Negociação]],"AAAA")</f>
        <v>2025</v>
      </c>
      <c r="AE24" s="44">
        <f>'DADOS FINANCEIROS'!W30</f>
        <v>45802</v>
      </c>
      <c r="AF24" s="44" t="str">
        <f>TEXT(Tabela1[[#This Row],[Data da Entrada/Primeira Parcela]],"MMM-AA")</f>
        <v>mai-25</v>
      </c>
      <c r="AG24" s="44" t="str">
        <f>TEXT(Tabela1[[#This Row],[Data da Entrada/Primeira Parcela]],"AAAA")</f>
        <v>2025</v>
      </c>
      <c r="AH24" s="30" t="str">
        <f>'DADOS FINANCEIROS'!X30</f>
        <v>Acompanhando</v>
      </c>
      <c r="AI24" s="46">
        <f ca="1">'DADOS FINANCEIROS'!Y30</f>
        <v>2500</v>
      </c>
      <c r="AJ24" s="46" t="str">
        <f ca="1">'DADOS FINANCEIROS'!Z30</f>
        <v>0</v>
      </c>
      <c r="AK2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4" s="98"/>
    </row>
    <row r="25" spans="1:38" x14ac:dyDescent="0.3">
      <c r="A25" s="30">
        <f>'DADOS FINANCEIROS'!D31</f>
        <v>20</v>
      </c>
      <c r="B25" s="30" t="str">
        <f>'DADOS FINANCEIROS'!A31</f>
        <v>Filial</v>
      </c>
      <c r="C25" s="30">
        <f>'DADOS FINANCEIROS'!B31</f>
        <v>0</v>
      </c>
      <c r="D25" s="30" t="str">
        <f>'DADOS FINANCEIROS'!C31</f>
        <v>MundoInovador</v>
      </c>
      <c r="E25" s="44">
        <f>'DADOS FINANCEIROS'!E31</f>
        <v>45682</v>
      </c>
      <c r="F25" s="44" t="str">
        <f>TEXT(Tabela1[[#This Row],[DATA DE EMISSÃO]],"MMM-AA")</f>
        <v>jan-25</v>
      </c>
      <c r="G25" s="44" t="str">
        <f>TEXT(Tabela1[[#This Row],[DATA DE EMISSÃO]],"AAAA")</f>
        <v>2025</v>
      </c>
      <c r="H25" s="44">
        <f>'DADOS FINANCEIROS'!F31</f>
        <v>45709</v>
      </c>
      <c r="I25" s="44" t="str">
        <f>TEXT(Tabela1[[#This Row],[VENCIMENTO ORIGINAL]],"MMM-AA")</f>
        <v>fev-25</v>
      </c>
      <c r="J25" s="44" t="str">
        <f>TEXT(Tabela1[[#This Row],[VENCIMENTO ORIGINAL]],"AAAA")</f>
        <v>2025</v>
      </c>
      <c r="K25" s="44">
        <f>'DADOS FINANCEIROS'!G31</f>
        <v>45709</v>
      </c>
      <c r="L25" s="44" t="str">
        <f>TEXT(Tabela1[[#This Row],[VENCIMENTO ATUAL]],"MMM-AA")</f>
        <v>fev-25</v>
      </c>
      <c r="M25" s="44" t="str">
        <f>TEXT(Tabela1[[#This Row],[VENCIMENTO ATUAL]],"AAAA")</f>
        <v>2025</v>
      </c>
      <c r="N25" s="46">
        <f>'DADOS FINANCEIROS'!H31</f>
        <v>1200</v>
      </c>
      <c r="O25" s="30" t="str">
        <f>'DADOS FINANCEIROS'!I31</f>
        <v>Gustavo</v>
      </c>
      <c r="P25" s="30" t="str">
        <f>'DADOS FINANCEIROS'!J31</f>
        <v>ANALISTA SIMONE</v>
      </c>
      <c r="Q25" s="30" t="str">
        <f>'DADOS FINANCEIROS'!K31</f>
        <v>NÃO</v>
      </c>
      <c r="R25" s="30" t="str">
        <f>'DADOS FINANCEIROS'!L31</f>
        <v>Situação com comercial (aguardando análise comercial)</v>
      </c>
      <c r="S25" s="30" t="str">
        <f ca="1">'DADOS FINANCEIROS'!M31</f>
        <v>Vencido</v>
      </c>
      <c r="T25" s="30">
        <f ca="1">IFERROR('DADOS FINANCEIROS'!N31,"")</f>
        <v>86</v>
      </c>
      <c r="U25" s="30" t="str">
        <f ca="1">'DADOS FINANCEIROS'!O31</f>
        <v>61+ dias</v>
      </c>
      <c r="V25" s="30" t="str">
        <f ca="1">'DADOS FINANCEIROS'!P31</f>
        <v>Atraso Crítico</v>
      </c>
      <c r="W25" s="30" t="str">
        <f>'DADOS FINANCEIROS'!Q31</f>
        <v>-</v>
      </c>
      <c r="X25" s="30" t="str">
        <f>'DADOS FINANCEIROS'!R31</f>
        <v>Sim</v>
      </c>
      <c r="Y25" s="30">
        <f>'DADOS FINANCEIROS'!S31</f>
        <v>0</v>
      </c>
      <c r="Z25" s="30">
        <f>'DADOS FINANCEIROS'!T31</f>
        <v>1</v>
      </c>
      <c r="AA25" s="30" t="str">
        <f>'DADOS FINANCEIROS'!U31</f>
        <v>Sim</v>
      </c>
      <c r="AB25" s="44">
        <f>'DADOS FINANCEIROS'!V31</f>
        <v>45740</v>
      </c>
      <c r="AC25" s="44" t="str">
        <f>TEXT(Tabela1[[#This Row],[Data de Negociação]],"MMM-AA")</f>
        <v>mar-25</v>
      </c>
      <c r="AD25" s="44" t="str">
        <f>TEXT(Tabela1[[#This Row],[Data de Negociação]],"AAAA")</f>
        <v>2025</v>
      </c>
      <c r="AE25" s="44">
        <f>'DADOS FINANCEIROS'!W31</f>
        <v>45802</v>
      </c>
      <c r="AF25" s="44" t="str">
        <f>TEXT(Tabela1[[#This Row],[Data da Entrada/Primeira Parcela]],"MMM-AA")</f>
        <v>mai-25</v>
      </c>
      <c r="AG25" s="44" t="str">
        <f>TEXT(Tabela1[[#This Row],[Data da Entrada/Primeira Parcela]],"AAAA")</f>
        <v>2025</v>
      </c>
      <c r="AH25" s="30" t="str">
        <f>'DADOS FINANCEIROS'!X31</f>
        <v>Acompanhando</v>
      </c>
      <c r="AI25" s="46">
        <f ca="1">'DADOS FINANCEIROS'!Y31</f>
        <v>1200</v>
      </c>
      <c r="AJ25" s="46" t="str">
        <f ca="1">'DADOS FINANCEIROS'!Z31</f>
        <v>0</v>
      </c>
      <c r="AK2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5" s="98"/>
    </row>
    <row r="26" spans="1:38" x14ac:dyDescent="0.3">
      <c r="A26" s="30">
        <f>'DADOS FINANCEIROS'!D32</f>
        <v>22</v>
      </c>
      <c r="B26" s="30" t="str">
        <f>'DADOS FINANCEIROS'!A32</f>
        <v>Matriz</v>
      </c>
      <c r="C26" s="30">
        <f>'DADOS FINANCEIROS'!B32</f>
        <v>0</v>
      </c>
      <c r="D26" s="30" t="str">
        <f>'DADOS FINANCEIROS'!C32</f>
        <v>MundoInovador</v>
      </c>
      <c r="E26" s="44">
        <f>'DADOS FINANCEIROS'!E32</f>
        <v>45689</v>
      </c>
      <c r="F26" s="44" t="str">
        <f>TEXT(Tabela1[[#This Row],[DATA DE EMISSÃO]],"MMM-AA")</f>
        <v>fev-25</v>
      </c>
      <c r="G26" s="44" t="str">
        <f>TEXT(Tabela1[[#This Row],[DATA DE EMISSÃO]],"AAAA")</f>
        <v>2025</v>
      </c>
      <c r="H26" s="44">
        <f>'DADOS FINANCEIROS'!F32</f>
        <v>45709</v>
      </c>
      <c r="I26" s="44" t="str">
        <f>TEXT(Tabela1[[#This Row],[VENCIMENTO ORIGINAL]],"MMM-AA")</f>
        <v>fev-25</v>
      </c>
      <c r="J26" s="44" t="str">
        <f>TEXT(Tabela1[[#This Row],[VENCIMENTO ORIGINAL]],"AAAA")</f>
        <v>2025</v>
      </c>
      <c r="K26" s="44">
        <f>'DADOS FINANCEIROS'!G32</f>
        <v>45709</v>
      </c>
      <c r="L26" s="44" t="str">
        <f>TEXT(Tabela1[[#This Row],[VENCIMENTO ATUAL]],"MMM-AA")</f>
        <v>fev-25</v>
      </c>
      <c r="M26" s="44" t="str">
        <f>TEXT(Tabela1[[#This Row],[VENCIMENTO ATUAL]],"AAAA")</f>
        <v>2025</v>
      </c>
      <c r="N26" s="46">
        <f>'DADOS FINANCEIROS'!H32</f>
        <v>2500</v>
      </c>
      <c r="O26" s="30" t="str">
        <f>'DADOS FINANCEIROS'!I32</f>
        <v>Fernanda</v>
      </c>
      <c r="P26" s="30" t="str">
        <f>'DADOS FINANCEIROS'!J32</f>
        <v>ANALISTA SIMONE</v>
      </c>
      <c r="Q26" s="30" t="str">
        <f>'DADOS FINANCEIROS'!K32</f>
        <v>NÃO</v>
      </c>
      <c r="R26" s="30" t="str">
        <f>'DADOS FINANCEIROS'!L32</f>
        <v>Aguardando aprovação de crédito</v>
      </c>
      <c r="S26" s="30" t="str">
        <f ca="1">'DADOS FINANCEIROS'!M32</f>
        <v>Vencido</v>
      </c>
      <c r="T26" s="30">
        <f ca="1">IFERROR('DADOS FINANCEIROS'!N32,"")</f>
        <v>86</v>
      </c>
      <c r="U26" s="30" t="str">
        <f ca="1">'DADOS FINANCEIROS'!O32</f>
        <v>61+ dias</v>
      </c>
      <c r="V26" s="30" t="str">
        <f ca="1">'DADOS FINANCEIROS'!P32</f>
        <v>Atraso Crítico</v>
      </c>
      <c r="W26" s="30" t="str">
        <f>'DADOS FINANCEIROS'!Q32</f>
        <v>-</v>
      </c>
      <c r="X26" s="30" t="str">
        <f>'DADOS FINANCEIROS'!R32</f>
        <v>Sim</v>
      </c>
      <c r="Y26" s="30">
        <f>'DADOS FINANCEIROS'!S32</f>
        <v>0</v>
      </c>
      <c r="Z26" s="30">
        <f>'DADOS FINANCEIROS'!T32</f>
        <v>1</v>
      </c>
      <c r="AA26" s="30" t="str">
        <f>'DADOS FINANCEIROS'!U32</f>
        <v>Sim</v>
      </c>
      <c r="AB26" s="44">
        <f>'DADOS FINANCEIROS'!V32</f>
        <v>45740</v>
      </c>
      <c r="AC26" s="44" t="str">
        <f>TEXT(Tabela1[[#This Row],[Data de Negociação]],"MMM-AA")</f>
        <v>mar-25</v>
      </c>
      <c r="AD26" s="44" t="str">
        <f>TEXT(Tabela1[[#This Row],[Data de Negociação]],"AAAA")</f>
        <v>2025</v>
      </c>
      <c r="AE26" s="44">
        <f>'DADOS FINANCEIROS'!W32</f>
        <v>45802</v>
      </c>
      <c r="AF26" s="44" t="str">
        <f>TEXT(Tabela1[[#This Row],[Data da Entrada/Primeira Parcela]],"MMM-AA")</f>
        <v>mai-25</v>
      </c>
      <c r="AG26" s="44" t="str">
        <f>TEXT(Tabela1[[#This Row],[Data da Entrada/Primeira Parcela]],"AAAA")</f>
        <v>2025</v>
      </c>
      <c r="AH26" s="30" t="str">
        <f>'DADOS FINANCEIROS'!X32</f>
        <v>Acompanhando</v>
      </c>
      <c r="AI26" s="46">
        <f ca="1">'DADOS FINANCEIROS'!Y32</f>
        <v>2500</v>
      </c>
      <c r="AJ26" s="46" t="str">
        <f ca="1">'DADOS FINANCEIROS'!Z32</f>
        <v>0</v>
      </c>
      <c r="AK2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6" s="98"/>
    </row>
    <row r="27" spans="1:38" x14ac:dyDescent="0.3">
      <c r="A27" s="30">
        <f>'DADOS FINANCEIROS'!D33</f>
        <v>23</v>
      </c>
      <c r="B27" s="30" t="str">
        <f>'DADOS FINANCEIROS'!A33</f>
        <v>Filial</v>
      </c>
      <c r="C27" s="30" t="str">
        <f>'DADOS FINANCEIROS'!B33</f>
        <v>Gamma &amp; CIA</v>
      </c>
      <c r="D27" s="30" t="str">
        <f>'DADOS FINANCEIROS'!C33</f>
        <v>Gamma &amp; CIA</v>
      </c>
      <c r="E27" s="44">
        <f>'DADOS FINANCEIROS'!E33</f>
        <v>45690</v>
      </c>
      <c r="F27" s="44" t="str">
        <f>TEXT(Tabela1[[#This Row],[DATA DE EMISSÃO]],"MMM-AA")</f>
        <v>fev-25</v>
      </c>
      <c r="G27" s="44" t="str">
        <f>TEXT(Tabela1[[#This Row],[DATA DE EMISSÃO]],"AAAA")</f>
        <v>2025</v>
      </c>
      <c r="H27" s="44">
        <f>'DADOS FINANCEIROS'!F33</f>
        <v>45710</v>
      </c>
      <c r="I27" s="44" t="str">
        <f>TEXT(Tabela1[[#This Row],[VENCIMENTO ORIGINAL]],"MMM-AA")</f>
        <v>fev-25</v>
      </c>
      <c r="J27" s="44" t="str">
        <f>TEXT(Tabela1[[#This Row],[VENCIMENTO ORIGINAL]],"AAAA")</f>
        <v>2025</v>
      </c>
      <c r="K27" s="44">
        <f>'DADOS FINANCEIROS'!G33</f>
        <v>45710</v>
      </c>
      <c r="L27" s="44" t="str">
        <f>TEXT(Tabela1[[#This Row],[VENCIMENTO ATUAL]],"MMM-AA")</f>
        <v>fev-25</v>
      </c>
      <c r="M27" s="44" t="str">
        <f>TEXT(Tabela1[[#This Row],[VENCIMENTO ATUAL]],"AAAA")</f>
        <v>2025</v>
      </c>
      <c r="N27" s="46">
        <f>'DADOS FINANCEIROS'!H33</f>
        <v>3000</v>
      </c>
      <c r="O27" s="30" t="str">
        <f>'DADOS FINANCEIROS'!I33</f>
        <v>Felipe</v>
      </c>
      <c r="P27" s="30" t="str">
        <f>'DADOS FINANCEIROS'!J33</f>
        <v>ANALISTA SIMONE</v>
      </c>
      <c r="Q27" s="30" t="str">
        <f>'DADOS FINANCEIROS'!K33</f>
        <v>NÃO</v>
      </c>
      <c r="R27" s="30" t="str">
        <f>'DADOS FINANCEIROS'!L33</f>
        <v>Cliente não localizado</v>
      </c>
      <c r="S27" s="30" t="str">
        <f ca="1">'DADOS FINANCEIROS'!M33</f>
        <v>Vencido</v>
      </c>
      <c r="T27" s="30">
        <f ca="1">IFERROR('DADOS FINANCEIROS'!N33,"")</f>
        <v>85</v>
      </c>
      <c r="U27" s="30" t="str">
        <f ca="1">'DADOS FINANCEIROS'!O33</f>
        <v>61+ dias</v>
      </c>
      <c r="V27" s="30" t="str">
        <f ca="1">'DADOS FINANCEIROS'!P33</f>
        <v>Atraso Crítico</v>
      </c>
      <c r="W27" s="30" t="str">
        <f>'DADOS FINANCEIROS'!Q33</f>
        <v>-</v>
      </c>
      <c r="X27" s="30" t="str">
        <f>'DADOS FINANCEIROS'!R33</f>
        <v>Sim</v>
      </c>
      <c r="Y27" s="30">
        <f>'DADOS FINANCEIROS'!S33</f>
        <v>0</v>
      </c>
      <c r="Z27" s="30">
        <f>'DADOS FINANCEIROS'!T33</f>
        <v>1</v>
      </c>
      <c r="AA27" s="30" t="str">
        <f>'DADOS FINANCEIROS'!U33</f>
        <v>Sim</v>
      </c>
      <c r="AB27" s="44">
        <f>'DADOS FINANCEIROS'!V33</f>
        <v>45740</v>
      </c>
      <c r="AC27" s="44" t="str">
        <f>TEXT(Tabela1[[#This Row],[Data de Negociação]],"MMM-AA")</f>
        <v>mar-25</v>
      </c>
      <c r="AD27" s="44" t="str">
        <f>TEXT(Tabela1[[#This Row],[Data de Negociação]],"AAAA")</f>
        <v>2025</v>
      </c>
      <c r="AE27" s="44">
        <f>'DADOS FINANCEIROS'!W33</f>
        <v>45740</v>
      </c>
      <c r="AF27" s="44" t="str">
        <f>TEXT(Tabela1[[#This Row],[Data da Entrada/Primeira Parcela]],"MMM-AA")</f>
        <v>mar-25</v>
      </c>
      <c r="AG27" s="44" t="str">
        <f>TEXT(Tabela1[[#This Row],[Data da Entrada/Primeira Parcela]],"AAAA")</f>
        <v>2025</v>
      </c>
      <c r="AH27" s="30" t="str">
        <f>'DADOS FINANCEIROS'!X33</f>
        <v>Acompanhando</v>
      </c>
      <c r="AI27" s="46">
        <f ca="1">'DADOS FINANCEIROS'!Y33</f>
        <v>3000</v>
      </c>
      <c r="AJ27" s="46" t="str">
        <f ca="1">'DADOS FINANCEIROS'!Z33</f>
        <v>0</v>
      </c>
      <c r="AK2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7" s="98"/>
    </row>
    <row r="28" spans="1:38" x14ac:dyDescent="0.3">
      <c r="A28" s="30">
        <f>'DADOS FINANCEIROS'!D34</f>
        <v>24</v>
      </c>
      <c r="B28" s="30" t="str">
        <f>'DADOS FINANCEIROS'!A34</f>
        <v>Filial</v>
      </c>
      <c r="C28" s="30">
        <f>'DADOS FINANCEIROS'!B34</f>
        <v>0</v>
      </c>
      <c r="D28" s="30" t="str">
        <f>'DADOS FINANCEIROS'!C34</f>
        <v>MundoInovador</v>
      </c>
      <c r="E28" s="44">
        <f>'DADOS FINANCEIROS'!E34</f>
        <v>45690</v>
      </c>
      <c r="F28" s="44" t="str">
        <f>TEXT(Tabela1[[#This Row],[DATA DE EMISSÃO]],"MMM-AA")</f>
        <v>fev-25</v>
      </c>
      <c r="G28" s="44" t="str">
        <f>TEXT(Tabela1[[#This Row],[DATA DE EMISSÃO]],"AAAA")</f>
        <v>2025</v>
      </c>
      <c r="H28" s="44">
        <f>'DADOS FINANCEIROS'!F34</f>
        <v>45711</v>
      </c>
      <c r="I28" s="44" t="str">
        <f>TEXT(Tabela1[[#This Row],[VENCIMENTO ORIGINAL]],"MMM-AA")</f>
        <v>fev-25</v>
      </c>
      <c r="J28" s="44" t="str">
        <f>TEXT(Tabela1[[#This Row],[VENCIMENTO ORIGINAL]],"AAAA")</f>
        <v>2025</v>
      </c>
      <c r="K28" s="44">
        <f>'DADOS FINANCEIROS'!G34</f>
        <v>45711</v>
      </c>
      <c r="L28" s="44" t="str">
        <f>TEXT(Tabela1[[#This Row],[VENCIMENTO ATUAL]],"MMM-AA")</f>
        <v>fev-25</v>
      </c>
      <c r="M28" s="44" t="str">
        <f>TEXT(Tabela1[[#This Row],[VENCIMENTO ATUAL]],"AAAA")</f>
        <v>2025</v>
      </c>
      <c r="N28" s="46">
        <f>'DADOS FINANCEIROS'!H34</f>
        <v>3000</v>
      </c>
      <c r="O28" s="30" t="str">
        <f>'DADOS FINANCEIROS'!I34</f>
        <v>Felipe</v>
      </c>
      <c r="P28" s="30" t="str">
        <f>'DADOS FINANCEIROS'!J34</f>
        <v>ANALISTA GUSTAVO</v>
      </c>
      <c r="Q28" s="30" t="str">
        <f>'DADOS FINANCEIROS'!K34</f>
        <v>NÃO</v>
      </c>
      <c r="R28" s="30" t="str">
        <f>'DADOS FINANCEIROS'!L34</f>
        <v>Promessa de pagamento refeito</v>
      </c>
      <c r="S28" s="30" t="str">
        <f ca="1">'DADOS FINANCEIROS'!M34</f>
        <v>Vencido</v>
      </c>
      <c r="T28" s="30">
        <f ca="1">IFERROR('DADOS FINANCEIROS'!N34,"")</f>
        <v>84</v>
      </c>
      <c r="U28" s="30" t="str">
        <f ca="1">'DADOS FINANCEIROS'!O34</f>
        <v>61+ dias</v>
      </c>
      <c r="V28" s="30" t="str">
        <f ca="1">'DADOS FINANCEIROS'!P34</f>
        <v>Atraso Crítico</v>
      </c>
      <c r="W28" s="30" t="str">
        <f>'DADOS FINANCEIROS'!Q34</f>
        <v>-</v>
      </c>
      <c r="X28" s="30" t="str">
        <f>'DADOS FINANCEIROS'!R34</f>
        <v>Sim</v>
      </c>
      <c r="Y28" s="30">
        <f>'DADOS FINANCEIROS'!S34</f>
        <v>0</v>
      </c>
      <c r="Z28" s="30">
        <f>'DADOS FINANCEIROS'!T34</f>
        <v>1</v>
      </c>
      <c r="AA28" s="30" t="str">
        <f>'DADOS FINANCEIROS'!U34</f>
        <v>Sim</v>
      </c>
      <c r="AB28" s="44">
        <f>'DADOS FINANCEIROS'!V34</f>
        <v>45740</v>
      </c>
      <c r="AC28" s="44" t="str">
        <f>TEXT(Tabela1[[#This Row],[Data de Negociação]],"MMM-AA")</f>
        <v>mar-25</v>
      </c>
      <c r="AD28" s="44" t="str">
        <f>TEXT(Tabela1[[#This Row],[Data de Negociação]],"AAAA")</f>
        <v>2025</v>
      </c>
      <c r="AE28" s="44">
        <f>'DADOS FINANCEIROS'!W34</f>
        <v>45740</v>
      </c>
      <c r="AF28" s="44" t="str">
        <f>TEXT(Tabela1[[#This Row],[Data da Entrada/Primeira Parcela]],"MMM-AA")</f>
        <v>mar-25</v>
      </c>
      <c r="AG28" s="44" t="str">
        <f>TEXT(Tabela1[[#This Row],[Data da Entrada/Primeira Parcela]],"AAAA")</f>
        <v>2025</v>
      </c>
      <c r="AH28" s="30" t="str">
        <f>'DADOS FINANCEIROS'!X34</f>
        <v>Acompanhando</v>
      </c>
      <c r="AI28" s="46">
        <f ca="1">'DADOS FINANCEIROS'!Y34</f>
        <v>3000</v>
      </c>
      <c r="AJ28" s="46" t="str">
        <f ca="1">'DADOS FINANCEIROS'!Z34</f>
        <v>0</v>
      </c>
      <c r="AK2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8" s="98"/>
    </row>
    <row r="29" spans="1:38" x14ac:dyDescent="0.3">
      <c r="A29" s="30">
        <f>'DADOS FINANCEIROS'!D35</f>
        <v>25</v>
      </c>
      <c r="B29" s="30" t="str">
        <f>'DADOS FINANCEIROS'!A35</f>
        <v>Matriz</v>
      </c>
      <c r="C29" s="30" t="str">
        <f>'DADOS FINANCEIROS'!B35</f>
        <v>Gamma &amp; CIA</v>
      </c>
      <c r="D29" s="30" t="str">
        <f>'DADOS FINANCEIROS'!C35</f>
        <v>Gamma &amp; CIA</v>
      </c>
      <c r="E29" s="44">
        <f>'DADOS FINANCEIROS'!E35</f>
        <v>45693</v>
      </c>
      <c r="F29" s="44" t="str">
        <f>TEXT(Tabela1[[#This Row],[DATA DE EMISSÃO]],"MMM-AA")</f>
        <v>fev-25</v>
      </c>
      <c r="G29" s="44" t="str">
        <f>TEXT(Tabela1[[#This Row],[DATA DE EMISSÃO]],"AAAA")</f>
        <v>2025</v>
      </c>
      <c r="H29" s="44">
        <f>'DADOS FINANCEIROS'!F35</f>
        <v>45712</v>
      </c>
      <c r="I29" s="44" t="str">
        <f>TEXT(Tabela1[[#This Row],[VENCIMENTO ORIGINAL]],"MMM-AA")</f>
        <v>fev-25</v>
      </c>
      <c r="J29" s="44" t="str">
        <f>TEXT(Tabela1[[#This Row],[VENCIMENTO ORIGINAL]],"AAAA")</f>
        <v>2025</v>
      </c>
      <c r="K29" s="44">
        <f>'DADOS FINANCEIROS'!G35</f>
        <v>45712</v>
      </c>
      <c r="L29" s="44" t="str">
        <f>TEXT(Tabela1[[#This Row],[VENCIMENTO ATUAL]],"MMM-AA")</f>
        <v>fev-25</v>
      </c>
      <c r="M29" s="44" t="str">
        <f>TEXT(Tabela1[[#This Row],[VENCIMENTO ATUAL]],"AAAA")</f>
        <v>2025</v>
      </c>
      <c r="N29" s="46">
        <f>'DADOS FINANCEIROS'!H35</f>
        <v>1200</v>
      </c>
      <c r="O29" s="30" t="str">
        <f>'DADOS FINANCEIROS'!I35</f>
        <v>Camila</v>
      </c>
      <c r="P29" s="30" t="str">
        <f>'DADOS FINANCEIROS'!J35</f>
        <v>ANALISTA GUSTAVO</v>
      </c>
      <c r="Q29" s="30" t="str">
        <f>'DADOS FINANCEIROS'!K35</f>
        <v>NÃO</v>
      </c>
      <c r="R29" s="30" t="str">
        <f>'DADOS FINANCEIROS'!L35</f>
        <v>Proposta de renegociação pendente</v>
      </c>
      <c r="S29" s="30" t="str">
        <f ca="1">'DADOS FINANCEIROS'!M35</f>
        <v>Vencido</v>
      </c>
      <c r="T29" s="30">
        <f ca="1">IFERROR('DADOS FINANCEIROS'!N35,"")</f>
        <v>83</v>
      </c>
      <c r="U29" s="30" t="str">
        <f ca="1">'DADOS FINANCEIROS'!O35</f>
        <v>61+ dias</v>
      </c>
      <c r="V29" s="30" t="str">
        <f ca="1">'DADOS FINANCEIROS'!P35</f>
        <v>Atraso Crítico</v>
      </c>
      <c r="W29" s="30" t="str">
        <f>'DADOS FINANCEIROS'!Q35</f>
        <v>-</v>
      </c>
      <c r="X29" s="30" t="str">
        <f>'DADOS FINANCEIROS'!R35</f>
        <v>Sim</v>
      </c>
      <c r="Y29" s="30">
        <f>'DADOS FINANCEIROS'!S35</f>
        <v>0</v>
      </c>
      <c r="Z29" s="30">
        <f>'DADOS FINANCEIROS'!T35</f>
        <v>1</v>
      </c>
      <c r="AA29" s="30" t="str">
        <f>'DADOS FINANCEIROS'!U35</f>
        <v>Sim</v>
      </c>
      <c r="AB29" s="44">
        <f>'DADOS FINANCEIROS'!V35</f>
        <v>45740</v>
      </c>
      <c r="AC29" s="44" t="str">
        <f>TEXT(Tabela1[[#This Row],[Data de Negociação]],"MMM-AA")</f>
        <v>mar-25</v>
      </c>
      <c r="AD29" s="44" t="str">
        <f>TEXT(Tabela1[[#This Row],[Data de Negociação]],"AAAA")</f>
        <v>2025</v>
      </c>
      <c r="AE29" s="44">
        <f>'DADOS FINANCEIROS'!W35</f>
        <v>45740</v>
      </c>
      <c r="AF29" s="44" t="str">
        <f>TEXT(Tabela1[[#This Row],[Data da Entrada/Primeira Parcela]],"MMM-AA")</f>
        <v>mar-25</v>
      </c>
      <c r="AG29" s="44" t="str">
        <f>TEXT(Tabela1[[#This Row],[Data da Entrada/Primeira Parcela]],"AAAA")</f>
        <v>2025</v>
      </c>
      <c r="AH29" s="30" t="str">
        <f>'DADOS FINANCEIROS'!X35</f>
        <v>Acompanhando</v>
      </c>
      <c r="AI29" s="46">
        <f ca="1">'DADOS FINANCEIROS'!Y35</f>
        <v>1200</v>
      </c>
      <c r="AJ29" s="46" t="str">
        <f ca="1">'DADOS FINANCEIROS'!Z35</f>
        <v>0</v>
      </c>
      <c r="AK2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29" s="98"/>
    </row>
    <row r="30" spans="1:38" x14ac:dyDescent="0.3">
      <c r="A30" s="30">
        <f>'DADOS FINANCEIROS'!D36</f>
        <v>26</v>
      </c>
      <c r="B30" s="30" t="str">
        <f>'DADOS FINANCEIROS'!A36</f>
        <v>Matriz</v>
      </c>
      <c r="C30" s="30">
        <f>'DADOS FINANCEIROS'!B36</f>
        <v>0</v>
      </c>
      <c r="D30" s="30" t="str">
        <f>'DADOS FINANCEIROS'!C36</f>
        <v>MundoInovador</v>
      </c>
      <c r="E30" s="44">
        <f>'DADOS FINANCEIROS'!E36</f>
        <v>45693</v>
      </c>
      <c r="F30" s="44" t="str">
        <f>TEXT(Tabela1[[#This Row],[DATA DE EMISSÃO]],"MMM-AA")</f>
        <v>fev-25</v>
      </c>
      <c r="G30" s="44" t="str">
        <f>TEXT(Tabela1[[#This Row],[DATA DE EMISSÃO]],"AAAA")</f>
        <v>2025</v>
      </c>
      <c r="H30" s="44">
        <f>'DADOS FINANCEIROS'!F36</f>
        <v>45713</v>
      </c>
      <c r="I30" s="44" t="str">
        <f>TEXT(Tabela1[[#This Row],[VENCIMENTO ORIGINAL]],"MMM-AA")</f>
        <v>fev-25</v>
      </c>
      <c r="J30" s="44" t="str">
        <f>TEXT(Tabela1[[#This Row],[VENCIMENTO ORIGINAL]],"AAAA")</f>
        <v>2025</v>
      </c>
      <c r="K30" s="44">
        <f>'DADOS FINANCEIROS'!G36</f>
        <v>45713</v>
      </c>
      <c r="L30" s="44" t="str">
        <f>TEXT(Tabela1[[#This Row],[VENCIMENTO ATUAL]],"MMM-AA")</f>
        <v>fev-25</v>
      </c>
      <c r="M30" s="44" t="str">
        <f>TEXT(Tabela1[[#This Row],[VENCIMENTO ATUAL]],"AAAA")</f>
        <v>2025</v>
      </c>
      <c r="N30" s="46">
        <f>'DADOS FINANCEIROS'!H36</f>
        <v>1200</v>
      </c>
      <c r="O30" s="30" t="str">
        <f>'DADOS FINANCEIROS'!I36</f>
        <v>Camila</v>
      </c>
      <c r="P30" s="30" t="str">
        <f>'DADOS FINANCEIROS'!J36</f>
        <v>ANALISTA GUSTAVO</v>
      </c>
      <c r="Q30" s="30" t="str">
        <f>'DADOS FINANCEIROS'!K36</f>
        <v>NÃO</v>
      </c>
      <c r="R30" s="30" t="str">
        <f>'DADOS FINANCEIROS'!L36</f>
        <v>Bloqueio de sistema por inadimplência</v>
      </c>
      <c r="S30" s="30" t="str">
        <f ca="1">'DADOS FINANCEIROS'!M36</f>
        <v>Vencido</v>
      </c>
      <c r="T30" s="30">
        <f ca="1">IFERROR('DADOS FINANCEIROS'!N36,"")</f>
        <v>82</v>
      </c>
      <c r="U30" s="30" t="str">
        <f ca="1">'DADOS FINANCEIROS'!O36</f>
        <v>61+ dias</v>
      </c>
      <c r="V30" s="30" t="str">
        <f ca="1">'DADOS FINANCEIROS'!P36</f>
        <v>Atraso Crítico</v>
      </c>
      <c r="W30" s="30" t="str">
        <f>'DADOS FINANCEIROS'!Q36</f>
        <v>-</v>
      </c>
      <c r="X30" s="30" t="str">
        <f>'DADOS FINANCEIROS'!R36</f>
        <v>Sim</v>
      </c>
      <c r="Y30" s="30">
        <f>'DADOS FINANCEIROS'!S36</f>
        <v>0</v>
      </c>
      <c r="Z30" s="30">
        <f>'DADOS FINANCEIROS'!T36</f>
        <v>1</v>
      </c>
      <c r="AA30" s="30" t="str">
        <f>'DADOS FINANCEIROS'!U36</f>
        <v>Sim</v>
      </c>
      <c r="AB30" s="44">
        <f>'DADOS FINANCEIROS'!V36</f>
        <v>45740</v>
      </c>
      <c r="AC30" s="44" t="str">
        <f>TEXT(Tabela1[[#This Row],[Data de Negociação]],"MMM-AA")</f>
        <v>mar-25</v>
      </c>
      <c r="AD30" s="44" t="str">
        <f>TEXT(Tabela1[[#This Row],[Data de Negociação]],"AAAA")</f>
        <v>2025</v>
      </c>
      <c r="AE30" s="44">
        <f>'DADOS FINANCEIROS'!W36</f>
        <v>45740</v>
      </c>
      <c r="AF30" s="44" t="str">
        <f>TEXT(Tabela1[[#This Row],[Data da Entrada/Primeira Parcela]],"MMM-AA")</f>
        <v>mar-25</v>
      </c>
      <c r="AG30" s="44" t="str">
        <f>TEXT(Tabela1[[#This Row],[Data da Entrada/Primeira Parcela]],"AAAA")</f>
        <v>2025</v>
      </c>
      <c r="AH30" s="30" t="str">
        <f>'DADOS FINANCEIROS'!X36</f>
        <v>Acompanhando</v>
      </c>
      <c r="AI30" s="46">
        <f ca="1">'DADOS FINANCEIROS'!Y36</f>
        <v>1200</v>
      </c>
      <c r="AJ30" s="46" t="str">
        <f ca="1">'DADOS FINANCEIROS'!Z36</f>
        <v>0</v>
      </c>
      <c r="AK3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0" s="98"/>
    </row>
    <row r="31" spans="1:38" x14ac:dyDescent="0.3">
      <c r="A31" s="30">
        <f>'DADOS FINANCEIROS'!D37</f>
        <v>27</v>
      </c>
      <c r="B31" s="30" t="str">
        <f>'DADOS FINANCEIROS'!A37</f>
        <v>Filial</v>
      </c>
      <c r="C31" s="30" t="str">
        <f>'DADOS FINANCEIROS'!B37</f>
        <v>Gamma &amp; CIA</v>
      </c>
      <c r="D31" s="30" t="str">
        <f>'DADOS FINANCEIROS'!C37</f>
        <v>Gamma &amp; CIA</v>
      </c>
      <c r="E31" s="44">
        <f>'DADOS FINANCEIROS'!E37</f>
        <v>45694</v>
      </c>
      <c r="F31" s="44" t="str">
        <f>TEXT(Tabela1[[#This Row],[DATA DE EMISSÃO]],"MMM-AA")</f>
        <v>fev-25</v>
      </c>
      <c r="G31" s="44" t="str">
        <f>TEXT(Tabela1[[#This Row],[DATA DE EMISSÃO]],"AAAA")</f>
        <v>2025</v>
      </c>
      <c r="H31" s="44">
        <f>'DADOS FINANCEIROS'!F37</f>
        <v>45714</v>
      </c>
      <c r="I31" s="44" t="str">
        <f>TEXT(Tabela1[[#This Row],[VENCIMENTO ORIGINAL]],"MMM-AA")</f>
        <v>fev-25</v>
      </c>
      <c r="J31" s="44" t="str">
        <f>TEXT(Tabela1[[#This Row],[VENCIMENTO ORIGINAL]],"AAAA")</f>
        <v>2025</v>
      </c>
      <c r="K31" s="44">
        <f>'DADOS FINANCEIROS'!G37</f>
        <v>45714</v>
      </c>
      <c r="L31" s="44" t="str">
        <f>TEXT(Tabela1[[#This Row],[VENCIMENTO ATUAL]],"MMM-AA")</f>
        <v>fev-25</v>
      </c>
      <c r="M31" s="44" t="str">
        <f>TEXT(Tabela1[[#This Row],[VENCIMENTO ATUAL]],"AAAA")</f>
        <v>2025</v>
      </c>
      <c r="N31" s="46">
        <f>'DADOS FINANCEIROS'!H37</f>
        <v>2000</v>
      </c>
      <c r="O31" s="30" t="str">
        <f>'DADOS FINANCEIROS'!I37</f>
        <v>Patrícia</v>
      </c>
      <c r="P31" s="30" t="str">
        <f>'DADOS FINANCEIROS'!J37</f>
        <v>ANALISTA GUSTAVO</v>
      </c>
      <c r="Q31" s="30" t="str">
        <f>'DADOS FINANCEIROS'!K37</f>
        <v>NÃO</v>
      </c>
      <c r="R31" s="30" t="str">
        <f>'DADOS FINANCEIROS'!L37</f>
        <v>Acordo em andamento (aguardando pagamento)</v>
      </c>
      <c r="S31" s="30" t="str">
        <f ca="1">'DADOS FINANCEIROS'!M37</f>
        <v>Vencido</v>
      </c>
      <c r="T31" s="30">
        <f ca="1">IFERROR('DADOS FINANCEIROS'!N37,"")</f>
        <v>81</v>
      </c>
      <c r="U31" s="30" t="str">
        <f ca="1">'DADOS FINANCEIROS'!O37</f>
        <v>61+ dias</v>
      </c>
      <c r="V31" s="30" t="str">
        <f ca="1">'DADOS FINANCEIROS'!P37</f>
        <v>Atraso Crítico</v>
      </c>
      <c r="W31" s="30" t="str">
        <f>'DADOS FINANCEIROS'!Q37</f>
        <v>-</v>
      </c>
      <c r="X31" s="30" t="str">
        <f>'DADOS FINANCEIROS'!R37</f>
        <v>Sim</v>
      </c>
      <c r="Y31" s="30">
        <f>'DADOS FINANCEIROS'!S37</f>
        <v>0</v>
      </c>
      <c r="Z31" s="30">
        <f>'DADOS FINANCEIROS'!T37</f>
        <v>1</v>
      </c>
      <c r="AA31" s="30" t="str">
        <f>'DADOS FINANCEIROS'!U37</f>
        <v>Sim</v>
      </c>
      <c r="AB31" s="44">
        <f>'DADOS FINANCEIROS'!V37</f>
        <v>45740</v>
      </c>
      <c r="AC31" s="44" t="str">
        <f>TEXT(Tabela1[[#This Row],[Data de Negociação]],"MMM-AA")</f>
        <v>mar-25</v>
      </c>
      <c r="AD31" s="44" t="str">
        <f>TEXT(Tabela1[[#This Row],[Data de Negociação]],"AAAA")</f>
        <v>2025</v>
      </c>
      <c r="AE31" s="44">
        <f>'DADOS FINANCEIROS'!W37</f>
        <v>45740</v>
      </c>
      <c r="AF31" s="44" t="str">
        <f>TEXT(Tabela1[[#This Row],[Data da Entrada/Primeira Parcela]],"MMM-AA")</f>
        <v>mar-25</v>
      </c>
      <c r="AG31" s="44" t="str">
        <f>TEXT(Tabela1[[#This Row],[Data da Entrada/Primeira Parcela]],"AAAA")</f>
        <v>2025</v>
      </c>
      <c r="AH31" s="30" t="str">
        <f>'DADOS FINANCEIROS'!X37</f>
        <v>Acompanhando</v>
      </c>
      <c r="AI31" s="46">
        <f ca="1">'DADOS FINANCEIROS'!Y37</f>
        <v>2000</v>
      </c>
      <c r="AJ31" s="46" t="str">
        <f ca="1">'DADOS FINANCEIROS'!Z37</f>
        <v>0</v>
      </c>
      <c r="AK3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1" s="98"/>
    </row>
    <row r="32" spans="1:38" x14ac:dyDescent="0.3">
      <c r="A32" s="30">
        <f>'DADOS FINANCEIROS'!D38</f>
        <v>28</v>
      </c>
      <c r="B32" s="30" t="str">
        <f>'DADOS FINANCEIROS'!A38</f>
        <v>Filial</v>
      </c>
      <c r="C32" s="30">
        <f>'DADOS FINANCEIROS'!B38</f>
        <v>0</v>
      </c>
      <c r="D32" s="30" t="str">
        <f>'DADOS FINANCEIROS'!C38</f>
        <v>MundoInovador</v>
      </c>
      <c r="E32" s="44">
        <f>'DADOS FINANCEIROS'!E38</f>
        <v>45694</v>
      </c>
      <c r="F32" s="44" t="str">
        <f>TEXT(Tabela1[[#This Row],[DATA DE EMISSÃO]],"MMM-AA")</f>
        <v>fev-25</v>
      </c>
      <c r="G32" s="44" t="str">
        <f>TEXT(Tabela1[[#This Row],[DATA DE EMISSÃO]],"AAAA")</f>
        <v>2025</v>
      </c>
      <c r="H32" s="44">
        <f>'DADOS FINANCEIROS'!F38</f>
        <v>45715</v>
      </c>
      <c r="I32" s="44" t="str">
        <f>TEXT(Tabela1[[#This Row],[VENCIMENTO ORIGINAL]],"MMM-AA")</f>
        <v>fev-25</v>
      </c>
      <c r="J32" s="44" t="str">
        <f>TEXT(Tabela1[[#This Row],[VENCIMENTO ORIGINAL]],"AAAA")</f>
        <v>2025</v>
      </c>
      <c r="K32" s="44">
        <f>'DADOS FINANCEIROS'!G38</f>
        <v>45715</v>
      </c>
      <c r="L32" s="44" t="str">
        <f>TEXT(Tabela1[[#This Row],[VENCIMENTO ATUAL]],"MMM-AA")</f>
        <v>fev-25</v>
      </c>
      <c r="M32" s="44" t="str">
        <f>TEXT(Tabela1[[#This Row],[VENCIMENTO ATUAL]],"AAAA")</f>
        <v>2025</v>
      </c>
      <c r="N32" s="46">
        <f>'DADOS FINANCEIROS'!H38</f>
        <v>2000</v>
      </c>
      <c r="O32" s="30" t="str">
        <f>'DADOS FINANCEIROS'!I38</f>
        <v>Patrícia</v>
      </c>
      <c r="P32" s="30" t="str">
        <f>'DADOS FINANCEIROS'!J38</f>
        <v>ANALISTA GUSTAVO</v>
      </c>
      <c r="Q32" s="30" t="str">
        <f>'DADOS FINANCEIROS'!K38</f>
        <v>NÃO</v>
      </c>
      <c r="R32" s="30" t="str">
        <f>'DADOS FINANCEIROS'!L38</f>
        <v>Negociação finalizada, pendente de pagamento</v>
      </c>
      <c r="S32" s="30" t="str">
        <f ca="1">'DADOS FINANCEIROS'!M38</f>
        <v>Vencido</v>
      </c>
      <c r="T32" s="30">
        <f ca="1">IFERROR('DADOS FINANCEIROS'!N38,"")</f>
        <v>80</v>
      </c>
      <c r="U32" s="30" t="str">
        <f ca="1">'DADOS FINANCEIROS'!O38</f>
        <v>61+ dias</v>
      </c>
      <c r="V32" s="30" t="str">
        <f ca="1">'DADOS FINANCEIROS'!P38</f>
        <v>Atraso Crítico</v>
      </c>
      <c r="W32" s="30" t="str">
        <f>'DADOS FINANCEIROS'!Q38</f>
        <v>-</v>
      </c>
      <c r="X32" s="30" t="str">
        <f>'DADOS FINANCEIROS'!R38</f>
        <v>Sim</v>
      </c>
      <c r="Y32" s="30">
        <f>'DADOS FINANCEIROS'!S38</f>
        <v>0</v>
      </c>
      <c r="Z32" s="30">
        <f>'DADOS FINANCEIROS'!T38</f>
        <v>1</v>
      </c>
      <c r="AA32" s="30" t="str">
        <f>'DADOS FINANCEIROS'!U38</f>
        <v>Sim</v>
      </c>
      <c r="AB32" s="44">
        <f>'DADOS FINANCEIROS'!V38</f>
        <v>45740</v>
      </c>
      <c r="AC32" s="44" t="str">
        <f>TEXT(Tabela1[[#This Row],[Data de Negociação]],"MMM-AA")</f>
        <v>mar-25</v>
      </c>
      <c r="AD32" s="44" t="str">
        <f>TEXT(Tabela1[[#This Row],[Data de Negociação]],"AAAA")</f>
        <v>2025</v>
      </c>
      <c r="AE32" s="44">
        <f>'DADOS FINANCEIROS'!W38</f>
        <v>45740</v>
      </c>
      <c r="AF32" s="44" t="str">
        <f>TEXT(Tabela1[[#This Row],[Data da Entrada/Primeira Parcela]],"MMM-AA")</f>
        <v>mar-25</v>
      </c>
      <c r="AG32" s="44" t="str">
        <f>TEXT(Tabela1[[#This Row],[Data da Entrada/Primeira Parcela]],"AAAA")</f>
        <v>2025</v>
      </c>
      <c r="AH32" s="30" t="str">
        <f>'DADOS FINANCEIROS'!X38</f>
        <v>Acompanhando</v>
      </c>
      <c r="AI32" s="46">
        <f ca="1">'DADOS FINANCEIROS'!Y38</f>
        <v>2000</v>
      </c>
      <c r="AJ32" s="46" t="str">
        <f ca="1">'DADOS FINANCEIROS'!Z38</f>
        <v>0</v>
      </c>
      <c r="AK3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2" s="98"/>
    </row>
    <row r="33" spans="1:38" x14ac:dyDescent="0.3">
      <c r="A33" s="30">
        <f>'DADOS FINANCEIROS'!D39</f>
        <v>29</v>
      </c>
      <c r="B33" s="30" t="str">
        <f>'DADOS FINANCEIROS'!A39</f>
        <v>Matriz</v>
      </c>
      <c r="C33" s="30" t="str">
        <f>'DADOS FINANCEIROS'!B39</f>
        <v>Gamma &amp; CIA</v>
      </c>
      <c r="D33" s="30" t="str">
        <f>'DADOS FINANCEIROS'!C39</f>
        <v>Gamma &amp; CIA</v>
      </c>
      <c r="E33" s="44">
        <f>'DADOS FINANCEIROS'!E39</f>
        <v>45698</v>
      </c>
      <c r="F33" s="44" t="str">
        <f>TEXT(Tabela1[[#This Row],[DATA DE EMISSÃO]],"MMM-AA")</f>
        <v>fev-25</v>
      </c>
      <c r="G33" s="44" t="str">
        <f>TEXT(Tabela1[[#This Row],[DATA DE EMISSÃO]],"AAAA")</f>
        <v>2025</v>
      </c>
      <c r="H33" s="44">
        <f>'DADOS FINANCEIROS'!F39</f>
        <v>45715</v>
      </c>
      <c r="I33" s="44" t="str">
        <f>TEXT(Tabela1[[#This Row],[VENCIMENTO ORIGINAL]],"MMM-AA")</f>
        <v>fev-25</v>
      </c>
      <c r="J33" s="44" t="str">
        <f>TEXT(Tabela1[[#This Row],[VENCIMENTO ORIGINAL]],"AAAA")</f>
        <v>2025</v>
      </c>
      <c r="K33" s="44">
        <f>'DADOS FINANCEIROS'!G39</f>
        <v>45715</v>
      </c>
      <c r="L33" s="44" t="str">
        <f>TEXT(Tabela1[[#This Row],[VENCIMENTO ATUAL]],"MMM-AA")</f>
        <v>fev-25</v>
      </c>
      <c r="M33" s="44" t="str">
        <f>TEXT(Tabela1[[#This Row],[VENCIMENTO ATUAL]],"AAAA")</f>
        <v>2025</v>
      </c>
      <c r="N33" s="46">
        <f>'DADOS FINANCEIROS'!H39</f>
        <v>3200</v>
      </c>
      <c r="O33" s="30" t="str">
        <f>'DADOS FINANCEIROS'!I39</f>
        <v>Tiago</v>
      </c>
      <c r="P33" s="30" t="str">
        <f>'DADOS FINANCEIROS'!J39</f>
        <v>ANALISTA GUSTAVO</v>
      </c>
      <c r="Q33" s="30" t="str">
        <f>'DADOS FINANCEIROS'!K39</f>
        <v>NÃO</v>
      </c>
      <c r="R33" s="30" t="str">
        <f>'DADOS FINANCEIROS'!L39</f>
        <v>Cliente em processo de análise para reativação</v>
      </c>
      <c r="S33" s="30" t="str">
        <f ca="1">'DADOS FINANCEIROS'!M39</f>
        <v>Vencido</v>
      </c>
      <c r="T33" s="30">
        <f ca="1">IFERROR('DADOS FINANCEIROS'!N39,"")</f>
        <v>80</v>
      </c>
      <c r="U33" s="30" t="str">
        <f ca="1">'DADOS FINANCEIROS'!O39</f>
        <v>61+ dias</v>
      </c>
      <c r="V33" s="30" t="str">
        <f ca="1">'DADOS FINANCEIROS'!P39</f>
        <v>Atraso Crítico</v>
      </c>
      <c r="W33" s="30" t="str">
        <f>'DADOS FINANCEIROS'!Q39</f>
        <v>-</v>
      </c>
      <c r="X33" s="30" t="str">
        <f>'DADOS FINANCEIROS'!R39</f>
        <v>Sim</v>
      </c>
      <c r="Y33" s="30">
        <f>'DADOS FINANCEIROS'!S39</f>
        <v>0</v>
      </c>
      <c r="Z33" s="30">
        <f>'DADOS FINANCEIROS'!T39</f>
        <v>1</v>
      </c>
      <c r="AA33" s="30" t="str">
        <f>'DADOS FINANCEIROS'!U39</f>
        <v>Sim</v>
      </c>
      <c r="AB33" s="44">
        <f>'DADOS FINANCEIROS'!V39</f>
        <v>45740</v>
      </c>
      <c r="AC33" s="44" t="str">
        <f>TEXT(Tabela1[[#This Row],[Data de Negociação]],"MMM-AA")</f>
        <v>mar-25</v>
      </c>
      <c r="AD33" s="44" t="str">
        <f>TEXT(Tabela1[[#This Row],[Data de Negociação]],"AAAA")</f>
        <v>2025</v>
      </c>
      <c r="AE33" s="44">
        <f>'DADOS FINANCEIROS'!W39</f>
        <v>45740</v>
      </c>
      <c r="AF33" s="44" t="str">
        <f>TEXT(Tabela1[[#This Row],[Data da Entrada/Primeira Parcela]],"MMM-AA")</f>
        <v>mar-25</v>
      </c>
      <c r="AG33" s="44" t="str">
        <f>TEXT(Tabela1[[#This Row],[Data da Entrada/Primeira Parcela]],"AAAA")</f>
        <v>2025</v>
      </c>
      <c r="AH33" s="30" t="str">
        <f>'DADOS FINANCEIROS'!X39</f>
        <v>Acompanhando</v>
      </c>
      <c r="AI33" s="46">
        <f ca="1">'DADOS FINANCEIROS'!Y39</f>
        <v>3200</v>
      </c>
      <c r="AJ33" s="46" t="str">
        <f ca="1">'DADOS FINANCEIROS'!Z39</f>
        <v>0</v>
      </c>
      <c r="AK3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3" s="98"/>
    </row>
    <row r="34" spans="1:38" x14ac:dyDescent="0.3">
      <c r="A34" s="30">
        <f>'DADOS FINANCEIROS'!D40</f>
        <v>30</v>
      </c>
      <c r="B34" s="30" t="str">
        <f>'DADOS FINANCEIROS'!A40</f>
        <v>Matriz</v>
      </c>
      <c r="C34" s="30">
        <f>'DADOS FINANCEIROS'!B40</f>
        <v>0</v>
      </c>
      <c r="D34" s="30" t="str">
        <f>'DADOS FINANCEIROS'!C40</f>
        <v>SoftLink</v>
      </c>
      <c r="E34" s="44">
        <f>'DADOS FINANCEIROS'!E40</f>
        <v>45698</v>
      </c>
      <c r="F34" s="44" t="str">
        <f>TEXT(Tabela1[[#This Row],[DATA DE EMISSÃO]],"MMM-AA")</f>
        <v>fev-25</v>
      </c>
      <c r="G34" s="44" t="str">
        <f>TEXT(Tabela1[[#This Row],[DATA DE EMISSÃO]],"AAAA")</f>
        <v>2025</v>
      </c>
      <c r="H34" s="44">
        <f>'DADOS FINANCEIROS'!F40</f>
        <v>45715</v>
      </c>
      <c r="I34" s="44" t="str">
        <f>TEXT(Tabela1[[#This Row],[VENCIMENTO ORIGINAL]],"MMM-AA")</f>
        <v>fev-25</v>
      </c>
      <c r="J34" s="44" t="str">
        <f>TEXT(Tabela1[[#This Row],[VENCIMENTO ORIGINAL]],"AAAA")</f>
        <v>2025</v>
      </c>
      <c r="K34" s="44">
        <f>'DADOS FINANCEIROS'!G40</f>
        <v>45715</v>
      </c>
      <c r="L34" s="44" t="str">
        <f>TEXT(Tabela1[[#This Row],[VENCIMENTO ATUAL]],"MMM-AA")</f>
        <v>fev-25</v>
      </c>
      <c r="M34" s="44" t="str">
        <f>TEXT(Tabela1[[#This Row],[VENCIMENTO ATUAL]],"AAAA")</f>
        <v>2025</v>
      </c>
      <c r="N34" s="46">
        <f>'DADOS FINANCEIROS'!H40</f>
        <v>3200</v>
      </c>
      <c r="O34" s="30" t="str">
        <f>'DADOS FINANCEIROS'!I40</f>
        <v>Tiago</v>
      </c>
      <c r="P34" s="30" t="str">
        <f>'DADOS FINANCEIROS'!J40</f>
        <v>ANALISTA GUSTAVO</v>
      </c>
      <c r="Q34" s="30" t="str">
        <f>'DADOS FINANCEIROS'!K40</f>
        <v>NÃO</v>
      </c>
      <c r="R34" s="30" t="str">
        <f>'DADOS FINANCEIROS'!L40</f>
        <v>Acordo cumprido parcialmente</v>
      </c>
      <c r="S34" s="30" t="str">
        <f ca="1">'DADOS FINANCEIROS'!M40</f>
        <v>Vencido</v>
      </c>
      <c r="T34" s="30">
        <f ca="1">IFERROR('DADOS FINANCEIROS'!N40,"")</f>
        <v>80</v>
      </c>
      <c r="U34" s="30" t="str">
        <f ca="1">'DADOS FINANCEIROS'!O40</f>
        <v>61+ dias</v>
      </c>
      <c r="V34" s="30" t="str">
        <f ca="1">'DADOS FINANCEIROS'!P40</f>
        <v>Atraso Crítico</v>
      </c>
      <c r="W34" s="30" t="str">
        <f>'DADOS FINANCEIROS'!Q40</f>
        <v>-</v>
      </c>
      <c r="X34" s="30" t="str">
        <f>'DADOS FINANCEIROS'!R40</f>
        <v>Sim</v>
      </c>
      <c r="Y34" s="30">
        <f>'DADOS FINANCEIROS'!S40</f>
        <v>0</v>
      </c>
      <c r="Z34" s="30">
        <f>'DADOS FINANCEIROS'!T40</f>
        <v>1</v>
      </c>
      <c r="AA34" s="30" t="str">
        <f>'DADOS FINANCEIROS'!U40</f>
        <v>Sim</v>
      </c>
      <c r="AB34" s="44">
        <f>'DADOS FINANCEIROS'!V40</f>
        <v>45740</v>
      </c>
      <c r="AC34" s="44" t="str">
        <f>TEXT(Tabela1[[#This Row],[Data de Negociação]],"MMM-AA")</f>
        <v>mar-25</v>
      </c>
      <c r="AD34" s="44" t="str">
        <f>TEXT(Tabela1[[#This Row],[Data de Negociação]],"AAAA")</f>
        <v>2025</v>
      </c>
      <c r="AE34" s="44">
        <f>'DADOS FINANCEIROS'!W40</f>
        <v>45740</v>
      </c>
      <c r="AF34" s="44" t="str">
        <f>TEXT(Tabela1[[#This Row],[Data da Entrada/Primeira Parcela]],"MMM-AA")</f>
        <v>mar-25</v>
      </c>
      <c r="AG34" s="44" t="str">
        <f>TEXT(Tabela1[[#This Row],[Data da Entrada/Primeira Parcela]],"AAAA")</f>
        <v>2025</v>
      </c>
      <c r="AH34" s="30" t="str">
        <f>'DADOS FINANCEIROS'!X40</f>
        <v>Acompanhando</v>
      </c>
      <c r="AI34" s="46">
        <f ca="1">'DADOS FINANCEIROS'!Y40</f>
        <v>3200</v>
      </c>
      <c r="AJ34" s="46" t="str">
        <f ca="1">'DADOS FINANCEIROS'!Z40</f>
        <v>0</v>
      </c>
      <c r="AK3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4" s="98"/>
    </row>
    <row r="35" spans="1:38" x14ac:dyDescent="0.3">
      <c r="A35" s="30">
        <f>'DADOS FINANCEIROS'!D41</f>
        <v>31</v>
      </c>
      <c r="B35" s="30" t="str">
        <f>'DADOS FINANCEIROS'!A41</f>
        <v>Filial</v>
      </c>
      <c r="C35" s="30" t="str">
        <f>'DADOS FINANCEIROS'!B41</f>
        <v>Gamma &amp; CIA</v>
      </c>
      <c r="D35" s="30" t="str">
        <f>'DADOS FINANCEIROS'!C41</f>
        <v>Gamma &amp; CIA</v>
      </c>
      <c r="E35" s="44">
        <f>'DADOS FINANCEIROS'!E41</f>
        <v>45700</v>
      </c>
      <c r="F35" s="44" t="str">
        <f>TEXT(Tabela1[[#This Row],[DATA DE EMISSÃO]],"MMM-AA")</f>
        <v>fev-25</v>
      </c>
      <c r="G35" s="44" t="str">
        <f>TEXT(Tabela1[[#This Row],[DATA DE EMISSÃO]],"AAAA")</f>
        <v>2025</v>
      </c>
      <c r="H35" s="44">
        <f>'DADOS FINANCEIROS'!F41</f>
        <v>45715</v>
      </c>
      <c r="I35" s="44" t="str">
        <f>TEXT(Tabela1[[#This Row],[VENCIMENTO ORIGINAL]],"MMM-AA")</f>
        <v>fev-25</v>
      </c>
      <c r="J35" s="44" t="str">
        <f>TEXT(Tabela1[[#This Row],[VENCIMENTO ORIGINAL]],"AAAA")</f>
        <v>2025</v>
      </c>
      <c r="K35" s="44">
        <f>'DADOS FINANCEIROS'!G41</f>
        <v>45715</v>
      </c>
      <c r="L35" s="44" t="str">
        <f>TEXT(Tabela1[[#This Row],[VENCIMENTO ATUAL]],"MMM-AA")</f>
        <v>fev-25</v>
      </c>
      <c r="M35" s="44" t="str">
        <f>TEXT(Tabela1[[#This Row],[VENCIMENTO ATUAL]],"AAAA")</f>
        <v>2025</v>
      </c>
      <c r="N35" s="46">
        <f>'DADOS FINANCEIROS'!H41</f>
        <v>1500</v>
      </c>
      <c r="O35" s="30" t="str">
        <f>'DADOS FINANCEIROS'!I41</f>
        <v>André</v>
      </c>
      <c r="P35" s="30" t="str">
        <f>'DADOS FINANCEIROS'!J41</f>
        <v>ANALISTA GUSTAVO</v>
      </c>
      <c r="Q35" s="30" t="str">
        <f>'DADOS FINANCEIROS'!K41</f>
        <v>NÃO</v>
      </c>
      <c r="R35" s="30" t="str">
        <f>'DADOS FINANCEIROS'!L41</f>
        <v>Aguardando liberação do financeiro</v>
      </c>
      <c r="S35" s="30" t="str">
        <f ca="1">'DADOS FINANCEIROS'!M41</f>
        <v>Vencido</v>
      </c>
      <c r="T35" s="30">
        <f ca="1">IFERROR('DADOS FINANCEIROS'!N41,"")</f>
        <v>80</v>
      </c>
      <c r="U35" s="30" t="str">
        <f ca="1">'DADOS FINANCEIROS'!O41</f>
        <v>61+ dias</v>
      </c>
      <c r="V35" s="30" t="str">
        <f ca="1">'DADOS FINANCEIROS'!P41</f>
        <v>Atraso Crítico</v>
      </c>
      <c r="W35" s="30" t="str">
        <f>'DADOS FINANCEIROS'!Q41</f>
        <v>-</v>
      </c>
      <c r="X35" s="30" t="str">
        <f>'DADOS FINANCEIROS'!R41</f>
        <v>Sim</v>
      </c>
      <c r="Y35" s="30">
        <f>'DADOS FINANCEIROS'!S41</f>
        <v>0</v>
      </c>
      <c r="Z35" s="30">
        <f>'DADOS FINANCEIROS'!T41</f>
        <v>1</v>
      </c>
      <c r="AA35" s="30" t="str">
        <f>'DADOS FINANCEIROS'!U41</f>
        <v>Sim</v>
      </c>
      <c r="AB35" s="44">
        <f>'DADOS FINANCEIROS'!V41</f>
        <v>45740</v>
      </c>
      <c r="AC35" s="44" t="str">
        <f>TEXT(Tabela1[[#This Row],[Data de Negociação]],"MMM-AA")</f>
        <v>mar-25</v>
      </c>
      <c r="AD35" s="44" t="str">
        <f>TEXT(Tabela1[[#This Row],[Data de Negociação]],"AAAA")</f>
        <v>2025</v>
      </c>
      <c r="AE35" s="44">
        <f>'DADOS FINANCEIROS'!W41</f>
        <v>45740</v>
      </c>
      <c r="AF35" s="44" t="str">
        <f>TEXT(Tabela1[[#This Row],[Data da Entrada/Primeira Parcela]],"MMM-AA")</f>
        <v>mar-25</v>
      </c>
      <c r="AG35" s="44" t="str">
        <f>TEXT(Tabela1[[#This Row],[Data da Entrada/Primeira Parcela]],"AAAA")</f>
        <v>2025</v>
      </c>
      <c r="AH35" s="30" t="str">
        <f>'DADOS FINANCEIROS'!X41</f>
        <v>Acompanhando</v>
      </c>
      <c r="AI35" s="46">
        <f ca="1">'DADOS FINANCEIROS'!Y41</f>
        <v>1500</v>
      </c>
      <c r="AJ35" s="46" t="str">
        <f ca="1">'DADOS FINANCEIROS'!Z41</f>
        <v>0</v>
      </c>
      <c r="AK3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5" s="98"/>
    </row>
    <row r="36" spans="1:38" x14ac:dyDescent="0.3">
      <c r="A36" s="30">
        <f>'DADOS FINANCEIROS'!D42</f>
        <v>32</v>
      </c>
      <c r="B36" s="30" t="str">
        <f>'DADOS FINANCEIROS'!A42</f>
        <v>Filial</v>
      </c>
      <c r="C36" s="30">
        <f>'DADOS FINANCEIROS'!B42</f>
        <v>0</v>
      </c>
      <c r="D36" s="30" t="str">
        <f>'DADOS FINANCEIROS'!C42</f>
        <v>SoftLink</v>
      </c>
      <c r="E36" s="44">
        <f>'DADOS FINANCEIROS'!E42</f>
        <v>45700</v>
      </c>
      <c r="F36" s="44" t="str">
        <f>TEXT(Tabela1[[#This Row],[DATA DE EMISSÃO]],"MMM-AA")</f>
        <v>fev-25</v>
      </c>
      <c r="G36" s="44" t="str">
        <f>TEXT(Tabela1[[#This Row],[DATA DE EMISSÃO]],"AAAA")</f>
        <v>2025</v>
      </c>
      <c r="H36" s="44">
        <f>'DADOS FINANCEIROS'!F42</f>
        <v>45715</v>
      </c>
      <c r="I36" s="44" t="str">
        <f>TEXT(Tabela1[[#This Row],[VENCIMENTO ORIGINAL]],"MMM-AA")</f>
        <v>fev-25</v>
      </c>
      <c r="J36" s="44" t="str">
        <f>TEXT(Tabela1[[#This Row],[VENCIMENTO ORIGINAL]],"AAAA")</f>
        <v>2025</v>
      </c>
      <c r="K36" s="44">
        <f>'DADOS FINANCEIROS'!G42</f>
        <v>45715</v>
      </c>
      <c r="L36" s="44" t="str">
        <f>TEXT(Tabela1[[#This Row],[VENCIMENTO ATUAL]],"MMM-AA")</f>
        <v>fev-25</v>
      </c>
      <c r="M36" s="44" t="str">
        <f>TEXT(Tabela1[[#This Row],[VENCIMENTO ATUAL]],"AAAA")</f>
        <v>2025</v>
      </c>
      <c r="N36" s="46">
        <f>'DADOS FINANCEIROS'!H42</f>
        <v>1500</v>
      </c>
      <c r="O36" s="30" t="str">
        <f>'DADOS FINANCEIROS'!I42</f>
        <v>André</v>
      </c>
      <c r="P36" s="30" t="str">
        <f>'DADOS FINANCEIROS'!J42</f>
        <v>ANALISTA GUSTAVO</v>
      </c>
      <c r="Q36" s="30" t="str">
        <f>'DADOS FINANCEIROS'!K42</f>
        <v>NÃO</v>
      </c>
      <c r="R36" s="30" t="str">
        <f>'DADOS FINANCEIROS'!L42</f>
        <v>Pagamento em processo (aguardando confirmação bancária)</v>
      </c>
      <c r="S36" s="30" t="str">
        <f ca="1">'DADOS FINANCEIROS'!M42</f>
        <v>Vencido</v>
      </c>
      <c r="T36" s="30">
        <f ca="1">IFERROR('DADOS FINANCEIROS'!N42,"")</f>
        <v>80</v>
      </c>
      <c r="U36" s="30" t="str">
        <f ca="1">'DADOS FINANCEIROS'!O42</f>
        <v>61+ dias</v>
      </c>
      <c r="V36" s="30" t="str">
        <f ca="1">'DADOS FINANCEIROS'!P42</f>
        <v>Atraso Crítico</v>
      </c>
      <c r="W36" s="30" t="str">
        <f>'DADOS FINANCEIROS'!Q42</f>
        <v>-</v>
      </c>
      <c r="X36" s="30" t="str">
        <f>'DADOS FINANCEIROS'!R42</f>
        <v>Sim</v>
      </c>
      <c r="Y36" s="30">
        <f>'DADOS FINANCEIROS'!S42</f>
        <v>0</v>
      </c>
      <c r="Z36" s="30">
        <f>'DADOS FINANCEIROS'!T42</f>
        <v>1</v>
      </c>
      <c r="AA36" s="30" t="str">
        <f>'DADOS FINANCEIROS'!U42</f>
        <v>Sim</v>
      </c>
      <c r="AB36" s="44">
        <f>'DADOS FINANCEIROS'!V42</f>
        <v>45740</v>
      </c>
      <c r="AC36" s="44" t="str">
        <f>TEXT(Tabela1[[#This Row],[Data de Negociação]],"MMM-AA")</f>
        <v>mar-25</v>
      </c>
      <c r="AD36" s="44" t="str">
        <f>TEXT(Tabela1[[#This Row],[Data de Negociação]],"AAAA")</f>
        <v>2025</v>
      </c>
      <c r="AE36" s="44">
        <f>'DADOS FINANCEIROS'!W42</f>
        <v>45740</v>
      </c>
      <c r="AF36" s="44" t="str">
        <f>TEXT(Tabela1[[#This Row],[Data da Entrada/Primeira Parcela]],"MMM-AA")</f>
        <v>mar-25</v>
      </c>
      <c r="AG36" s="44" t="str">
        <f>TEXT(Tabela1[[#This Row],[Data da Entrada/Primeira Parcela]],"AAAA")</f>
        <v>2025</v>
      </c>
      <c r="AH36" s="30" t="str">
        <f>'DADOS FINANCEIROS'!X42</f>
        <v>Acompanhando</v>
      </c>
      <c r="AI36" s="46">
        <f ca="1">'DADOS FINANCEIROS'!Y42</f>
        <v>1500</v>
      </c>
      <c r="AJ36" s="46" t="str">
        <f ca="1">'DADOS FINANCEIROS'!Z42</f>
        <v>0</v>
      </c>
      <c r="AK3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6" s="98"/>
    </row>
    <row r="37" spans="1:38" x14ac:dyDescent="0.3">
      <c r="A37" s="30">
        <f>'DADOS FINANCEIROS'!D43</f>
        <v>35</v>
      </c>
      <c r="B37" s="30" t="str">
        <f>'DADOS FINANCEIROS'!A43</f>
        <v>Filial</v>
      </c>
      <c r="C37" s="30" t="str">
        <f>'DADOS FINANCEIROS'!B43</f>
        <v>Gamma &amp; CIA</v>
      </c>
      <c r="D37" s="30" t="str">
        <f>'DADOS FINANCEIROS'!C43</f>
        <v>Gamma &amp; CIA</v>
      </c>
      <c r="E37" s="44">
        <f>'DADOS FINANCEIROS'!E43</f>
        <v>45706</v>
      </c>
      <c r="F37" s="44" t="str">
        <f>TEXT(Tabela1[[#This Row],[DATA DE EMISSÃO]],"MMM-AA")</f>
        <v>fev-25</v>
      </c>
      <c r="G37" s="44" t="str">
        <f>TEXT(Tabela1[[#This Row],[DATA DE EMISSÃO]],"AAAA")</f>
        <v>2025</v>
      </c>
      <c r="H37" s="44">
        <f>'DADOS FINANCEIROS'!F43</f>
        <v>45715</v>
      </c>
      <c r="I37" s="44" t="str">
        <f>TEXT(Tabela1[[#This Row],[VENCIMENTO ORIGINAL]],"MMM-AA")</f>
        <v>fev-25</v>
      </c>
      <c r="J37" s="44" t="str">
        <f>TEXT(Tabela1[[#This Row],[VENCIMENTO ORIGINAL]],"AAAA")</f>
        <v>2025</v>
      </c>
      <c r="K37" s="44">
        <f>'DADOS FINANCEIROS'!G43</f>
        <v>45715</v>
      </c>
      <c r="L37" s="44" t="str">
        <f>TEXT(Tabela1[[#This Row],[VENCIMENTO ATUAL]],"MMM-AA")</f>
        <v>fev-25</v>
      </c>
      <c r="M37" s="44" t="str">
        <f>TEXT(Tabela1[[#This Row],[VENCIMENTO ATUAL]],"AAAA")</f>
        <v>2025</v>
      </c>
      <c r="N37" s="46">
        <f>'DADOS FINANCEIROS'!H43</f>
        <v>1000</v>
      </c>
      <c r="O37" s="30" t="str">
        <f>'DADOS FINANCEIROS'!I43</f>
        <v>Pedro</v>
      </c>
      <c r="P37" s="30" t="str">
        <f>'DADOS FINANCEIROS'!J43</f>
        <v>ANALISTA GUSTAVO</v>
      </c>
      <c r="Q37" s="30" t="str">
        <f>'DADOS FINANCEIROS'!K43</f>
        <v>NÃO</v>
      </c>
      <c r="R37" s="30" t="str">
        <f>'DADOS FINANCEIROS'!L43</f>
        <v>Situação jurídica em andamento (em processo judicial)</v>
      </c>
      <c r="S37" s="30" t="str">
        <f ca="1">'DADOS FINANCEIROS'!M43</f>
        <v>Vencido</v>
      </c>
      <c r="T37" s="30">
        <f ca="1">IFERROR('DADOS FINANCEIROS'!N43,"")</f>
        <v>80</v>
      </c>
      <c r="U37" s="30" t="str">
        <f ca="1">'DADOS FINANCEIROS'!O43</f>
        <v>61+ dias</v>
      </c>
      <c r="V37" s="30" t="str">
        <f ca="1">'DADOS FINANCEIROS'!P43</f>
        <v>Atraso Crítico</v>
      </c>
      <c r="W37" s="30" t="str">
        <f>'DADOS FINANCEIROS'!Q43</f>
        <v>-</v>
      </c>
      <c r="X37" s="30" t="str">
        <f>'DADOS FINANCEIROS'!R43</f>
        <v>Sim</v>
      </c>
      <c r="Y37" s="30">
        <f>'DADOS FINANCEIROS'!S43</f>
        <v>0</v>
      </c>
      <c r="Z37" s="30">
        <f>'DADOS FINANCEIROS'!T43</f>
        <v>1</v>
      </c>
      <c r="AA37" s="30" t="str">
        <f>'DADOS FINANCEIROS'!U43</f>
        <v>Sim</v>
      </c>
      <c r="AB37" s="44">
        <f>'DADOS FINANCEIROS'!V43</f>
        <v>45740</v>
      </c>
      <c r="AC37" s="44" t="str">
        <f>TEXT(Tabela1[[#This Row],[Data de Negociação]],"MMM-AA")</f>
        <v>mar-25</v>
      </c>
      <c r="AD37" s="44" t="str">
        <f>TEXT(Tabela1[[#This Row],[Data de Negociação]],"AAAA")</f>
        <v>2025</v>
      </c>
      <c r="AE37" s="44">
        <f>'DADOS FINANCEIROS'!W43</f>
        <v>45740</v>
      </c>
      <c r="AF37" s="44" t="str">
        <f>TEXT(Tabela1[[#This Row],[Data da Entrada/Primeira Parcela]],"MMM-AA")</f>
        <v>mar-25</v>
      </c>
      <c r="AG37" s="44" t="str">
        <f>TEXT(Tabela1[[#This Row],[Data da Entrada/Primeira Parcela]],"AAAA")</f>
        <v>2025</v>
      </c>
      <c r="AH37" s="30" t="str">
        <f>'DADOS FINANCEIROS'!X43</f>
        <v>Acompanhando</v>
      </c>
      <c r="AI37" s="46">
        <f ca="1">'DADOS FINANCEIROS'!Y43</f>
        <v>1000</v>
      </c>
      <c r="AJ37" s="46" t="str">
        <f ca="1">'DADOS FINANCEIROS'!Z43</f>
        <v>0</v>
      </c>
      <c r="AK3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7" s="98"/>
    </row>
    <row r="38" spans="1:38" x14ac:dyDescent="0.3">
      <c r="A38" s="30">
        <f>'DADOS FINANCEIROS'!D44</f>
        <v>36</v>
      </c>
      <c r="B38" s="30" t="str">
        <f>'DADOS FINANCEIROS'!A44</f>
        <v>Filial</v>
      </c>
      <c r="C38" s="30">
        <f>'DADOS FINANCEIROS'!B44</f>
        <v>0</v>
      </c>
      <c r="D38" s="30" t="str">
        <f>'DADOS FINANCEIROS'!C44</f>
        <v>SoftLink</v>
      </c>
      <c r="E38" s="44">
        <f>'DADOS FINANCEIROS'!E44</f>
        <v>45706</v>
      </c>
      <c r="F38" s="44" t="str">
        <f>TEXT(Tabela1[[#This Row],[DATA DE EMISSÃO]],"MMM-AA")</f>
        <v>fev-25</v>
      </c>
      <c r="G38" s="44" t="str">
        <f>TEXT(Tabela1[[#This Row],[DATA DE EMISSÃO]],"AAAA")</f>
        <v>2025</v>
      </c>
      <c r="H38" s="44">
        <f>'DADOS FINANCEIROS'!F44</f>
        <v>45715</v>
      </c>
      <c r="I38" s="44" t="str">
        <f>TEXT(Tabela1[[#This Row],[VENCIMENTO ORIGINAL]],"MMM-AA")</f>
        <v>fev-25</v>
      </c>
      <c r="J38" s="44" t="str">
        <f>TEXT(Tabela1[[#This Row],[VENCIMENTO ORIGINAL]],"AAAA")</f>
        <v>2025</v>
      </c>
      <c r="K38" s="44">
        <f>'DADOS FINANCEIROS'!G44</f>
        <v>45715</v>
      </c>
      <c r="L38" s="44" t="str">
        <f>TEXT(Tabela1[[#This Row],[VENCIMENTO ATUAL]],"MMM-AA")</f>
        <v>fev-25</v>
      </c>
      <c r="M38" s="44" t="str">
        <f>TEXT(Tabela1[[#This Row],[VENCIMENTO ATUAL]],"AAAA")</f>
        <v>2025</v>
      </c>
      <c r="N38" s="46">
        <f>'DADOS FINANCEIROS'!H44</f>
        <v>1000</v>
      </c>
      <c r="O38" s="30" t="str">
        <f>'DADOS FINANCEIROS'!I44</f>
        <v>Pedro</v>
      </c>
      <c r="P38" s="30" t="str">
        <f>'DADOS FINANCEIROS'!J44</f>
        <v>ANALISTA GUSTAVO</v>
      </c>
      <c r="Q38" s="30" t="str">
        <f>'DADOS FINANCEIROS'!K44</f>
        <v>NÃO</v>
      </c>
      <c r="R38" s="30" t="str">
        <f>'DADOS FINANCEIROS'!L44</f>
        <v>Cancelamento de cobrança solicitado</v>
      </c>
      <c r="S38" s="30" t="str">
        <f ca="1">'DADOS FINANCEIROS'!M44</f>
        <v>Vencido</v>
      </c>
      <c r="T38" s="30">
        <f ca="1">IFERROR('DADOS FINANCEIROS'!N44,"")</f>
        <v>80</v>
      </c>
      <c r="U38" s="30" t="str">
        <f ca="1">'DADOS FINANCEIROS'!O44</f>
        <v>61+ dias</v>
      </c>
      <c r="V38" s="30" t="str">
        <f ca="1">'DADOS FINANCEIROS'!P44</f>
        <v>Atraso Crítico</v>
      </c>
      <c r="W38" s="30" t="str">
        <f>'DADOS FINANCEIROS'!Q44</f>
        <v>-</v>
      </c>
      <c r="X38" s="30" t="str">
        <f>'DADOS FINANCEIROS'!R44</f>
        <v>Sim</v>
      </c>
      <c r="Y38" s="30">
        <f>'DADOS FINANCEIROS'!S44</f>
        <v>0</v>
      </c>
      <c r="Z38" s="30">
        <f>'DADOS FINANCEIROS'!T44</f>
        <v>1</v>
      </c>
      <c r="AA38" s="30" t="str">
        <f>'DADOS FINANCEIROS'!U44</f>
        <v>Sim</v>
      </c>
      <c r="AB38" s="44">
        <f>'DADOS FINANCEIROS'!V44</f>
        <v>45740</v>
      </c>
      <c r="AC38" s="44" t="str">
        <f>TEXT(Tabela1[[#This Row],[Data de Negociação]],"MMM-AA")</f>
        <v>mar-25</v>
      </c>
      <c r="AD38" s="44" t="str">
        <f>TEXT(Tabela1[[#This Row],[Data de Negociação]],"AAAA")</f>
        <v>2025</v>
      </c>
      <c r="AE38" s="44">
        <f>'DADOS FINANCEIROS'!W44</f>
        <v>45740</v>
      </c>
      <c r="AF38" s="44" t="str">
        <f>TEXT(Tabela1[[#This Row],[Data da Entrada/Primeira Parcela]],"MMM-AA")</f>
        <v>mar-25</v>
      </c>
      <c r="AG38" s="44" t="str">
        <f>TEXT(Tabela1[[#This Row],[Data da Entrada/Primeira Parcela]],"AAAA")</f>
        <v>2025</v>
      </c>
      <c r="AH38" s="30" t="str">
        <f>'DADOS FINANCEIROS'!X44</f>
        <v>Acompanhando</v>
      </c>
      <c r="AI38" s="46">
        <f ca="1">'DADOS FINANCEIROS'!Y44</f>
        <v>1000</v>
      </c>
      <c r="AJ38" s="46" t="str">
        <f ca="1">'DADOS FINANCEIROS'!Z44</f>
        <v>0</v>
      </c>
      <c r="AK3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8" s="98"/>
    </row>
    <row r="39" spans="1:38" x14ac:dyDescent="0.3">
      <c r="A39" s="30">
        <f>'DADOS FINANCEIROS'!D45</f>
        <v>37</v>
      </c>
      <c r="B39" s="30" t="str">
        <f>'DADOS FINANCEIROS'!A45</f>
        <v>Matriz</v>
      </c>
      <c r="C39" s="30" t="str">
        <f>'DADOS FINANCEIROS'!B45</f>
        <v>Gamma &amp; CIA</v>
      </c>
      <c r="D39" s="30" t="str">
        <f>'DADOS FINANCEIROS'!C45</f>
        <v>Gamma &amp; CIA</v>
      </c>
      <c r="E39" s="44">
        <f>'DADOS FINANCEIROS'!E45</f>
        <v>45708</v>
      </c>
      <c r="F39" s="44" t="str">
        <f>TEXT(Tabela1[[#This Row],[DATA DE EMISSÃO]],"MMM-AA")</f>
        <v>fev-25</v>
      </c>
      <c r="G39" s="44" t="str">
        <f>TEXT(Tabela1[[#This Row],[DATA DE EMISSÃO]],"AAAA")</f>
        <v>2025</v>
      </c>
      <c r="H39" s="44">
        <f>'DADOS FINANCEIROS'!F45</f>
        <v>45715</v>
      </c>
      <c r="I39" s="44" t="str">
        <f>TEXT(Tabela1[[#This Row],[VENCIMENTO ORIGINAL]],"MMM-AA")</f>
        <v>fev-25</v>
      </c>
      <c r="J39" s="44" t="str">
        <f>TEXT(Tabela1[[#This Row],[VENCIMENTO ORIGINAL]],"AAAA")</f>
        <v>2025</v>
      </c>
      <c r="K39" s="44">
        <f>'DADOS FINANCEIROS'!G45</f>
        <v>45715</v>
      </c>
      <c r="L39" s="44" t="str">
        <f>TEXT(Tabela1[[#This Row],[VENCIMENTO ATUAL]],"MMM-AA")</f>
        <v>fev-25</v>
      </c>
      <c r="M39" s="44" t="str">
        <f>TEXT(Tabela1[[#This Row],[VENCIMENTO ATUAL]],"AAAA")</f>
        <v>2025</v>
      </c>
      <c r="N39" s="46">
        <f>'DADOS FINANCEIROS'!H45</f>
        <v>1800</v>
      </c>
      <c r="O39" s="30" t="str">
        <f>'DADOS FINANCEIROS'!I45</f>
        <v>Sabrina</v>
      </c>
      <c r="P39" s="30" t="str">
        <f>'DADOS FINANCEIROS'!J45</f>
        <v>ANALISTA GUSTAVO</v>
      </c>
      <c r="Q39" s="30" t="str">
        <f>'DADOS FINANCEIROS'!K45</f>
        <v>NÃO</v>
      </c>
      <c r="R39" s="30" t="str">
        <f>'DADOS FINANCEIROS'!L45</f>
        <v>Cliente alegando dificuldades financeiras</v>
      </c>
      <c r="S39" s="30" t="str">
        <f ca="1">'DADOS FINANCEIROS'!M45</f>
        <v>Vencido</v>
      </c>
      <c r="T39" s="30">
        <f ca="1">IFERROR('DADOS FINANCEIROS'!N45,"")</f>
        <v>80</v>
      </c>
      <c r="U39" s="30" t="str">
        <f ca="1">'DADOS FINANCEIROS'!O45</f>
        <v>61+ dias</v>
      </c>
      <c r="V39" s="30" t="str">
        <f ca="1">'DADOS FINANCEIROS'!P45</f>
        <v>Atraso Crítico</v>
      </c>
      <c r="W39" s="30" t="str">
        <f>'DADOS FINANCEIROS'!Q45</f>
        <v>-</v>
      </c>
      <c r="X39" s="30" t="str">
        <f>'DADOS FINANCEIROS'!R45</f>
        <v>Sim</v>
      </c>
      <c r="Y39" s="30">
        <f>'DADOS FINANCEIROS'!S45</f>
        <v>0</v>
      </c>
      <c r="Z39" s="30">
        <f>'DADOS FINANCEIROS'!T45</f>
        <v>1</v>
      </c>
      <c r="AA39" s="30" t="str">
        <f>'DADOS FINANCEIROS'!U45</f>
        <v>Sim</v>
      </c>
      <c r="AB39" s="44">
        <f>'DADOS FINANCEIROS'!V45</f>
        <v>45740</v>
      </c>
      <c r="AC39" s="44" t="str">
        <f>TEXT(Tabela1[[#This Row],[Data de Negociação]],"MMM-AA")</f>
        <v>mar-25</v>
      </c>
      <c r="AD39" s="44" t="str">
        <f>TEXT(Tabela1[[#This Row],[Data de Negociação]],"AAAA")</f>
        <v>2025</v>
      </c>
      <c r="AE39" s="44">
        <f>'DADOS FINANCEIROS'!W45</f>
        <v>45740</v>
      </c>
      <c r="AF39" s="44" t="str">
        <f>TEXT(Tabela1[[#This Row],[Data da Entrada/Primeira Parcela]],"MMM-AA")</f>
        <v>mar-25</v>
      </c>
      <c r="AG39" s="44" t="str">
        <f>TEXT(Tabela1[[#This Row],[Data da Entrada/Primeira Parcela]],"AAAA")</f>
        <v>2025</v>
      </c>
      <c r="AH39" s="30" t="str">
        <f>'DADOS FINANCEIROS'!X45</f>
        <v>Acompanhando</v>
      </c>
      <c r="AI39" s="46">
        <f ca="1">'DADOS FINANCEIROS'!Y45</f>
        <v>1800</v>
      </c>
      <c r="AJ39" s="46" t="str">
        <f ca="1">'DADOS FINANCEIROS'!Z45</f>
        <v>0</v>
      </c>
      <c r="AK3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39" s="98"/>
    </row>
    <row r="40" spans="1:38" x14ac:dyDescent="0.3">
      <c r="A40" s="30">
        <f>'DADOS FINANCEIROS'!D46</f>
        <v>38</v>
      </c>
      <c r="B40" s="30" t="str">
        <f>'DADOS FINANCEIROS'!A46</f>
        <v>Matriz</v>
      </c>
      <c r="C40" s="30">
        <f>'DADOS FINANCEIROS'!B46</f>
        <v>0</v>
      </c>
      <c r="D40" s="30" t="str">
        <f>'DADOS FINANCEIROS'!C46</f>
        <v>SoftLink</v>
      </c>
      <c r="E40" s="44">
        <f>'DADOS FINANCEIROS'!E46</f>
        <v>45708</v>
      </c>
      <c r="F40" s="44" t="str">
        <f>TEXT(Tabela1[[#This Row],[DATA DE EMISSÃO]],"MMM-AA")</f>
        <v>fev-25</v>
      </c>
      <c r="G40" s="44" t="str">
        <f>TEXT(Tabela1[[#This Row],[DATA DE EMISSÃO]],"AAAA")</f>
        <v>2025</v>
      </c>
      <c r="H40" s="44">
        <f>'DADOS FINANCEIROS'!F46</f>
        <v>45715</v>
      </c>
      <c r="I40" s="44" t="str">
        <f>TEXT(Tabela1[[#This Row],[VENCIMENTO ORIGINAL]],"MMM-AA")</f>
        <v>fev-25</v>
      </c>
      <c r="J40" s="44" t="str">
        <f>TEXT(Tabela1[[#This Row],[VENCIMENTO ORIGINAL]],"AAAA")</f>
        <v>2025</v>
      </c>
      <c r="K40" s="44">
        <f>'DADOS FINANCEIROS'!G46</f>
        <v>45715</v>
      </c>
      <c r="L40" s="44" t="str">
        <f>TEXT(Tabela1[[#This Row],[VENCIMENTO ATUAL]],"MMM-AA")</f>
        <v>fev-25</v>
      </c>
      <c r="M40" s="44" t="str">
        <f>TEXT(Tabela1[[#This Row],[VENCIMENTO ATUAL]],"AAAA")</f>
        <v>2025</v>
      </c>
      <c r="N40" s="46">
        <f>'DADOS FINANCEIROS'!H46</f>
        <v>1800</v>
      </c>
      <c r="O40" s="30" t="str">
        <f>'DADOS FINANCEIROS'!I46</f>
        <v>Sabrina</v>
      </c>
      <c r="P40" s="30" t="str">
        <f>'DADOS FINANCEIROS'!J46</f>
        <v>ANALISTA GUSTAVO</v>
      </c>
      <c r="Q40" s="30" t="str">
        <f>'DADOS FINANCEIROS'!K46</f>
        <v>NÃO</v>
      </c>
      <c r="R40" s="30" t="str">
        <f>'DADOS FINANCEIROS'!L46</f>
        <v>Aguardando resolução interna da empresa</v>
      </c>
      <c r="S40" s="30" t="str">
        <f ca="1">'DADOS FINANCEIROS'!M46</f>
        <v>Vencido</v>
      </c>
      <c r="T40" s="30">
        <f ca="1">IFERROR('DADOS FINANCEIROS'!N46,"")</f>
        <v>80</v>
      </c>
      <c r="U40" s="30" t="str">
        <f ca="1">'DADOS FINANCEIROS'!O46</f>
        <v>61+ dias</v>
      </c>
      <c r="V40" s="30" t="str">
        <f ca="1">'DADOS FINANCEIROS'!P46</f>
        <v>Atraso Crítico</v>
      </c>
      <c r="W40" s="30" t="str">
        <f>'DADOS FINANCEIROS'!Q46</f>
        <v>-</v>
      </c>
      <c r="X40" s="30" t="str">
        <f>'DADOS FINANCEIROS'!R46</f>
        <v>Sim</v>
      </c>
      <c r="Y40" s="30">
        <f>'DADOS FINANCEIROS'!S46</f>
        <v>0</v>
      </c>
      <c r="Z40" s="30">
        <f>'DADOS FINANCEIROS'!T46</f>
        <v>1</v>
      </c>
      <c r="AA40" s="30" t="str">
        <f>'DADOS FINANCEIROS'!U46</f>
        <v>Sim</v>
      </c>
      <c r="AB40" s="44">
        <f>'DADOS FINANCEIROS'!V46</f>
        <v>45740</v>
      </c>
      <c r="AC40" s="44" t="str">
        <f>TEXT(Tabela1[[#This Row],[Data de Negociação]],"MMM-AA")</f>
        <v>mar-25</v>
      </c>
      <c r="AD40" s="44" t="str">
        <f>TEXT(Tabela1[[#This Row],[Data de Negociação]],"AAAA")</f>
        <v>2025</v>
      </c>
      <c r="AE40" s="44">
        <f>'DADOS FINANCEIROS'!W46</f>
        <v>45740</v>
      </c>
      <c r="AF40" s="44" t="str">
        <f>TEXT(Tabela1[[#This Row],[Data da Entrada/Primeira Parcela]],"MMM-AA")</f>
        <v>mar-25</v>
      </c>
      <c r="AG40" s="44" t="str">
        <f>TEXT(Tabela1[[#This Row],[Data da Entrada/Primeira Parcela]],"AAAA")</f>
        <v>2025</v>
      </c>
      <c r="AH40" s="30" t="str">
        <f>'DADOS FINANCEIROS'!X46</f>
        <v>Acompanhando</v>
      </c>
      <c r="AI40" s="46">
        <f ca="1">'DADOS FINANCEIROS'!Y46</f>
        <v>1800</v>
      </c>
      <c r="AJ40" s="46" t="str">
        <f ca="1">'DADOS FINANCEIROS'!Z46</f>
        <v>0</v>
      </c>
      <c r="AK4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0" s="98"/>
    </row>
    <row r="41" spans="1:38" x14ac:dyDescent="0.3">
      <c r="A41" s="30">
        <f>'DADOS FINANCEIROS'!D47</f>
        <v>39</v>
      </c>
      <c r="B41" s="30" t="str">
        <f>'DADOS FINANCEIROS'!A47</f>
        <v>Filial</v>
      </c>
      <c r="C41" s="30" t="str">
        <f>'DADOS FINANCEIROS'!B47</f>
        <v>Gamma &amp; CIA</v>
      </c>
      <c r="D41" s="30" t="str">
        <f>'DADOS FINANCEIROS'!C47</f>
        <v>Gamma &amp; CIA</v>
      </c>
      <c r="E41" s="44">
        <f>'DADOS FINANCEIROS'!E47</f>
        <v>45713</v>
      </c>
      <c r="F41" s="44" t="str">
        <f>TEXT(Tabela1[[#This Row],[DATA DE EMISSÃO]],"MMM-AA")</f>
        <v>fev-25</v>
      </c>
      <c r="G41" s="44" t="str">
        <f>TEXT(Tabela1[[#This Row],[DATA DE EMISSÃO]],"AAAA")</f>
        <v>2025</v>
      </c>
      <c r="H41" s="44">
        <f>'DADOS FINANCEIROS'!F47</f>
        <v>45715</v>
      </c>
      <c r="I41" s="44" t="str">
        <f>TEXT(Tabela1[[#This Row],[VENCIMENTO ORIGINAL]],"MMM-AA")</f>
        <v>fev-25</v>
      </c>
      <c r="J41" s="44" t="str">
        <f>TEXT(Tabela1[[#This Row],[VENCIMENTO ORIGINAL]],"AAAA")</f>
        <v>2025</v>
      </c>
      <c r="K41" s="44">
        <f>'DADOS FINANCEIROS'!G47</f>
        <v>45715</v>
      </c>
      <c r="L41" s="44" t="str">
        <f>TEXT(Tabela1[[#This Row],[VENCIMENTO ATUAL]],"MMM-AA")</f>
        <v>fev-25</v>
      </c>
      <c r="M41" s="44" t="str">
        <f>TEXT(Tabela1[[#This Row],[VENCIMENTO ATUAL]],"AAAA")</f>
        <v>2025</v>
      </c>
      <c r="N41" s="46">
        <f>'DADOS FINANCEIROS'!H47</f>
        <v>2500</v>
      </c>
      <c r="O41" s="30" t="str">
        <f>'DADOS FINANCEIROS'!I47</f>
        <v>Marcos</v>
      </c>
      <c r="P41" s="30" t="str">
        <f>'DADOS FINANCEIROS'!J47</f>
        <v>ANALISTA GUSTAVO</v>
      </c>
      <c r="Q41" s="30" t="str">
        <f>'DADOS FINANCEIROS'!K47</f>
        <v>NÃO</v>
      </c>
      <c r="R41" s="30" t="str">
        <f>'DADOS FINANCEIROS'!L47</f>
        <v>Promessa de pagamento não cumprida</v>
      </c>
      <c r="S41" s="30" t="str">
        <f ca="1">'DADOS FINANCEIROS'!M47</f>
        <v>Vencido</v>
      </c>
      <c r="T41" s="30">
        <f ca="1">IFERROR('DADOS FINANCEIROS'!N47,"")</f>
        <v>80</v>
      </c>
      <c r="U41" s="30" t="str">
        <f ca="1">'DADOS FINANCEIROS'!O47</f>
        <v>61+ dias</v>
      </c>
      <c r="V41" s="30" t="str">
        <f ca="1">'DADOS FINANCEIROS'!P47</f>
        <v>Atraso Crítico</v>
      </c>
      <c r="W41" s="30" t="str">
        <f>'DADOS FINANCEIROS'!Q47</f>
        <v>-</v>
      </c>
      <c r="X41" s="30" t="str">
        <f>'DADOS FINANCEIROS'!R47</f>
        <v>Sim</v>
      </c>
      <c r="Y41" s="30">
        <f>'DADOS FINANCEIROS'!S47</f>
        <v>0</v>
      </c>
      <c r="Z41" s="30">
        <f>'DADOS FINANCEIROS'!T47</f>
        <v>1</v>
      </c>
      <c r="AA41" s="30" t="str">
        <f>'DADOS FINANCEIROS'!U47</f>
        <v>Sim</v>
      </c>
      <c r="AB41" s="44">
        <f>'DADOS FINANCEIROS'!V47</f>
        <v>45740</v>
      </c>
      <c r="AC41" s="44" t="str">
        <f>TEXT(Tabela1[[#This Row],[Data de Negociação]],"MMM-AA")</f>
        <v>mar-25</v>
      </c>
      <c r="AD41" s="44" t="str">
        <f>TEXT(Tabela1[[#This Row],[Data de Negociação]],"AAAA")</f>
        <v>2025</v>
      </c>
      <c r="AE41" s="44">
        <f>'DADOS FINANCEIROS'!W47</f>
        <v>45740</v>
      </c>
      <c r="AF41" s="44" t="str">
        <f>TEXT(Tabela1[[#This Row],[Data da Entrada/Primeira Parcela]],"MMM-AA")</f>
        <v>mar-25</v>
      </c>
      <c r="AG41" s="44" t="str">
        <f>TEXT(Tabela1[[#This Row],[Data da Entrada/Primeira Parcela]],"AAAA")</f>
        <v>2025</v>
      </c>
      <c r="AH41" s="30" t="str">
        <f>'DADOS FINANCEIROS'!X47</f>
        <v>Acompanhando</v>
      </c>
      <c r="AI41" s="46">
        <f ca="1">'DADOS FINANCEIROS'!Y47</f>
        <v>2500</v>
      </c>
      <c r="AJ41" s="46" t="str">
        <f ca="1">'DADOS FINANCEIROS'!Z47</f>
        <v>0</v>
      </c>
      <c r="AK4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1" s="98"/>
    </row>
    <row r="42" spans="1:38" x14ac:dyDescent="0.3">
      <c r="A42" s="30">
        <f>'DADOS FINANCEIROS'!D48</f>
        <v>40</v>
      </c>
      <c r="B42" s="30" t="str">
        <f>'DADOS FINANCEIROS'!A48</f>
        <v>Filial</v>
      </c>
      <c r="C42" s="30">
        <f>'DADOS FINANCEIROS'!B48</f>
        <v>0</v>
      </c>
      <c r="D42" s="30" t="str">
        <f>'DADOS FINANCEIROS'!C48</f>
        <v>SoftLink</v>
      </c>
      <c r="E42" s="44">
        <f>'DADOS FINANCEIROS'!E48</f>
        <v>45713</v>
      </c>
      <c r="F42" s="44" t="str">
        <f>TEXT(Tabela1[[#This Row],[DATA DE EMISSÃO]],"MMM-AA")</f>
        <v>fev-25</v>
      </c>
      <c r="G42" s="44" t="str">
        <f>TEXT(Tabela1[[#This Row],[DATA DE EMISSÃO]],"AAAA")</f>
        <v>2025</v>
      </c>
      <c r="H42" s="44">
        <f>'DADOS FINANCEIROS'!F48</f>
        <v>45715</v>
      </c>
      <c r="I42" s="44" t="str">
        <f>TEXT(Tabela1[[#This Row],[VENCIMENTO ORIGINAL]],"MMM-AA")</f>
        <v>fev-25</v>
      </c>
      <c r="J42" s="44" t="str">
        <f>TEXT(Tabela1[[#This Row],[VENCIMENTO ORIGINAL]],"AAAA")</f>
        <v>2025</v>
      </c>
      <c r="K42" s="44">
        <f>'DADOS FINANCEIROS'!G48</f>
        <v>45715</v>
      </c>
      <c r="L42" s="44" t="str">
        <f>TEXT(Tabela1[[#This Row],[VENCIMENTO ATUAL]],"MMM-AA")</f>
        <v>fev-25</v>
      </c>
      <c r="M42" s="44" t="str">
        <f>TEXT(Tabela1[[#This Row],[VENCIMENTO ATUAL]],"AAAA")</f>
        <v>2025</v>
      </c>
      <c r="N42" s="46">
        <f>'DADOS FINANCEIROS'!H48</f>
        <v>2500</v>
      </c>
      <c r="O42" s="30" t="str">
        <f>'DADOS FINANCEIROS'!I48</f>
        <v>Marcos</v>
      </c>
      <c r="P42" s="30" t="str">
        <f>'DADOS FINANCEIROS'!J48</f>
        <v>ANALISTA GUSTAVO</v>
      </c>
      <c r="Q42" s="30" t="str">
        <f>'DADOS FINANCEIROS'!K48</f>
        <v>NÃO</v>
      </c>
      <c r="R42" s="30" t="str">
        <f>'DADOS FINANCEIROS'!L48</f>
        <v>Acordo de pagamento pendente</v>
      </c>
      <c r="S42" s="30" t="str">
        <f ca="1">'DADOS FINANCEIROS'!M48</f>
        <v>Vencido</v>
      </c>
      <c r="T42" s="30">
        <f ca="1">IFERROR('DADOS FINANCEIROS'!N48,"")</f>
        <v>80</v>
      </c>
      <c r="U42" s="30" t="str">
        <f ca="1">'DADOS FINANCEIROS'!O48</f>
        <v>61+ dias</v>
      </c>
      <c r="V42" s="30" t="str">
        <f ca="1">'DADOS FINANCEIROS'!P48</f>
        <v>Atraso Crítico</v>
      </c>
      <c r="W42" s="30" t="str">
        <f>'DADOS FINANCEIROS'!Q48</f>
        <v>-</v>
      </c>
      <c r="X42" s="30" t="str">
        <f>'DADOS FINANCEIROS'!R48</f>
        <v>Sim</v>
      </c>
      <c r="Y42" s="30">
        <f>'DADOS FINANCEIROS'!S48</f>
        <v>0</v>
      </c>
      <c r="Z42" s="30">
        <f>'DADOS FINANCEIROS'!T48</f>
        <v>1</v>
      </c>
      <c r="AA42" s="30" t="str">
        <f>'DADOS FINANCEIROS'!U48</f>
        <v>Sim</v>
      </c>
      <c r="AB42" s="44">
        <f>'DADOS FINANCEIROS'!V48</f>
        <v>45740</v>
      </c>
      <c r="AC42" s="44" t="str">
        <f>TEXT(Tabela1[[#This Row],[Data de Negociação]],"MMM-AA")</f>
        <v>mar-25</v>
      </c>
      <c r="AD42" s="44" t="str">
        <f>TEXT(Tabela1[[#This Row],[Data de Negociação]],"AAAA")</f>
        <v>2025</v>
      </c>
      <c r="AE42" s="44">
        <f>'DADOS FINANCEIROS'!W48</f>
        <v>45740</v>
      </c>
      <c r="AF42" s="44" t="str">
        <f>TEXT(Tabela1[[#This Row],[Data da Entrada/Primeira Parcela]],"MMM-AA")</f>
        <v>mar-25</v>
      </c>
      <c r="AG42" s="44" t="str">
        <f>TEXT(Tabela1[[#This Row],[Data da Entrada/Primeira Parcela]],"AAAA")</f>
        <v>2025</v>
      </c>
      <c r="AH42" s="30" t="str">
        <f>'DADOS FINANCEIROS'!X48</f>
        <v>Acompanhando</v>
      </c>
      <c r="AI42" s="46">
        <f ca="1">'DADOS FINANCEIROS'!Y48</f>
        <v>2500</v>
      </c>
      <c r="AJ42" s="46" t="str">
        <f ca="1">'DADOS FINANCEIROS'!Z48</f>
        <v>0</v>
      </c>
      <c r="AK4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2" s="98"/>
    </row>
    <row r="43" spans="1:38" x14ac:dyDescent="0.3">
      <c r="A43" s="30">
        <f>'DADOS FINANCEIROS'!D49</f>
        <v>41</v>
      </c>
      <c r="B43" s="30" t="str">
        <f>'DADOS FINANCEIROS'!A49</f>
        <v>Matriz</v>
      </c>
      <c r="C43" s="30">
        <f>'DADOS FINANCEIROS'!B49</f>
        <v>0</v>
      </c>
      <c r="D43" s="30" t="str">
        <f>'DADOS FINANCEIROS'!C49</f>
        <v>SoftLink</v>
      </c>
      <c r="E43" s="44">
        <f>'DADOS FINANCEIROS'!E49</f>
        <v>45714</v>
      </c>
      <c r="F43" s="44" t="str">
        <f>TEXT(Tabela1[[#This Row],[DATA DE EMISSÃO]],"MMM-AA")</f>
        <v>fev-25</v>
      </c>
      <c r="G43" s="44" t="str">
        <f>TEXT(Tabela1[[#This Row],[DATA DE EMISSÃO]],"AAAA")</f>
        <v>2025</v>
      </c>
      <c r="H43" s="44">
        <f>'DADOS FINANCEIROS'!F49</f>
        <v>45715</v>
      </c>
      <c r="I43" s="44" t="str">
        <f>TEXT(Tabela1[[#This Row],[VENCIMENTO ORIGINAL]],"MMM-AA")</f>
        <v>fev-25</v>
      </c>
      <c r="J43" s="44" t="str">
        <f>TEXT(Tabela1[[#This Row],[VENCIMENTO ORIGINAL]],"AAAA")</f>
        <v>2025</v>
      </c>
      <c r="K43" s="44">
        <f>'DADOS FINANCEIROS'!G49</f>
        <v>45715</v>
      </c>
      <c r="L43" s="44" t="str">
        <f>TEXT(Tabela1[[#This Row],[VENCIMENTO ATUAL]],"MMM-AA")</f>
        <v>fev-25</v>
      </c>
      <c r="M43" s="44" t="str">
        <f>TEXT(Tabela1[[#This Row],[VENCIMENTO ATUAL]],"AAAA")</f>
        <v>2025</v>
      </c>
      <c r="N43" s="46">
        <f>'DADOS FINANCEIROS'!H49</f>
        <v>1400</v>
      </c>
      <c r="O43" s="30" t="str">
        <f>'DADOS FINANCEIROS'!I49</f>
        <v>João</v>
      </c>
      <c r="P43" s="30" t="str">
        <f>'DADOS FINANCEIROS'!J49</f>
        <v>ANALISTA GUSTAVO</v>
      </c>
      <c r="Q43" s="30" t="str">
        <f>'DADOS FINANCEIROS'!K49</f>
        <v>NÃO</v>
      </c>
      <c r="R43" s="30" t="str">
        <f>'DADOS FINANCEIROS'!L49</f>
        <v>Situação com comercial (aguardando análise comercial)</v>
      </c>
      <c r="S43" s="30" t="str">
        <f ca="1">'DADOS FINANCEIROS'!M49</f>
        <v>Vencido</v>
      </c>
      <c r="T43" s="30">
        <f ca="1">IFERROR('DADOS FINANCEIROS'!N49,"")</f>
        <v>80</v>
      </c>
      <c r="U43" s="30" t="str">
        <f ca="1">'DADOS FINANCEIROS'!O49</f>
        <v>61+ dias</v>
      </c>
      <c r="V43" s="30" t="str">
        <f ca="1">'DADOS FINANCEIROS'!P49</f>
        <v>Atraso Crítico</v>
      </c>
      <c r="W43" s="30" t="str">
        <f>'DADOS FINANCEIROS'!Q49</f>
        <v>-</v>
      </c>
      <c r="X43" s="30" t="str">
        <f>'DADOS FINANCEIROS'!R49</f>
        <v>Sim</v>
      </c>
      <c r="Y43" s="30">
        <f>'DADOS FINANCEIROS'!S49</f>
        <v>0</v>
      </c>
      <c r="Z43" s="30">
        <f>'DADOS FINANCEIROS'!T49</f>
        <v>1</v>
      </c>
      <c r="AA43" s="30" t="str">
        <f>'DADOS FINANCEIROS'!U49</f>
        <v>Sim</v>
      </c>
      <c r="AB43" s="44">
        <f>'DADOS FINANCEIROS'!V49</f>
        <v>45740</v>
      </c>
      <c r="AC43" s="44" t="str">
        <f>TEXT(Tabela1[[#This Row],[Data de Negociação]],"MMM-AA")</f>
        <v>mar-25</v>
      </c>
      <c r="AD43" s="44" t="str">
        <f>TEXT(Tabela1[[#This Row],[Data de Negociação]],"AAAA")</f>
        <v>2025</v>
      </c>
      <c r="AE43" s="44">
        <f>'DADOS FINANCEIROS'!W49</f>
        <v>45740</v>
      </c>
      <c r="AF43" s="44" t="str">
        <f>TEXT(Tabela1[[#This Row],[Data da Entrada/Primeira Parcela]],"MMM-AA")</f>
        <v>mar-25</v>
      </c>
      <c r="AG43" s="44" t="str">
        <f>TEXT(Tabela1[[#This Row],[Data da Entrada/Primeira Parcela]],"AAAA")</f>
        <v>2025</v>
      </c>
      <c r="AH43" s="30" t="str">
        <f>'DADOS FINANCEIROS'!X49</f>
        <v>Acompanhando</v>
      </c>
      <c r="AI43" s="46">
        <f ca="1">'DADOS FINANCEIROS'!Y49</f>
        <v>1400</v>
      </c>
      <c r="AJ43" s="46" t="str">
        <f ca="1">'DADOS FINANCEIROS'!Z49</f>
        <v>0</v>
      </c>
      <c r="AK4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3" s="98"/>
    </row>
    <row r="44" spans="1:38" x14ac:dyDescent="0.3">
      <c r="A44" s="30">
        <f>'DADOS FINANCEIROS'!D50</f>
        <v>43</v>
      </c>
      <c r="B44" s="30" t="str">
        <f>'DADOS FINANCEIROS'!A50</f>
        <v>Matriz</v>
      </c>
      <c r="C44" s="30">
        <f>'DADOS FINANCEIROS'!B50</f>
        <v>0</v>
      </c>
      <c r="D44" s="30" t="str">
        <f>'DADOS FINANCEIROS'!C50</f>
        <v>SoftLink</v>
      </c>
      <c r="E44" s="44">
        <f>'DADOS FINANCEIROS'!E50</f>
        <v>45718</v>
      </c>
      <c r="F44" s="44" t="str">
        <f>TEXT(Tabela1[[#This Row],[DATA DE EMISSÃO]],"MMM-AA")</f>
        <v>mar-25</v>
      </c>
      <c r="G44" s="44" t="str">
        <f>TEXT(Tabela1[[#This Row],[DATA DE EMISSÃO]],"AAAA")</f>
        <v>2025</v>
      </c>
      <c r="H44" s="44">
        <f>'DADOS FINANCEIROS'!F50</f>
        <v>45729</v>
      </c>
      <c r="I44" s="44" t="str">
        <f>TEXT(Tabela1[[#This Row],[VENCIMENTO ORIGINAL]],"MMM-AA")</f>
        <v>mar-25</v>
      </c>
      <c r="J44" s="44" t="str">
        <f>TEXT(Tabela1[[#This Row],[VENCIMENTO ORIGINAL]],"AAAA")</f>
        <v>2025</v>
      </c>
      <c r="K44" s="44">
        <f>'DADOS FINANCEIROS'!G50</f>
        <v>45729</v>
      </c>
      <c r="L44" s="44" t="str">
        <f>TEXT(Tabela1[[#This Row],[VENCIMENTO ATUAL]],"MMM-AA")</f>
        <v>mar-25</v>
      </c>
      <c r="M44" s="44" t="str">
        <f>TEXT(Tabela1[[#This Row],[VENCIMENTO ATUAL]],"AAAA")</f>
        <v>2025</v>
      </c>
      <c r="N44" s="46">
        <f>'DADOS FINANCEIROS'!H50</f>
        <v>3000</v>
      </c>
      <c r="O44" s="30" t="str">
        <f>'DADOS FINANCEIROS'!I50</f>
        <v>Carlos</v>
      </c>
      <c r="P44" s="30" t="str">
        <f>'DADOS FINANCEIROS'!J50</f>
        <v>ANALISTA GUSTAVO</v>
      </c>
      <c r="Q44" s="30" t="str">
        <f>'DADOS FINANCEIROS'!K50</f>
        <v>NÃO</v>
      </c>
      <c r="R44" s="30" t="str">
        <f>'DADOS FINANCEIROS'!L50</f>
        <v>Cliente não localizado</v>
      </c>
      <c r="S44" s="30" t="str">
        <f ca="1">'DADOS FINANCEIROS'!M50</f>
        <v>Vencido</v>
      </c>
      <c r="T44" s="30">
        <f ca="1">IFERROR('DADOS FINANCEIROS'!N50,"")</f>
        <v>66</v>
      </c>
      <c r="U44" s="30" t="str">
        <f ca="1">'DADOS FINANCEIROS'!O50</f>
        <v>61+ dias</v>
      </c>
      <c r="V44" s="30" t="str">
        <f ca="1">'DADOS FINANCEIROS'!P50</f>
        <v>Atraso Crítico</v>
      </c>
      <c r="W44" s="30" t="str">
        <f>'DADOS FINANCEIROS'!Q50</f>
        <v>-</v>
      </c>
      <c r="X44" s="30" t="str">
        <f>'DADOS FINANCEIROS'!R50</f>
        <v>Sim</v>
      </c>
      <c r="Y44" s="30">
        <f>'DADOS FINANCEIROS'!S50</f>
        <v>0</v>
      </c>
      <c r="Z44" s="30">
        <f>'DADOS FINANCEIROS'!T50</f>
        <v>1</v>
      </c>
      <c r="AA44" s="30" t="str">
        <f>'DADOS FINANCEIROS'!U50</f>
        <v>Sim</v>
      </c>
      <c r="AB44" s="44">
        <f>'DADOS FINANCEIROS'!V50</f>
        <v>45740</v>
      </c>
      <c r="AC44" s="44" t="str">
        <f>TEXT(Tabela1[[#This Row],[Data de Negociação]],"MMM-AA")</f>
        <v>mar-25</v>
      </c>
      <c r="AD44" s="44" t="str">
        <f>TEXT(Tabela1[[#This Row],[Data de Negociação]],"AAAA")</f>
        <v>2025</v>
      </c>
      <c r="AE44" s="44">
        <f>'DADOS FINANCEIROS'!W50</f>
        <v>45740</v>
      </c>
      <c r="AF44" s="44" t="str">
        <f>TEXT(Tabela1[[#This Row],[Data da Entrada/Primeira Parcela]],"MMM-AA")</f>
        <v>mar-25</v>
      </c>
      <c r="AG44" s="44" t="str">
        <f>TEXT(Tabela1[[#This Row],[Data da Entrada/Primeira Parcela]],"AAAA")</f>
        <v>2025</v>
      </c>
      <c r="AH44" s="30" t="str">
        <f>'DADOS FINANCEIROS'!X50</f>
        <v>Acompanhando</v>
      </c>
      <c r="AI44" s="46">
        <f ca="1">'DADOS FINANCEIROS'!Y50</f>
        <v>3000</v>
      </c>
      <c r="AJ44" s="46" t="str">
        <f ca="1">'DADOS FINANCEIROS'!Z50</f>
        <v>0</v>
      </c>
      <c r="AK4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Extrajudicial</v>
      </c>
      <c r="AL44" s="98"/>
    </row>
    <row r="45" spans="1:38" x14ac:dyDescent="0.3">
      <c r="A45" s="30">
        <f>'DADOS FINANCEIROS'!D51</f>
        <v>44</v>
      </c>
      <c r="B45" s="30" t="str">
        <f>'DADOS FINANCEIROS'!A51</f>
        <v>Filial</v>
      </c>
      <c r="C45" s="30">
        <f>'DADOS FINANCEIROS'!B51</f>
        <v>0</v>
      </c>
      <c r="D45" s="30" t="str">
        <f>'DADOS FINANCEIROS'!C51</f>
        <v>SoftLink</v>
      </c>
      <c r="E45" s="44">
        <f>'DADOS FINANCEIROS'!E51</f>
        <v>45721</v>
      </c>
      <c r="F45" s="44" t="str">
        <f>TEXT(Tabela1[[#This Row],[DATA DE EMISSÃO]],"MMM-AA")</f>
        <v>mar-25</v>
      </c>
      <c r="G45" s="44" t="str">
        <f>TEXT(Tabela1[[#This Row],[DATA DE EMISSÃO]],"AAAA")</f>
        <v>2025</v>
      </c>
      <c r="H45" s="44">
        <f>'DADOS FINANCEIROS'!F51</f>
        <v>45736</v>
      </c>
      <c r="I45" s="44" t="str">
        <f>TEXT(Tabela1[[#This Row],[VENCIMENTO ORIGINAL]],"MMM-AA")</f>
        <v>mar-25</v>
      </c>
      <c r="J45" s="44" t="str">
        <f>TEXT(Tabela1[[#This Row],[VENCIMENTO ORIGINAL]],"AAAA")</f>
        <v>2025</v>
      </c>
      <c r="K45" s="44">
        <f>'DADOS FINANCEIROS'!G51</f>
        <v>45736</v>
      </c>
      <c r="L45" s="44" t="str">
        <f>TEXT(Tabela1[[#This Row],[VENCIMENTO ATUAL]],"MMM-AA")</f>
        <v>mar-25</v>
      </c>
      <c r="M45" s="44" t="str">
        <f>TEXT(Tabela1[[#This Row],[VENCIMENTO ATUAL]],"AAAA")</f>
        <v>2025</v>
      </c>
      <c r="N45" s="46">
        <f>'DADOS FINANCEIROS'!H51</f>
        <v>1700</v>
      </c>
      <c r="O45" s="30" t="str">
        <f>'DADOS FINANCEIROS'!I51</f>
        <v>Ana</v>
      </c>
      <c r="P45" s="30" t="str">
        <f>'DADOS FINANCEIROS'!J51</f>
        <v>ANALISTA GUSTAVO</v>
      </c>
      <c r="Q45" s="30" t="str">
        <f>'DADOS FINANCEIROS'!K51</f>
        <v>NÃO</v>
      </c>
      <c r="R45" s="30" t="str">
        <f>'DADOS FINANCEIROS'!L51</f>
        <v>Promessa de pagamento refeito</v>
      </c>
      <c r="S45" s="30" t="str">
        <f ca="1">'DADOS FINANCEIROS'!M51</f>
        <v>Vencido</v>
      </c>
      <c r="T45" s="30">
        <f ca="1">IFERROR('DADOS FINANCEIROS'!N51,"")</f>
        <v>59</v>
      </c>
      <c r="U45" s="30" t="str">
        <f ca="1">'DADOS FINANCEIROS'!O51</f>
        <v>31-60 dias</v>
      </c>
      <c r="V45" s="30" t="str">
        <f ca="1">'DADOS FINANCEIROS'!P51</f>
        <v>Atraso Médio</v>
      </c>
      <c r="W45" s="30" t="str">
        <f>'DADOS FINANCEIROS'!Q51</f>
        <v>-</v>
      </c>
      <c r="X45" s="30" t="str">
        <f>'DADOS FINANCEIROS'!R51</f>
        <v>Sim</v>
      </c>
      <c r="Y45" s="30">
        <f>'DADOS FINANCEIROS'!S51</f>
        <v>0</v>
      </c>
      <c r="Z45" s="30">
        <f>'DADOS FINANCEIROS'!T51</f>
        <v>1</v>
      </c>
      <c r="AA45" s="30" t="str">
        <f>'DADOS FINANCEIROS'!U51</f>
        <v>Sim</v>
      </c>
      <c r="AB45" s="44">
        <f>'DADOS FINANCEIROS'!V51</f>
        <v>45740</v>
      </c>
      <c r="AC45" s="44" t="str">
        <f>TEXT(Tabela1[[#This Row],[Data de Negociação]],"MMM-AA")</f>
        <v>mar-25</v>
      </c>
      <c r="AD45" s="44" t="str">
        <f>TEXT(Tabela1[[#This Row],[Data de Negociação]],"AAAA")</f>
        <v>2025</v>
      </c>
      <c r="AE45" s="44">
        <f>'DADOS FINANCEIROS'!W51</f>
        <v>45740</v>
      </c>
      <c r="AF45" s="44" t="str">
        <f>TEXT(Tabela1[[#This Row],[Data da Entrada/Primeira Parcela]],"MMM-AA")</f>
        <v>mar-25</v>
      </c>
      <c r="AG45" s="44" t="str">
        <f>TEXT(Tabela1[[#This Row],[Data da Entrada/Primeira Parcela]],"AAAA")</f>
        <v>2025</v>
      </c>
      <c r="AH45" s="30" t="str">
        <f>'DADOS FINANCEIROS'!X51</f>
        <v>Acompanhando</v>
      </c>
      <c r="AI45" s="46">
        <f ca="1">'DADOS FINANCEIROS'!Y51</f>
        <v>1700</v>
      </c>
      <c r="AJ45" s="46" t="str">
        <f ca="1">'DADOS FINANCEIROS'!Z51</f>
        <v>0</v>
      </c>
      <c r="AK4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45" s="98"/>
    </row>
    <row r="46" spans="1:38" x14ac:dyDescent="0.3">
      <c r="A46" s="30">
        <f>'DADOS FINANCEIROS'!D52</f>
        <v>53</v>
      </c>
      <c r="B46" s="30" t="str">
        <f>'DADOS FINANCEIROS'!A52</f>
        <v>Matriz</v>
      </c>
      <c r="C46" s="30">
        <f>'DADOS FINANCEIROS'!B52</f>
        <v>0</v>
      </c>
      <c r="D46" s="30" t="str">
        <f>'DADOS FINANCEIROS'!C52</f>
        <v>InvestPro</v>
      </c>
      <c r="E46" s="44">
        <f>'DADOS FINANCEIROS'!E52</f>
        <v>45709</v>
      </c>
      <c r="F46" s="44" t="str">
        <f>TEXT(Tabela1[[#This Row],[DATA DE EMISSÃO]],"MMM-AA")</f>
        <v>fev-25</v>
      </c>
      <c r="G46" s="44" t="str">
        <f>TEXT(Tabela1[[#This Row],[DATA DE EMISSÃO]],"AAAA")</f>
        <v>2025</v>
      </c>
      <c r="H46" s="44">
        <f>'DADOS FINANCEIROS'!F52</f>
        <v>45737</v>
      </c>
      <c r="I46" s="44" t="str">
        <f>TEXT(Tabela1[[#This Row],[VENCIMENTO ORIGINAL]],"MMM-AA")</f>
        <v>mar-25</v>
      </c>
      <c r="J46" s="44" t="str">
        <f>TEXT(Tabela1[[#This Row],[VENCIMENTO ORIGINAL]],"AAAA")</f>
        <v>2025</v>
      </c>
      <c r="K46" s="44">
        <f>'DADOS FINANCEIROS'!G52</f>
        <v>45737</v>
      </c>
      <c r="L46" s="44" t="str">
        <f>TEXT(Tabela1[[#This Row],[VENCIMENTO ATUAL]],"MMM-AA")</f>
        <v>mar-25</v>
      </c>
      <c r="M46" s="44" t="str">
        <f>TEXT(Tabela1[[#This Row],[VENCIMENTO ATUAL]],"AAAA")</f>
        <v>2025</v>
      </c>
      <c r="N46" s="46">
        <f>'DADOS FINANCEIROS'!H52</f>
        <v>2700</v>
      </c>
      <c r="O46" s="30" t="str">
        <f>'DADOS FINANCEIROS'!I52</f>
        <v>Camila</v>
      </c>
      <c r="P46" s="30" t="str">
        <f>'DADOS FINANCEIROS'!J52</f>
        <v>ANALISTA LUCAS</v>
      </c>
      <c r="Q46" s="30" t="str">
        <f>'DADOS FINANCEIROS'!K52</f>
        <v>SIM</v>
      </c>
      <c r="R46" s="30" t="str">
        <f>'DADOS FINANCEIROS'!L52</f>
        <v>Sem Retorno</v>
      </c>
      <c r="S46" s="30" t="str">
        <f>'DADOS FINANCEIROS'!M52</f>
        <v>Quitado</v>
      </c>
      <c r="T46" s="30">
        <f>IFERROR('DADOS FINANCEIROS'!N52,"")</f>
        <v>0</v>
      </c>
      <c r="U46" s="30" t="str">
        <f>'DADOS FINANCEIROS'!O52</f>
        <v/>
      </c>
      <c r="V46" s="30" t="str">
        <f>'DADOS FINANCEIROS'!P52</f>
        <v/>
      </c>
      <c r="W46" s="30" t="str">
        <f>'DADOS FINANCEIROS'!Q52</f>
        <v>-</v>
      </c>
      <c r="X46" s="30" t="str">
        <f>'DADOS FINANCEIROS'!R52</f>
        <v>Sim</v>
      </c>
      <c r="Y46" s="30">
        <f>'DADOS FINANCEIROS'!S52</f>
        <v>0</v>
      </c>
      <c r="Z46" s="30">
        <f>'DADOS FINANCEIROS'!T52</f>
        <v>1</v>
      </c>
      <c r="AA46" s="30" t="str">
        <f>'DADOS FINANCEIROS'!U52</f>
        <v>Sim</v>
      </c>
      <c r="AB46" s="44">
        <f>'DADOS FINANCEIROS'!V52</f>
        <v>45740</v>
      </c>
      <c r="AC46" s="44" t="str">
        <f>TEXT(Tabela1[[#This Row],[Data de Negociação]],"MMM-AA")</f>
        <v>mar-25</v>
      </c>
      <c r="AD46" s="44" t="str">
        <f>TEXT(Tabela1[[#This Row],[Data de Negociação]],"AAAA")</f>
        <v>2025</v>
      </c>
      <c r="AE46" s="44">
        <f>'DADOS FINANCEIROS'!W52</f>
        <v>45772</v>
      </c>
      <c r="AF46" s="44" t="str">
        <f>TEXT(Tabela1[[#This Row],[Data da Entrada/Primeira Parcela]],"MMM-AA")</f>
        <v>abr-25</v>
      </c>
      <c r="AG46" s="44" t="str">
        <f>TEXT(Tabela1[[#This Row],[Data da Entrada/Primeira Parcela]],"AAAA")</f>
        <v>2025</v>
      </c>
      <c r="AH46" s="30" t="str">
        <f>'DADOS FINANCEIROS'!X52</f>
        <v>Acompanhando</v>
      </c>
      <c r="AI46" s="46" t="str">
        <f>'DADOS FINANCEIROS'!Y52</f>
        <v>0</v>
      </c>
      <c r="AJ46" s="46" t="str">
        <f>'DADOS FINANCEIROS'!Z52</f>
        <v>0</v>
      </c>
      <c r="AK4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Amigável</v>
      </c>
      <c r="AL46" s="98"/>
    </row>
    <row r="47" spans="1:38" x14ac:dyDescent="0.3">
      <c r="A47" s="30">
        <f>'DADOS FINANCEIROS'!D53</f>
        <v>54</v>
      </c>
      <c r="B47" s="30" t="str">
        <f>'DADOS FINANCEIROS'!A53</f>
        <v>Filial</v>
      </c>
      <c r="C47" s="30">
        <f>'DADOS FINANCEIROS'!B53</f>
        <v>0</v>
      </c>
      <c r="D47" s="30" t="str">
        <f>'DADOS FINANCEIROS'!C53</f>
        <v>InvestPro</v>
      </c>
      <c r="E47" s="44">
        <f>'DADOS FINANCEIROS'!E53</f>
        <v>45709</v>
      </c>
      <c r="F47" s="44" t="str">
        <f>TEXT(Tabela1[[#This Row],[DATA DE EMISSÃO]],"MMM-AA")</f>
        <v>fev-25</v>
      </c>
      <c r="G47" s="44" t="str">
        <f>TEXT(Tabela1[[#This Row],[DATA DE EMISSÃO]],"AAAA")</f>
        <v>2025</v>
      </c>
      <c r="H47" s="44">
        <f>'DADOS FINANCEIROS'!F53</f>
        <v>45737</v>
      </c>
      <c r="I47" s="44" t="str">
        <f>TEXT(Tabela1[[#This Row],[VENCIMENTO ORIGINAL]],"MMM-AA")</f>
        <v>mar-25</v>
      </c>
      <c r="J47" s="44" t="str">
        <f>TEXT(Tabela1[[#This Row],[VENCIMENTO ORIGINAL]],"AAAA")</f>
        <v>2025</v>
      </c>
      <c r="K47" s="44">
        <f>'DADOS FINANCEIROS'!G53</f>
        <v>45737</v>
      </c>
      <c r="L47" s="44" t="str">
        <f>TEXT(Tabela1[[#This Row],[VENCIMENTO ATUAL]],"MMM-AA")</f>
        <v>mar-25</v>
      </c>
      <c r="M47" s="44" t="str">
        <f>TEXT(Tabela1[[#This Row],[VENCIMENTO ATUAL]],"AAAA")</f>
        <v>2025</v>
      </c>
      <c r="N47" s="46">
        <f>'DADOS FINANCEIROS'!H53</f>
        <v>1600</v>
      </c>
      <c r="O47" s="30" t="str">
        <f>'DADOS FINANCEIROS'!I53</f>
        <v>Patrícia</v>
      </c>
      <c r="P47" s="30" t="str">
        <f>'DADOS FINANCEIROS'!J53</f>
        <v>ANALISTA LUCAS</v>
      </c>
      <c r="Q47" s="30" t="str">
        <f>'DADOS FINANCEIROS'!K53</f>
        <v>NÃO</v>
      </c>
      <c r="R47" s="30" t="str">
        <f>'DADOS FINANCEIROS'!L53</f>
        <v>Sem Retorno</v>
      </c>
      <c r="S47" s="30" t="str">
        <f ca="1">'DADOS FINANCEIROS'!M53</f>
        <v>Vencido</v>
      </c>
      <c r="T47" s="30">
        <f ca="1">IFERROR('DADOS FINANCEIROS'!N53,"")</f>
        <v>58</v>
      </c>
      <c r="U47" s="30" t="str">
        <f ca="1">'DADOS FINANCEIROS'!O53</f>
        <v>31-60 dias</v>
      </c>
      <c r="V47" s="30" t="str">
        <f ca="1">'DADOS FINANCEIROS'!P53</f>
        <v>Atraso Médio</v>
      </c>
      <c r="W47" s="30" t="str">
        <f>'DADOS FINANCEIROS'!Q53</f>
        <v>-</v>
      </c>
      <c r="X47" s="30" t="str">
        <f>'DADOS FINANCEIROS'!R53</f>
        <v>Sim</v>
      </c>
      <c r="Y47" s="30">
        <f>'DADOS FINANCEIROS'!S53</f>
        <v>0</v>
      </c>
      <c r="Z47" s="30">
        <f>'DADOS FINANCEIROS'!T53</f>
        <v>1</v>
      </c>
      <c r="AA47" s="30" t="str">
        <f>'DADOS FINANCEIROS'!U53</f>
        <v>Sim</v>
      </c>
      <c r="AB47" s="44">
        <f>'DADOS FINANCEIROS'!V53</f>
        <v>45740</v>
      </c>
      <c r="AC47" s="44" t="str">
        <f>TEXT(Tabela1[[#This Row],[Data de Negociação]],"MMM-AA")</f>
        <v>mar-25</v>
      </c>
      <c r="AD47" s="44" t="str">
        <f>TEXT(Tabela1[[#This Row],[Data de Negociação]],"AAAA")</f>
        <v>2025</v>
      </c>
      <c r="AE47" s="44">
        <f>'DADOS FINANCEIROS'!W53</f>
        <v>45772</v>
      </c>
      <c r="AF47" s="44" t="str">
        <f>TEXT(Tabela1[[#This Row],[Data da Entrada/Primeira Parcela]],"MMM-AA")</f>
        <v>abr-25</v>
      </c>
      <c r="AG47" s="44" t="str">
        <f>TEXT(Tabela1[[#This Row],[Data da Entrada/Primeira Parcela]],"AAAA")</f>
        <v>2025</v>
      </c>
      <c r="AH47" s="30" t="str">
        <f>'DADOS FINANCEIROS'!X53</f>
        <v>Acompanhando</v>
      </c>
      <c r="AI47" s="46">
        <f ca="1">'DADOS FINANCEIROS'!Y53</f>
        <v>1600</v>
      </c>
      <c r="AJ47" s="46" t="str">
        <f ca="1">'DADOS FINANCEIROS'!Z53</f>
        <v>0</v>
      </c>
      <c r="AK4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47" s="98"/>
    </row>
    <row r="48" spans="1:38" x14ac:dyDescent="0.3">
      <c r="A48" s="30">
        <f>'DADOS FINANCEIROS'!D54</f>
        <v>55</v>
      </c>
      <c r="B48" s="30" t="str">
        <f>'DADOS FINANCEIROS'!A54</f>
        <v>Matriz</v>
      </c>
      <c r="C48" s="30">
        <f>'DADOS FINANCEIROS'!B54</f>
        <v>0</v>
      </c>
      <c r="D48" s="30" t="str">
        <f>'DADOS FINANCEIROS'!C54</f>
        <v>InvestPro</v>
      </c>
      <c r="E48" s="44">
        <f>'DADOS FINANCEIROS'!E54</f>
        <v>45709</v>
      </c>
      <c r="F48" s="44" t="str">
        <f>TEXT(Tabela1[[#This Row],[DATA DE EMISSÃO]],"MMM-AA")</f>
        <v>fev-25</v>
      </c>
      <c r="G48" s="44" t="str">
        <f>TEXT(Tabela1[[#This Row],[DATA DE EMISSÃO]],"AAAA")</f>
        <v>2025</v>
      </c>
      <c r="H48" s="44">
        <f>'DADOS FINANCEIROS'!F54</f>
        <v>45737</v>
      </c>
      <c r="I48" s="44" t="str">
        <f>TEXT(Tabela1[[#This Row],[VENCIMENTO ORIGINAL]],"MMM-AA")</f>
        <v>mar-25</v>
      </c>
      <c r="J48" s="44" t="str">
        <f>TEXT(Tabela1[[#This Row],[VENCIMENTO ORIGINAL]],"AAAA")</f>
        <v>2025</v>
      </c>
      <c r="K48" s="44">
        <f>'DADOS FINANCEIROS'!G54</f>
        <v>45737</v>
      </c>
      <c r="L48" s="44" t="str">
        <f>TEXT(Tabela1[[#This Row],[VENCIMENTO ATUAL]],"MMM-AA")</f>
        <v>mar-25</v>
      </c>
      <c r="M48" s="44" t="str">
        <f>TEXT(Tabela1[[#This Row],[VENCIMENTO ATUAL]],"AAAA")</f>
        <v>2025</v>
      </c>
      <c r="N48" s="46">
        <f>'DADOS FINANCEIROS'!H54</f>
        <v>3000</v>
      </c>
      <c r="O48" s="30" t="str">
        <f>'DADOS FINANCEIROS'!I54</f>
        <v>Tiago</v>
      </c>
      <c r="P48" s="30" t="str">
        <f>'DADOS FINANCEIROS'!J54</f>
        <v>ANALISTA LUCAS</v>
      </c>
      <c r="Q48" s="30" t="str">
        <f>'DADOS FINANCEIROS'!K54</f>
        <v>NÃO</v>
      </c>
      <c r="R48" s="30" t="str">
        <f>'DADOS FINANCEIROS'!L54</f>
        <v>Sem Retorno</v>
      </c>
      <c r="S48" s="30" t="str">
        <f ca="1">'DADOS FINANCEIROS'!M54</f>
        <v>Vencido</v>
      </c>
      <c r="T48" s="30">
        <f ca="1">IFERROR('DADOS FINANCEIROS'!N54,"")</f>
        <v>58</v>
      </c>
      <c r="U48" s="30" t="str">
        <f ca="1">'DADOS FINANCEIROS'!O54</f>
        <v>31-60 dias</v>
      </c>
      <c r="V48" s="30" t="str">
        <f ca="1">'DADOS FINANCEIROS'!P54</f>
        <v>Atraso Médio</v>
      </c>
      <c r="W48" s="30" t="str">
        <f>'DADOS FINANCEIROS'!Q54</f>
        <v>-</v>
      </c>
      <c r="X48" s="30" t="str">
        <f>'DADOS FINANCEIROS'!R54</f>
        <v>Sim</v>
      </c>
      <c r="Y48" s="30">
        <f>'DADOS FINANCEIROS'!S54</f>
        <v>0</v>
      </c>
      <c r="Z48" s="30">
        <f>'DADOS FINANCEIROS'!T54</f>
        <v>1</v>
      </c>
      <c r="AA48" s="30" t="str">
        <f>'DADOS FINANCEIROS'!U54</f>
        <v>Sim</v>
      </c>
      <c r="AB48" s="44">
        <f>'DADOS FINANCEIROS'!V54</f>
        <v>45740</v>
      </c>
      <c r="AC48" s="44" t="str">
        <f>TEXT(Tabela1[[#This Row],[Data de Negociação]],"MMM-AA")</f>
        <v>mar-25</v>
      </c>
      <c r="AD48" s="44" t="str">
        <f>TEXT(Tabela1[[#This Row],[Data de Negociação]],"AAAA")</f>
        <v>2025</v>
      </c>
      <c r="AE48" s="44">
        <f>'DADOS FINANCEIROS'!W54</f>
        <v>45772</v>
      </c>
      <c r="AF48" s="44" t="str">
        <f>TEXT(Tabela1[[#This Row],[Data da Entrada/Primeira Parcela]],"MMM-AA")</f>
        <v>abr-25</v>
      </c>
      <c r="AG48" s="44" t="str">
        <f>TEXT(Tabela1[[#This Row],[Data da Entrada/Primeira Parcela]],"AAAA")</f>
        <v>2025</v>
      </c>
      <c r="AH48" s="30" t="str">
        <f>'DADOS FINANCEIROS'!X54</f>
        <v>Acompanhando</v>
      </c>
      <c r="AI48" s="46">
        <f ca="1">'DADOS FINANCEIROS'!Y54</f>
        <v>3000</v>
      </c>
      <c r="AJ48" s="46" t="str">
        <f ca="1">'DADOS FINANCEIROS'!Z54</f>
        <v>0</v>
      </c>
      <c r="AK4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48" s="98"/>
    </row>
    <row r="49" spans="1:38" x14ac:dyDescent="0.3">
      <c r="A49" s="30">
        <f>'DADOS FINANCEIROS'!D55</f>
        <v>56</v>
      </c>
      <c r="B49" s="30" t="str">
        <f>'DADOS FINANCEIROS'!A55</f>
        <v>Filial</v>
      </c>
      <c r="C49" s="30">
        <f>'DADOS FINANCEIROS'!B55</f>
        <v>0</v>
      </c>
      <c r="D49" s="30" t="str">
        <f>'DADOS FINANCEIROS'!C55</f>
        <v>InvestPro</v>
      </c>
      <c r="E49" s="44">
        <f>'DADOS FINANCEIROS'!E55</f>
        <v>45709</v>
      </c>
      <c r="F49" s="44" t="str">
        <f>TEXT(Tabela1[[#This Row],[DATA DE EMISSÃO]],"MMM-AA")</f>
        <v>fev-25</v>
      </c>
      <c r="G49" s="44" t="str">
        <f>TEXT(Tabela1[[#This Row],[DATA DE EMISSÃO]],"AAAA")</f>
        <v>2025</v>
      </c>
      <c r="H49" s="44">
        <f>'DADOS FINANCEIROS'!F55</f>
        <v>45737</v>
      </c>
      <c r="I49" s="44" t="str">
        <f>TEXT(Tabela1[[#This Row],[VENCIMENTO ORIGINAL]],"MMM-AA")</f>
        <v>mar-25</v>
      </c>
      <c r="J49" s="44" t="str">
        <f>TEXT(Tabela1[[#This Row],[VENCIMENTO ORIGINAL]],"AAAA")</f>
        <v>2025</v>
      </c>
      <c r="K49" s="44">
        <f>'DADOS FINANCEIROS'!G55</f>
        <v>45737</v>
      </c>
      <c r="L49" s="44" t="str">
        <f>TEXT(Tabela1[[#This Row],[VENCIMENTO ATUAL]],"MMM-AA")</f>
        <v>mar-25</v>
      </c>
      <c r="M49" s="44" t="str">
        <f>TEXT(Tabela1[[#This Row],[VENCIMENTO ATUAL]],"AAAA")</f>
        <v>2025</v>
      </c>
      <c r="N49" s="46">
        <f>'DADOS FINANCEIROS'!H55</f>
        <v>1800</v>
      </c>
      <c r="O49" s="30" t="str">
        <f>'DADOS FINANCEIROS'!I55</f>
        <v>André</v>
      </c>
      <c r="P49" s="30" t="str">
        <f>'DADOS FINANCEIROS'!J55</f>
        <v>ANALISTA LUCAS</v>
      </c>
      <c r="Q49" s="30" t="str">
        <f>'DADOS FINANCEIROS'!K55</f>
        <v>NÃO</v>
      </c>
      <c r="R49" s="30" t="str">
        <f>'DADOS FINANCEIROS'!L55</f>
        <v>Sem Retorno</v>
      </c>
      <c r="S49" s="30" t="str">
        <f ca="1">'DADOS FINANCEIROS'!M55</f>
        <v>Vencido</v>
      </c>
      <c r="T49" s="30">
        <f ca="1">IFERROR('DADOS FINANCEIROS'!N55,"")</f>
        <v>58</v>
      </c>
      <c r="U49" s="30" t="str">
        <f ca="1">'DADOS FINANCEIROS'!O55</f>
        <v>31-60 dias</v>
      </c>
      <c r="V49" s="30" t="str">
        <f ca="1">'DADOS FINANCEIROS'!P55</f>
        <v>Atraso Médio</v>
      </c>
      <c r="W49" s="30" t="str">
        <f>'DADOS FINANCEIROS'!Q55</f>
        <v>-</v>
      </c>
      <c r="X49" s="30" t="str">
        <f>'DADOS FINANCEIROS'!R55</f>
        <v>Sim</v>
      </c>
      <c r="Y49" s="30">
        <f>'DADOS FINANCEIROS'!S55</f>
        <v>0</v>
      </c>
      <c r="Z49" s="30">
        <f>'DADOS FINANCEIROS'!T55</f>
        <v>1</v>
      </c>
      <c r="AA49" s="30" t="str">
        <f>'DADOS FINANCEIROS'!U55</f>
        <v>Sim</v>
      </c>
      <c r="AB49" s="44">
        <f>'DADOS FINANCEIROS'!V55</f>
        <v>45740</v>
      </c>
      <c r="AC49" s="44" t="str">
        <f>TEXT(Tabela1[[#This Row],[Data de Negociação]],"MMM-AA")</f>
        <v>mar-25</v>
      </c>
      <c r="AD49" s="44" t="str">
        <f>TEXT(Tabela1[[#This Row],[Data de Negociação]],"AAAA")</f>
        <v>2025</v>
      </c>
      <c r="AE49" s="44">
        <f>'DADOS FINANCEIROS'!W55</f>
        <v>45772</v>
      </c>
      <c r="AF49" s="44" t="str">
        <f>TEXT(Tabela1[[#This Row],[Data da Entrada/Primeira Parcela]],"MMM-AA")</f>
        <v>abr-25</v>
      </c>
      <c r="AG49" s="44" t="str">
        <f>TEXT(Tabela1[[#This Row],[Data da Entrada/Primeira Parcela]],"AAAA")</f>
        <v>2025</v>
      </c>
      <c r="AH49" s="30" t="str">
        <f>'DADOS FINANCEIROS'!X55</f>
        <v>Acompanhando</v>
      </c>
      <c r="AI49" s="46">
        <f ca="1">'DADOS FINANCEIROS'!Y55</f>
        <v>1800</v>
      </c>
      <c r="AJ49" s="46" t="str">
        <f ca="1">'DADOS FINANCEIROS'!Z55</f>
        <v>0</v>
      </c>
      <c r="AK4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49" s="98"/>
    </row>
    <row r="50" spans="1:38" x14ac:dyDescent="0.3">
      <c r="A50" s="30">
        <f>'DADOS FINANCEIROS'!D56</f>
        <v>57</v>
      </c>
      <c r="B50" s="30" t="str">
        <f>'DADOS FINANCEIROS'!A56</f>
        <v>Matriz</v>
      </c>
      <c r="C50" s="30">
        <f>'DADOS FINANCEIROS'!B56</f>
        <v>0</v>
      </c>
      <c r="D50" s="30" t="str">
        <f>'DADOS FINANCEIROS'!C56</f>
        <v>InvestPro</v>
      </c>
      <c r="E50" s="44">
        <f>'DADOS FINANCEIROS'!E56</f>
        <v>45709</v>
      </c>
      <c r="F50" s="44" t="str">
        <f>TEXT(Tabela1[[#This Row],[DATA DE EMISSÃO]],"MMM-AA")</f>
        <v>fev-25</v>
      </c>
      <c r="G50" s="44" t="str">
        <f>TEXT(Tabela1[[#This Row],[DATA DE EMISSÃO]],"AAAA")</f>
        <v>2025</v>
      </c>
      <c r="H50" s="44">
        <f>'DADOS FINANCEIROS'!F56</f>
        <v>45737</v>
      </c>
      <c r="I50" s="44" t="str">
        <f>TEXT(Tabela1[[#This Row],[VENCIMENTO ORIGINAL]],"MMM-AA")</f>
        <v>mar-25</v>
      </c>
      <c r="J50" s="44" t="str">
        <f>TEXT(Tabela1[[#This Row],[VENCIMENTO ORIGINAL]],"AAAA")</f>
        <v>2025</v>
      </c>
      <c r="K50" s="44">
        <f>'DADOS FINANCEIROS'!G56</f>
        <v>45737</v>
      </c>
      <c r="L50" s="44" t="str">
        <f>TEXT(Tabela1[[#This Row],[VENCIMENTO ATUAL]],"MMM-AA")</f>
        <v>mar-25</v>
      </c>
      <c r="M50" s="44" t="str">
        <f>TEXT(Tabela1[[#This Row],[VENCIMENTO ATUAL]],"AAAA")</f>
        <v>2025</v>
      </c>
      <c r="N50" s="46">
        <f>'DADOS FINANCEIROS'!H56</f>
        <v>2200</v>
      </c>
      <c r="O50" s="30" t="str">
        <f>'DADOS FINANCEIROS'!I56</f>
        <v>Luana</v>
      </c>
      <c r="P50" s="30" t="str">
        <f>'DADOS FINANCEIROS'!J56</f>
        <v>ANALISTA LUCAS</v>
      </c>
      <c r="Q50" s="30" t="str">
        <f>'DADOS FINANCEIROS'!K56</f>
        <v>NÃO</v>
      </c>
      <c r="R50" s="30" t="str">
        <f>'DADOS FINANCEIROS'!L56</f>
        <v>Sem Retorno</v>
      </c>
      <c r="S50" s="30" t="str">
        <f ca="1">'DADOS FINANCEIROS'!M56</f>
        <v>Vencido</v>
      </c>
      <c r="T50" s="30">
        <f ca="1">IFERROR('DADOS FINANCEIROS'!N56,"")</f>
        <v>58</v>
      </c>
      <c r="U50" s="30" t="str">
        <f ca="1">'DADOS FINANCEIROS'!O56</f>
        <v>31-60 dias</v>
      </c>
      <c r="V50" s="30" t="str">
        <f ca="1">'DADOS FINANCEIROS'!P56</f>
        <v>Atraso Médio</v>
      </c>
      <c r="W50" s="30" t="str">
        <f>'DADOS FINANCEIROS'!Q56</f>
        <v>-</v>
      </c>
      <c r="X50" s="30" t="str">
        <f>'DADOS FINANCEIROS'!R56</f>
        <v>Sim</v>
      </c>
      <c r="Y50" s="30">
        <f>'DADOS FINANCEIROS'!S56</f>
        <v>0</v>
      </c>
      <c r="Z50" s="30">
        <f>'DADOS FINANCEIROS'!T56</f>
        <v>1</v>
      </c>
      <c r="AA50" s="30" t="str">
        <f>'DADOS FINANCEIROS'!U56</f>
        <v>Sim</v>
      </c>
      <c r="AB50" s="44">
        <f>'DADOS FINANCEIROS'!V56</f>
        <v>45740</v>
      </c>
      <c r="AC50" s="44" t="str">
        <f>TEXT(Tabela1[[#This Row],[Data de Negociação]],"MMM-AA")</f>
        <v>mar-25</v>
      </c>
      <c r="AD50" s="44" t="str">
        <f>TEXT(Tabela1[[#This Row],[Data de Negociação]],"AAAA")</f>
        <v>2025</v>
      </c>
      <c r="AE50" s="44">
        <f>'DADOS FINANCEIROS'!W56</f>
        <v>45772</v>
      </c>
      <c r="AF50" s="44" t="str">
        <f>TEXT(Tabela1[[#This Row],[Data da Entrada/Primeira Parcela]],"MMM-AA")</f>
        <v>abr-25</v>
      </c>
      <c r="AG50" s="44" t="str">
        <f>TEXT(Tabela1[[#This Row],[Data da Entrada/Primeira Parcela]],"AAAA")</f>
        <v>2025</v>
      </c>
      <c r="AH50" s="30" t="str">
        <f>'DADOS FINANCEIROS'!X56</f>
        <v>Acompanhando</v>
      </c>
      <c r="AI50" s="46">
        <f ca="1">'DADOS FINANCEIROS'!Y56</f>
        <v>2200</v>
      </c>
      <c r="AJ50" s="46" t="str">
        <f ca="1">'DADOS FINANCEIROS'!Z56</f>
        <v>0</v>
      </c>
      <c r="AK5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0" s="98"/>
    </row>
    <row r="51" spans="1:38" x14ac:dyDescent="0.3">
      <c r="A51" s="30">
        <f>'DADOS FINANCEIROS'!D57</f>
        <v>58</v>
      </c>
      <c r="B51" s="30" t="str">
        <f>'DADOS FINANCEIROS'!A57</f>
        <v>Filial</v>
      </c>
      <c r="C51" s="30">
        <f>'DADOS FINANCEIROS'!B57</f>
        <v>0</v>
      </c>
      <c r="D51" s="30" t="str">
        <f>'DADOS FINANCEIROS'!C57</f>
        <v>InvestPro</v>
      </c>
      <c r="E51" s="44">
        <f>'DADOS FINANCEIROS'!E57</f>
        <v>45709</v>
      </c>
      <c r="F51" s="44" t="str">
        <f>TEXT(Tabela1[[#This Row],[DATA DE EMISSÃO]],"MMM-AA")</f>
        <v>fev-25</v>
      </c>
      <c r="G51" s="44" t="str">
        <f>TEXT(Tabela1[[#This Row],[DATA DE EMISSÃO]],"AAAA")</f>
        <v>2025</v>
      </c>
      <c r="H51" s="44">
        <f>'DADOS FINANCEIROS'!F57</f>
        <v>45737</v>
      </c>
      <c r="I51" s="44" t="str">
        <f>TEXT(Tabela1[[#This Row],[VENCIMENTO ORIGINAL]],"MMM-AA")</f>
        <v>mar-25</v>
      </c>
      <c r="J51" s="44" t="str">
        <f>TEXT(Tabela1[[#This Row],[VENCIMENTO ORIGINAL]],"AAAA")</f>
        <v>2025</v>
      </c>
      <c r="K51" s="44">
        <f>'DADOS FINANCEIROS'!G57</f>
        <v>45737</v>
      </c>
      <c r="L51" s="44" t="str">
        <f>TEXT(Tabela1[[#This Row],[VENCIMENTO ATUAL]],"MMM-AA")</f>
        <v>mar-25</v>
      </c>
      <c r="M51" s="44" t="str">
        <f>TEXT(Tabela1[[#This Row],[VENCIMENTO ATUAL]],"AAAA")</f>
        <v>2025</v>
      </c>
      <c r="N51" s="46">
        <f>'DADOS FINANCEIROS'!H57</f>
        <v>1500</v>
      </c>
      <c r="O51" s="30" t="str">
        <f>'DADOS FINANCEIROS'!I57</f>
        <v>Pedro</v>
      </c>
      <c r="P51" s="30" t="str">
        <f>'DADOS FINANCEIROS'!J57</f>
        <v>ANALISTA LUCAS</v>
      </c>
      <c r="Q51" s="30" t="str">
        <f>'DADOS FINANCEIROS'!K57</f>
        <v>NÃO</v>
      </c>
      <c r="R51" s="30" t="str">
        <f>'DADOS FINANCEIROS'!L57</f>
        <v>Sem Retorno</v>
      </c>
      <c r="S51" s="30" t="str">
        <f ca="1">'DADOS FINANCEIROS'!M57</f>
        <v>Vencido</v>
      </c>
      <c r="T51" s="30">
        <f ca="1">IFERROR('DADOS FINANCEIROS'!N57,"")</f>
        <v>58</v>
      </c>
      <c r="U51" s="30" t="str">
        <f ca="1">'DADOS FINANCEIROS'!O57</f>
        <v>31-60 dias</v>
      </c>
      <c r="V51" s="30" t="str">
        <f ca="1">'DADOS FINANCEIROS'!P57</f>
        <v>Atraso Médio</v>
      </c>
      <c r="W51" s="30" t="str">
        <f>'DADOS FINANCEIROS'!Q57</f>
        <v>-</v>
      </c>
      <c r="X51" s="30" t="str">
        <f>'DADOS FINANCEIROS'!R57</f>
        <v>Sim</v>
      </c>
      <c r="Y51" s="30">
        <f>'DADOS FINANCEIROS'!S57</f>
        <v>0</v>
      </c>
      <c r="Z51" s="30">
        <f>'DADOS FINANCEIROS'!T57</f>
        <v>1</v>
      </c>
      <c r="AA51" s="30" t="str">
        <f>'DADOS FINANCEIROS'!U57</f>
        <v>Sim</v>
      </c>
      <c r="AB51" s="44">
        <f>'DADOS FINANCEIROS'!V57</f>
        <v>45740</v>
      </c>
      <c r="AC51" s="44" t="str">
        <f>TEXT(Tabela1[[#This Row],[Data de Negociação]],"MMM-AA")</f>
        <v>mar-25</v>
      </c>
      <c r="AD51" s="44" t="str">
        <f>TEXT(Tabela1[[#This Row],[Data de Negociação]],"AAAA")</f>
        <v>2025</v>
      </c>
      <c r="AE51" s="44">
        <f>'DADOS FINANCEIROS'!W57</f>
        <v>45772</v>
      </c>
      <c r="AF51" s="44" t="str">
        <f>TEXT(Tabela1[[#This Row],[Data da Entrada/Primeira Parcela]],"MMM-AA")</f>
        <v>abr-25</v>
      </c>
      <c r="AG51" s="44" t="str">
        <f>TEXT(Tabela1[[#This Row],[Data da Entrada/Primeira Parcela]],"AAAA")</f>
        <v>2025</v>
      </c>
      <c r="AH51" s="30" t="str">
        <f>'DADOS FINANCEIROS'!X57</f>
        <v>Acompanhando</v>
      </c>
      <c r="AI51" s="46">
        <f ca="1">'DADOS FINANCEIROS'!Y57</f>
        <v>1500</v>
      </c>
      <c r="AJ51" s="46" t="str">
        <f ca="1">'DADOS FINANCEIROS'!Z57</f>
        <v>0</v>
      </c>
      <c r="AK5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1" s="98"/>
    </row>
    <row r="52" spans="1:38" x14ac:dyDescent="0.3">
      <c r="A52" s="30">
        <f>'DADOS FINANCEIROS'!D58</f>
        <v>59</v>
      </c>
      <c r="B52" s="30" t="str">
        <f>'DADOS FINANCEIROS'!A58</f>
        <v>Matriz</v>
      </c>
      <c r="C52" s="30" t="str">
        <f>'DADOS FINANCEIROS'!B58</f>
        <v>Alpha &amp; CIA</v>
      </c>
      <c r="D52" s="30" t="str">
        <f>'DADOS FINANCEIROS'!C58</f>
        <v>Alpha &amp; CIA</v>
      </c>
      <c r="E52" s="44">
        <f>'DADOS FINANCEIROS'!E58</f>
        <v>45709</v>
      </c>
      <c r="F52" s="44" t="str">
        <f>TEXT(Tabela1[[#This Row],[DATA DE EMISSÃO]],"MMM-AA")</f>
        <v>fev-25</v>
      </c>
      <c r="G52" s="44" t="str">
        <f>TEXT(Tabela1[[#This Row],[DATA DE EMISSÃO]],"AAAA")</f>
        <v>2025</v>
      </c>
      <c r="H52" s="44">
        <f>'DADOS FINANCEIROS'!F58</f>
        <v>45737</v>
      </c>
      <c r="I52" s="44" t="str">
        <f>TEXT(Tabela1[[#This Row],[VENCIMENTO ORIGINAL]],"MMM-AA")</f>
        <v>mar-25</v>
      </c>
      <c r="J52" s="44" t="str">
        <f>TEXT(Tabela1[[#This Row],[VENCIMENTO ORIGINAL]],"AAAA")</f>
        <v>2025</v>
      </c>
      <c r="K52" s="44">
        <f>'DADOS FINANCEIROS'!G58</f>
        <v>45737</v>
      </c>
      <c r="L52" s="44" t="str">
        <f>TEXT(Tabela1[[#This Row],[VENCIMENTO ATUAL]],"MMM-AA")</f>
        <v>mar-25</v>
      </c>
      <c r="M52" s="44" t="str">
        <f>TEXT(Tabela1[[#This Row],[VENCIMENTO ATUAL]],"AAAA")</f>
        <v>2025</v>
      </c>
      <c r="N52" s="46">
        <f>'DADOS FINANCEIROS'!H58</f>
        <v>2800</v>
      </c>
      <c r="O52" s="30" t="str">
        <f>'DADOS FINANCEIROS'!I58</f>
        <v>Sabrina</v>
      </c>
      <c r="P52" s="30" t="str">
        <f>'DADOS FINANCEIROS'!J58</f>
        <v>ANALISTA LUCAS</v>
      </c>
      <c r="Q52" s="30" t="str">
        <f>'DADOS FINANCEIROS'!K58</f>
        <v>NÃO</v>
      </c>
      <c r="R52" s="30" t="str">
        <f>'DADOS FINANCEIROS'!L58</f>
        <v>Sem Retorno</v>
      </c>
      <c r="S52" s="30" t="str">
        <f ca="1">'DADOS FINANCEIROS'!M58</f>
        <v>Vencido</v>
      </c>
      <c r="T52" s="30">
        <f ca="1">IFERROR('DADOS FINANCEIROS'!N58,"")</f>
        <v>58</v>
      </c>
      <c r="U52" s="30" t="str">
        <f ca="1">'DADOS FINANCEIROS'!O58</f>
        <v>31-60 dias</v>
      </c>
      <c r="V52" s="30" t="str">
        <f ca="1">'DADOS FINANCEIROS'!P58</f>
        <v>Atraso Médio</v>
      </c>
      <c r="W52" s="30" t="str">
        <f>'DADOS FINANCEIROS'!Q58</f>
        <v>-</v>
      </c>
      <c r="X52" s="30" t="str">
        <f>'DADOS FINANCEIROS'!R58</f>
        <v>Sim</v>
      </c>
      <c r="Y52" s="30">
        <f>'DADOS FINANCEIROS'!S58</f>
        <v>0</v>
      </c>
      <c r="Z52" s="30">
        <f>'DADOS FINANCEIROS'!T58</f>
        <v>1</v>
      </c>
      <c r="AA52" s="30" t="str">
        <f>'DADOS FINANCEIROS'!U58</f>
        <v>Sim</v>
      </c>
      <c r="AB52" s="44">
        <f>'DADOS FINANCEIROS'!V58</f>
        <v>45740</v>
      </c>
      <c r="AC52" s="44" t="str">
        <f>TEXT(Tabela1[[#This Row],[Data de Negociação]],"MMM-AA")</f>
        <v>mar-25</v>
      </c>
      <c r="AD52" s="44" t="str">
        <f>TEXT(Tabela1[[#This Row],[Data de Negociação]],"AAAA")</f>
        <v>2025</v>
      </c>
      <c r="AE52" s="44">
        <f>'DADOS FINANCEIROS'!W58</f>
        <v>45772</v>
      </c>
      <c r="AF52" s="44" t="str">
        <f>TEXT(Tabela1[[#This Row],[Data da Entrada/Primeira Parcela]],"MMM-AA")</f>
        <v>abr-25</v>
      </c>
      <c r="AG52" s="44" t="str">
        <f>TEXT(Tabela1[[#This Row],[Data da Entrada/Primeira Parcela]],"AAAA")</f>
        <v>2025</v>
      </c>
      <c r="AH52" s="30" t="str">
        <f>'DADOS FINANCEIROS'!X58</f>
        <v>Acompanhando</v>
      </c>
      <c r="AI52" s="46">
        <f ca="1">'DADOS FINANCEIROS'!Y58</f>
        <v>2800</v>
      </c>
      <c r="AJ52" s="46" t="str">
        <f ca="1">'DADOS FINANCEIROS'!Z58</f>
        <v>0</v>
      </c>
      <c r="AK5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2" s="98"/>
    </row>
    <row r="53" spans="1:38" x14ac:dyDescent="0.3">
      <c r="A53" s="30">
        <f>'DADOS FINANCEIROS'!D59</f>
        <v>60</v>
      </c>
      <c r="B53" s="30" t="str">
        <f>'DADOS FINANCEIROS'!A59</f>
        <v>Filial</v>
      </c>
      <c r="C53" s="30">
        <f>'DADOS FINANCEIROS'!B59</f>
        <v>0</v>
      </c>
      <c r="D53" s="30" t="str">
        <f>'DADOS FINANCEIROS'!C59</f>
        <v>InvestPro</v>
      </c>
      <c r="E53" s="44">
        <f>'DADOS FINANCEIROS'!E59</f>
        <v>45709</v>
      </c>
      <c r="F53" s="44" t="str">
        <f>TEXT(Tabela1[[#This Row],[DATA DE EMISSÃO]],"MMM-AA")</f>
        <v>fev-25</v>
      </c>
      <c r="G53" s="44" t="str">
        <f>TEXT(Tabela1[[#This Row],[DATA DE EMISSÃO]],"AAAA")</f>
        <v>2025</v>
      </c>
      <c r="H53" s="44">
        <f>'DADOS FINANCEIROS'!F59</f>
        <v>45737</v>
      </c>
      <c r="I53" s="44" t="str">
        <f>TEXT(Tabela1[[#This Row],[VENCIMENTO ORIGINAL]],"MMM-AA")</f>
        <v>mar-25</v>
      </c>
      <c r="J53" s="44" t="str">
        <f>TEXT(Tabela1[[#This Row],[VENCIMENTO ORIGINAL]],"AAAA")</f>
        <v>2025</v>
      </c>
      <c r="K53" s="44">
        <f>'DADOS FINANCEIROS'!G59</f>
        <v>45737</v>
      </c>
      <c r="L53" s="44" t="str">
        <f>TEXT(Tabela1[[#This Row],[VENCIMENTO ATUAL]],"MMM-AA")</f>
        <v>mar-25</v>
      </c>
      <c r="M53" s="44" t="str">
        <f>TEXT(Tabela1[[#This Row],[VENCIMENTO ATUAL]],"AAAA")</f>
        <v>2025</v>
      </c>
      <c r="N53" s="46">
        <f>'DADOS FINANCEIROS'!H59</f>
        <v>3100</v>
      </c>
      <c r="O53" s="30" t="str">
        <f>'DADOS FINANCEIROS'!I59</f>
        <v>Marcos</v>
      </c>
      <c r="P53" s="30" t="str">
        <f>'DADOS FINANCEIROS'!J59</f>
        <v>ANALISTA LUCAS</v>
      </c>
      <c r="Q53" s="30" t="str">
        <f>'DADOS FINANCEIROS'!K59</f>
        <v>NÃO</v>
      </c>
      <c r="R53" s="30" t="str">
        <f>'DADOS FINANCEIROS'!L59</f>
        <v>Sem Retorno</v>
      </c>
      <c r="S53" s="30" t="str">
        <f ca="1">'DADOS FINANCEIROS'!M59</f>
        <v>Vencido</v>
      </c>
      <c r="T53" s="30">
        <f ca="1">IFERROR('DADOS FINANCEIROS'!N59,"")</f>
        <v>58</v>
      </c>
      <c r="U53" s="30" t="str">
        <f ca="1">'DADOS FINANCEIROS'!O59</f>
        <v>31-60 dias</v>
      </c>
      <c r="V53" s="30" t="str">
        <f ca="1">'DADOS FINANCEIROS'!P59</f>
        <v>Atraso Médio</v>
      </c>
      <c r="W53" s="30" t="str">
        <f>'DADOS FINANCEIROS'!Q59</f>
        <v>-</v>
      </c>
      <c r="X53" s="30" t="str">
        <f>'DADOS FINANCEIROS'!R59</f>
        <v>Sim</v>
      </c>
      <c r="Y53" s="30">
        <f>'DADOS FINANCEIROS'!S59</f>
        <v>0</v>
      </c>
      <c r="Z53" s="30">
        <f>'DADOS FINANCEIROS'!T59</f>
        <v>1</v>
      </c>
      <c r="AA53" s="30" t="str">
        <f>'DADOS FINANCEIROS'!U59</f>
        <v>Sim</v>
      </c>
      <c r="AB53" s="44">
        <f>'DADOS FINANCEIROS'!V59</f>
        <v>45740</v>
      </c>
      <c r="AC53" s="44" t="str">
        <f>TEXT(Tabela1[[#This Row],[Data de Negociação]],"MMM-AA")</f>
        <v>mar-25</v>
      </c>
      <c r="AD53" s="44" t="str">
        <f>TEXT(Tabela1[[#This Row],[Data de Negociação]],"AAAA")</f>
        <v>2025</v>
      </c>
      <c r="AE53" s="44">
        <f>'DADOS FINANCEIROS'!W59</f>
        <v>45772</v>
      </c>
      <c r="AF53" s="44" t="str">
        <f>TEXT(Tabela1[[#This Row],[Data da Entrada/Primeira Parcela]],"MMM-AA")</f>
        <v>abr-25</v>
      </c>
      <c r="AG53" s="44" t="str">
        <f>TEXT(Tabela1[[#This Row],[Data da Entrada/Primeira Parcela]],"AAAA")</f>
        <v>2025</v>
      </c>
      <c r="AH53" s="30" t="str">
        <f>'DADOS FINANCEIROS'!X59</f>
        <v>Acompanhando</v>
      </c>
      <c r="AI53" s="46">
        <f ca="1">'DADOS FINANCEIROS'!Y59</f>
        <v>3100</v>
      </c>
      <c r="AJ53" s="46" t="str">
        <f ca="1">'DADOS FINANCEIROS'!Z59</f>
        <v>0</v>
      </c>
      <c r="AK5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3" s="98"/>
    </row>
    <row r="54" spans="1:38" x14ac:dyDescent="0.3">
      <c r="A54" s="30">
        <f>'DADOS FINANCEIROS'!D60</f>
        <v>61</v>
      </c>
      <c r="B54" s="30" t="str">
        <f>'DADOS FINANCEIROS'!A60</f>
        <v>Matriz</v>
      </c>
      <c r="C54" s="30">
        <f>'DADOS FINANCEIROS'!B60</f>
        <v>0</v>
      </c>
      <c r="D54" s="30" t="str">
        <f>'DADOS FINANCEIROS'!C60</f>
        <v>InvestPro</v>
      </c>
      <c r="E54" s="44">
        <f>'DADOS FINANCEIROS'!E60</f>
        <v>45709</v>
      </c>
      <c r="F54" s="44" t="str">
        <f>TEXT(Tabela1[[#This Row],[DATA DE EMISSÃO]],"MMM-AA")</f>
        <v>fev-25</v>
      </c>
      <c r="G54" s="44" t="str">
        <f>TEXT(Tabela1[[#This Row],[DATA DE EMISSÃO]],"AAAA")</f>
        <v>2025</v>
      </c>
      <c r="H54" s="44">
        <f>'DADOS FINANCEIROS'!F60</f>
        <v>45737</v>
      </c>
      <c r="I54" s="44" t="str">
        <f>TEXT(Tabela1[[#This Row],[VENCIMENTO ORIGINAL]],"MMM-AA")</f>
        <v>mar-25</v>
      </c>
      <c r="J54" s="44" t="str">
        <f>TEXT(Tabela1[[#This Row],[VENCIMENTO ORIGINAL]],"AAAA")</f>
        <v>2025</v>
      </c>
      <c r="K54" s="44">
        <f>'DADOS FINANCEIROS'!G60</f>
        <v>45737</v>
      </c>
      <c r="L54" s="44" t="str">
        <f>TEXT(Tabela1[[#This Row],[VENCIMENTO ATUAL]],"MMM-AA")</f>
        <v>mar-25</v>
      </c>
      <c r="M54" s="44" t="str">
        <f>TEXT(Tabela1[[#This Row],[VENCIMENTO ATUAL]],"AAAA")</f>
        <v>2025</v>
      </c>
      <c r="N54" s="46">
        <f>'DADOS FINANCEIROS'!H60</f>
        <v>1900</v>
      </c>
      <c r="O54" s="30" t="str">
        <f>'DADOS FINANCEIROS'!I60</f>
        <v>João</v>
      </c>
      <c r="P54" s="30" t="str">
        <f>'DADOS FINANCEIROS'!J60</f>
        <v>ANALISTA LUCAS</v>
      </c>
      <c r="Q54" s="30" t="str">
        <f>'DADOS FINANCEIROS'!K60</f>
        <v>NÃO</v>
      </c>
      <c r="R54" s="30" t="str">
        <f>'DADOS FINANCEIROS'!L60</f>
        <v>Sem Retorno</v>
      </c>
      <c r="S54" s="30" t="str">
        <f ca="1">'DADOS FINANCEIROS'!M60</f>
        <v>Vencido</v>
      </c>
      <c r="T54" s="30">
        <f ca="1">IFERROR('DADOS FINANCEIROS'!N60,"")</f>
        <v>58</v>
      </c>
      <c r="U54" s="30" t="str">
        <f ca="1">'DADOS FINANCEIROS'!O60</f>
        <v>31-60 dias</v>
      </c>
      <c r="V54" s="30" t="str">
        <f ca="1">'DADOS FINANCEIROS'!P60</f>
        <v>Atraso Médio</v>
      </c>
      <c r="W54" s="30" t="str">
        <f>'DADOS FINANCEIROS'!Q60</f>
        <v>-</v>
      </c>
      <c r="X54" s="30" t="str">
        <f>'DADOS FINANCEIROS'!R60</f>
        <v>Sim</v>
      </c>
      <c r="Y54" s="30">
        <f>'DADOS FINANCEIROS'!S60</f>
        <v>0</v>
      </c>
      <c r="Z54" s="30">
        <f>'DADOS FINANCEIROS'!T60</f>
        <v>1</v>
      </c>
      <c r="AA54" s="30" t="str">
        <f>'DADOS FINANCEIROS'!U60</f>
        <v>Sim</v>
      </c>
      <c r="AB54" s="44">
        <f>'DADOS FINANCEIROS'!V60</f>
        <v>45740</v>
      </c>
      <c r="AC54" s="44" t="str">
        <f>TEXT(Tabela1[[#This Row],[Data de Negociação]],"MMM-AA")</f>
        <v>mar-25</v>
      </c>
      <c r="AD54" s="44" t="str">
        <f>TEXT(Tabela1[[#This Row],[Data de Negociação]],"AAAA")</f>
        <v>2025</v>
      </c>
      <c r="AE54" s="44">
        <f>'DADOS FINANCEIROS'!W60</f>
        <v>45772</v>
      </c>
      <c r="AF54" s="44" t="str">
        <f>TEXT(Tabela1[[#This Row],[Data da Entrada/Primeira Parcela]],"MMM-AA")</f>
        <v>abr-25</v>
      </c>
      <c r="AG54" s="44" t="str">
        <f>TEXT(Tabela1[[#This Row],[Data da Entrada/Primeira Parcela]],"AAAA")</f>
        <v>2025</v>
      </c>
      <c r="AH54" s="30" t="str">
        <f>'DADOS FINANCEIROS'!X60</f>
        <v>Acompanhando</v>
      </c>
      <c r="AI54" s="46">
        <f ca="1">'DADOS FINANCEIROS'!Y60</f>
        <v>1900</v>
      </c>
      <c r="AJ54" s="46" t="str">
        <f ca="1">'DADOS FINANCEIROS'!Z60</f>
        <v>0</v>
      </c>
      <c r="AK5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4" s="98"/>
    </row>
    <row r="55" spans="1:38" x14ac:dyDescent="0.3">
      <c r="A55" s="30">
        <f>'DADOS FINANCEIROS'!D61</f>
        <v>62</v>
      </c>
      <c r="B55" s="30" t="str">
        <f>'DADOS FINANCEIROS'!A61</f>
        <v>Filial</v>
      </c>
      <c r="C55" s="30">
        <f>'DADOS FINANCEIROS'!B61</f>
        <v>0</v>
      </c>
      <c r="D55" s="30" t="str">
        <f>'DADOS FINANCEIROS'!C61</f>
        <v>NovaHorizonte</v>
      </c>
      <c r="E55" s="44">
        <f>'DADOS FINANCEIROS'!E61</f>
        <v>45709</v>
      </c>
      <c r="F55" s="44" t="str">
        <f>TEXT(Tabela1[[#This Row],[DATA DE EMISSÃO]],"MMM-AA")</f>
        <v>fev-25</v>
      </c>
      <c r="G55" s="44" t="str">
        <f>TEXT(Tabela1[[#This Row],[DATA DE EMISSÃO]],"AAAA")</f>
        <v>2025</v>
      </c>
      <c r="H55" s="44">
        <f>'DADOS FINANCEIROS'!F61</f>
        <v>45737</v>
      </c>
      <c r="I55" s="44" t="str">
        <f>TEXT(Tabela1[[#This Row],[VENCIMENTO ORIGINAL]],"MMM-AA")</f>
        <v>mar-25</v>
      </c>
      <c r="J55" s="44" t="str">
        <f>TEXT(Tabela1[[#This Row],[VENCIMENTO ORIGINAL]],"AAAA")</f>
        <v>2025</v>
      </c>
      <c r="K55" s="44">
        <f>'DADOS FINANCEIROS'!G61</f>
        <v>45737</v>
      </c>
      <c r="L55" s="44" t="str">
        <f>TEXT(Tabela1[[#This Row],[VENCIMENTO ATUAL]],"MMM-AA")</f>
        <v>mar-25</v>
      </c>
      <c r="M55" s="44" t="str">
        <f>TEXT(Tabela1[[#This Row],[VENCIMENTO ATUAL]],"AAAA")</f>
        <v>2025</v>
      </c>
      <c r="N55" s="46">
        <f>'DADOS FINANCEIROS'!H61</f>
        <v>2300</v>
      </c>
      <c r="O55" s="30" t="str">
        <f>'DADOS FINANCEIROS'!I61</f>
        <v>Maria</v>
      </c>
      <c r="P55" s="30" t="str">
        <f>'DADOS FINANCEIROS'!J61</f>
        <v>ANALISTA LUCAS</v>
      </c>
      <c r="Q55" s="30" t="str">
        <f>'DADOS FINANCEIROS'!K61</f>
        <v>NÃO</v>
      </c>
      <c r="R55" s="30" t="str">
        <f>'DADOS FINANCEIROS'!L61</f>
        <v>Sem Retorno</v>
      </c>
      <c r="S55" s="30" t="str">
        <f ca="1">'DADOS FINANCEIROS'!M61</f>
        <v>Vencido</v>
      </c>
      <c r="T55" s="30">
        <f ca="1">IFERROR('DADOS FINANCEIROS'!N61,"")</f>
        <v>58</v>
      </c>
      <c r="U55" s="30" t="str">
        <f ca="1">'DADOS FINANCEIROS'!O61</f>
        <v>31-60 dias</v>
      </c>
      <c r="V55" s="30" t="str">
        <f ca="1">'DADOS FINANCEIROS'!P61</f>
        <v>Atraso Médio</v>
      </c>
      <c r="W55" s="30" t="str">
        <f>'DADOS FINANCEIROS'!Q61</f>
        <v>-</v>
      </c>
      <c r="X55" s="30" t="str">
        <f>'DADOS FINANCEIROS'!R61</f>
        <v>Sim</v>
      </c>
      <c r="Y55" s="30">
        <f>'DADOS FINANCEIROS'!S61</f>
        <v>0</v>
      </c>
      <c r="Z55" s="30">
        <f>'DADOS FINANCEIROS'!T61</f>
        <v>1</v>
      </c>
      <c r="AA55" s="30" t="str">
        <f>'DADOS FINANCEIROS'!U61</f>
        <v>Sim</v>
      </c>
      <c r="AB55" s="44">
        <f>'DADOS FINANCEIROS'!V61</f>
        <v>45740</v>
      </c>
      <c r="AC55" s="44" t="str">
        <f>TEXT(Tabela1[[#This Row],[Data de Negociação]],"MMM-AA")</f>
        <v>mar-25</v>
      </c>
      <c r="AD55" s="44" t="str">
        <f>TEXT(Tabela1[[#This Row],[Data de Negociação]],"AAAA")</f>
        <v>2025</v>
      </c>
      <c r="AE55" s="44">
        <f>'DADOS FINANCEIROS'!W61</f>
        <v>45772</v>
      </c>
      <c r="AF55" s="44" t="str">
        <f>TEXT(Tabela1[[#This Row],[Data da Entrada/Primeira Parcela]],"MMM-AA")</f>
        <v>abr-25</v>
      </c>
      <c r="AG55" s="44" t="str">
        <f>TEXT(Tabela1[[#This Row],[Data da Entrada/Primeira Parcela]],"AAAA")</f>
        <v>2025</v>
      </c>
      <c r="AH55" s="30" t="str">
        <f>'DADOS FINANCEIROS'!X61</f>
        <v>Acompanhando</v>
      </c>
      <c r="AI55" s="46">
        <f ca="1">'DADOS FINANCEIROS'!Y61</f>
        <v>2300</v>
      </c>
      <c r="AJ55" s="46" t="str">
        <f ca="1">'DADOS FINANCEIROS'!Z61</f>
        <v>0</v>
      </c>
      <c r="AK5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5" s="98"/>
    </row>
    <row r="56" spans="1:38" x14ac:dyDescent="0.3">
      <c r="A56" s="30">
        <f>'DADOS FINANCEIROS'!D62</f>
        <v>63</v>
      </c>
      <c r="B56" s="30" t="str">
        <f>'DADOS FINANCEIROS'!A62</f>
        <v>Matriz</v>
      </c>
      <c r="C56" s="30">
        <f>'DADOS FINANCEIROS'!B62</f>
        <v>0</v>
      </c>
      <c r="D56" s="30" t="str">
        <f>'DADOS FINANCEIROS'!C62</f>
        <v>NovaHorizonte</v>
      </c>
      <c r="E56" s="44">
        <f>'DADOS FINANCEIROS'!E62</f>
        <v>45709</v>
      </c>
      <c r="F56" s="44" t="str">
        <f>TEXT(Tabela1[[#This Row],[DATA DE EMISSÃO]],"MMM-AA")</f>
        <v>fev-25</v>
      </c>
      <c r="G56" s="44" t="str">
        <f>TEXT(Tabela1[[#This Row],[DATA DE EMISSÃO]],"AAAA")</f>
        <v>2025</v>
      </c>
      <c r="H56" s="44">
        <f>'DADOS FINANCEIROS'!F62</f>
        <v>45737</v>
      </c>
      <c r="I56" s="44" t="str">
        <f>TEXT(Tabela1[[#This Row],[VENCIMENTO ORIGINAL]],"MMM-AA")</f>
        <v>mar-25</v>
      </c>
      <c r="J56" s="44" t="str">
        <f>TEXT(Tabela1[[#This Row],[VENCIMENTO ORIGINAL]],"AAAA")</f>
        <v>2025</v>
      </c>
      <c r="K56" s="44">
        <f>'DADOS FINANCEIROS'!G62</f>
        <v>45737</v>
      </c>
      <c r="L56" s="44" t="str">
        <f>TEXT(Tabela1[[#This Row],[VENCIMENTO ATUAL]],"MMM-AA")</f>
        <v>mar-25</v>
      </c>
      <c r="M56" s="44" t="str">
        <f>TEXT(Tabela1[[#This Row],[VENCIMENTO ATUAL]],"AAAA")</f>
        <v>2025</v>
      </c>
      <c r="N56" s="46">
        <f>'DADOS FINANCEIROS'!H62</f>
        <v>1700</v>
      </c>
      <c r="O56" s="30" t="str">
        <f>'DADOS FINANCEIROS'!I62</f>
        <v>Carlos</v>
      </c>
      <c r="P56" s="30" t="str">
        <f>'DADOS FINANCEIROS'!J62</f>
        <v>ANALISTA LUCAS</v>
      </c>
      <c r="Q56" s="30" t="str">
        <f>'DADOS FINANCEIROS'!K62</f>
        <v>NÃO</v>
      </c>
      <c r="R56" s="30" t="str">
        <f>'DADOS FINANCEIROS'!L62</f>
        <v>Sem Retorno</v>
      </c>
      <c r="S56" s="30" t="str">
        <f ca="1">'DADOS FINANCEIROS'!M62</f>
        <v>Vencido</v>
      </c>
      <c r="T56" s="30">
        <f ca="1">IFERROR('DADOS FINANCEIROS'!N62,"")</f>
        <v>58</v>
      </c>
      <c r="U56" s="30" t="str">
        <f ca="1">'DADOS FINANCEIROS'!O62</f>
        <v>31-60 dias</v>
      </c>
      <c r="V56" s="30" t="str">
        <f ca="1">'DADOS FINANCEIROS'!P62</f>
        <v>Atraso Médio</v>
      </c>
      <c r="W56" s="30" t="str">
        <f>'DADOS FINANCEIROS'!Q62</f>
        <v>-</v>
      </c>
      <c r="X56" s="30" t="str">
        <f>'DADOS FINANCEIROS'!R62</f>
        <v>Sim</v>
      </c>
      <c r="Y56" s="30">
        <f>'DADOS FINANCEIROS'!S62</f>
        <v>0</v>
      </c>
      <c r="Z56" s="30">
        <f>'DADOS FINANCEIROS'!T62</f>
        <v>1</v>
      </c>
      <c r="AA56" s="30" t="str">
        <f>'DADOS FINANCEIROS'!U62</f>
        <v>Sim</v>
      </c>
      <c r="AB56" s="44">
        <f>'DADOS FINANCEIROS'!V62</f>
        <v>45740</v>
      </c>
      <c r="AC56" s="44" t="str">
        <f>TEXT(Tabela1[[#This Row],[Data de Negociação]],"MMM-AA")</f>
        <v>mar-25</v>
      </c>
      <c r="AD56" s="44" t="str">
        <f>TEXT(Tabela1[[#This Row],[Data de Negociação]],"AAAA")</f>
        <v>2025</v>
      </c>
      <c r="AE56" s="44">
        <f>'DADOS FINANCEIROS'!W62</f>
        <v>45772</v>
      </c>
      <c r="AF56" s="44" t="str">
        <f>TEXT(Tabela1[[#This Row],[Data da Entrada/Primeira Parcela]],"MMM-AA")</f>
        <v>abr-25</v>
      </c>
      <c r="AG56" s="44" t="str">
        <f>TEXT(Tabela1[[#This Row],[Data da Entrada/Primeira Parcela]],"AAAA")</f>
        <v>2025</v>
      </c>
      <c r="AH56" s="30" t="str">
        <f>'DADOS FINANCEIROS'!X62</f>
        <v>Acompanhando</v>
      </c>
      <c r="AI56" s="46">
        <f ca="1">'DADOS FINANCEIROS'!Y62</f>
        <v>1700</v>
      </c>
      <c r="AJ56" s="46" t="str">
        <f ca="1">'DADOS FINANCEIROS'!Z62</f>
        <v>0</v>
      </c>
      <c r="AK5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6" s="98"/>
    </row>
    <row r="57" spans="1:38" x14ac:dyDescent="0.3">
      <c r="A57" s="30">
        <f>'DADOS FINANCEIROS'!D63</f>
        <v>64</v>
      </c>
      <c r="B57" s="30" t="str">
        <f>'DADOS FINANCEIROS'!A63</f>
        <v>Filial</v>
      </c>
      <c r="C57" s="30">
        <f>'DADOS FINANCEIROS'!B63</f>
        <v>0</v>
      </c>
      <c r="D57" s="30" t="str">
        <f>'DADOS FINANCEIROS'!C63</f>
        <v>NovaHorizonte</v>
      </c>
      <c r="E57" s="44">
        <f>'DADOS FINANCEIROS'!E63</f>
        <v>45709</v>
      </c>
      <c r="F57" s="44" t="str">
        <f>TEXT(Tabela1[[#This Row],[DATA DE EMISSÃO]],"MMM-AA")</f>
        <v>fev-25</v>
      </c>
      <c r="G57" s="44" t="str">
        <f>TEXT(Tabela1[[#This Row],[DATA DE EMISSÃO]],"AAAA")</f>
        <v>2025</v>
      </c>
      <c r="H57" s="44">
        <f>'DADOS FINANCEIROS'!F63</f>
        <v>45737</v>
      </c>
      <c r="I57" s="44" t="str">
        <f>TEXT(Tabela1[[#This Row],[VENCIMENTO ORIGINAL]],"MMM-AA")</f>
        <v>mar-25</v>
      </c>
      <c r="J57" s="44" t="str">
        <f>TEXT(Tabela1[[#This Row],[VENCIMENTO ORIGINAL]],"AAAA")</f>
        <v>2025</v>
      </c>
      <c r="K57" s="44">
        <f>'DADOS FINANCEIROS'!G63</f>
        <v>45737</v>
      </c>
      <c r="L57" s="44" t="str">
        <f>TEXT(Tabela1[[#This Row],[VENCIMENTO ATUAL]],"MMM-AA")</f>
        <v>mar-25</v>
      </c>
      <c r="M57" s="44" t="str">
        <f>TEXT(Tabela1[[#This Row],[VENCIMENTO ATUAL]],"AAAA")</f>
        <v>2025</v>
      </c>
      <c r="N57" s="46">
        <f>'DADOS FINANCEIROS'!H63</f>
        <v>2200</v>
      </c>
      <c r="O57" s="30" t="str">
        <f>'DADOS FINANCEIROS'!I63</f>
        <v>Ana</v>
      </c>
      <c r="P57" s="30" t="str">
        <f>'DADOS FINANCEIROS'!J63</f>
        <v>ANALISTA LUCAS</v>
      </c>
      <c r="Q57" s="30" t="str">
        <f>'DADOS FINANCEIROS'!K63</f>
        <v>NÃO</v>
      </c>
      <c r="R57" s="30" t="str">
        <f>'DADOS FINANCEIROS'!L63</f>
        <v>Sem Retorno</v>
      </c>
      <c r="S57" s="30" t="str">
        <f ca="1">'DADOS FINANCEIROS'!M63</f>
        <v>Vencido</v>
      </c>
      <c r="T57" s="30">
        <f ca="1">IFERROR('DADOS FINANCEIROS'!N63,"")</f>
        <v>58</v>
      </c>
      <c r="U57" s="30" t="str">
        <f ca="1">'DADOS FINANCEIROS'!O63</f>
        <v>31-60 dias</v>
      </c>
      <c r="V57" s="30" t="str">
        <f ca="1">'DADOS FINANCEIROS'!P63</f>
        <v>Atraso Médio</v>
      </c>
      <c r="W57" s="30" t="str">
        <f>'DADOS FINANCEIROS'!Q63</f>
        <v>-</v>
      </c>
      <c r="X57" s="30" t="str">
        <f>'DADOS FINANCEIROS'!R63</f>
        <v>Sim</v>
      </c>
      <c r="Y57" s="30">
        <f>'DADOS FINANCEIROS'!S63</f>
        <v>0</v>
      </c>
      <c r="Z57" s="30">
        <f>'DADOS FINANCEIROS'!T63</f>
        <v>1</v>
      </c>
      <c r="AA57" s="30" t="str">
        <f>'DADOS FINANCEIROS'!U63</f>
        <v>Sim</v>
      </c>
      <c r="AB57" s="44">
        <f>'DADOS FINANCEIROS'!V63</f>
        <v>45740</v>
      </c>
      <c r="AC57" s="44" t="str">
        <f>TEXT(Tabela1[[#This Row],[Data de Negociação]],"MMM-AA")</f>
        <v>mar-25</v>
      </c>
      <c r="AD57" s="44" t="str">
        <f>TEXT(Tabela1[[#This Row],[Data de Negociação]],"AAAA")</f>
        <v>2025</v>
      </c>
      <c r="AE57" s="44">
        <f>'DADOS FINANCEIROS'!W63</f>
        <v>45772</v>
      </c>
      <c r="AF57" s="44" t="str">
        <f>TEXT(Tabela1[[#This Row],[Data da Entrada/Primeira Parcela]],"MMM-AA")</f>
        <v>abr-25</v>
      </c>
      <c r="AG57" s="44" t="str">
        <f>TEXT(Tabela1[[#This Row],[Data da Entrada/Primeira Parcela]],"AAAA")</f>
        <v>2025</v>
      </c>
      <c r="AH57" s="30" t="str">
        <f>'DADOS FINANCEIROS'!X63</f>
        <v>Acompanhando</v>
      </c>
      <c r="AI57" s="46">
        <f ca="1">'DADOS FINANCEIROS'!Y63</f>
        <v>2200</v>
      </c>
      <c r="AJ57" s="46" t="str">
        <f ca="1">'DADOS FINANCEIROS'!Z63</f>
        <v>0</v>
      </c>
      <c r="AK5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7" s="98"/>
    </row>
    <row r="58" spans="1:38" x14ac:dyDescent="0.3">
      <c r="A58" s="30">
        <f>'DADOS FINANCEIROS'!D64</f>
        <v>65</v>
      </c>
      <c r="B58" s="30" t="str">
        <f>'DADOS FINANCEIROS'!A64</f>
        <v>Matriz</v>
      </c>
      <c r="C58" s="30">
        <f>'DADOS FINANCEIROS'!B64</f>
        <v>0</v>
      </c>
      <c r="D58" s="30" t="str">
        <f>'DADOS FINANCEIROS'!C64</f>
        <v>NovaHorizonte</v>
      </c>
      <c r="E58" s="44">
        <f>'DADOS FINANCEIROS'!E64</f>
        <v>45709</v>
      </c>
      <c r="F58" s="44" t="str">
        <f>TEXT(Tabela1[[#This Row],[DATA DE EMISSÃO]],"MMM-AA")</f>
        <v>fev-25</v>
      </c>
      <c r="G58" s="44" t="str">
        <f>TEXT(Tabela1[[#This Row],[DATA DE EMISSÃO]],"AAAA")</f>
        <v>2025</v>
      </c>
      <c r="H58" s="44">
        <f>'DADOS FINANCEIROS'!F64</f>
        <v>45737</v>
      </c>
      <c r="I58" s="44" t="str">
        <f>TEXT(Tabela1[[#This Row],[VENCIMENTO ORIGINAL]],"MMM-AA")</f>
        <v>mar-25</v>
      </c>
      <c r="J58" s="44" t="str">
        <f>TEXT(Tabela1[[#This Row],[VENCIMENTO ORIGINAL]],"AAAA")</f>
        <v>2025</v>
      </c>
      <c r="K58" s="44">
        <f>'DADOS FINANCEIROS'!G64</f>
        <v>45737</v>
      </c>
      <c r="L58" s="44" t="str">
        <f>TEXT(Tabela1[[#This Row],[VENCIMENTO ATUAL]],"MMM-AA")</f>
        <v>mar-25</v>
      </c>
      <c r="M58" s="44" t="str">
        <f>TEXT(Tabela1[[#This Row],[VENCIMENTO ATUAL]],"AAAA")</f>
        <v>2025</v>
      </c>
      <c r="N58" s="46">
        <f>'DADOS FINANCEIROS'!H64</f>
        <v>2500</v>
      </c>
      <c r="O58" s="30" t="str">
        <f>'DADOS FINANCEIROS'!I64</f>
        <v>Beatriz</v>
      </c>
      <c r="P58" s="30" t="str">
        <f>'DADOS FINANCEIROS'!J64</f>
        <v>ANALISTA LUCAS</v>
      </c>
      <c r="Q58" s="30" t="str">
        <f>'DADOS FINANCEIROS'!K64</f>
        <v>NÃO</v>
      </c>
      <c r="R58" s="30" t="str">
        <f>'DADOS FINANCEIROS'!L64</f>
        <v>Sem Retorno</v>
      </c>
      <c r="S58" s="30" t="str">
        <f ca="1">'DADOS FINANCEIROS'!M64</f>
        <v>Vencido</v>
      </c>
      <c r="T58" s="30">
        <f ca="1">IFERROR('DADOS FINANCEIROS'!N64,"")</f>
        <v>58</v>
      </c>
      <c r="U58" s="30" t="str">
        <f ca="1">'DADOS FINANCEIROS'!O64</f>
        <v>31-60 dias</v>
      </c>
      <c r="V58" s="30" t="str">
        <f ca="1">'DADOS FINANCEIROS'!P64</f>
        <v>Atraso Médio</v>
      </c>
      <c r="W58" s="30" t="str">
        <f>'DADOS FINANCEIROS'!Q64</f>
        <v>-</v>
      </c>
      <c r="X58" s="30" t="str">
        <f>'DADOS FINANCEIROS'!R64</f>
        <v>Sim</v>
      </c>
      <c r="Y58" s="30">
        <f>'DADOS FINANCEIROS'!S64</f>
        <v>0</v>
      </c>
      <c r="Z58" s="30">
        <f>'DADOS FINANCEIROS'!T64</f>
        <v>1</v>
      </c>
      <c r="AA58" s="30" t="str">
        <f>'DADOS FINANCEIROS'!U64</f>
        <v>Sim</v>
      </c>
      <c r="AB58" s="44">
        <f>'DADOS FINANCEIROS'!V64</f>
        <v>45740</v>
      </c>
      <c r="AC58" s="44" t="str">
        <f>TEXT(Tabela1[[#This Row],[Data de Negociação]],"MMM-AA")</f>
        <v>mar-25</v>
      </c>
      <c r="AD58" s="44" t="str">
        <f>TEXT(Tabela1[[#This Row],[Data de Negociação]],"AAAA")</f>
        <v>2025</v>
      </c>
      <c r="AE58" s="44">
        <f>'DADOS FINANCEIROS'!W64</f>
        <v>45772</v>
      </c>
      <c r="AF58" s="44" t="str">
        <f>TEXT(Tabela1[[#This Row],[Data da Entrada/Primeira Parcela]],"MMM-AA")</f>
        <v>abr-25</v>
      </c>
      <c r="AG58" s="44" t="str">
        <f>TEXT(Tabela1[[#This Row],[Data da Entrada/Primeira Parcela]],"AAAA")</f>
        <v>2025</v>
      </c>
      <c r="AH58" s="30" t="str">
        <f>'DADOS FINANCEIROS'!X64</f>
        <v>Acompanhando</v>
      </c>
      <c r="AI58" s="46">
        <f ca="1">'DADOS FINANCEIROS'!Y64</f>
        <v>2500</v>
      </c>
      <c r="AJ58" s="46" t="str">
        <f ca="1">'DADOS FINANCEIROS'!Z64</f>
        <v>0</v>
      </c>
      <c r="AK5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58" s="98"/>
    </row>
    <row r="59" spans="1:38" x14ac:dyDescent="0.3">
      <c r="A59" s="30">
        <f>'DADOS FINANCEIROS'!D65</f>
        <v>66</v>
      </c>
      <c r="B59" s="30" t="str">
        <f>'DADOS FINANCEIROS'!A65</f>
        <v>Filial</v>
      </c>
      <c r="C59" s="30">
        <f>'DADOS FINANCEIROS'!B65</f>
        <v>0</v>
      </c>
      <c r="D59" s="30" t="str">
        <f>'DADOS FINANCEIROS'!C65</f>
        <v>NovaHorizonte</v>
      </c>
      <c r="E59" s="44">
        <f>'DADOS FINANCEIROS'!E65</f>
        <v>45678</v>
      </c>
      <c r="F59" s="44" t="str">
        <f>TEXT(Tabela1[[#This Row],[DATA DE EMISSÃO]],"MMM-AA")</f>
        <v>jan-25</v>
      </c>
      <c r="G59" s="44" t="str">
        <f>TEXT(Tabela1[[#This Row],[DATA DE EMISSÃO]],"AAAA")</f>
        <v>2025</v>
      </c>
      <c r="H59" s="44">
        <f>'DADOS FINANCEIROS'!F65</f>
        <v>45678</v>
      </c>
      <c r="I59" s="44" t="str">
        <f>TEXT(Tabela1[[#This Row],[VENCIMENTO ORIGINAL]],"MMM-AA")</f>
        <v>jan-25</v>
      </c>
      <c r="J59" s="44" t="str">
        <f>TEXT(Tabela1[[#This Row],[VENCIMENTO ORIGINAL]],"AAAA")</f>
        <v>2025</v>
      </c>
      <c r="K59" s="44">
        <f>'DADOS FINANCEIROS'!G65</f>
        <v>45678</v>
      </c>
      <c r="L59" s="44" t="str">
        <f>TEXT(Tabela1[[#This Row],[VENCIMENTO ATUAL]],"MMM-AA")</f>
        <v>jan-25</v>
      </c>
      <c r="M59" s="44" t="str">
        <f>TEXT(Tabela1[[#This Row],[VENCIMENTO ATUAL]],"AAAA")</f>
        <v>2025</v>
      </c>
      <c r="N59" s="46">
        <f>'DADOS FINANCEIROS'!H65</f>
        <v>2000</v>
      </c>
      <c r="O59" s="30" t="str">
        <f>'DADOS FINANCEIROS'!I65</f>
        <v>Lucas</v>
      </c>
      <c r="P59" s="30" t="str">
        <f>'DADOS FINANCEIROS'!J65</f>
        <v>ANALISTA LUCAS</v>
      </c>
      <c r="Q59" s="30" t="str">
        <f>'DADOS FINANCEIROS'!K65</f>
        <v>NÃO</v>
      </c>
      <c r="R59" s="30" t="str">
        <f>'DADOS FINANCEIROS'!L65</f>
        <v>Sem Retorno</v>
      </c>
      <c r="S59" s="30" t="str">
        <f ca="1">'DADOS FINANCEIROS'!M65</f>
        <v>Vencido</v>
      </c>
      <c r="T59" s="30">
        <f ca="1">IFERROR('DADOS FINANCEIROS'!N65,"")</f>
        <v>117</v>
      </c>
      <c r="U59" s="30" t="str">
        <f ca="1">'DADOS FINANCEIROS'!O65</f>
        <v>61+ dias</v>
      </c>
      <c r="V59" s="30" t="str">
        <f ca="1">'DADOS FINANCEIROS'!P65</f>
        <v>Atraso Crítico</v>
      </c>
      <c r="W59" s="30" t="str">
        <f>'DADOS FINANCEIROS'!Q65</f>
        <v>-</v>
      </c>
      <c r="X59" s="30" t="str">
        <f>'DADOS FINANCEIROS'!R65</f>
        <v>Sim</v>
      </c>
      <c r="Y59" s="30">
        <f>'DADOS FINANCEIROS'!S65</f>
        <v>0</v>
      </c>
      <c r="Z59" s="30">
        <f>'DADOS FINANCEIROS'!T65</f>
        <v>1</v>
      </c>
      <c r="AA59" s="30" t="str">
        <f>'DADOS FINANCEIROS'!U65</f>
        <v>Sim</v>
      </c>
      <c r="AB59" s="44">
        <f>'DADOS FINANCEIROS'!V65</f>
        <v>45740</v>
      </c>
      <c r="AC59" s="44" t="str">
        <f>TEXT(Tabela1[[#This Row],[Data de Negociação]],"MMM-AA")</f>
        <v>mar-25</v>
      </c>
      <c r="AD59" s="44" t="str">
        <f>TEXT(Tabela1[[#This Row],[Data de Negociação]],"AAAA")</f>
        <v>2025</v>
      </c>
      <c r="AE59" s="44">
        <f>'DADOS FINANCEIROS'!W65</f>
        <v>45772</v>
      </c>
      <c r="AF59" s="44" t="str">
        <f>TEXT(Tabela1[[#This Row],[Data da Entrada/Primeira Parcela]],"MMM-AA")</f>
        <v>abr-25</v>
      </c>
      <c r="AG59" s="44" t="str">
        <f>TEXT(Tabela1[[#This Row],[Data da Entrada/Primeira Parcela]],"AAAA")</f>
        <v>2025</v>
      </c>
      <c r="AH59" s="30" t="str">
        <f>'DADOS FINANCEIROS'!X65</f>
        <v>Acompanhando</v>
      </c>
      <c r="AI59" s="46">
        <f ca="1">'DADOS FINANCEIROS'!Y65</f>
        <v>2000</v>
      </c>
      <c r="AJ59" s="46" t="str">
        <f ca="1">'DADOS FINANCEIROS'!Z65</f>
        <v>0</v>
      </c>
      <c r="AK5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Judicial</v>
      </c>
      <c r="AL59" s="98"/>
    </row>
    <row r="60" spans="1:38" x14ac:dyDescent="0.3">
      <c r="A60" s="30">
        <f>'DADOS FINANCEIROS'!D66</f>
        <v>67</v>
      </c>
      <c r="B60" s="30" t="str">
        <f>'DADOS FINANCEIROS'!A66</f>
        <v>Matriz</v>
      </c>
      <c r="C60" s="30">
        <f>'DADOS FINANCEIROS'!B66</f>
        <v>0</v>
      </c>
      <c r="D60" s="30" t="str">
        <f>'DADOS FINANCEIROS'!C66</f>
        <v>NovaHorizonte</v>
      </c>
      <c r="E60" s="44">
        <f>'DADOS FINANCEIROS'!E66</f>
        <v>45709</v>
      </c>
      <c r="F60" s="44" t="str">
        <f>TEXT(Tabela1[[#This Row],[DATA DE EMISSÃO]],"MMM-AA")</f>
        <v>fev-25</v>
      </c>
      <c r="G60" s="44" t="str">
        <f>TEXT(Tabela1[[#This Row],[DATA DE EMISSÃO]],"AAAA")</f>
        <v>2025</v>
      </c>
      <c r="H60" s="44">
        <f>'DADOS FINANCEIROS'!F66</f>
        <v>45737</v>
      </c>
      <c r="I60" s="44" t="str">
        <f>TEXT(Tabela1[[#This Row],[VENCIMENTO ORIGINAL]],"MMM-AA")</f>
        <v>mar-25</v>
      </c>
      <c r="J60" s="44" t="str">
        <f>TEXT(Tabela1[[#This Row],[VENCIMENTO ORIGINAL]],"AAAA")</f>
        <v>2025</v>
      </c>
      <c r="K60" s="44">
        <f>'DADOS FINANCEIROS'!G66</f>
        <v>45737</v>
      </c>
      <c r="L60" s="44" t="str">
        <f>TEXT(Tabela1[[#This Row],[VENCIMENTO ATUAL]],"MMM-AA")</f>
        <v>mar-25</v>
      </c>
      <c r="M60" s="44" t="str">
        <f>TEXT(Tabela1[[#This Row],[VENCIMENTO ATUAL]],"AAAA")</f>
        <v>2025</v>
      </c>
      <c r="N60" s="46">
        <f>'DADOS FINANCEIROS'!H66</f>
        <v>3200</v>
      </c>
      <c r="O60" s="30" t="str">
        <f>'DADOS FINANCEIROS'!I66</f>
        <v>Carla</v>
      </c>
      <c r="P60" s="30" t="str">
        <f>'DADOS FINANCEIROS'!J66</f>
        <v>ANALISTA LUCAS</v>
      </c>
      <c r="Q60" s="30" t="str">
        <f>'DADOS FINANCEIROS'!K66</f>
        <v>NÃO</v>
      </c>
      <c r="R60" s="30" t="str">
        <f>'DADOS FINANCEIROS'!L66</f>
        <v>Sem Retorno</v>
      </c>
      <c r="S60" s="30" t="str">
        <f ca="1">'DADOS FINANCEIROS'!M66</f>
        <v>Vencido</v>
      </c>
      <c r="T60" s="30">
        <f ca="1">IFERROR('DADOS FINANCEIROS'!N66,"")</f>
        <v>58</v>
      </c>
      <c r="U60" s="30" t="str">
        <f ca="1">'DADOS FINANCEIROS'!O66</f>
        <v>31-60 dias</v>
      </c>
      <c r="V60" s="30" t="str">
        <f ca="1">'DADOS FINANCEIROS'!P66</f>
        <v>Atraso Médio</v>
      </c>
      <c r="W60" s="30" t="str">
        <f>'DADOS FINANCEIROS'!Q66</f>
        <v>-</v>
      </c>
      <c r="X60" s="30" t="str">
        <f>'DADOS FINANCEIROS'!R66</f>
        <v>Sim</v>
      </c>
      <c r="Y60" s="30">
        <f>'DADOS FINANCEIROS'!S66</f>
        <v>0</v>
      </c>
      <c r="Z60" s="30">
        <f>'DADOS FINANCEIROS'!T66</f>
        <v>1</v>
      </c>
      <c r="AA60" s="30" t="str">
        <f>'DADOS FINANCEIROS'!U66</f>
        <v>Sim</v>
      </c>
      <c r="AB60" s="44">
        <f>'DADOS FINANCEIROS'!V66</f>
        <v>45740</v>
      </c>
      <c r="AC60" s="44" t="str">
        <f>TEXT(Tabela1[[#This Row],[Data de Negociação]],"MMM-AA")</f>
        <v>mar-25</v>
      </c>
      <c r="AD60" s="44" t="str">
        <f>TEXT(Tabela1[[#This Row],[Data de Negociação]],"AAAA")</f>
        <v>2025</v>
      </c>
      <c r="AE60" s="44">
        <f>'DADOS FINANCEIROS'!W66</f>
        <v>45772</v>
      </c>
      <c r="AF60" s="44" t="str">
        <f>TEXT(Tabela1[[#This Row],[Data da Entrada/Primeira Parcela]],"MMM-AA")</f>
        <v>abr-25</v>
      </c>
      <c r="AG60" s="44" t="str">
        <f>TEXT(Tabela1[[#This Row],[Data da Entrada/Primeira Parcela]],"AAAA")</f>
        <v>2025</v>
      </c>
      <c r="AH60" s="30" t="str">
        <f>'DADOS FINANCEIROS'!X66</f>
        <v>Acompanhando</v>
      </c>
      <c r="AI60" s="46">
        <f ca="1">'DADOS FINANCEIROS'!Y66</f>
        <v>3200</v>
      </c>
      <c r="AJ60" s="46" t="str">
        <f ca="1">'DADOS FINANCEIROS'!Z66</f>
        <v>0</v>
      </c>
      <c r="AK6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0" s="98"/>
    </row>
    <row r="61" spans="1:38" x14ac:dyDescent="0.3">
      <c r="A61" s="30">
        <f>'DADOS FINANCEIROS'!D67</f>
        <v>68</v>
      </c>
      <c r="B61" s="30" t="str">
        <f>'DADOS FINANCEIROS'!A67</f>
        <v>Filial</v>
      </c>
      <c r="C61" s="30">
        <f>'DADOS FINANCEIROS'!B67</f>
        <v>0</v>
      </c>
      <c r="D61" s="30" t="str">
        <f>'DADOS FINANCEIROS'!C67</f>
        <v>NovaHorizonte</v>
      </c>
      <c r="E61" s="44">
        <f>'DADOS FINANCEIROS'!E67</f>
        <v>45709</v>
      </c>
      <c r="F61" s="44" t="str">
        <f>TEXT(Tabela1[[#This Row],[DATA DE EMISSÃO]],"MMM-AA")</f>
        <v>fev-25</v>
      </c>
      <c r="G61" s="44" t="str">
        <f>TEXT(Tabela1[[#This Row],[DATA DE EMISSÃO]],"AAAA")</f>
        <v>2025</v>
      </c>
      <c r="H61" s="44">
        <f>'DADOS FINANCEIROS'!F67</f>
        <v>45737</v>
      </c>
      <c r="I61" s="44" t="str">
        <f>TEXT(Tabela1[[#This Row],[VENCIMENTO ORIGINAL]],"MMM-AA")</f>
        <v>mar-25</v>
      </c>
      <c r="J61" s="44" t="str">
        <f>TEXT(Tabela1[[#This Row],[VENCIMENTO ORIGINAL]],"AAAA")</f>
        <v>2025</v>
      </c>
      <c r="K61" s="44">
        <f>'DADOS FINANCEIROS'!G67</f>
        <v>45737</v>
      </c>
      <c r="L61" s="44" t="str">
        <f>TEXT(Tabela1[[#This Row],[VENCIMENTO ATUAL]],"MMM-AA")</f>
        <v>mar-25</v>
      </c>
      <c r="M61" s="44" t="str">
        <f>TEXT(Tabela1[[#This Row],[VENCIMENTO ATUAL]],"AAAA")</f>
        <v>2025</v>
      </c>
      <c r="N61" s="46">
        <f>'DADOS FINANCEIROS'!H67</f>
        <v>1500</v>
      </c>
      <c r="O61" s="30" t="str">
        <f>'DADOS FINANCEIROS'!I67</f>
        <v>Roberto</v>
      </c>
      <c r="P61" s="30" t="str">
        <f>'DADOS FINANCEIROS'!J67</f>
        <v>ANALISTA LUCAS</v>
      </c>
      <c r="Q61" s="30" t="str">
        <f>'DADOS FINANCEIROS'!K67</f>
        <v>NÃO</v>
      </c>
      <c r="R61" s="30" t="str">
        <f>'DADOS FINANCEIROS'!L67</f>
        <v>Sem Retorno</v>
      </c>
      <c r="S61" s="30" t="str">
        <f ca="1">'DADOS FINANCEIROS'!M67</f>
        <v>Vencido</v>
      </c>
      <c r="T61" s="30">
        <f ca="1">IFERROR('DADOS FINANCEIROS'!N67,"")</f>
        <v>58</v>
      </c>
      <c r="U61" s="30" t="str">
        <f ca="1">'DADOS FINANCEIROS'!O67</f>
        <v>31-60 dias</v>
      </c>
      <c r="V61" s="30" t="str">
        <f ca="1">'DADOS FINANCEIROS'!P67</f>
        <v>Atraso Médio</v>
      </c>
      <c r="W61" s="30" t="str">
        <f>'DADOS FINANCEIROS'!Q67</f>
        <v>-</v>
      </c>
      <c r="X61" s="30" t="str">
        <f>'DADOS FINANCEIROS'!R67</f>
        <v>Sim</v>
      </c>
      <c r="Y61" s="30">
        <f>'DADOS FINANCEIROS'!S67</f>
        <v>0</v>
      </c>
      <c r="Z61" s="30">
        <f>'DADOS FINANCEIROS'!T67</f>
        <v>1</v>
      </c>
      <c r="AA61" s="30" t="str">
        <f>'DADOS FINANCEIROS'!U67</f>
        <v>Sim</v>
      </c>
      <c r="AB61" s="44">
        <f>'DADOS FINANCEIROS'!V67</f>
        <v>45740</v>
      </c>
      <c r="AC61" s="44" t="str">
        <f>TEXT(Tabela1[[#This Row],[Data de Negociação]],"MMM-AA")</f>
        <v>mar-25</v>
      </c>
      <c r="AD61" s="44" t="str">
        <f>TEXT(Tabela1[[#This Row],[Data de Negociação]],"AAAA")</f>
        <v>2025</v>
      </c>
      <c r="AE61" s="44">
        <f>'DADOS FINANCEIROS'!W67</f>
        <v>45772</v>
      </c>
      <c r="AF61" s="44" t="str">
        <f>TEXT(Tabela1[[#This Row],[Data da Entrada/Primeira Parcela]],"MMM-AA")</f>
        <v>abr-25</v>
      </c>
      <c r="AG61" s="44" t="str">
        <f>TEXT(Tabela1[[#This Row],[Data da Entrada/Primeira Parcela]],"AAAA")</f>
        <v>2025</v>
      </c>
      <c r="AH61" s="30" t="str">
        <f>'DADOS FINANCEIROS'!X67</f>
        <v>Acompanhando</v>
      </c>
      <c r="AI61" s="46">
        <f ca="1">'DADOS FINANCEIROS'!Y67</f>
        <v>1500</v>
      </c>
      <c r="AJ61" s="46" t="str">
        <f ca="1">'DADOS FINANCEIROS'!Z67</f>
        <v>0</v>
      </c>
      <c r="AK6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1" s="98"/>
    </row>
    <row r="62" spans="1:38" x14ac:dyDescent="0.3">
      <c r="A62" s="30">
        <f>'DADOS FINANCEIROS'!D68</f>
        <v>69</v>
      </c>
      <c r="B62" s="30" t="str">
        <f>'DADOS FINANCEIROS'!A68</f>
        <v>Matriz</v>
      </c>
      <c r="C62" s="30">
        <f>'DADOS FINANCEIROS'!B68</f>
        <v>0</v>
      </c>
      <c r="D62" s="30" t="str">
        <f>'DADOS FINANCEIROS'!C68</f>
        <v>NovaHorizonte</v>
      </c>
      <c r="E62" s="44">
        <f>'DADOS FINANCEIROS'!E68</f>
        <v>45709</v>
      </c>
      <c r="F62" s="44" t="str">
        <f>TEXT(Tabela1[[#This Row],[DATA DE EMISSÃO]],"MMM-AA")</f>
        <v>fev-25</v>
      </c>
      <c r="G62" s="44" t="str">
        <f>TEXT(Tabela1[[#This Row],[DATA DE EMISSÃO]],"AAAA")</f>
        <v>2025</v>
      </c>
      <c r="H62" s="44">
        <f>'DADOS FINANCEIROS'!F68</f>
        <v>45737</v>
      </c>
      <c r="I62" s="44" t="str">
        <f>TEXT(Tabela1[[#This Row],[VENCIMENTO ORIGINAL]],"MMM-AA")</f>
        <v>mar-25</v>
      </c>
      <c r="J62" s="44" t="str">
        <f>TEXT(Tabela1[[#This Row],[VENCIMENTO ORIGINAL]],"AAAA")</f>
        <v>2025</v>
      </c>
      <c r="K62" s="44">
        <f>'DADOS FINANCEIROS'!G68</f>
        <v>45737</v>
      </c>
      <c r="L62" s="44" t="str">
        <f>TEXT(Tabela1[[#This Row],[VENCIMENTO ATUAL]],"MMM-AA")</f>
        <v>mar-25</v>
      </c>
      <c r="M62" s="44" t="str">
        <f>TEXT(Tabela1[[#This Row],[VENCIMENTO ATUAL]],"AAAA")</f>
        <v>2025</v>
      </c>
      <c r="N62" s="46">
        <f>'DADOS FINANCEIROS'!H68</f>
        <v>2800</v>
      </c>
      <c r="O62" s="30" t="str">
        <f>'DADOS FINANCEIROS'!I68</f>
        <v>Juliana</v>
      </c>
      <c r="P62" s="30" t="str">
        <f>'DADOS FINANCEIROS'!J68</f>
        <v>ANALISTA LUCAS</v>
      </c>
      <c r="Q62" s="30" t="str">
        <f>'DADOS FINANCEIROS'!K68</f>
        <v>NÃO</v>
      </c>
      <c r="R62" s="30" t="str">
        <f>'DADOS FINANCEIROS'!L68</f>
        <v>Sem Retorno</v>
      </c>
      <c r="S62" s="30" t="str">
        <f ca="1">'DADOS FINANCEIROS'!M68</f>
        <v>Vencido</v>
      </c>
      <c r="T62" s="30">
        <f ca="1">IFERROR('DADOS FINANCEIROS'!N68,"")</f>
        <v>58</v>
      </c>
      <c r="U62" s="30" t="str">
        <f ca="1">'DADOS FINANCEIROS'!O68</f>
        <v>31-60 dias</v>
      </c>
      <c r="V62" s="30" t="str">
        <f ca="1">'DADOS FINANCEIROS'!P68</f>
        <v>Atraso Médio</v>
      </c>
      <c r="W62" s="30" t="str">
        <f>'DADOS FINANCEIROS'!Q68</f>
        <v>-</v>
      </c>
      <c r="X62" s="30" t="str">
        <f>'DADOS FINANCEIROS'!R68</f>
        <v>Sim</v>
      </c>
      <c r="Y62" s="30">
        <f>'DADOS FINANCEIROS'!S68</f>
        <v>0</v>
      </c>
      <c r="Z62" s="30">
        <f>'DADOS FINANCEIROS'!T68</f>
        <v>1</v>
      </c>
      <c r="AA62" s="30" t="str">
        <f>'DADOS FINANCEIROS'!U68</f>
        <v>Sim</v>
      </c>
      <c r="AB62" s="44">
        <f>'DADOS FINANCEIROS'!V68</f>
        <v>45740</v>
      </c>
      <c r="AC62" s="44" t="str">
        <f>TEXT(Tabela1[[#This Row],[Data de Negociação]],"MMM-AA")</f>
        <v>mar-25</v>
      </c>
      <c r="AD62" s="44" t="str">
        <f>TEXT(Tabela1[[#This Row],[Data de Negociação]],"AAAA")</f>
        <v>2025</v>
      </c>
      <c r="AE62" s="44">
        <f>'DADOS FINANCEIROS'!W68</f>
        <v>45772</v>
      </c>
      <c r="AF62" s="44" t="str">
        <f>TEXT(Tabela1[[#This Row],[Data da Entrada/Primeira Parcela]],"MMM-AA")</f>
        <v>abr-25</v>
      </c>
      <c r="AG62" s="44" t="str">
        <f>TEXT(Tabela1[[#This Row],[Data da Entrada/Primeira Parcela]],"AAAA")</f>
        <v>2025</v>
      </c>
      <c r="AH62" s="30" t="str">
        <f>'DADOS FINANCEIROS'!X68</f>
        <v>Acompanhando</v>
      </c>
      <c r="AI62" s="46">
        <f ca="1">'DADOS FINANCEIROS'!Y68</f>
        <v>2800</v>
      </c>
      <c r="AJ62" s="46" t="str">
        <f ca="1">'DADOS FINANCEIROS'!Z68</f>
        <v>0</v>
      </c>
      <c r="AK6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2" s="98"/>
    </row>
    <row r="63" spans="1:38" x14ac:dyDescent="0.3">
      <c r="A63" s="30">
        <f>'DADOS FINANCEIROS'!D69</f>
        <v>70</v>
      </c>
      <c r="B63" s="30" t="str">
        <f>'DADOS FINANCEIROS'!A69</f>
        <v>Filial</v>
      </c>
      <c r="C63" s="30">
        <f>'DADOS FINANCEIROS'!B69</f>
        <v>0</v>
      </c>
      <c r="D63" s="30" t="str">
        <f>'DADOS FINANCEIROS'!C69</f>
        <v>NovaHorizonte</v>
      </c>
      <c r="E63" s="44">
        <f>'DADOS FINANCEIROS'!E69</f>
        <v>45709</v>
      </c>
      <c r="F63" s="44" t="str">
        <f>TEXT(Tabela1[[#This Row],[DATA DE EMISSÃO]],"MMM-AA")</f>
        <v>fev-25</v>
      </c>
      <c r="G63" s="44" t="str">
        <f>TEXT(Tabela1[[#This Row],[DATA DE EMISSÃO]],"AAAA")</f>
        <v>2025</v>
      </c>
      <c r="H63" s="44">
        <f>'DADOS FINANCEIROS'!F69</f>
        <v>45737</v>
      </c>
      <c r="I63" s="44" t="str">
        <f>TEXT(Tabela1[[#This Row],[VENCIMENTO ORIGINAL]],"MMM-AA")</f>
        <v>mar-25</v>
      </c>
      <c r="J63" s="44" t="str">
        <f>TEXT(Tabela1[[#This Row],[VENCIMENTO ORIGINAL]],"AAAA")</f>
        <v>2025</v>
      </c>
      <c r="K63" s="44">
        <f>'DADOS FINANCEIROS'!G69</f>
        <v>45737</v>
      </c>
      <c r="L63" s="44" t="str">
        <f>TEXT(Tabela1[[#This Row],[VENCIMENTO ATUAL]],"MMM-AA")</f>
        <v>mar-25</v>
      </c>
      <c r="M63" s="44" t="str">
        <f>TEXT(Tabela1[[#This Row],[VENCIMENTO ATUAL]],"AAAA")</f>
        <v>2025</v>
      </c>
      <c r="N63" s="46">
        <f>'DADOS FINANCEIROS'!H69</f>
        <v>1700</v>
      </c>
      <c r="O63" s="30" t="str">
        <f>'DADOS FINANCEIROS'!I69</f>
        <v>Gustavo</v>
      </c>
      <c r="P63" s="30" t="str">
        <f>'DADOS FINANCEIROS'!J69</f>
        <v>ANALISTA LUCAS</v>
      </c>
      <c r="Q63" s="30" t="str">
        <f>'DADOS FINANCEIROS'!K69</f>
        <v>NÃO</v>
      </c>
      <c r="R63" s="30" t="str">
        <f>'DADOS FINANCEIROS'!L69</f>
        <v>Sem Retorno</v>
      </c>
      <c r="S63" s="30" t="str">
        <f ca="1">'DADOS FINANCEIROS'!M69</f>
        <v>Vencido</v>
      </c>
      <c r="T63" s="30">
        <f ca="1">IFERROR('DADOS FINANCEIROS'!N69,"")</f>
        <v>58</v>
      </c>
      <c r="U63" s="30" t="str">
        <f ca="1">'DADOS FINANCEIROS'!O69</f>
        <v>31-60 dias</v>
      </c>
      <c r="V63" s="30" t="str">
        <f ca="1">'DADOS FINANCEIROS'!P69</f>
        <v>Atraso Médio</v>
      </c>
      <c r="W63" s="30" t="str">
        <f>'DADOS FINANCEIROS'!Q69</f>
        <v>-</v>
      </c>
      <c r="X63" s="30" t="str">
        <f>'DADOS FINANCEIROS'!R69</f>
        <v>Sim</v>
      </c>
      <c r="Y63" s="30">
        <f>'DADOS FINANCEIROS'!S69</f>
        <v>0</v>
      </c>
      <c r="Z63" s="30">
        <f>'DADOS FINANCEIROS'!T69</f>
        <v>1</v>
      </c>
      <c r="AA63" s="30" t="str">
        <f>'DADOS FINANCEIROS'!U69</f>
        <v>Sim</v>
      </c>
      <c r="AB63" s="44">
        <f>'DADOS FINANCEIROS'!V69</f>
        <v>45740</v>
      </c>
      <c r="AC63" s="44" t="str">
        <f>TEXT(Tabela1[[#This Row],[Data de Negociação]],"MMM-AA")</f>
        <v>mar-25</v>
      </c>
      <c r="AD63" s="44" t="str">
        <f>TEXT(Tabela1[[#This Row],[Data de Negociação]],"AAAA")</f>
        <v>2025</v>
      </c>
      <c r="AE63" s="44">
        <f>'DADOS FINANCEIROS'!W69</f>
        <v>45772</v>
      </c>
      <c r="AF63" s="44" t="str">
        <f>TEXT(Tabela1[[#This Row],[Data da Entrada/Primeira Parcela]],"MMM-AA")</f>
        <v>abr-25</v>
      </c>
      <c r="AG63" s="44" t="str">
        <f>TEXT(Tabela1[[#This Row],[Data da Entrada/Primeira Parcela]],"AAAA")</f>
        <v>2025</v>
      </c>
      <c r="AH63" s="30" t="str">
        <f>'DADOS FINANCEIROS'!X69</f>
        <v>Acompanhando</v>
      </c>
      <c r="AI63" s="46">
        <f ca="1">'DADOS FINANCEIROS'!Y69</f>
        <v>1700</v>
      </c>
      <c r="AJ63" s="46" t="str">
        <f ca="1">'DADOS FINANCEIROS'!Z69</f>
        <v>0</v>
      </c>
      <c r="AK6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3" s="98"/>
    </row>
    <row r="64" spans="1:38" x14ac:dyDescent="0.3">
      <c r="A64" s="30">
        <f>'DADOS FINANCEIROS'!D70</f>
        <v>71</v>
      </c>
      <c r="B64" s="30" t="str">
        <f>'DADOS FINANCEIROS'!A70</f>
        <v>Matriz</v>
      </c>
      <c r="C64" s="30">
        <f>'DADOS FINANCEIROS'!B70</f>
        <v>0</v>
      </c>
      <c r="D64" s="30" t="str">
        <f>'DADOS FINANCEIROS'!C70</f>
        <v>GlobalTech</v>
      </c>
      <c r="E64" s="44">
        <f>'DADOS FINANCEIROS'!E70</f>
        <v>45709</v>
      </c>
      <c r="F64" s="44" t="str">
        <f>TEXT(Tabela1[[#This Row],[DATA DE EMISSÃO]],"MMM-AA")</f>
        <v>fev-25</v>
      </c>
      <c r="G64" s="44" t="str">
        <f>TEXT(Tabela1[[#This Row],[DATA DE EMISSÃO]],"AAAA")</f>
        <v>2025</v>
      </c>
      <c r="H64" s="44">
        <f>'DADOS FINANCEIROS'!F70</f>
        <v>45737</v>
      </c>
      <c r="I64" s="44" t="str">
        <f>TEXT(Tabela1[[#This Row],[VENCIMENTO ORIGINAL]],"MMM-AA")</f>
        <v>mar-25</v>
      </c>
      <c r="J64" s="44" t="str">
        <f>TEXT(Tabela1[[#This Row],[VENCIMENTO ORIGINAL]],"AAAA")</f>
        <v>2025</v>
      </c>
      <c r="K64" s="44">
        <f>'DADOS FINANCEIROS'!G70</f>
        <v>45737</v>
      </c>
      <c r="L64" s="44" t="str">
        <f>TEXT(Tabela1[[#This Row],[VENCIMENTO ATUAL]],"MMM-AA")</f>
        <v>mar-25</v>
      </c>
      <c r="M64" s="44" t="str">
        <f>TEXT(Tabela1[[#This Row],[VENCIMENTO ATUAL]],"AAAA")</f>
        <v>2025</v>
      </c>
      <c r="N64" s="46">
        <f>'DADOS FINANCEIROS'!H70</f>
        <v>2200</v>
      </c>
      <c r="O64" s="30" t="str">
        <f>'DADOS FINANCEIROS'!I70</f>
        <v>Fernanda</v>
      </c>
      <c r="P64" s="30" t="str">
        <f>'DADOS FINANCEIROS'!J70</f>
        <v>ANALISTA LUCAS</v>
      </c>
      <c r="Q64" s="30" t="str">
        <f>'DADOS FINANCEIROS'!K70</f>
        <v>NÃO</v>
      </c>
      <c r="R64" s="30" t="str">
        <f>'DADOS FINANCEIROS'!L70</f>
        <v>Sem Retorno</v>
      </c>
      <c r="S64" s="30" t="str">
        <f ca="1">'DADOS FINANCEIROS'!M70</f>
        <v>Vencido</v>
      </c>
      <c r="T64" s="30">
        <f ca="1">IFERROR('DADOS FINANCEIROS'!N70,"")</f>
        <v>58</v>
      </c>
      <c r="U64" s="30" t="str">
        <f ca="1">'DADOS FINANCEIROS'!O70</f>
        <v>31-60 dias</v>
      </c>
      <c r="V64" s="30" t="str">
        <f ca="1">'DADOS FINANCEIROS'!P70</f>
        <v>Atraso Médio</v>
      </c>
      <c r="W64" s="30" t="str">
        <f>'DADOS FINANCEIROS'!Q70</f>
        <v>-</v>
      </c>
      <c r="X64" s="30" t="str">
        <f>'DADOS FINANCEIROS'!R70</f>
        <v>Sim</v>
      </c>
      <c r="Y64" s="30">
        <f>'DADOS FINANCEIROS'!S70</f>
        <v>0</v>
      </c>
      <c r="Z64" s="30">
        <f>'DADOS FINANCEIROS'!T70</f>
        <v>1</v>
      </c>
      <c r="AA64" s="30" t="str">
        <f>'DADOS FINANCEIROS'!U70</f>
        <v>Sim</v>
      </c>
      <c r="AB64" s="44">
        <f>'DADOS FINANCEIROS'!V70</f>
        <v>45740</v>
      </c>
      <c r="AC64" s="44" t="str">
        <f>TEXT(Tabela1[[#This Row],[Data de Negociação]],"MMM-AA")</f>
        <v>mar-25</v>
      </c>
      <c r="AD64" s="44" t="str">
        <f>TEXT(Tabela1[[#This Row],[Data de Negociação]],"AAAA")</f>
        <v>2025</v>
      </c>
      <c r="AE64" s="44">
        <f>'DADOS FINANCEIROS'!W70</f>
        <v>45772</v>
      </c>
      <c r="AF64" s="44" t="str">
        <f>TEXT(Tabela1[[#This Row],[Data da Entrada/Primeira Parcela]],"MMM-AA")</f>
        <v>abr-25</v>
      </c>
      <c r="AG64" s="44" t="str">
        <f>TEXT(Tabela1[[#This Row],[Data da Entrada/Primeira Parcela]],"AAAA")</f>
        <v>2025</v>
      </c>
      <c r="AH64" s="30" t="str">
        <f>'DADOS FINANCEIROS'!X70</f>
        <v>Acompanhando</v>
      </c>
      <c r="AI64" s="46">
        <f ca="1">'DADOS FINANCEIROS'!Y70</f>
        <v>2200</v>
      </c>
      <c r="AJ64" s="46" t="str">
        <f ca="1">'DADOS FINANCEIROS'!Z70</f>
        <v>0</v>
      </c>
      <c r="AK64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4" s="98"/>
    </row>
    <row r="65" spans="1:38" x14ac:dyDescent="0.3">
      <c r="A65" s="30">
        <f>'DADOS FINANCEIROS'!D71</f>
        <v>72</v>
      </c>
      <c r="B65" s="30" t="str">
        <f>'DADOS FINANCEIROS'!A71</f>
        <v>Filial</v>
      </c>
      <c r="C65" s="30">
        <f>'DADOS FINANCEIROS'!B71</f>
        <v>0</v>
      </c>
      <c r="D65" s="30" t="str">
        <f>'DADOS FINANCEIROS'!C71</f>
        <v>GlobalTech</v>
      </c>
      <c r="E65" s="44">
        <f>'DADOS FINANCEIROS'!E71</f>
        <v>45709</v>
      </c>
      <c r="F65" s="44" t="str">
        <f>TEXT(Tabela1[[#This Row],[DATA DE EMISSÃO]],"MMM-AA")</f>
        <v>fev-25</v>
      </c>
      <c r="G65" s="44" t="str">
        <f>TEXT(Tabela1[[#This Row],[DATA DE EMISSÃO]],"AAAA")</f>
        <v>2025</v>
      </c>
      <c r="H65" s="44">
        <f>'DADOS FINANCEIROS'!F71</f>
        <v>45737</v>
      </c>
      <c r="I65" s="44" t="str">
        <f>TEXT(Tabela1[[#This Row],[VENCIMENTO ORIGINAL]],"MMM-AA")</f>
        <v>mar-25</v>
      </c>
      <c r="J65" s="44" t="str">
        <f>TEXT(Tabela1[[#This Row],[VENCIMENTO ORIGINAL]],"AAAA")</f>
        <v>2025</v>
      </c>
      <c r="K65" s="44">
        <f>'DADOS FINANCEIROS'!G71</f>
        <v>45737</v>
      </c>
      <c r="L65" s="44" t="str">
        <f>TEXT(Tabela1[[#This Row],[VENCIMENTO ATUAL]],"MMM-AA")</f>
        <v>mar-25</v>
      </c>
      <c r="M65" s="44" t="str">
        <f>TEXT(Tabela1[[#This Row],[VENCIMENTO ATUAL]],"AAAA")</f>
        <v>2025</v>
      </c>
      <c r="N65" s="46">
        <f>'DADOS FINANCEIROS'!H71</f>
        <v>2200</v>
      </c>
      <c r="O65" s="30" t="str">
        <f>'DADOS FINANCEIROS'!I71</f>
        <v>Fernanda</v>
      </c>
      <c r="P65" s="30" t="str">
        <f>'DADOS FINANCEIROS'!J71</f>
        <v>ANALISTA SIMONE</v>
      </c>
      <c r="Q65" s="30" t="str">
        <f>'DADOS FINANCEIROS'!K71</f>
        <v>NÃO</v>
      </c>
      <c r="R65" s="30" t="str">
        <f>'DADOS FINANCEIROS'!L71</f>
        <v>Sem Retorno</v>
      </c>
      <c r="S65" s="30" t="str">
        <f ca="1">'DADOS FINANCEIROS'!M71</f>
        <v>Vencido</v>
      </c>
      <c r="T65" s="30">
        <f ca="1">IFERROR('DADOS FINANCEIROS'!N71,"")</f>
        <v>58</v>
      </c>
      <c r="U65" s="30" t="str">
        <f ca="1">'DADOS FINANCEIROS'!O71</f>
        <v>31-60 dias</v>
      </c>
      <c r="V65" s="30" t="str">
        <f ca="1">'DADOS FINANCEIROS'!P71</f>
        <v>Atraso Médio</v>
      </c>
      <c r="W65" s="30" t="str">
        <f>'DADOS FINANCEIROS'!Q71</f>
        <v>-</v>
      </c>
      <c r="X65" s="30" t="str">
        <f>'DADOS FINANCEIROS'!R71</f>
        <v>Sim</v>
      </c>
      <c r="Y65" s="30">
        <f>'DADOS FINANCEIROS'!S71</f>
        <v>0</v>
      </c>
      <c r="Z65" s="30">
        <f>'DADOS FINANCEIROS'!T71</f>
        <v>1</v>
      </c>
      <c r="AA65" s="30" t="str">
        <f>'DADOS FINANCEIROS'!U71</f>
        <v>Sim</v>
      </c>
      <c r="AB65" s="44">
        <f>'DADOS FINANCEIROS'!V71</f>
        <v>45740</v>
      </c>
      <c r="AC65" s="44" t="str">
        <f>TEXT(Tabela1[[#This Row],[Data de Negociação]],"MMM-AA")</f>
        <v>mar-25</v>
      </c>
      <c r="AD65" s="44" t="str">
        <f>TEXT(Tabela1[[#This Row],[Data de Negociação]],"AAAA")</f>
        <v>2025</v>
      </c>
      <c r="AE65" s="44">
        <f>'DADOS FINANCEIROS'!W71</f>
        <v>45772</v>
      </c>
      <c r="AF65" s="44" t="str">
        <f>TEXT(Tabela1[[#This Row],[Data da Entrada/Primeira Parcela]],"MMM-AA")</f>
        <v>abr-25</v>
      </c>
      <c r="AG65" s="44" t="str">
        <f>TEXT(Tabela1[[#This Row],[Data da Entrada/Primeira Parcela]],"AAAA")</f>
        <v>2025</v>
      </c>
      <c r="AH65" s="30" t="str">
        <f>'DADOS FINANCEIROS'!X71</f>
        <v>Acompanhando</v>
      </c>
      <c r="AI65" s="46">
        <f ca="1">'DADOS FINANCEIROS'!Y71</f>
        <v>2200</v>
      </c>
      <c r="AJ65" s="46" t="str">
        <f ca="1">'DADOS FINANCEIROS'!Z71</f>
        <v>0</v>
      </c>
      <c r="AK65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5" s="98"/>
    </row>
    <row r="66" spans="1:38" x14ac:dyDescent="0.3">
      <c r="A66" s="30">
        <f>'DADOS FINANCEIROS'!D72</f>
        <v>51</v>
      </c>
      <c r="B66" s="30" t="str">
        <f>'DADOS FINANCEIROS'!A72</f>
        <v>Matriz</v>
      </c>
      <c r="C66" s="30">
        <f>'DADOS FINANCEIROS'!B72</f>
        <v>0</v>
      </c>
      <c r="D66" s="30" t="str">
        <f>'DADOS FINANCEIROS'!C72</f>
        <v>GlobalTech</v>
      </c>
      <c r="E66" s="44">
        <f>'DADOS FINANCEIROS'!E72</f>
        <v>45709</v>
      </c>
      <c r="F66" s="44" t="str">
        <f>TEXT(Tabela1[[#This Row],[DATA DE EMISSÃO]],"MMM-AA")</f>
        <v>fev-25</v>
      </c>
      <c r="G66" s="44" t="str">
        <f>TEXT(Tabela1[[#This Row],[DATA DE EMISSÃO]],"AAAA")</f>
        <v>2025</v>
      </c>
      <c r="H66" s="44">
        <f>'DADOS FINANCEIROS'!F72</f>
        <v>45737</v>
      </c>
      <c r="I66" s="44" t="str">
        <f>TEXT(Tabela1[[#This Row],[VENCIMENTO ORIGINAL]],"MMM-AA")</f>
        <v>mar-25</v>
      </c>
      <c r="J66" s="44" t="str">
        <f>TEXT(Tabela1[[#This Row],[VENCIMENTO ORIGINAL]],"AAAA")</f>
        <v>2025</v>
      </c>
      <c r="K66" s="44">
        <f>'DADOS FINANCEIROS'!G72</f>
        <v>45737</v>
      </c>
      <c r="L66" s="44" t="str">
        <f>TEXT(Tabela1[[#This Row],[VENCIMENTO ATUAL]],"MMM-AA")</f>
        <v>mar-25</v>
      </c>
      <c r="M66" s="44" t="str">
        <f>TEXT(Tabela1[[#This Row],[VENCIMENTO ATUAL]],"AAAA")</f>
        <v>2025</v>
      </c>
      <c r="N66" s="46">
        <f>'DADOS FINANCEIROS'!H72</f>
        <v>1500</v>
      </c>
      <c r="O66" s="30" t="str">
        <f>'DADOS FINANCEIROS'!I72</f>
        <v>Fernanda</v>
      </c>
      <c r="P66" s="30" t="str">
        <f>'DADOS FINANCEIROS'!J72</f>
        <v>ANALISTA LUCAS</v>
      </c>
      <c r="Q66" s="30" t="str">
        <f>'DADOS FINANCEIROS'!K72</f>
        <v>NÃO</v>
      </c>
      <c r="R66" s="30" t="str">
        <f>'DADOS FINANCEIROS'!L72</f>
        <v>Sem Retorno</v>
      </c>
      <c r="S66" s="30" t="str">
        <f ca="1">'DADOS FINANCEIROS'!M72</f>
        <v>Vencido</v>
      </c>
      <c r="T66" s="30">
        <f ca="1">IFERROR('DADOS FINANCEIROS'!N72,"")</f>
        <v>58</v>
      </c>
      <c r="U66" s="30" t="str">
        <f ca="1">'DADOS FINANCEIROS'!O72</f>
        <v>31-60 dias</v>
      </c>
      <c r="V66" s="30" t="str">
        <f ca="1">'DADOS FINANCEIROS'!P72</f>
        <v>Atraso Médio</v>
      </c>
      <c r="W66" s="30" t="str">
        <f>'DADOS FINANCEIROS'!Q72</f>
        <v>-</v>
      </c>
      <c r="X66" s="30" t="str">
        <f>'DADOS FINANCEIROS'!R72</f>
        <v>Sim</v>
      </c>
      <c r="Y66" s="30">
        <f>'DADOS FINANCEIROS'!S72</f>
        <v>0</v>
      </c>
      <c r="Z66" s="30">
        <f>'DADOS FINANCEIROS'!T72</f>
        <v>1</v>
      </c>
      <c r="AA66" s="30" t="str">
        <f>'DADOS FINANCEIROS'!U72</f>
        <v>Sim</v>
      </c>
      <c r="AB66" s="44">
        <f>'DADOS FINANCEIROS'!V72</f>
        <v>45740</v>
      </c>
      <c r="AC66" s="44" t="str">
        <f>TEXT(Tabela1[[#This Row],[Data de Negociação]],"MMM-AA")</f>
        <v>mar-25</v>
      </c>
      <c r="AD66" s="44" t="str">
        <f>TEXT(Tabela1[[#This Row],[Data de Negociação]],"AAAA")</f>
        <v>2025</v>
      </c>
      <c r="AE66" s="44">
        <f>'DADOS FINANCEIROS'!W72</f>
        <v>45772</v>
      </c>
      <c r="AF66" s="44" t="str">
        <f>TEXT(Tabela1[[#This Row],[Data da Entrada/Primeira Parcela]],"MMM-AA")</f>
        <v>abr-25</v>
      </c>
      <c r="AG66" s="44" t="str">
        <f>TEXT(Tabela1[[#This Row],[Data da Entrada/Primeira Parcela]],"AAAA")</f>
        <v>2025</v>
      </c>
      <c r="AH66" s="30" t="str">
        <f>'DADOS FINANCEIROS'!X72</f>
        <v>Acompanhando</v>
      </c>
      <c r="AI66" s="46">
        <f ca="1">'DADOS FINANCEIROS'!Y72</f>
        <v>1500</v>
      </c>
      <c r="AJ66" s="46" t="str">
        <f ca="1">'DADOS FINANCEIROS'!Z72</f>
        <v>0</v>
      </c>
      <c r="AK66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6" s="98"/>
    </row>
    <row r="67" spans="1:38" x14ac:dyDescent="0.3">
      <c r="A67" s="30">
        <f>'DADOS FINANCEIROS'!D73</f>
        <v>45</v>
      </c>
      <c r="B67" s="30" t="str">
        <f>'DADOS FINANCEIROS'!A73</f>
        <v>Matriz</v>
      </c>
      <c r="C67" s="30">
        <f>'DADOS FINANCEIROS'!B73</f>
        <v>0</v>
      </c>
      <c r="D67" s="30" t="str">
        <f>'DADOS FINANCEIROS'!C73</f>
        <v>GlobalTech</v>
      </c>
      <c r="E67" s="44">
        <f>'DADOS FINANCEIROS'!E73</f>
        <v>45724</v>
      </c>
      <c r="F67" s="44" t="str">
        <f>TEXT(Tabela1[[#This Row],[DATA DE EMISSÃO]],"MMM-AA")</f>
        <v>mar-25</v>
      </c>
      <c r="G67" s="44" t="str">
        <f>TEXT(Tabela1[[#This Row],[DATA DE EMISSÃO]],"AAAA")</f>
        <v>2025</v>
      </c>
      <c r="H67" s="44">
        <f>'DADOS FINANCEIROS'!F73</f>
        <v>45737</v>
      </c>
      <c r="I67" s="44" t="str">
        <f>TEXT(Tabela1[[#This Row],[VENCIMENTO ORIGINAL]],"MMM-AA")</f>
        <v>mar-25</v>
      </c>
      <c r="J67" s="44" t="str">
        <f>TEXT(Tabela1[[#This Row],[VENCIMENTO ORIGINAL]],"AAAA")</f>
        <v>2025</v>
      </c>
      <c r="K67" s="44">
        <f>'DADOS FINANCEIROS'!G73</f>
        <v>45737</v>
      </c>
      <c r="L67" s="44" t="str">
        <f>TEXT(Tabela1[[#This Row],[VENCIMENTO ATUAL]],"MMM-AA")</f>
        <v>mar-25</v>
      </c>
      <c r="M67" s="44" t="str">
        <f>TEXT(Tabela1[[#This Row],[VENCIMENTO ATUAL]],"AAAA")</f>
        <v>2025</v>
      </c>
      <c r="N67" s="46">
        <f>'DADOS FINANCEIROS'!H73</f>
        <v>2100</v>
      </c>
      <c r="O67" s="30" t="str">
        <f>'DADOS FINANCEIROS'!I73</f>
        <v>Beatriz</v>
      </c>
      <c r="P67" s="30" t="str">
        <f>'DADOS FINANCEIROS'!J73</f>
        <v>ANALISTA GUSTAVO</v>
      </c>
      <c r="Q67" s="30" t="str">
        <f>'DADOS FINANCEIROS'!K73</f>
        <v>NÃO</v>
      </c>
      <c r="R67" s="30" t="str">
        <f>'DADOS FINANCEIROS'!L73</f>
        <v>Sem Retorno</v>
      </c>
      <c r="S67" s="30" t="str">
        <f ca="1">'DADOS FINANCEIROS'!M73</f>
        <v>Vencido</v>
      </c>
      <c r="T67" s="30">
        <f ca="1">IFERROR('DADOS FINANCEIROS'!N73,"")</f>
        <v>58</v>
      </c>
      <c r="U67" s="30" t="str">
        <f ca="1">'DADOS FINANCEIROS'!O73</f>
        <v>31-60 dias</v>
      </c>
      <c r="V67" s="30" t="str">
        <f ca="1">'DADOS FINANCEIROS'!P73</f>
        <v>Atraso Médio</v>
      </c>
      <c r="W67" s="30" t="str">
        <f>'DADOS FINANCEIROS'!Q73</f>
        <v>-</v>
      </c>
      <c r="X67" s="30" t="str">
        <f>'DADOS FINANCEIROS'!R73</f>
        <v>Sim</v>
      </c>
      <c r="Y67" s="30">
        <f>'DADOS FINANCEIROS'!S73</f>
        <v>0</v>
      </c>
      <c r="Z67" s="30">
        <f>'DADOS FINANCEIROS'!T73</f>
        <v>1</v>
      </c>
      <c r="AA67" s="30" t="str">
        <f>'DADOS FINANCEIROS'!U73</f>
        <v>Sim</v>
      </c>
      <c r="AB67" s="44">
        <f>'DADOS FINANCEIROS'!V73</f>
        <v>45740</v>
      </c>
      <c r="AC67" s="44" t="str">
        <f>TEXT(Tabela1[[#This Row],[Data de Negociação]],"MMM-AA")</f>
        <v>mar-25</v>
      </c>
      <c r="AD67" s="44" t="str">
        <f>TEXT(Tabela1[[#This Row],[Data de Negociação]],"AAAA")</f>
        <v>2025</v>
      </c>
      <c r="AE67" s="44">
        <f>'DADOS FINANCEIROS'!W73</f>
        <v>45740</v>
      </c>
      <c r="AF67" s="44" t="str">
        <f>TEXT(Tabela1[[#This Row],[Data da Entrada/Primeira Parcela]],"MMM-AA")</f>
        <v>mar-25</v>
      </c>
      <c r="AG67" s="44" t="str">
        <f>TEXT(Tabela1[[#This Row],[Data da Entrada/Primeira Parcela]],"AAAA")</f>
        <v>2025</v>
      </c>
      <c r="AH67" s="30" t="str">
        <f>'DADOS FINANCEIROS'!X73</f>
        <v>Acompanhando</v>
      </c>
      <c r="AI67" s="46">
        <f ca="1">'DADOS FINANCEIROS'!Y73</f>
        <v>2100</v>
      </c>
      <c r="AJ67" s="46" t="str">
        <f ca="1">'DADOS FINANCEIROS'!Z73</f>
        <v>0</v>
      </c>
      <c r="AK67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7" s="98"/>
    </row>
    <row r="68" spans="1:38" x14ac:dyDescent="0.3">
      <c r="A68" s="30">
        <f>'DADOS FINANCEIROS'!D74</f>
        <v>46</v>
      </c>
      <c r="B68" s="30" t="str">
        <f>'DADOS FINANCEIROS'!A74</f>
        <v>Filial</v>
      </c>
      <c r="C68" s="30">
        <f>'DADOS FINANCEIROS'!B74</f>
        <v>0</v>
      </c>
      <c r="D68" s="30" t="str">
        <f>'DADOS FINANCEIROS'!C74</f>
        <v>GlobalTech</v>
      </c>
      <c r="E68" s="44">
        <f>'DADOS FINANCEIROS'!E74</f>
        <v>45726</v>
      </c>
      <c r="F68" s="44" t="str">
        <f>TEXT(Tabela1[[#This Row],[DATA DE EMISSÃO]],"MMM-AA")</f>
        <v>mar-25</v>
      </c>
      <c r="G68" s="44" t="str">
        <f>TEXT(Tabela1[[#This Row],[DATA DE EMISSÃO]],"AAAA")</f>
        <v>2025</v>
      </c>
      <c r="H68" s="44">
        <f>'DADOS FINANCEIROS'!F74</f>
        <v>45738</v>
      </c>
      <c r="I68" s="44" t="str">
        <f>TEXT(Tabela1[[#This Row],[VENCIMENTO ORIGINAL]],"MMM-AA")</f>
        <v>mar-25</v>
      </c>
      <c r="J68" s="44" t="str">
        <f>TEXT(Tabela1[[#This Row],[VENCIMENTO ORIGINAL]],"AAAA")</f>
        <v>2025</v>
      </c>
      <c r="K68" s="44">
        <f>'DADOS FINANCEIROS'!G74</f>
        <v>45738</v>
      </c>
      <c r="L68" s="44" t="str">
        <f>TEXT(Tabela1[[#This Row],[VENCIMENTO ATUAL]],"MMM-AA")</f>
        <v>mar-25</v>
      </c>
      <c r="M68" s="44" t="str">
        <f>TEXT(Tabela1[[#This Row],[VENCIMENTO ATUAL]],"AAAA")</f>
        <v>2025</v>
      </c>
      <c r="N68" s="46">
        <f>'DADOS FINANCEIROS'!H74</f>
        <v>1900</v>
      </c>
      <c r="O68" s="30" t="str">
        <f>'DADOS FINANCEIROS'!I74</f>
        <v>Lucas</v>
      </c>
      <c r="P68" s="30" t="str">
        <f>'DADOS FINANCEIROS'!J74</f>
        <v>ANALISTA GUSTAVO</v>
      </c>
      <c r="Q68" s="30" t="str">
        <f>'DADOS FINANCEIROS'!K74</f>
        <v>NÃO</v>
      </c>
      <c r="R68" s="30" t="str">
        <f>'DADOS FINANCEIROS'!L74</f>
        <v>Bloqueio de sistema por inadimplência</v>
      </c>
      <c r="S68" s="30" t="str">
        <f ca="1">'DADOS FINANCEIROS'!M74</f>
        <v>Vencido</v>
      </c>
      <c r="T68" s="30">
        <f ca="1">IFERROR('DADOS FINANCEIROS'!N74,"")</f>
        <v>57</v>
      </c>
      <c r="U68" s="30" t="str">
        <f ca="1">'DADOS FINANCEIROS'!O74</f>
        <v>31-60 dias</v>
      </c>
      <c r="V68" s="30" t="str">
        <f ca="1">'DADOS FINANCEIROS'!P74</f>
        <v>Atraso Médio</v>
      </c>
      <c r="W68" s="30" t="str">
        <f>'DADOS FINANCEIROS'!Q74</f>
        <v>-</v>
      </c>
      <c r="X68" s="30" t="str">
        <f>'DADOS FINANCEIROS'!R74</f>
        <v>Sim</v>
      </c>
      <c r="Y68" s="30">
        <f>'DADOS FINANCEIROS'!S74</f>
        <v>0</v>
      </c>
      <c r="Z68" s="30">
        <f>'DADOS FINANCEIROS'!T74</f>
        <v>1</v>
      </c>
      <c r="AA68" s="30" t="str">
        <f>'DADOS FINANCEIROS'!U74</f>
        <v>Sim</v>
      </c>
      <c r="AB68" s="44">
        <f>'DADOS FINANCEIROS'!V74</f>
        <v>45740</v>
      </c>
      <c r="AC68" s="44" t="str">
        <f>TEXT(Tabela1[[#This Row],[Data de Negociação]],"MMM-AA")</f>
        <v>mar-25</v>
      </c>
      <c r="AD68" s="44" t="str">
        <f>TEXT(Tabela1[[#This Row],[Data de Negociação]],"AAAA")</f>
        <v>2025</v>
      </c>
      <c r="AE68" s="44">
        <f>'DADOS FINANCEIROS'!W74</f>
        <v>45740</v>
      </c>
      <c r="AF68" s="44" t="str">
        <f>TEXT(Tabela1[[#This Row],[Data da Entrada/Primeira Parcela]],"MMM-AA")</f>
        <v>mar-25</v>
      </c>
      <c r="AG68" s="44" t="str">
        <f>TEXT(Tabela1[[#This Row],[Data da Entrada/Primeira Parcela]],"AAAA")</f>
        <v>2025</v>
      </c>
      <c r="AH68" s="30" t="str">
        <f>'DADOS FINANCEIROS'!X74</f>
        <v>Acompanhando</v>
      </c>
      <c r="AI68" s="46">
        <f ca="1">'DADOS FINANCEIROS'!Y74</f>
        <v>1900</v>
      </c>
      <c r="AJ68" s="46" t="str">
        <f ca="1">'DADOS FINANCEIROS'!Z74</f>
        <v>0</v>
      </c>
      <c r="AK68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8" s="98"/>
    </row>
    <row r="69" spans="1:38" x14ac:dyDescent="0.3">
      <c r="A69" s="30">
        <f>'DADOS FINANCEIROS'!D75</f>
        <v>47</v>
      </c>
      <c r="B69" s="30" t="str">
        <f>'DADOS FINANCEIROS'!A75</f>
        <v>Matriz</v>
      </c>
      <c r="C69" s="30">
        <f>'DADOS FINANCEIROS'!B75</f>
        <v>0</v>
      </c>
      <c r="D69" s="30" t="str">
        <f>'DADOS FINANCEIROS'!C75</f>
        <v>GlobalTech</v>
      </c>
      <c r="E69" s="44">
        <f>'DADOS FINANCEIROS'!E75</f>
        <v>45728</v>
      </c>
      <c r="F69" s="44" t="str">
        <f>TEXT(Tabela1[[#This Row],[DATA DE EMISSÃO]],"MMM-AA")</f>
        <v>mar-25</v>
      </c>
      <c r="G69" s="44" t="str">
        <f>TEXT(Tabela1[[#This Row],[DATA DE EMISSÃO]],"AAAA")</f>
        <v>2025</v>
      </c>
      <c r="H69" s="44">
        <f>'DADOS FINANCEIROS'!F75</f>
        <v>45739</v>
      </c>
      <c r="I69" s="44" t="str">
        <f>TEXT(Tabela1[[#This Row],[VENCIMENTO ORIGINAL]],"MMM-AA")</f>
        <v>mar-25</v>
      </c>
      <c r="J69" s="44" t="str">
        <f>TEXT(Tabela1[[#This Row],[VENCIMENTO ORIGINAL]],"AAAA")</f>
        <v>2025</v>
      </c>
      <c r="K69" s="44">
        <f>'DADOS FINANCEIROS'!G75</f>
        <v>45739</v>
      </c>
      <c r="L69" s="44" t="str">
        <f>TEXT(Tabela1[[#This Row],[VENCIMENTO ATUAL]],"MMM-AA")</f>
        <v>mar-25</v>
      </c>
      <c r="M69" s="44" t="str">
        <f>TEXT(Tabela1[[#This Row],[VENCIMENTO ATUAL]],"AAAA")</f>
        <v>2025</v>
      </c>
      <c r="N69" s="46">
        <f>'DADOS FINANCEIROS'!H75</f>
        <v>2500</v>
      </c>
      <c r="O69" s="30" t="str">
        <f>'DADOS FINANCEIROS'!I75</f>
        <v>Carla</v>
      </c>
      <c r="P69" s="30" t="str">
        <f>'DADOS FINANCEIROS'!J75</f>
        <v>ANALISTA GUSTAVO</v>
      </c>
      <c r="Q69" s="30" t="str">
        <f>'DADOS FINANCEIROS'!K75</f>
        <v>NÃO</v>
      </c>
      <c r="R69" s="30" t="str">
        <f>'DADOS FINANCEIROS'!L75</f>
        <v>Acordo em andamento (aguardando pagamento)</v>
      </c>
      <c r="S69" s="30" t="str">
        <f ca="1">'DADOS FINANCEIROS'!M75</f>
        <v>Vencido</v>
      </c>
      <c r="T69" s="30">
        <f ca="1">IFERROR('DADOS FINANCEIROS'!N75,"")</f>
        <v>56</v>
      </c>
      <c r="U69" s="30" t="str">
        <f ca="1">'DADOS FINANCEIROS'!O75</f>
        <v>31-60 dias</v>
      </c>
      <c r="V69" s="30" t="str">
        <f ca="1">'DADOS FINANCEIROS'!P75</f>
        <v>Atraso Médio</v>
      </c>
      <c r="W69" s="30" t="str">
        <f>'DADOS FINANCEIROS'!Q75</f>
        <v>-</v>
      </c>
      <c r="X69" s="30" t="str">
        <f>'DADOS FINANCEIROS'!R75</f>
        <v>Não</v>
      </c>
      <c r="Y69" s="30">
        <f>'DADOS FINANCEIROS'!S75</f>
        <v>0</v>
      </c>
      <c r="Z69" s="30">
        <f>'DADOS FINANCEIROS'!T75</f>
        <v>1</v>
      </c>
      <c r="AA69" s="30" t="str">
        <f>'DADOS FINANCEIROS'!U75</f>
        <v>Sim</v>
      </c>
      <c r="AB69" s="44">
        <f>'DADOS FINANCEIROS'!V75</f>
        <v>45740</v>
      </c>
      <c r="AC69" s="44" t="str">
        <f>TEXT(Tabela1[[#This Row],[Data de Negociação]],"MMM-AA")</f>
        <v>mar-25</v>
      </c>
      <c r="AD69" s="44" t="str">
        <f>TEXT(Tabela1[[#This Row],[Data de Negociação]],"AAAA")</f>
        <v>2025</v>
      </c>
      <c r="AE69" s="44">
        <f>'DADOS FINANCEIROS'!W75</f>
        <v>45740</v>
      </c>
      <c r="AF69" s="44" t="str">
        <f>TEXT(Tabela1[[#This Row],[Data da Entrada/Primeira Parcela]],"MMM-AA")</f>
        <v>mar-25</v>
      </c>
      <c r="AG69" s="44" t="str">
        <f>TEXT(Tabela1[[#This Row],[Data da Entrada/Primeira Parcela]],"AAAA")</f>
        <v>2025</v>
      </c>
      <c r="AH69" s="30" t="str">
        <f>'DADOS FINANCEIROS'!X75</f>
        <v>Acompanhando</v>
      </c>
      <c r="AI69" s="46">
        <f ca="1">'DADOS FINANCEIROS'!Y75</f>
        <v>2500</v>
      </c>
      <c r="AJ69" s="46" t="str">
        <f ca="1">'DADOS FINANCEIROS'!Z75</f>
        <v>0</v>
      </c>
      <c r="AK69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69" s="98"/>
    </row>
    <row r="70" spans="1:38" x14ac:dyDescent="0.3">
      <c r="A70" s="30">
        <f>'DADOS FINANCEIROS'!D76</f>
        <v>48</v>
      </c>
      <c r="B70" s="30" t="str">
        <f>'DADOS FINANCEIROS'!A76</f>
        <v>Filial</v>
      </c>
      <c r="C70" s="30">
        <f>'DADOS FINANCEIROS'!B76</f>
        <v>0</v>
      </c>
      <c r="D70" s="30" t="str">
        <f>'DADOS FINANCEIROS'!C76</f>
        <v>GlobalTech</v>
      </c>
      <c r="E70" s="44">
        <f>'DADOS FINANCEIROS'!E76</f>
        <v>45731</v>
      </c>
      <c r="F70" s="44" t="str">
        <f>TEXT(Tabela1[[#This Row],[DATA DE EMISSÃO]],"MMM-AA")</f>
        <v>mar-25</v>
      </c>
      <c r="G70" s="44" t="str">
        <f>TEXT(Tabela1[[#This Row],[DATA DE EMISSÃO]],"AAAA")</f>
        <v>2025</v>
      </c>
      <c r="H70" s="44">
        <f>'DADOS FINANCEIROS'!F76</f>
        <v>45740</v>
      </c>
      <c r="I70" s="44" t="str">
        <f>TEXT(Tabela1[[#This Row],[VENCIMENTO ORIGINAL]],"MMM-AA")</f>
        <v>mar-25</v>
      </c>
      <c r="J70" s="44" t="str">
        <f>TEXT(Tabela1[[#This Row],[VENCIMENTO ORIGINAL]],"AAAA")</f>
        <v>2025</v>
      </c>
      <c r="K70" s="44">
        <f>'DADOS FINANCEIROS'!G76</f>
        <v>45740</v>
      </c>
      <c r="L70" s="44" t="str">
        <f>TEXT(Tabela1[[#This Row],[VENCIMENTO ATUAL]],"MMM-AA")</f>
        <v>mar-25</v>
      </c>
      <c r="M70" s="44" t="str">
        <f>TEXT(Tabela1[[#This Row],[VENCIMENTO ATUAL]],"AAAA")</f>
        <v>2025</v>
      </c>
      <c r="N70" s="46">
        <f>'DADOS FINANCEIROS'!H76</f>
        <v>2300</v>
      </c>
      <c r="O70" s="30" t="str">
        <f>'DADOS FINANCEIROS'!I76</f>
        <v>Roberto</v>
      </c>
      <c r="P70" s="30" t="str">
        <f>'DADOS FINANCEIROS'!J76</f>
        <v>ANALISTA GUSTAVO</v>
      </c>
      <c r="Q70" s="30" t="str">
        <f>'DADOS FINANCEIROS'!K76</f>
        <v>NÃO</v>
      </c>
      <c r="R70" s="30" t="str">
        <f>'DADOS FINANCEIROS'!L76</f>
        <v>Acordo em andamento (aguardando pagamento)</v>
      </c>
      <c r="S70" s="30" t="str">
        <f ca="1">'DADOS FINANCEIROS'!M76</f>
        <v>Vencido</v>
      </c>
      <c r="T70" s="30">
        <f ca="1">IFERROR('DADOS FINANCEIROS'!N76,"")</f>
        <v>55</v>
      </c>
      <c r="U70" s="30" t="str">
        <f ca="1">'DADOS FINANCEIROS'!O76</f>
        <v>31-60 dias</v>
      </c>
      <c r="V70" s="30" t="str">
        <f ca="1">'DADOS FINANCEIROS'!P76</f>
        <v>Atraso Médio</v>
      </c>
      <c r="W70" s="30" t="str">
        <f>'DADOS FINANCEIROS'!Q76</f>
        <v>-</v>
      </c>
      <c r="X70" s="30" t="str">
        <f>'DADOS FINANCEIROS'!R76</f>
        <v>Não</v>
      </c>
      <c r="Y70" s="30">
        <f>'DADOS FINANCEIROS'!S76</f>
        <v>0</v>
      </c>
      <c r="Z70" s="30">
        <f>'DADOS FINANCEIROS'!T76</f>
        <v>0</v>
      </c>
      <c r="AA70" s="30" t="str">
        <f>'DADOS FINANCEIROS'!U76</f>
        <v>Não</v>
      </c>
      <c r="AB70" s="44">
        <f>'DADOS FINANCEIROS'!V76</f>
        <v>45741</v>
      </c>
      <c r="AC70" s="44" t="str">
        <f>TEXT(Tabela1[[#This Row],[Data de Negociação]],"MMM-AA")</f>
        <v>mar-25</v>
      </c>
      <c r="AD70" s="44" t="str">
        <f>TEXT(Tabela1[[#This Row],[Data de Negociação]],"AAAA")</f>
        <v>2025</v>
      </c>
      <c r="AE70" s="44">
        <f>'DADOS FINANCEIROS'!W76</f>
        <v>45741</v>
      </c>
      <c r="AF70" s="44" t="str">
        <f>TEXT(Tabela1[[#This Row],[Data da Entrada/Primeira Parcela]],"MMM-AA")</f>
        <v>mar-25</v>
      </c>
      <c r="AG70" s="44" t="str">
        <f>TEXT(Tabela1[[#This Row],[Data da Entrada/Primeira Parcela]],"AAAA")</f>
        <v>2025</v>
      </c>
      <c r="AH70" s="30" t="str">
        <f>'DADOS FINANCEIROS'!X76</f>
        <v>Acompanhando</v>
      </c>
      <c r="AI70" s="46">
        <f ca="1">'DADOS FINANCEIROS'!Y76</f>
        <v>2300</v>
      </c>
      <c r="AJ70" s="46" t="str">
        <f ca="1">'DADOS FINANCEIROS'!Z76</f>
        <v>0</v>
      </c>
      <c r="AK70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70" s="98"/>
    </row>
    <row r="71" spans="1:38" x14ac:dyDescent="0.3">
      <c r="A71" s="30">
        <f>'DADOS FINANCEIROS'!D77</f>
        <v>49</v>
      </c>
      <c r="B71" s="30" t="str">
        <f>'DADOS FINANCEIROS'!A77</f>
        <v>Matriz</v>
      </c>
      <c r="C71" s="30">
        <f>'DADOS FINANCEIROS'!B77</f>
        <v>0</v>
      </c>
      <c r="D71" s="30" t="str">
        <f>'DADOS FINANCEIROS'!C77</f>
        <v>GlobalTech</v>
      </c>
      <c r="E71" s="44">
        <f>'DADOS FINANCEIROS'!E77</f>
        <v>45734</v>
      </c>
      <c r="F71" s="44" t="str">
        <f>TEXT(Tabela1[[#This Row],[DATA DE EMISSÃO]],"MMM-AA")</f>
        <v>mar-25</v>
      </c>
      <c r="G71" s="44" t="str">
        <f>TEXT(Tabela1[[#This Row],[DATA DE EMISSÃO]],"AAAA")</f>
        <v>2025</v>
      </c>
      <c r="H71" s="44">
        <f>'DADOS FINANCEIROS'!F77</f>
        <v>45741</v>
      </c>
      <c r="I71" s="44" t="str">
        <f>TEXT(Tabela1[[#This Row],[VENCIMENTO ORIGINAL]],"MMM-AA")</f>
        <v>mar-25</v>
      </c>
      <c r="J71" s="44" t="str">
        <f>TEXT(Tabela1[[#This Row],[VENCIMENTO ORIGINAL]],"AAAA")</f>
        <v>2025</v>
      </c>
      <c r="K71" s="44">
        <f>'DADOS FINANCEIROS'!G77</f>
        <v>45741</v>
      </c>
      <c r="L71" s="44" t="str">
        <f>TEXT(Tabela1[[#This Row],[VENCIMENTO ATUAL]],"MMM-AA")</f>
        <v>mar-25</v>
      </c>
      <c r="M71" s="44" t="str">
        <f>TEXT(Tabela1[[#This Row],[VENCIMENTO ATUAL]],"AAAA")</f>
        <v>2025</v>
      </c>
      <c r="N71" s="46">
        <f>'DADOS FINANCEIROS'!H77</f>
        <v>2200</v>
      </c>
      <c r="O71" s="30" t="str">
        <f>'DADOS FINANCEIROS'!I77</f>
        <v>Roberto</v>
      </c>
      <c r="P71" s="30" t="str">
        <f>'DADOS FINANCEIROS'!J77</f>
        <v>ANALISTA GUSTAVO</v>
      </c>
      <c r="Q71" s="30" t="str">
        <f>'DADOS FINANCEIROS'!K77</f>
        <v>NÃO</v>
      </c>
      <c r="R71" s="30" t="str">
        <f>'DADOS FINANCEIROS'!L77</f>
        <v>Acordo em andamento (aguardando pagamento)</v>
      </c>
      <c r="S71" s="30" t="str">
        <f ca="1">'DADOS FINANCEIROS'!M77</f>
        <v>Vencido</v>
      </c>
      <c r="T71" s="30">
        <f ca="1">IFERROR('DADOS FINANCEIROS'!N77,"")</f>
        <v>54</v>
      </c>
      <c r="U71" s="30" t="str">
        <f ca="1">'DADOS FINANCEIROS'!O77</f>
        <v>31-60 dias</v>
      </c>
      <c r="V71" s="30" t="str">
        <f ca="1">'DADOS FINANCEIROS'!P77</f>
        <v>Atraso Médio</v>
      </c>
      <c r="W71" s="30" t="str">
        <f>'DADOS FINANCEIROS'!Q77</f>
        <v>-</v>
      </c>
      <c r="X71" s="30" t="str">
        <f>'DADOS FINANCEIROS'!R77</f>
        <v>Não</v>
      </c>
      <c r="Y71" s="30">
        <f>'DADOS FINANCEIROS'!S77</f>
        <v>0</v>
      </c>
      <c r="Z71" s="30">
        <f>'DADOS FINANCEIROS'!T77</f>
        <v>0</v>
      </c>
      <c r="AA71" s="30" t="str">
        <f>'DADOS FINANCEIROS'!U77</f>
        <v>Não</v>
      </c>
      <c r="AB71" s="44">
        <f>'DADOS FINANCEIROS'!V77</f>
        <v>45743</v>
      </c>
      <c r="AC71" s="44" t="str">
        <f>TEXT(Tabela1[[#This Row],[Data de Negociação]],"MMM-AA")</f>
        <v>mar-25</v>
      </c>
      <c r="AD71" s="44" t="str">
        <f>TEXT(Tabela1[[#This Row],[Data de Negociação]],"AAAA")</f>
        <v>2025</v>
      </c>
      <c r="AE71" s="44">
        <f>'DADOS FINANCEIROS'!W77</f>
        <v>45743</v>
      </c>
      <c r="AF71" s="44" t="str">
        <f>TEXT(Tabela1[[#This Row],[Data da Entrada/Primeira Parcela]],"MMM-AA")</f>
        <v>mar-25</v>
      </c>
      <c r="AG71" s="44" t="str">
        <f>TEXT(Tabela1[[#This Row],[Data da Entrada/Primeira Parcela]],"AAAA")</f>
        <v>2025</v>
      </c>
      <c r="AH71" s="30" t="str">
        <f>'DADOS FINANCEIROS'!X77</f>
        <v>Acompanhando</v>
      </c>
      <c r="AI71" s="46">
        <f ca="1">'DADOS FINANCEIROS'!Y77</f>
        <v>2200</v>
      </c>
      <c r="AJ71" s="46" t="str">
        <f ca="1">'DADOS FINANCEIROS'!Z77</f>
        <v>0</v>
      </c>
      <c r="AK71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71" s="98"/>
    </row>
    <row r="72" spans="1:38" x14ac:dyDescent="0.3">
      <c r="A72" s="30">
        <f>'DADOS FINANCEIROS'!D78</f>
        <v>50</v>
      </c>
      <c r="B72" s="30" t="str">
        <f>'DADOS FINANCEIROS'!A78</f>
        <v>Filial</v>
      </c>
      <c r="C72" s="30">
        <f>'DADOS FINANCEIROS'!B78</f>
        <v>0</v>
      </c>
      <c r="D72" s="30" t="str">
        <f>'DADOS FINANCEIROS'!C78</f>
        <v>GlobalTech</v>
      </c>
      <c r="E72" s="44">
        <f>'DADOS FINANCEIROS'!E78</f>
        <v>45738</v>
      </c>
      <c r="F72" s="44" t="str">
        <f>TEXT(Tabela1[[#This Row],[DATA DE EMISSÃO]],"MMM-AA")</f>
        <v>mar-25</v>
      </c>
      <c r="G72" s="44" t="str">
        <f>TEXT(Tabela1[[#This Row],[DATA DE EMISSÃO]],"AAAA")</f>
        <v>2025</v>
      </c>
      <c r="H72" s="44">
        <f>'DADOS FINANCEIROS'!F78</f>
        <v>45742</v>
      </c>
      <c r="I72" s="44" t="str">
        <f>TEXT(Tabela1[[#This Row],[VENCIMENTO ORIGINAL]],"MMM-AA")</f>
        <v>mar-25</v>
      </c>
      <c r="J72" s="44" t="str">
        <f>TEXT(Tabela1[[#This Row],[VENCIMENTO ORIGINAL]],"AAAA")</f>
        <v>2025</v>
      </c>
      <c r="K72" s="44">
        <f>'DADOS FINANCEIROS'!G78</f>
        <v>45742</v>
      </c>
      <c r="L72" s="44" t="str">
        <f>TEXT(Tabela1[[#This Row],[VENCIMENTO ATUAL]],"MMM-AA")</f>
        <v>mar-25</v>
      </c>
      <c r="M72" s="44" t="str">
        <f>TEXT(Tabela1[[#This Row],[VENCIMENTO ATUAL]],"AAAA")</f>
        <v>2025</v>
      </c>
      <c r="N72" s="46">
        <f>'DADOS FINANCEIROS'!H78</f>
        <v>1800</v>
      </c>
      <c r="O72" s="30" t="str">
        <f>'DADOS FINANCEIROS'!I78</f>
        <v>Gustavo</v>
      </c>
      <c r="P72" s="30" t="str">
        <f>'DADOS FINANCEIROS'!J78</f>
        <v>ANALISTA GUSTAVO</v>
      </c>
      <c r="Q72" s="30" t="str">
        <f>'DADOS FINANCEIROS'!K78</f>
        <v>NÃO</v>
      </c>
      <c r="R72" s="30" t="str">
        <f>'DADOS FINANCEIROS'!L78</f>
        <v>Acordo em andamento (aguardando pagamento)</v>
      </c>
      <c r="S72" s="30" t="str">
        <f ca="1">'DADOS FINANCEIROS'!M78</f>
        <v>Vencido</v>
      </c>
      <c r="T72" s="30">
        <f ca="1">IFERROR('DADOS FINANCEIROS'!N78,"")</f>
        <v>53</v>
      </c>
      <c r="U72" s="30" t="str">
        <f ca="1">'DADOS FINANCEIROS'!O78</f>
        <v>31-60 dias</v>
      </c>
      <c r="V72" s="30" t="str">
        <f ca="1">'DADOS FINANCEIROS'!P78</f>
        <v>Atraso Médio</v>
      </c>
      <c r="W72" s="30" t="str">
        <f>'DADOS FINANCEIROS'!Q78</f>
        <v>-</v>
      </c>
      <c r="X72" s="30" t="str">
        <f>'DADOS FINANCEIROS'!R78</f>
        <v>Não</v>
      </c>
      <c r="Y72" s="30">
        <f>'DADOS FINANCEIROS'!S78</f>
        <v>0</v>
      </c>
      <c r="Z72" s="30">
        <f>'DADOS FINANCEIROS'!T78</f>
        <v>0</v>
      </c>
      <c r="AA72" s="30" t="str">
        <f>'DADOS FINANCEIROS'!U78</f>
        <v>Não</v>
      </c>
      <c r="AB72" s="44">
        <f>'DADOS FINANCEIROS'!V78</f>
        <v>45744</v>
      </c>
      <c r="AC72" s="44" t="str">
        <f>TEXT(Tabela1[[#This Row],[Data de Negociação]],"MMM-AA")</f>
        <v>mar-25</v>
      </c>
      <c r="AD72" s="44" t="str">
        <f>TEXT(Tabela1[[#This Row],[Data de Negociação]],"AAAA")</f>
        <v>2025</v>
      </c>
      <c r="AE72" s="44">
        <f>'DADOS FINANCEIROS'!W78</f>
        <v>45744</v>
      </c>
      <c r="AF72" s="44" t="str">
        <f>TEXT(Tabela1[[#This Row],[Data da Entrada/Primeira Parcela]],"MMM-AA")</f>
        <v>mar-25</v>
      </c>
      <c r="AG72" s="44" t="str">
        <f>TEXT(Tabela1[[#This Row],[Data da Entrada/Primeira Parcela]],"AAAA")</f>
        <v>2025</v>
      </c>
      <c r="AH72" s="30" t="str">
        <f>'DADOS FINANCEIROS'!X78</f>
        <v>Acompanhando</v>
      </c>
      <c r="AI72" s="46">
        <f ca="1">'DADOS FINANCEIROS'!Y78</f>
        <v>1800</v>
      </c>
      <c r="AJ72" s="46" t="str">
        <f ca="1">'DADOS FINANCEIROS'!Z78</f>
        <v>0</v>
      </c>
      <c r="AK72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72" s="98"/>
    </row>
    <row r="73" spans="1:38" x14ac:dyDescent="0.3">
      <c r="A73" s="30">
        <f>'DADOS FINANCEIROS'!D79</f>
        <v>42</v>
      </c>
      <c r="B73" s="30" t="str">
        <f>'DADOS FINANCEIROS'!A79</f>
        <v>Filial</v>
      </c>
      <c r="C73" s="30">
        <f>'DADOS FINANCEIROS'!B79</f>
        <v>0</v>
      </c>
      <c r="D73" s="30" t="str">
        <f>'DADOS FINANCEIROS'!C79</f>
        <v>GlobalTech</v>
      </c>
      <c r="E73" s="44">
        <f>'DADOS FINANCEIROS'!E79</f>
        <v>45716</v>
      </c>
      <c r="F73" s="44" t="str">
        <f>TEXT(Tabela1[[#This Row],[DATA DE EMISSÃO]],"MMM-AA")</f>
        <v>fev-25</v>
      </c>
      <c r="G73" s="44" t="str">
        <f>TEXT(Tabela1[[#This Row],[DATA DE EMISSÃO]],"AAAA")</f>
        <v>2025</v>
      </c>
      <c r="H73" s="44">
        <f>'DADOS FINANCEIROS'!F79</f>
        <v>45744</v>
      </c>
      <c r="I73" s="44" t="str">
        <f>TEXT(Tabela1[[#This Row],[VENCIMENTO ORIGINAL]],"MMM-AA")</f>
        <v>mar-25</v>
      </c>
      <c r="J73" s="44" t="str">
        <f>TEXT(Tabela1[[#This Row],[VENCIMENTO ORIGINAL]],"AAAA")</f>
        <v>2025</v>
      </c>
      <c r="K73" s="44">
        <f>'DADOS FINANCEIROS'!G79</f>
        <v>45744</v>
      </c>
      <c r="L73" s="44" t="str">
        <f>TEXT(Tabela1[[#This Row],[VENCIMENTO ATUAL]],"MMM-AA")</f>
        <v>mar-25</v>
      </c>
      <c r="M73" s="44" t="str">
        <f>TEXT(Tabela1[[#This Row],[VENCIMENTO ATUAL]],"AAAA")</f>
        <v>2025</v>
      </c>
      <c r="N73" s="46">
        <f>'DADOS FINANCEIROS'!H79</f>
        <v>2300</v>
      </c>
      <c r="O73" s="30" t="str">
        <f>'DADOS FINANCEIROS'!I79</f>
        <v>Maria</v>
      </c>
      <c r="P73" s="30" t="str">
        <f>'DADOS FINANCEIROS'!J79</f>
        <v>ANALISTA GUSTAVO</v>
      </c>
      <c r="Q73" s="30" t="str">
        <f>'DADOS FINANCEIROS'!K79</f>
        <v>NÃO</v>
      </c>
      <c r="R73" s="30" t="str">
        <f>'DADOS FINANCEIROS'!L79</f>
        <v>Acordo em andamento (aguardando pagamento)</v>
      </c>
      <c r="S73" s="30" t="str">
        <f ca="1">'DADOS FINANCEIROS'!M79</f>
        <v>Vencido</v>
      </c>
      <c r="T73" s="30">
        <f ca="1">IFERROR('DADOS FINANCEIROS'!N79,"")</f>
        <v>51</v>
      </c>
      <c r="U73" s="30" t="str">
        <f ca="1">'DADOS FINANCEIROS'!O79</f>
        <v>31-60 dias</v>
      </c>
      <c r="V73" s="30" t="str">
        <f ca="1">'DADOS FINANCEIROS'!P79</f>
        <v>Atraso Médio</v>
      </c>
      <c r="W73" s="30" t="str">
        <f>'DADOS FINANCEIROS'!Q79</f>
        <v>-</v>
      </c>
      <c r="X73" s="30" t="str">
        <f>'DADOS FINANCEIROS'!R79</f>
        <v>Não</v>
      </c>
      <c r="Y73" s="30">
        <f>'DADOS FINANCEIROS'!S79</f>
        <v>0</v>
      </c>
      <c r="Z73" s="30">
        <f>'DADOS FINANCEIROS'!T79</f>
        <v>0</v>
      </c>
      <c r="AA73" s="30" t="str">
        <f>'DADOS FINANCEIROS'!U79</f>
        <v>Não</v>
      </c>
      <c r="AB73" s="44">
        <f>'DADOS FINANCEIROS'!V79</f>
        <v>45745</v>
      </c>
      <c r="AC73" s="44" t="str">
        <f>TEXT(Tabela1[[#This Row],[Data de Negociação]],"MMM-AA")</f>
        <v>mar-25</v>
      </c>
      <c r="AD73" s="44" t="str">
        <f>TEXT(Tabela1[[#This Row],[Data de Negociação]],"AAAA")</f>
        <v>2025</v>
      </c>
      <c r="AE73" s="44">
        <f>'DADOS FINANCEIROS'!W79</f>
        <v>45745</v>
      </c>
      <c r="AF73" s="44" t="str">
        <f>TEXT(Tabela1[[#This Row],[Data da Entrada/Primeira Parcela]],"MMM-AA")</f>
        <v>mar-25</v>
      </c>
      <c r="AG73" s="44" t="str">
        <f>TEXT(Tabela1[[#This Row],[Data da Entrada/Primeira Parcela]],"AAAA")</f>
        <v>2025</v>
      </c>
      <c r="AH73" s="30" t="str">
        <f>'DADOS FINANCEIROS'!X79</f>
        <v>Acompanhando</v>
      </c>
      <c r="AI73" s="46">
        <f ca="1">'DADOS FINANCEIROS'!Y79</f>
        <v>2300</v>
      </c>
      <c r="AJ73" s="46" t="str">
        <f ca="1">'DADOS FINANCEIROS'!Z79</f>
        <v>0</v>
      </c>
      <c r="AK73" s="98" t="str">
        <f ca="1"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>Cobrança Ativa</v>
      </c>
      <c r="AL73" s="98"/>
    </row>
    <row r="74" spans="1:38" x14ac:dyDescent="0.3">
      <c r="A74" s="30">
        <f>'DADOS FINANCEIROS'!D80</f>
        <v>0</v>
      </c>
      <c r="B74" s="30">
        <f>'DADOS FINANCEIROS'!A80</f>
        <v>0</v>
      </c>
      <c r="C74" s="30">
        <f>'DADOS FINANCEIROS'!B80</f>
        <v>0</v>
      </c>
      <c r="D74" s="30">
        <f>'DADOS FINANCEIROS'!C80</f>
        <v>0</v>
      </c>
      <c r="E74" s="44">
        <f>'DADOS FINANCEIROS'!E80</f>
        <v>0</v>
      </c>
      <c r="F74" s="44" t="str">
        <f>TEXT(Tabela1[[#This Row],[DATA DE EMISSÃO]],"MMM-AA")</f>
        <v>jan-00</v>
      </c>
      <c r="G74" s="44" t="str">
        <f>TEXT(Tabela1[[#This Row],[DATA DE EMISSÃO]],"AAAA")</f>
        <v>1900</v>
      </c>
      <c r="H74" s="44">
        <f>'DADOS FINANCEIROS'!F80</f>
        <v>0</v>
      </c>
      <c r="I74" s="44" t="str">
        <f>TEXT(Tabela1[[#This Row],[VENCIMENTO ORIGINAL]],"MMM-AA")</f>
        <v>jan-00</v>
      </c>
      <c r="J74" s="44" t="str">
        <f>TEXT(Tabela1[[#This Row],[VENCIMENTO ORIGINAL]],"AAAA")</f>
        <v>1900</v>
      </c>
      <c r="K74" s="44">
        <f>'DADOS FINANCEIROS'!G80</f>
        <v>0</v>
      </c>
      <c r="L74" s="44" t="str">
        <f>TEXT(Tabela1[[#This Row],[VENCIMENTO ATUAL]],"MMM-AA")</f>
        <v>jan-00</v>
      </c>
      <c r="M74" s="44" t="str">
        <f>TEXT(Tabela1[[#This Row],[VENCIMENTO ATUAL]],"AAAA")</f>
        <v>1900</v>
      </c>
      <c r="N74" s="46">
        <f>'DADOS FINANCEIROS'!H80</f>
        <v>0</v>
      </c>
      <c r="O74" s="30">
        <f>'DADOS FINANCEIROS'!I80</f>
        <v>0</v>
      </c>
      <c r="P74" s="30">
        <f>'DADOS FINANCEIROS'!J80</f>
        <v>0</v>
      </c>
      <c r="Q74" s="30">
        <f>'DADOS FINANCEIROS'!K80</f>
        <v>0</v>
      </c>
      <c r="R74" s="30">
        <f>'DADOS FINANCEIROS'!L80</f>
        <v>0</v>
      </c>
      <c r="S74" s="30">
        <f>'DADOS FINANCEIROS'!M80</f>
        <v>0</v>
      </c>
      <c r="T74" s="30">
        <f>IFERROR('DADOS FINANCEIROS'!N80,"")</f>
        <v>0</v>
      </c>
      <c r="U74" s="30">
        <f>'DADOS FINANCEIROS'!O80</f>
        <v>0</v>
      </c>
      <c r="V74" s="30">
        <f>'DADOS FINANCEIROS'!P80</f>
        <v>0</v>
      </c>
      <c r="W74" s="30">
        <f>'DADOS FINANCEIROS'!Q80</f>
        <v>0</v>
      </c>
      <c r="X74" s="30">
        <f>'DADOS FINANCEIROS'!R80</f>
        <v>0</v>
      </c>
      <c r="Y74" s="30">
        <f>'DADOS FINANCEIROS'!S80</f>
        <v>0</v>
      </c>
      <c r="Z74" s="30">
        <f>'DADOS FINANCEIROS'!T80</f>
        <v>0</v>
      </c>
      <c r="AA74" s="30">
        <f>'DADOS FINANCEIROS'!U80</f>
        <v>0</v>
      </c>
      <c r="AB74" s="44">
        <f>'DADOS FINANCEIROS'!V80</f>
        <v>0</v>
      </c>
      <c r="AC74" s="44" t="str">
        <f>TEXT(Tabela1[[#This Row],[Data de Negociação]],"MMM-AA")</f>
        <v>jan-00</v>
      </c>
      <c r="AD74" s="44" t="str">
        <f>TEXT(Tabela1[[#This Row],[Data de Negociação]],"AAAA")</f>
        <v>1900</v>
      </c>
      <c r="AE74" s="44">
        <f>'DADOS FINANCEIROS'!W80</f>
        <v>0</v>
      </c>
      <c r="AF74" s="44" t="str">
        <f>TEXT(Tabela1[[#This Row],[Data da Entrada/Primeira Parcela]],"MMM-AA")</f>
        <v>jan-00</v>
      </c>
      <c r="AG74" s="44" t="str">
        <f>TEXT(Tabela1[[#This Row],[Data da Entrada/Primeira Parcela]],"AAAA")</f>
        <v>1900</v>
      </c>
      <c r="AH74" s="30">
        <f>'DADOS FINANCEIROS'!X80</f>
        <v>0</v>
      </c>
      <c r="AI74" s="46">
        <f>'DADOS FINANCEIROS'!Y80</f>
        <v>0</v>
      </c>
      <c r="AJ74" s="46">
        <f>'DADOS FINANCEIROS'!Z80</f>
        <v>0</v>
      </c>
      <c r="AK7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4" s="98"/>
    </row>
    <row r="75" spans="1:38" x14ac:dyDescent="0.3">
      <c r="A75" s="30">
        <f>'DADOS FINANCEIROS'!D81</f>
        <v>0</v>
      </c>
      <c r="B75" s="30">
        <f>'DADOS FINANCEIROS'!A81</f>
        <v>0</v>
      </c>
      <c r="C75" s="30">
        <f>'DADOS FINANCEIROS'!B81</f>
        <v>0</v>
      </c>
      <c r="D75" s="30">
        <f>'DADOS FINANCEIROS'!C81</f>
        <v>0</v>
      </c>
      <c r="E75" s="44">
        <f>'DADOS FINANCEIROS'!E81</f>
        <v>0</v>
      </c>
      <c r="F75" s="44" t="str">
        <f>TEXT(Tabela1[[#This Row],[DATA DE EMISSÃO]],"MMM-AA")</f>
        <v>jan-00</v>
      </c>
      <c r="G75" s="44" t="str">
        <f>TEXT(Tabela1[[#This Row],[DATA DE EMISSÃO]],"AAAA")</f>
        <v>1900</v>
      </c>
      <c r="H75" s="44">
        <f>'DADOS FINANCEIROS'!F81</f>
        <v>0</v>
      </c>
      <c r="I75" s="44" t="str">
        <f>TEXT(Tabela1[[#This Row],[VENCIMENTO ORIGINAL]],"MMM-AA")</f>
        <v>jan-00</v>
      </c>
      <c r="J75" s="44" t="str">
        <f>TEXT(Tabela1[[#This Row],[VENCIMENTO ORIGINAL]],"AAAA")</f>
        <v>1900</v>
      </c>
      <c r="K75" s="44">
        <f>'DADOS FINANCEIROS'!G81</f>
        <v>0</v>
      </c>
      <c r="L75" s="44" t="str">
        <f>TEXT(Tabela1[[#This Row],[VENCIMENTO ATUAL]],"MMM-AA")</f>
        <v>jan-00</v>
      </c>
      <c r="M75" s="44" t="str">
        <f>TEXT(Tabela1[[#This Row],[VENCIMENTO ATUAL]],"AAAA")</f>
        <v>1900</v>
      </c>
      <c r="N75" s="46">
        <f>'DADOS FINANCEIROS'!H81</f>
        <v>0</v>
      </c>
      <c r="O75" s="30">
        <f>'DADOS FINANCEIROS'!I81</f>
        <v>0</v>
      </c>
      <c r="P75" s="30">
        <f>'DADOS FINANCEIROS'!J81</f>
        <v>0</v>
      </c>
      <c r="Q75" s="30">
        <f>'DADOS FINANCEIROS'!K81</f>
        <v>0</v>
      </c>
      <c r="R75" s="30">
        <f>'DADOS FINANCEIROS'!L81</f>
        <v>0</v>
      </c>
      <c r="S75" s="30">
        <f>'DADOS FINANCEIROS'!M81</f>
        <v>0</v>
      </c>
      <c r="T75" s="30">
        <f>IFERROR('DADOS FINANCEIROS'!N81,"")</f>
        <v>0</v>
      </c>
      <c r="U75" s="30">
        <f>'DADOS FINANCEIROS'!O81</f>
        <v>0</v>
      </c>
      <c r="V75" s="30">
        <f>'DADOS FINANCEIROS'!P81</f>
        <v>0</v>
      </c>
      <c r="W75" s="30">
        <f>'DADOS FINANCEIROS'!Q81</f>
        <v>0</v>
      </c>
      <c r="X75" s="30">
        <f>'DADOS FINANCEIROS'!R81</f>
        <v>0</v>
      </c>
      <c r="Y75" s="30">
        <f>'DADOS FINANCEIROS'!S81</f>
        <v>0</v>
      </c>
      <c r="Z75" s="30">
        <f>'DADOS FINANCEIROS'!T81</f>
        <v>0</v>
      </c>
      <c r="AA75" s="30">
        <f>'DADOS FINANCEIROS'!U81</f>
        <v>0</v>
      </c>
      <c r="AB75" s="44">
        <f>'DADOS FINANCEIROS'!V81</f>
        <v>0</v>
      </c>
      <c r="AC75" s="44" t="str">
        <f>TEXT(Tabela1[[#This Row],[Data de Negociação]],"MMM-AA")</f>
        <v>jan-00</v>
      </c>
      <c r="AD75" s="44" t="str">
        <f>TEXT(Tabela1[[#This Row],[Data de Negociação]],"AAAA")</f>
        <v>1900</v>
      </c>
      <c r="AE75" s="44">
        <f>'DADOS FINANCEIROS'!W81</f>
        <v>0</v>
      </c>
      <c r="AF75" s="44" t="str">
        <f>TEXT(Tabela1[[#This Row],[Data da Entrada/Primeira Parcela]],"MMM-AA")</f>
        <v>jan-00</v>
      </c>
      <c r="AG75" s="44" t="str">
        <f>TEXT(Tabela1[[#This Row],[Data da Entrada/Primeira Parcela]],"AAAA")</f>
        <v>1900</v>
      </c>
      <c r="AH75" s="30">
        <f>'DADOS FINANCEIROS'!X81</f>
        <v>0</v>
      </c>
      <c r="AI75" s="46">
        <f>'DADOS FINANCEIROS'!Y81</f>
        <v>0</v>
      </c>
      <c r="AJ75" s="46">
        <f>'DADOS FINANCEIROS'!Z81</f>
        <v>0</v>
      </c>
      <c r="AK7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5" s="98"/>
    </row>
    <row r="76" spans="1:38" x14ac:dyDescent="0.3">
      <c r="A76" s="30">
        <f>'DADOS FINANCEIROS'!D82</f>
        <v>0</v>
      </c>
      <c r="B76" s="30">
        <f>'DADOS FINANCEIROS'!A82</f>
        <v>0</v>
      </c>
      <c r="C76" s="30">
        <f>'DADOS FINANCEIROS'!B82</f>
        <v>0</v>
      </c>
      <c r="D76" s="30">
        <f>'DADOS FINANCEIROS'!C82</f>
        <v>0</v>
      </c>
      <c r="E76" s="44">
        <f>'DADOS FINANCEIROS'!E82</f>
        <v>0</v>
      </c>
      <c r="F76" s="44" t="str">
        <f>TEXT(Tabela1[[#This Row],[DATA DE EMISSÃO]],"MMM-AA")</f>
        <v>jan-00</v>
      </c>
      <c r="G76" s="44" t="str">
        <f>TEXT(Tabela1[[#This Row],[DATA DE EMISSÃO]],"AAAA")</f>
        <v>1900</v>
      </c>
      <c r="H76" s="44">
        <f>'DADOS FINANCEIROS'!F82</f>
        <v>0</v>
      </c>
      <c r="I76" s="44" t="str">
        <f>TEXT(Tabela1[[#This Row],[VENCIMENTO ORIGINAL]],"MMM-AA")</f>
        <v>jan-00</v>
      </c>
      <c r="J76" s="44" t="str">
        <f>TEXT(Tabela1[[#This Row],[VENCIMENTO ORIGINAL]],"AAAA")</f>
        <v>1900</v>
      </c>
      <c r="K76" s="44">
        <f>'DADOS FINANCEIROS'!G82</f>
        <v>0</v>
      </c>
      <c r="L76" s="44" t="str">
        <f>TEXT(Tabela1[[#This Row],[VENCIMENTO ATUAL]],"MMM-AA")</f>
        <v>jan-00</v>
      </c>
      <c r="M76" s="44" t="str">
        <f>TEXT(Tabela1[[#This Row],[VENCIMENTO ATUAL]],"AAAA")</f>
        <v>1900</v>
      </c>
      <c r="N76" s="46">
        <f>'DADOS FINANCEIROS'!H82</f>
        <v>0</v>
      </c>
      <c r="O76" s="30">
        <f>'DADOS FINANCEIROS'!I82</f>
        <v>0</v>
      </c>
      <c r="P76" s="30">
        <f>'DADOS FINANCEIROS'!J82</f>
        <v>0</v>
      </c>
      <c r="Q76" s="30">
        <f>'DADOS FINANCEIROS'!K82</f>
        <v>0</v>
      </c>
      <c r="R76" s="30">
        <f>'DADOS FINANCEIROS'!L82</f>
        <v>0</v>
      </c>
      <c r="S76" s="30">
        <f>'DADOS FINANCEIROS'!M82</f>
        <v>0</v>
      </c>
      <c r="T76" s="30">
        <f>IFERROR('DADOS FINANCEIROS'!N82,"")</f>
        <v>0</v>
      </c>
      <c r="U76" s="30">
        <f>'DADOS FINANCEIROS'!O82</f>
        <v>0</v>
      </c>
      <c r="V76" s="30">
        <f>'DADOS FINANCEIROS'!P82</f>
        <v>0</v>
      </c>
      <c r="W76" s="30">
        <f>'DADOS FINANCEIROS'!Q82</f>
        <v>0</v>
      </c>
      <c r="X76" s="30">
        <f>'DADOS FINANCEIROS'!R82</f>
        <v>0</v>
      </c>
      <c r="Y76" s="30">
        <f>'DADOS FINANCEIROS'!S82</f>
        <v>0</v>
      </c>
      <c r="Z76" s="30">
        <f>'DADOS FINANCEIROS'!T82</f>
        <v>0</v>
      </c>
      <c r="AA76" s="30">
        <f>'DADOS FINANCEIROS'!U82</f>
        <v>0</v>
      </c>
      <c r="AB76" s="44">
        <f>'DADOS FINANCEIROS'!V82</f>
        <v>0</v>
      </c>
      <c r="AC76" s="44" t="str">
        <f>TEXT(Tabela1[[#This Row],[Data de Negociação]],"MMM-AA")</f>
        <v>jan-00</v>
      </c>
      <c r="AD76" s="44" t="str">
        <f>TEXT(Tabela1[[#This Row],[Data de Negociação]],"AAAA")</f>
        <v>1900</v>
      </c>
      <c r="AE76" s="44">
        <f>'DADOS FINANCEIROS'!W82</f>
        <v>0</v>
      </c>
      <c r="AF76" s="44" t="str">
        <f>TEXT(Tabela1[[#This Row],[Data da Entrada/Primeira Parcela]],"MMM-AA")</f>
        <v>jan-00</v>
      </c>
      <c r="AG76" s="44" t="str">
        <f>TEXT(Tabela1[[#This Row],[Data da Entrada/Primeira Parcela]],"AAAA")</f>
        <v>1900</v>
      </c>
      <c r="AH76" s="30">
        <f>'DADOS FINANCEIROS'!X82</f>
        <v>0</v>
      </c>
      <c r="AI76" s="46">
        <f>'DADOS FINANCEIROS'!Y82</f>
        <v>0</v>
      </c>
      <c r="AJ76" s="46">
        <f>'DADOS FINANCEIROS'!Z82</f>
        <v>0</v>
      </c>
      <c r="AK7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6" s="98"/>
    </row>
    <row r="77" spans="1:38" x14ac:dyDescent="0.3">
      <c r="A77" s="30">
        <f>'DADOS FINANCEIROS'!D83</f>
        <v>0</v>
      </c>
      <c r="B77" s="30">
        <f>'DADOS FINANCEIROS'!A83</f>
        <v>0</v>
      </c>
      <c r="C77" s="30">
        <f>'DADOS FINANCEIROS'!B83</f>
        <v>0</v>
      </c>
      <c r="D77" s="30">
        <f>'DADOS FINANCEIROS'!C83</f>
        <v>0</v>
      </c>
      <c r="E77" s="44">
        <f>'DADOS FINANCEIROS'!E83</f>
        <v>0</v>
      </c>
      <c r="F77" s="44" t="str">
        <f>TEXT(Tabela1[[#This Row],[DATA DE EMISSÃO]],"MMM-AA")</f>
        <v>jan-00</v>
      </c>
      <c r="G77" s="44" t="str">
        <f>TEXT(Tabela1[[#This Row],[DATA DE EMISSÃO]],"AAAA")</f>
        <v>1900</v>
      </c>
      <c r="H77" s="44">
        <f>'DADOS FINANCEIROS'!F83</f>
        <v>0</v>
      </c>
      <c r="I77" s="44" t="str">
        <f>TEXT(Tabela1[[#This Row],[VENCIMENTO ORIGINAL]],"MMM-AA")</f>
        <v>jan-00</v>
      </c>
      <c r="J77" s="44" t="str">
        <f>TEXT(Tabela1[[#This Row],[VENCIMENTO ORIGINAL]],"AAAA")</f>
        <v>1900</v>
      </c>
      <c r="K77" s="44">
        <f>'DADOS FINANCEIROS'!G83</f>
        <v>0</v>
      </c>
      <c r="L77" s="44" t="str">
        <f>TEXT(Tabela1[[#This Row],[VENCIMENTO ATUAL]],"MMM-AA")</f>
        <v>jan-00</v>
      </c>
      <c r="M77" s="44" t="str">
        <f>TEXT(Tabela1[[#This Row],[VENCIMENTO ATUAL]],"AAAA")</f>
        <v>1900</v>
      </c>
      <c r="N77" s="46">
        <f>'DADOS FINANCEIROS'!H83</f>
        <v>0</v>
      </c>
      <c r="O77" s="30">
        <f>'DADOS FINANCEIROS'!I83</f>
        <v>0</v>
      </c>
      <c r="P77" s="30">
        <f>'DADOS FINANCEIROS'!J83</f>
        <v>0</v>
      </c>
      <c r="Q77" s="30">
        <f>'DADOS FINANCEIROS'!K83</f>
        <v>0</v>
      </c>
      <c r="R77" s="30">
        <f>'DADOS FINANCEIROS'!L83</f>
        <v>0</v>
      </c>
      <c r="S77" s="30">
        <f>'DADOS FINANCEIROS'!M83</f>
        <v>0</v>
      </c>
      <c r="T77" s="30">
        <f>IFERROR('DADOS FINANCEIROS'!N83,"")</f>
        <v>0</v>
      </c>
      <c r="U77" s="30">
        <f>'DADOS FINANCEIROS'!O83</f>
        <v>0</v>
      </c>
      <c r="V77" s="30">
        <f>'DADOS FINANCEIROS'!P83</f>
        <v>0</v>
      </c>
      <c r="W77" s="30">
        <f>'DADOS FINANCEIROS'!Q83</f>
        <v>0</v>
      </c>
      <c r="X77" s="30">
        <f>'DADOS FINANCEIROS'!R83</f>
        <v>0</v>
      </c>
      <c r="Y77" s="30">
        <f>'DADOS FINANCEIROS'!S83</f>
        <v>0</v>
      </c>
      <c r="Z77" s="30">
        <f>'DADOS FINANCEIROS'!T83</f>
        <v>0</v>
      </c>
      <c r="AA77" s="30">
        <f>'DADOS FINANCEIROS'!U83</f>
        <v>0</v>
      </c>
      <c r="AB77" s="44">
        <f>'DADOS FINANCEIROS'!V83</f>
        <v>0</v>
      </c>
      <c r="AC77" s="44" t="str">
        <f>TEXT(Tabela1[[#This Row],[Data de Negociação]],"MMM-AA")</f>
        <v>jan-00</v>
      </c>
      <c r="AD77" s="44" t="str">
        <f>TEXT(Tabela1[[#This Row],[Data de Negociação]],"AAAA")</f>
        <v>1900</v>
      </c>
      <c r="AE77" s="44">
        <f>'DADOS FINANCEIROS'!W83</f>
        <v>0</v>
      </c>
      <c r="AF77" s="44" t="str">
        <f>TEXT(Tabela1[[#This Row],[Data da Entrada/Primeira Parcela]],"MMM-AA")</f>
        <v>jan-00</v>
      </c>
      <c r="AG77" s="44" t="str">
        <f>TEXT(Tabela1[[#This Row],[Data da Entrada/Primeira Parcela]],"AAAA")</f>
        <v>1900</v>
      </c>
      <c r="AH77" s="30">
        <f>'DADOS FINANCEIROS'!X83</f>
        <v>0</v>
      </c>
      <c r="AI77" s="46">
        <f>'DADOS FINANCEIROS'!Y83</f>
        <v>0</v>
      </c>
      <c r="AJ77" s="46">
        <f>'DADOS FINANCEIROS'!Z83</f>
        <v>0</v>
      </c>
      <c r="AK7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7" s="98"/>
    </row>
    <row r="78" spans="1:38" x14ac:dyDescent="0.3">
      <c r="A78" s="30">
        <f>'DADOS FINANCEIROS'!D84</f>
        <v>0</v>
      </c>
      <c r="B78" s="30">
        <f>'DADOS FINANCEIROS'!A84</f>
        <v>0</v>
      </c>
      <c r="C78" s="30">
        <f>'DADOS FINANCEIROS'!B84</f>
        <v>0</v>
      </c>
      <c r="D78" s="30">
        <f>'DADOS FINANCEIROS'!C84</f>
        <v>0</v>
      </c>
      <c r="E78" s="44">
        <f>'DADOS FINANCEIROS'!E84</f>
        <v>0</v>
      </c>
      <c r="F78" s="44" t="str">
        <f>TEXT(Tabela1[[#This Row],[DATA DE EMISSÃO]],"MMM-AA")</f>
        <v>jan-00</v>
      </c>
      <c r="G78" s="44" t="str">
        <f>TEXT(Tabela1[[#This Row],[DATA DE EMISSÃO]],"AAAA")</f>
        <v>1900</v>
      </c>
      <c r="H78" s="44">
        <f>'DADOS FINANCEIROS'!F84</f>
        <v>0</v>
      </c>
      <c r="I78" s="44" t="str">
        <f>TEXT(Tabela1[[#This Row],[VENCIMENTO ORIGINAL]],"MMM-AA")</f>
        <v>jan-00</v>
      </c>
      <c r="J78" s="44" t="str">
        <f>TEXT(Tabela1[[#This Row],[VENCIMENTO ORIGINAL]],"AAAA")</f>
        <v>1900</v>
      </c>
      <c r="K78" s="44">
        <f>'DADOS FINANCEIROS'!G84</f>
        <v>0</v>
      </c>
      <c r="L78" s="44" t="str">
        <f>TEXT(Tabela1[[#This Row],[VENCIMENTO ATUAL]],"MMM-AA")</f>
        <v>jan-00</v>
      </c>
      <c r="M78" s="44" t="str">
        <f>TEXT(Tabela1[[#This Row],[VENCIMENTO ATUAL]],"AAAA")</f>
        <v>1900</v>
      </c>
      <c r="N78" s="46">
        <f>'DADOS FINANCEIROS'!H84</f>
        <v>0</v>
      </c>
      <c r="O78" s="30">
        <f>'DADOS FINANCEIROS'!I84</f>
        <v>0</v>
      </c>
      <c r="P78" s="30">
        <f>'DADOS FINANCEIROS'!J84</f>
        <v>0</v>
      </c>
      <c r="Q78" s="30">
        <f>'DADOS FINANCEIROS'!K84</f>
        <v>0</v>
      </c>
      <c r="R78" s="30">
        <f>'DADOS FINANCEIROS'!L84</f>
        <v>0</v>
      </c>
      <c r="S78" s="30">
        <f>'DADOS FINANCEIROS'!M84</f>
        <v>0</v>
      </c>
      <c r="T78" s="30">
        <f>IFERROR('DADOS FINANCEIROS'!N84,"")</f>
        <v>0</v>
      </c>
      <c r="U78" s="30">
        <f>'DADOS FINANCEIROS'!O84</f>
        <v>0</v>
      </c>
      <c r="V78" s="30">
        <f>'DADOS FINANCEIROS'!P84</f>
        <v>0</v>
      </c>
      <c r="W78" s="30">
        <f>'DADOS FINANCEIROS'!Q84</f>
        <v>0</v>
      </c>
      <c r="X78" s="30">
        <f>'DADOS FINANCEIROS'!R84</f>
        <v>0</v>
      </c>
      <c r="Y78" s="30">
        <f>'DADOS FINANCEIROS'!S84</f>
        <v>0</v>
      </c>
      <c r="Z78" s="30">
        <f>'DADOS FINANCEIROS'!T84</f>
        <v>0</v>
      </c>
      <c r="AA78" s="30">
        <f>'DADOS FINANCEIROS'!U84</f>
        <v>0</v>
      </c>
      <c r="AB78" s="44">
        <f>'DADOS FINANCEIROS'!V84</f>
        <v>0</v>
      </c>
      <c r="AC78" s="44" t="str">
        <f>TEXT(Tabela1[[#This Row],[Data de Negociação]],"MMM-AA")</f>
        <v>jan-00</v>
      </c>
      <c r="AD78" s="44" t="str">
        <f>TEXT(Tabela1[[#This Row],[Data de Negociação]],"AAAA")</f>
        <v>1900</v>
      </c>
      <c r="AE78" s="44">
        <f>'DADOS FINANCEIROS'!W84</f>
        <v>0</v>
      </c>
      <c r="AF78" s="44" t="str">
        <f>TEXT(Tabela1[[#This Row],[Data da Entrada/Primeira Parcela]],"MMM-AA")</f>
        <v>jan-00</v>
      </c>
      <c r="AG78" s="44" t="str">
        <f>TEXT(Tabela1[[#This Row],[Data da Entrada/Primeira Parcela]],"AAAA")</f>
        <v>1900</v>
      </c>
      <c r="AH78" s="30">
        <f>'DADOS FINANCEIROS'!X84</f>
        <v>0</v>
      </c>
      <c r="AI78" s="46">
        <f>'DADOS FINANCEIROS'!Y84</f>
        <v>0</v>
      </c>
      <c r="AJ78" s="46">
        <f>'DADOS FINANCEIROS'!Z84</f>
        <v>0</v>
      </c>
      <c r="AK7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8" s="98"/>
    </row>
    <row r="79" spans="1:38" x14ac:dyDescent="0.3">
      <c r="A79" s="30">
        <f>'DADOS FINANCEIROS'!D85</f>
        <v>0</v>
      </c>
      <c r="B79" s="30">
        <f>'DADOS FINANCEIROS'!A85</f>
        <v>0</v>
      </c>
      <c r="C79" s="30">
        <f>'DADOS FINANCEIROS'!B85</f>
        <v>0</v>
      </c>
      <c r="D79" s="30">
        <f>'DADOS FINANCEIROS'!C85</f>
        <v>0</v>
      </c>
      <c r="E79" s="44">
        <f>'DADOS FINANCEIROS'!E85</f>
        <v>0</v>
      </c>
      <c r="F79" s="44" t="str">
        <f>TEXT(Tabela1[[#This Row],[DATA DE EMISSÃO]],"MMM-AA")</f>
        <v>jan-00</v>
      </c>
      <c r="G79" s="44" t="str">
        <f>TEXT(Tabela1[[#This Row],[DATA DE EMISSÃO]],"AAAA")</f>
        <v>1900</v>
      </c>
      <c r="H79" s="44">
        <f>'DADOS FINANCEIROS'!F85</f>
        <v>0</v>
      </c>
      <c r="I79" s="44" t="str">
        <f>TEXT(Tabela1[[#This Row],[VENCIMENTO ORIGINAL]],"MMM-AA")</f>
        <v>jan-00</v>
      </c>
      <c r="J79" s="44" t="str">
        <f>TEXT(Tabela1[[#This Row],[VENCIMENTO ORIGINAL]],"AAAA")</f>
        <v>1900</v>
      </c>
      <c r="K79" s="44">
        <f>'DADOS FINANCEIROS'!G85</f>
        <v>0</v>
      </c>
      <c r="L79" s="44" t="str">
        <f>TEXT(Tabela1[[#This Row],[VENCIMENTO ATUAL]],"MMM-AA")</f>
        <v>jan-00</v>
      </c>
      <c r="M79" s="44" t="str">
        <f>TEXT(Tabela1[[#This Row],[VENCIMENTO ATUAL]],"AAAA")</f>
        <v>1900</v>
      </c>
      <c r="N79" s="46">
        <f>'DADOS FINANCEIROS'!H85</f>
        <v>0</v>
      </c>
      <c r="O79" s="30">
        <f>'DADOS FINANCEIROS'!I85</f>
        <v>0</v>
      </c>
      <c r="P79" s="30">
        <f>'DADOS FINANCEIROS'!J85</f>
        <v>0</v>
      </c>
      <c r="Q79" s="30">
        <f>'DADOS FINANCEIROS'!K85</f>
        <v>0</v>
      </c>
      <c r="R79" s="30">
        <f>'DADOS FINANCEIROS'!L85</f>
        <v>0</v>
      </c>
      <c r="S79" s="30">
        <f>'DADOS FINANCEIROS'!M85</f>
        <v>0</v>
      </c>
      <c r="T79" s="30">
        <f>IFERROR('DADOS FINANCEIROS'!N85,"")</f>
        <v>0</v>
      </c>
      <c r="U79" s="30">
        <f>'DADOS FINANCEIROS'!O85</f>
        <v>0</v>
      </c>
      <c r="V79" s="30">
        <f>'DADOS FINANCEIROS'!P85</f>
        <v>0</v>
      </c>
      <c r="W79" s="30">
        <f>'DADOS FINANCEIROS'!Q85</f>
        <v>0</v>
      </c>
      <c r="X79" s="30">
        <f>'DADOS FINANCEIROS'!R85</f>
        <v>0</v>
      </c>
      <c r="Y79" s="30">
        <f>'DADOS FINANCEIROS'!S85</f>
        <v>0</v>
      </c>
      <c r="Z79" s="30">
        <f>'DADOS FINANCEIROS'!T85</f>
        <v>0</v>
      </c>
      <c r="AA79" s="30">
        <f>'DADOS FINANCEIROS'!U85</f>
        <v>0</v>
      </c>
      <c r="AB79" s="44">
        <f>'DADOS FINANCEIROS'!V85</f>
        <v>0</v>
      </c>
      <c r="AC79" s="44" t="str">
        <f>TEXT(Tabela1[[#This Row],[Data de Negociação]],"MMM-AA")</f>
        <v>jan-00</v>
      </c>
      <c r="AD79" s="44" t="str">
        <f>TEXT(Tabela1[[#This Row],[Data de Negociação]],"AAAA")</f>
        <v>1900</v>
      </c>
      <c r="AE79" s="44">
        <f>'DADOS FINANCEIROS'!W85</f>
        <v>0</v>
      </c>
      <c r="AF79" s="44" t="str">
        <f>TEXT(Tabela1[[#This Row],[Data da Entrada/Primeira Parcela]],"MMM-AA")</f>
        <v>jan-00</v>
      </c>
      <c r="AG79" s="44" t="str">
        <f>TEXT(Tabela1[[#This Row],[Data da Entrada/Primeira Parcela]],"AAAA")</f>
        <v>1900</v>
      </c>
      <c r="AH79" s="30">
        <f>'DADOS FINANCEIROS'!X85</f>
        <v>0</v>
      </c>
      <c r="AI79" s="46">
        <f>'DADOS FINANCEIROS'!Y85</f>
        <v>0</v>
      </c>
      <c r="AJ79" s="46">
        <f>'DADOS FINANCEIROS'!Z85</f>
        <v>0</v>
      </c>
      <c r="AK7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79" s="98"/>
    </row>
    <row r="80" spans="1:38" x14ac:dyDescent="0.3">
      <c r="A80" s="30">
        <f>'DADOS FINANCEIROS'!D86</f>
        <v>0</v>
      </c>
      <c r="B80" s="30">
        <f>'DADOS FINANCEIROS'!A86</f>
        <v>0</v>
      </c>
      <c r="C80" s="30">
        <f>'DADOS FINANCEIROS'!B86</f>
        <v>0</v>
      </c>
      <c r="D80" s="30">
        <f>'DADOS FINANCEIROS'!C86</f>
        <v>0</v>
      </c>
      <c r="E80" s="44">
        <f>'DADOS FINANCEIROS'!E86</f>
        <v>0</v>
      </c>
      <c r="F80" s="44" t="str">
        <f>TEXT(Tabela1[[#This Row],[DATA DE EMISSÃO]],"MMM-AA")</f>
        <v>jan-00</v>
      </c>
      <c r="G80" s="44" t="str">
        <f>TEXT(Tabela1[[#This Row],[DATA DE EMISSÃO]],"AAAA")</f>
        <v>1900</v>
      </c>
      <c r="H80" s="44">
        <f>'DADOS FINANCEIROS'!F86</f>
        <v>0</v>
      </c>
      <c r="I80" s="44" t="str">
        <f>TEXT(Tabela1[[#This Row],[VENCIMENTO ORIGINAL]],"MMM-AA")</f>
        <v>jan-00</v>
      </c>
      <c r="J80" s="44" t="str">
        <f>TEXT(Tabela1[[#This Row],[VENCIMENTO ORIGINAL]],"AAAA")</f>
        <v>1900</v>
      </c>
      <c r="K80" s="44">
        <f>'DADOS FINANCEIROS'!G86</f>
        <v>0</v>
      </c>
      <c r="L80" s="44" t="str">
        <f>TEXT(Tabela1[[#This Row],[VENCIMENTO ATUAL]],"MMM-AA")</f>
        <v>jan-00</v>
      </c>
      <c r="M80" s="44" t="str">
        <f>TEXT(Tabela1[[#This Row],[VENCIMENTO ATUAL]],"AAAA")</f>
        <v>1900</v>
      </c>
      <c r="N80" s="46">
        <f>'DADOS FINANCEIROS'!H86</f>
        <v>0</v>
      </c>
      <c r="O80" s="30">
        <f>'DADOS FINANCEIROS'!I86</f>
        <v>0</v>
      </c>
      <c r="P80" s="30">
        <f>'DADOS FINANCEIROS'!J86</f>
        <v>0</v>
      </c>
      <c r="Q80" s="30">
        <f>'DADOS FINANCEIROS'!K86</f>
        <v>0</v>
      </c>
      <c r="R80" s="30">
        <f>'DADOS FINANCEIROS'!L86</f>
        <v>0</v>
      </c>
      <c r="S80" s="30">
        <f>'DADOS FINANCEIROS'!M86</f>
        <v>0</v>
      </c>
      <c r="T80" s="30">
        <f>IFERROR('DADOS FINANCEIROS'!N86,"")</f>
        <v>0</v>
      </c>
      <c r="U80" s="30">
        <f>'DADOS FINANCEIROS'!O86</f>
        <v>0</v>
      </c>
      <c r="V80" s="30">
        <f>'DADOS FINANCEIROS'!P86</f>
        <v>0</v>
      </c>
      <c r="W80" s="30">
        <f>'DADOS FINANCEIROS'!Q86</f>
        <v>0</v>
      </c>
      <c r="X80" s="30">
        <f>'DADOS FINANCEIROS'!R86</f>
        <v>0</v>
      </c>
      <c r="Y80" s="30">
        <f>'DADOS FINANCEIROS'!S86</f>
        <v>0</v>
      </c>
      <c r="Z80" s="30">
        <f>'DADOS FINANCEIROS'!T86</f>
        <v>0</v>
      </c>
      <c r="AA80" s="30">
        <f>'DADOS FINANCEIROS'!U86</f>
        <v>0</v>
      </c>
      <c r="AB80" s="44">
        <f>'DADOS FINANCEIROS'!V86</f>
        <v>0</v>
      </c>
      <c r="AC80" s="44" t="str">
        <f>TEXT(Tabela1[[#This Row],[Data de Negociação]],"MMM-AA")</f>
        <v>jan-00</v>
      </c>
      <c r="AD80" s="44" t="str">
        <f>TEXT(Tabela1[[#This Row],[Data de Negociação]],"AAAA")</f>
        <v>1900</v>
      </c>
      <c r="AE80" s="44">
        <f>'DADOS FINANCEIROS'!W86</f>
        <v>0</v>
      </c>
      <c r="AF80" s="44" t="str">
        <f>TEXT(Tabela1[[#This Row],[Data da Entrada/Primeira Parcela]],"MMM-AA")</f>
        <v>jan-00</v>
      </c>
      <c r="AG80" s="44" t="str">
        <f>TEXT(Tabela1[[#This Row],[Data da Entrada/Primeira Parcela]],"AAAA")</f>
        <v>1900</v>
      </c>
      <c r="AH80" s="30">
        <f>'DADOS FINANCEIROS'!X86</f>
        <v>0</v>
      </c>
      <c r="AI80" s="46">
        <f>'DADOS FINANCEIROS'!Y86</f>
        <v>0</v>
      </c>
      <c r="AJ80" s="46">
        <f>'DADOS FINANCEIROS'!Z86</f>
        <v>0</v>
      </c>
      <c r="AK8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0" s="98"/>
    </row>
    <row r="81" spans="1:38" x14ac:dyDescent="0.3">
      <c r="A81" s="30">
        <f>'DADOS FINANCEIROS'!D87</f>
        <v>0</v>
      </c>
      <c r="B81" s="30">
        <f>'DADOS FINANCEIROS'!A87</f>
        <v>0</v>
      </c>
      <c r="C81" s="30">
        <f>'DADOS FINANCEIROS'!B87</f>
        <v>0</v>
      </c>
      <c r="D81" s="30">
        <f>'DADOS FINANCEIROS'!C87</f>
        <v>0</v>
      </c>
      <c r="E81" s="44">
        <f>'DADOS FINANCEIROS'!E87</f>
        <v>0</v>
      </c>
      <c r="F81" s="44" t="str">
        <f>TEXT(Tabela1[[#This Row],[DATA DE EMISSÃO]],"MMM-AA")</f>
        <v>jan-00</v>
      </c>
      <c r="G81" s="44" t="str">
        <f>TEXT(Tabela1[[#This Row],[DATA DE EMISSÃO]],"AAAA")</f>
        <v>1900</v>
      </c>
      <c r="H81" s="44">
        <f>'DADOS FINANCEIROS'!F87</f>
        <v>0</v>
      </c>
      <c r="I81" s="44" t="str">
        <f>TEXT(Tabela1[[#This Row],[VENCIMENTO ORIGINAL]],"MMM-AA")</f>
        <v>jan-00</v>
      </c>
      <c r="J81" s="44" t="str">
        <f>TEXT(Tabela1[[#This Row],[VENCIMENTO ORIGINAL]],"AAAA")</f>
        <v>1900</v>
      </c>
      <c r="K81" s="44">
        <f>'DADOS FINANCEIROS'!G87</f>
        <v>0</v>
      </c>
      <c r="L81" s="44" t="str">
        <f>TEXT(Tabela1[[#This Row],[VENCIMENTO ATUAL]],"MMM-AA")</f>
        <v>jan-00</v>
      </c>
      <c r="M81" s="44" t="str">
        <f>TEXT(Tabela1[[#This Row],[VENCIMENTO ATUAL]],"AAAA")</f>
        <v>1900</v>
      </c>
      <c r="N81" s="46">
        <f>'DADOS FINANCEIROS'!H87</f>
        <v>0</v>
      </c>
      <c r="O81" s="30">
        <f>'DADOS FINANCEIROS'!I87</f>
        <v>0</v>
      </c>
      <c r="P81" s="30">
        <f>'DADOS FINANCEIROS'!J87</f>
        <v>0</v>
      </c>
      <c r="Q81" s="30">
        <f>'DADOS FINANCEIROS'!K87</f>
        <v>0</v>
      </c>
      <c r="R81" s="30">
        <f>'DADOS FINANCEIROS'!L87</f>
        <v>0</v>
      </c>
      <c r="S81" s="30">
        <f>'DADOS FINANCEIROS'!M87</f>
        <v>0</v>
      </c>
      <c r="T81" s="30">
        <f>IFERROR('DADOS FINANCEIROS'!N87,"")</f>
        <v>0</v>
      </c>
      <c r="U81" s="30">
        <f>'DADOS FINANCEIROS'!O87</f>
        <v>0</v>
      </c>
      <c r="V81" s="30">
        <f>'DADOS FINANCEIROS'!P87</f>
        <v>0</v>
      </c>
      <c r="W81" s="30">
        <f>'DADOS FINANCEIROS'!Q87</f>
        <v>0</v>
      </c>
      <c r="X81" s="30">
        <f>'DADOS FINANCEIROS'!R87</f>
        <v>0</v>
      </c>
      <c r="Y81" s="30">
        <f>'DADOS FINANCEIROS'!S87</f>
        <v>0</v>
      </c>
      <c r="Z81" s="30">
        <f>'DADOS FINANCEIROS'!T87</f>
        <v>0</v>
      </c>
      <c r="AA81" s="30">
        <f>'DADOS FINANCEIROS'!U87</f>
        <v>0</v>
      </c>
      <c r="AB81" s="44">
        <f>'DADOS FINANCEIROS'!V87</f>
        <v>0</v>
      </c>
      <c r="AC81" s="44" t="str">
        <f>TEXT(Tabela1[[#This Row],[Data de Negociação]],"MMM-AA")</f>
        <v>jan-00</v>
      </c>
      <c r="AD81" s="44" t="str">
        <f>TEXT(Tabela1[[#This Row],[Data de Negociação]],"AAAA")</f>
        <v>1900</v>
      </c>
      <c r="AE81" s="44">
        <f>'DADOS FINANCEIROS'!W87</f>
        <v>0</v>
      </c>
      <c r="AF81" s="44" t="str">
        <f>TEXT(Tabela1[[#This Row],[Data da Entrada/Primeira Parcela]],"MMM-AA")</f>
        <v>jan-00</v>
      </c>
      <c r="AG81" s="44" t="str">
        <f>TEXT(Tabela1[[#This Row],[Data da Entrada/Primeira Parcela]],"AAAA")</f>
        <v>1900</v>
      </c>
      <c r="AH81" s="30">
        <f>'DADOS FINANCEIROS'!X87</f>
        <v>0</v>
      </c>
      <c r="AI81" s="46">
        <f>'DADOS FINANCEIROS'!Y87</f>
        <v>0</v>
      </c>
      <c r="AJ81" s="46">
        <f>'DADOS FINANCEIROS'!Z87</f>
        <v>0</v>
      </c>
      <c r="AK8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1" s="98"/>
    </row>
    <row r="82" spans="1:38" x14ac:dyDescent="0.3">
      <c r="A82" s="30">
        <f>'DADOS FINANCEIROS'!D88</f>
        <v>0</v>
      </c>
      <c r="B82" s="30">
        <f>'DADOS FINANCEIROS'!A88</f>
        <v>0</v>
      </c>
      <c r="C82" s="30">
        <f>'DADOS FINANCEIROS'!B88</f>
        <v>0</v>
      </c>
      <c r="D82" s="30">
        <f>'DADOS FINANCEIROS'!C88</f>
        <v>0</v>
      </c>
      <c r="E82" s="44">
        <f>'DADOS FINANCEIROS'!E88</f>
        <v>0</v>
      </c>
      <c r="F82" s="44" t="str">
        <f>TEXT(Tabela1[[#This Row],[DATA DE EMISSÃO]],"MMM-AA")</f>
        <v>jan-00</v>
      </c>
      <c r="G82" s="44" t="str">
        <f>TEXT(Tabela1[[#This Row],[DATA DE EMISSÃO]],"AAAA")</f>
        <v>1900</v>
      </c>
      <c r="H82" s="44">
        <f>'DADOS FINANCEIROS'!F88</f>
        <v>0</v>
      </c>
      <c r="I82" s="44" t="str">
        <f>TEXT(Tabela1[[#This Row],[VENCIMENTO ORIGINAL]],"MMM-AA")</f>
        <v>jan-00</v>
      </c>
      <c r="J82" s="44" t="str">
        <f>TEXT(Tabela1[[#This Row],[VENCIMENTO ORIGINAL]],"AAAA")</f>
        <v>1900</v>
      </c>
      <c r="K82" s="44">
        <f>'DADOS FINANCEIROS'!G88</f>
        <v>0</v>
      </c>
      <c r="L82" s="44" t="str">
        <f>TEXT(Tabela1[[#This Row],[VENCIMENTO ATUAL]],"MMM-AA")</f>
        <v>jan-00</v>
      </c>
      <c r="M82" s="44" t="str">
        <f>TEXT(Tabela1[[#This Row],[VENCIMENTO ATUAL]],"AAAA")</f>
        <v>1900</v>
      </c>
      <c r="N82" s="46">
        <f>'DADOS FINANCEIROS'!H88</f>
        <v>0</v>
      </c>
      <c r="O82" s="30">
        <f>'DADOS FINANCEIROS'!I88</f>
        <v>0</v>
      </c>
      <c r="P82" s="30">
        <f>'DADOS FINANCEIROS'!J88</f>
        <v>0</v>
      </c>
      <c r="Q82" s="30">
        <f>'DADOS FINANCEIROS'!K88</f>
        <v>0</v>
      </c>
      <c r="R82" s="30">
        <f>'DADOS FINANCEIROS'!L88</f>
        <v>0</v>
      </c>
      <c r="S82" s="30">
        <f>'DADOS FINANCEIROS'!M88</f>
        <v>0</v>
      </c>
      <c r="T82" s="30">
        <f>IFERROR('DADOS FINANCEIROS'!N88,"")</f>
        <v>0</v>
      </c>
      <c r="U82" s="30">
        <f>'DADOS FINANCEIROS'!O88</f>
        <v>0</v>
      </c>
      <c r="V82" s="30">
        <f>'DADOS FINANCEIROS'!P88</f>
        <v>0</v>
      </c>
      <c r="W82" s="30">
        <f>'DADOS FINANCEIROS'!Q88</f>
        <v>0</v>
      </c>
      <c r="X82" s="30">
        <f>'DADOS FINANCEIROS'!R88</f>
        <v>0</v>
      </c>
      <c r="Y82" s="30">
        <f>'DADOS FINANCEIROS'!S88</f>
        <v>0</v>
      </c>
      <c r="Z82" s="30">
        <f>'DADOS FINANCEIROS'!T88</f>
        <v>0</v>
      </c>
      <c r="AA82" s="30">
        <f>'DADOS FINANCEIROS'!U88</f>
        <v>0</v>
      </c>
      <c r="AB82" s="44">
        <f>'DADOS FINANCEIROS'!V88</f>
        <v>0</v>
      </c>
      <c r="AC82" s="44" t="str">
        <f>TEXT(Tabela1[[#This Row],[Data de Negociação]],"MMM-AA")</f>
        <v>jan-00</v>
      </c>
      <c r="AD82" s="44" t="str">
        <f>TEXT(Tabela1[[#This Row],[Data de Negociação]],"AAAA")</f>
        <v>1900</v>
      </c>
      <c r="AE82" s="44">
        <f>'DADOS FINANCEIROS'!W88</f>
        <v>0</v>
      </c>
      <c r="AF82" s="44" t="str">
        <f>TEXT(Tabela1[[#This Row],[Data da Entrada/Primeira Parcela]],"MMM-AA")</f>
        <v>jan-00</v>
      </c>
      <c r="AG82" s="44" t="str">
        <f>TEXT(Tabela1[[#This Row],[Data da Entrada/Primeira Parcela]],"AAAA")</f>
        <v>1900</v>
      </c>
      <c r="AH82" s="30">
        <f>'DADOS FINANCEIROS'!X88</f>
        <v>0</v>
      </c>
      <c r="AI82" s="46">
        <f>'DADOS FINANCEIROS'!Y88</f>
        <v>0</v>
      </c>
      <c r="AJ82" s="46">
        <f>'DADOS FINANCEIROS'!Z88</f>
        <v>0</v>
      </c>
      <c r="AK8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2" s="98"/>
    </row>
    <row r="83" spans="1:38" x14ac:dyDescent="0.3">
      <c r="A83" s="30">
        <f>'DADOS FINANCEIROS'!D89</f>
        <v>0</v>
      </c>
      <c r="B83" s="30">
        <f>'DADOS FINANCEIROS'!A89</f>
        <v>0</v>
      </c>
      <c r="C83" s="30">
        <f>'DADOS FINANCEIROS'!B89</f>
        <v>0</v>
      </c>
      <c r="D83" s="30">
        <f>'DADOS FINANCEIROS'!C89</f>
        <v>0</v>
      </c>
      <c r="E83" s="44">
        <f>'DADOS FINANCEIROS'!E89</f>
        <v>0</v>
      </c>
      <c r="F83" s="44" t="str">
        <f>TEXT(Tabela1[[#This Row],[DATA DE EMISSÃO]],"MMM-AA")</f>
        <v>jan-00</v>
      </c>
      <c r="G83" s="44" t="str">
        <f>TEXT(Tabela1[[#This Row],[DATA DE EMISSÃO]],"AAAA")</f>
        <v>1900</v>
      </c>
      <c r="H83" s="44">
        <f>'DADOS FINANCEIROS'!F89</f>
        <v>0</v>
      </c>
      <c r="I83" s="44" t="str">
        <f>TEXT(Tabela1[[#This Row],[VENCIMENTO ORIGINAL]],"MMM-AA")</f>
        <v>jan-00</v>
      </c>
      <c r="J83" s="44" t="str">
        <f>TEXT(Tabela1[[#This Row],[VENCIMENTO ORIGINAL]],"AAAA")</f>
        <v>1900</v>
      </c>
      <c r="K83" s="44">
        <f>'DADOS FINANCEIROS'!G89</f>
        <v>0</v>
      </c>
      <c r="L83" s="44" t="str">
        <f>TEXT(Tabela1[[#This Row],[VENCIMENTO ATUAL]],"MMM-AA")</f>
        <v>jan-00</v>
      </c>
      <c r="M83" s="44" t="str">
        <f>TEXT(Tabela1[[#This Row],[VENCIMENTO ATUAL]],"AAAA")</f>
        <v>1900</v>
      </c>
      <c r="N83" s="46">
        <f>'DADOS FINANCEIROS'!H89</f>
        <v>0</v>
      </c>
      <c r="O83" s="30">
        <f>'DADOS FINANCEIROS'!I89</f>
        <v>0</v>
      </c>
      <c r="P83" s="30">
        <f>'DADOS FINANCEIROS'!J89</f>
        <v>0</v>
      </c>
      <c r="Q83" s="30">
        <f>'DADOS FINANCEIROS'!K89</f>
        <v>0</v>
      </c>
      <c r="R83" s="30">
        <f>'DADOS FINANCEIROS'!L89</f>
        <v>0</v>
      </c>
      <c r="S83" s="30">
        <f>'DADOS FINANCEIROS'!M89</f>
        <v>0</v>
      </c>
      <c r="T83" s="30">
        <f>IFERROR('DADOS FINANCEIROS'!N89,"")</f>
        <v>0</v>
      </c>
      <c r="U83" s="30">
        <f>'DADOS FINANCEIROS'!O89</f>
        <v>0</v>
      </c>
      <c r="V83" s="30">
        <f>'DADOS FINANCEIROS'!P89</f>
        <v>0</v>
      </c>
      <c r="W83" s="30">
        <f>'DADOS FINANCEIROS'!Q89</f>
        <v>0</v>
      </c>
      <c r="X83" s="30">
        <f>'DADOS FINANCEIROS'!R89</f>
        <v>0</v>
      </c>
      <c r="Y83" s="30">
        <f>'DADOS FINANCEIROS'!S89</f>
        <v>0</v>
      </c>
      <c r="Z83" s="30">
        <f>'DADOS FINANCEIROS'!T89</f>
        <v>0</v>
      </c>
      <c r="AA83" s="30">
        <f>'DADOS FINANCEIROS'!U89</f>
        <v>0</v>
      </c>
      <c r="AB83" s="44">
        <f>'DADOS FINANCEIROS'!V89</f>
        <v>0</v>
      </c>
      <c r="AC83" s="44" t="str">
        <f>TEXT(Tabela1[[#This Row],[Data de Negociação]],"MMM-AA")</f>
        <v>jan-00</v>
      </c>
      <c r="AD83" s="44" t="str">
        <f>TEXT(Tabela1[[#This Row],[Data de Negociação]],"AAAA")</f>
        <v>1900</v>
      </c>
      <c r="AE83" s="44">
        <f>'DADOS FINANCEIROS'!W89</f>
        <v>0</v>
      </c>
      <c r="AF83" s="44" t="str">
        <f>TEXT(Tabela1[[#This Row],[Data da Entrada/Primeira Parcela]],"MMM-AA")</f>
        <v>jan-00</v>
      </c>
      <c r="AG83" s="44" t="str">
        <f>TEXT(Tabela1[[#This Row],[Data da Entrada/Primeira Parcela]],"AAAA")</f>
        <v>1900</v>
      </c>
      <c r="AH83" s="30">
        <f>'DADOS FINANCEIROS'!X89</f>
        <v>0</v>
      </c>
      <c r="AI83" s="46">
        <f>'DADOS FINANCEIROS'!Y89</f>
        <v>0</v>
      </c>
      <c r="AJ83" s="46">
        <f>'DADOS FINANCEIROS'!Z89</f>
        <v>0</v>
      </c>
      <c r="AK8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3" s="98"/>
    </row>
    <row r="84" spans="1:38" x14ac:dyDescent="0.3">
      <c r="A84" s="30">
        <f>'DADOS FINANCEIROS'!D90</f>
        <v>0</v>
      </c>
      <c r="B84" s="30">
        <f>'DADOS FINANCEIROS'!A90</f>
        <v>0</v>
      </c>
      <c r="C84" s="30">
        <f>'DADOS FINANCEIROS'!B90</f>
        <v>0</v>
      </c>
      <c r="D84" s="30">
        <f>'DADOS FINANCEIROS'!C90</f>
        <v>0</v>
      </c>
      <c r="E84" s="44">
        <f>'DADOS FINANCEIROS'!E90</f>
        <v>0</v>
      </c>
      <c r="F84" s="44" t="str">
        <f>TEXT(Tabela1[[#This Row],[DATA DE EMISSÃO]],"MMM-AA")</f>
        <v>jan-00</v>
      </c>
      <c r="G84" s="44" t="str">
        <f>TEXT(Tabela1[[#This Row],[DATA DE EMISSÃO]],"AAAA")</f>
        <v>1900</v>
      </c>
      <c r="H84" s="44">
        <f>'DADOS FINANCEIROS'!F90</f>
        <v>0</v>
      </c>
      <c r="I84" s="44" t="str">
        <f>TEXT(Tabela1[[#This Row],[VENCIMENTO ORIGINAL]],"MMM-AA")</f>
        <v>jan-00</v>
      </c>
      <c r="J84" s="44" t="str">
        <f>TEXT(Tabela1[[#This Row],[VENCIMENTO ORIGINAL]],"AAAA")</f>
        <v>1900</v>
      </c>
      <c r="K84" s="44">
        <f>'DADOS FINANCEIROS'!G90</f>
        <v>0</v>
      </c>
      <c r="L84" s="44" t="str">
        <f>TEXT(Tabela1[[#This Row],[VENCIMENTO ATUAL]],"MMM-AA")</f>
        <v>jan-00</v>
      </c>
      <c r="M84" s="44" t="str">
        <f>TEXT(Tabela1[[#This Row],[VENCIMENTO ATUAL]],"AAAA")</f>
        <v>1900</v>
      </c>
      <c r="N84" s="46">
        <f>'DADOS FINANCEIROS'!H90</f>
        <v>0</v>
      </c>
      <c r="O84" s="30">
        <f>'DADOS FINANCEIROS'!I90</f>
        <v>0</v>
      </c>
      <c r="P84" s="30">
        <f>'DADOS FINANCEIROS'!J90</f>
        <v>0</v>
      </c>
      <c r="Q84" s="30">
        <f>'DADOS FINANCEIROS'!K90</f>
        <v>0</v>
      </c>
      <c r="R84" s="30">
        <f>'DADOS FINANCEIROS'!L90</f>
        <v>0</v>
      </c>
      <c r="S84" s="30">
        <f>'DADOS FINANCEIROS'!M90</f>
        <v>0</v>
      </c>
      <c r="T84" s="30">
        <f>IFERROR('DADOS FINANCEIROS'!N90,"")</f>
        <v>0</v>
      </c>
      <c r="U84" s="30">
        <f>'DADOS FINANCEIROS'!O90</f>
        <v>0</v>
      </c>
      <c r="V84" s="30">
        <f>'DADOS FINANCEIROS'!P90</f>
        <v>0</v>
      </c>
      <c r="W84" s="30">
        <f>'DADOS FINANCEIROS'!Q90</f>
        <v>0</v>
      </c>
      <c r="X84" s="30">
        <f>'DADOS FINANCEIROS'!R90</f>
        <v>0</v>
      </c>
      <c r="Y84" s="30">
        <f>'DADOS FINANCEIROS'!S90</f>
        <v>0</v>
      </c>
      <c r="Z84" s="30">
        <f>'DADOS FINANCEIROS'!T90</f>
        <v>0</v>
      </c>
      <c r="AA84" s="30">
        <f>'DADOS FINANCEIROS'!U90</f>
        <v>0</v>
      </c>
      <c r="AB84" s="44">
        <f>'DADOS FINANCEIROS'!V90</f>
        <v>0</v>
      </c>
      <c r="AC84" s="44" t="str">
        <f>TEXT(Tabela1[[#This Row],[Data de Negociação]],"MMM-AA")</f>
        <v>jan-00</v>
      </c>
      <c r="AD84" s="44" t="str">
        <f>TEXT(Tabela1[[#This Row],[Data de Negociação]],"AAAA")</f>
        <v>1900</v>
      </c>
      <c r="AE84" s="44">
        <f>'DADOS FINANCEIROS'!W90</f>
        <v>0</v>
      </c>
      <c r="AF84" s="44" t="str">
        <f>TEXT(Tabela1[[#This Row],[Data da Entrada/Primeira Parcela]],"MMM-AA")</f>
        <v>jan-00</v>
      </c>
      <c r="AG84" s="44" t="str">
        <f>TEXT(Tabela1[[#This Row],[Data da Entrada/Primeira Parcela]],"AAAA")</f>
        <v>1900</v>
      </c>
      <c r="AH84" s="30">
        <f>'DADOS FINANCEIROS'!X90</f>
        <v>0</v>
      </c>
      <c r="AI84" s="46">
        <f>'DADOS FINANCEIROS'!Y90</f>
        <v>0</v>
      </c>
      <c r="AJ84" s="46">
        <f>'DADOS FINANCEIROS'!Z90</f>
        <v>0</v>
      </c>
      <c r="AK8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4" s="98"/>
    </row>
    <row r="85" spans="1:38" x14ac:dyDescent="0.3">
      <c r="A85" s="30">
        <f>'DADOS FINANCEIROS'!D91</f>
        <v>0</v>
      </c>
      <c r="B85" s="30">
        <f>'DADOS FINANCEIROS'!A91</f>
        <v>0</v>
      </c>
      <c r="C85" s="30">
        <f>'DADOS FINANCEIROS'!B91</f>
        <v>0</v>
      </c>
      <c r="D85" s="30">
        <f>'DADOS FINANCEIROS'!C91</f>
        <v>0</v>
      </c>
      <c r="E85" s="44">
        <f>'DADOS FINANCEIROS'!E91</f>
        <v>0</v>
      </c>
      <c r="F85" s="44" t="str">
        <f>TEXT(Tabela1[[#This Row],[DATA DE EMISSÃO]],"MMM-AA")</f>
        <v>jan-00</v>
      </c>
      <c r="G85" s="44" t="str">
        <f>TEXT(Tabela1[[#This Row],[DATA DE EMISSÃO]],"AAAA")</f>
        <v>1900</v>
      </c>
      <c r="H85" s="44">
        <f>'DADOS FINANCEIROS'!F91</f>
        <v>0</v>
      </c>
      <c r="I85" s="44" t="str">
        <f>TEXT(Tabela1[[#This Row],[VENCIMENTO ORIGINAL]],"MMM-AA")</f>
        <v>jan-00</v>
      </c>
      <c r="J85" s="44" t="str">
        <f>TEXT(Tabela1[[#This Row],[VENCIMENTO ORIGINAL]],"AAAA")</f>
        <v>1900</v>
      </c>
      <c r="K85" s="44">
        <f>'DADOS FINANCEIROS'!G91</f>
        <v>0</v>
      </c>
      <c r="L85" s="44" t="str">
        <f>TEXT(Tabela1[[#This Row],[VENCIMENTO ATUAL]],"MMM-AA")</f>
        <v>jan-00</v>
      </c>
      <c r="M85" s="44" t="str">
        <f>TEXT(Tabela1[[#This Row],[VENCIMENTO ATUAL]],"AAAA")</f>
        <v>1900</v>
      </c>
      <c r="N85" s="46">
        <f>'DADOS FINANCEIROS'!H91</f>
        <v>0</v>
      </c>
      <c r="O85" s="30">
        <f>'DADOS FINANCEIROS'!I91</f>
        <v>0</v>
      </c>
      <c r="P85" s="30">
        <f>'DADOS FINANCEIROS'!J91</f>
        <v>0</v>
      </c>
      <c r="Q85" s="30">
        <f>'DADOS FINANCEIROS'!K91</f>
        <v>0</v>
      </c>
      <c r="R85" s="30">
        <f>'DADOS FINANCEIROS'!L91</f>
        <v>0</v>
      </c>
      <c r="S85" s="30">
        <f>'DADOS FINANCEIROS'!M91</f>
        <v>0</v>
      </c>
      <c r="T85" s="30">
        <f>IFERROR('DADOS FINANCEIROS'!N91,"")</f>
        <v>0</v>
      </c>
      <c r="U85" s="30">
        <f>'DADOS FINANCEIROS'!O91</f>
        <v>0</v>
      </c>
      <c r="V85" s="30">
        <f>'DADOS FINANCEIROS'!P91</f>
        <v>0</v>
      </c>
      <c r="W85" s="30">
        <f>'DADOS FINANCEIROS'!Q91</f>
        <v>0</v>
      </c>
      <c r="X85" s="30">
        <f>'DADOS FINANCEIROS'!R91</f>
        <v>0</v>
      </c>
      <c r="Y85" s="30">
        <f>'DADOS FINANCEIROS'!S91</f>
        <v>0</v>
      </c>
      <c r="Z85" s="30">
        <f>'DADOS FINANCEIROS'!T91</f>
        <v>0</v>
      </c>
      <c r="AA85" s="30">
        <f>'DADOS FINANCEIROS'!U91</f>
        <v>0</v>
      </c>
      <c r="AB85" s="44">
        <f>'DADOS FINANCEIROS'!V91</f>
        <v>0</v>
      </c>
      <c r="AC85" s="44" t="str">
        <f>TEXT(Tabela1[[#This Row],[Data de Negociação]],"MMM-AA")</f>
        <v>jan-00</v>
      </c>
      <c r="AD85" s="44" t="str">
        <f>TEXT(Tabela1[[#This Row],[Data de Negociação]],"AAAA")</f>
        <v>1900</v>
      </c>
      <c r="AE85" s="44">
        <f>'DADOS FINANCEIROS'!W91</f>
        <v>0</v>
      </c>
      <c r="AF85" s="44" t="str">
        <f>TEXT(Tabela1[[#This Row],[Data da Entrada/Primeira Parcela]],"MMM-AA")</f>
        <v>jan-00</v>
      </c>
      <c r="AG85" s="44" t="str">
        <f>TEXT(Tabela1[[#This Row],[Data da Entrada/Primeira Parcela]],"AAAA")</f>
        <v>1900</v>
      </c>
      <c r="AH85" s="30">
        <f>'DADOS FINANCEIROS'!X91</f>
        <v>0</v>
      </c>
      <c r="AI85" s="46">
        <f>'DADOS FINANCEIROS'!Y91</f>
        <v>0</v>
      </c>
      <c r="AJ85" s="46">
        <f>'DADOS FINANCEIROS'!Z91</f>
        <v>0</v>
      </c>
      <c r="AK8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5" s="98"/>
    </row>
    <row r="86" spans="1:38" x14ac:dyDescent="0.3">
      <c r="A86" s="30">
        <f>'DADOS FINANCEIROS'!D92</f>
        <v>0</v>
      </c>
      <c r="B86" s="30">
        <f>'DADOS FINANCEIROS'!A92</f>
        <v>0</v>
      </c>
      <c r="C86" s="30">
        <f>'DADOS FINANCEIROS'!B92</f>
        <v>0</v>
      </c>
      <c r="D86" s="30">
        <f>'DADOS FINANCEIROS'!C92</f>
        <v>0</v>
      </c>
      <c r="E86" s="44">
        <f>'DADOS FINANCEIROS'!E92</f>
        <v>0</v>
      </c>
      <c r="F86" s="44" t="str">
        <f>TEXT(Tabela1[[#This Row],[DATA DE EMISSÃO]],"MMM-AA")</f>
        <v>jan-00</v>
      </c>
      <c r="G86" s="44" t="str">
        <f>TEXT(Tabela1[[#This Row],[DATA DE EMISSÃO]],"AAAA")</f>
        <v>1900</v>
      </c>
      <c r="H86" s="44">
        <f>'DADOS FINANCEIROS'!F92</f>
        <v>0</v>
      </c>
      <c r="I86" s="44" t="str">
        <f>TEXT(Tabela1[[#This Row],[VENCIMENTO ORIGINAL]],"MMM-AA")</f>
        <v>jan-00</v>
      </c>
      <c r="J86" s="44" t="str">
        <f>TEXT(Tabela1[[#This Row],[VENCIMENTO ORIGINAL]],"AAAA")</f>
        <v>1900</v>
      </c>
      <c r="K86" s="44">
        <f>'DADOS FINANCEIROS'!G92</f>
        <v>0</v>
      </c>
      <c r="L86" s="44" t="str">
        <f>TEXT(Tabela1[[#This Row],[VENCIMENTO ATUAL]],"MMM-AA")</f>
        <v>jan-00</v>
      </c>
      <c r="M86" s="44" t="str">
        <f>TEXT(Tabela1[[#This Row],[VENCIMENTO ATUAL]],"AAAA")</f>
        <v>1900</v>
      </c>
      <c r="N86" s="46">
        <f>'DADOS FINANCEIROS'!H92</f>
        <v>0</v>
      </c>
      <c r="O86" s="30">
        <f>'DADOS FINANCEIROS'!I92</f>
        <v>0</v>
      </c>
      <c r="P86" s="30">
        <f>'DADOS FINANCEIROS'!J92</f>
        <v>0</v>
      </c>
      <c r="Q86" s="30">
        <f>'DADOS FINANCEIROS'!K92</f>
        <v>0</v>
      </c>
      <c r="R86" s="30">
        <f>'DADOS FINANCEIROS'!L92</f>
        <v>0</v>
      </c>
      <c r="S86" s="30">
        <f>'DADOS FINANCEIROS'!M92</f>
        <v>0</v>
      </c>
      <c r="T86" s="30">
        <f>IFERROR('DADOS FINANCEIROS'!N92,"")</f>
        <v>0</v>
      </c>
      <c r="U86" s="30">
        <f>'DADOS FINANCEIROS'!O92</f>
        <v>0</v>
      </c>
      <c r="V86" s="30">
        <f>'DADOS FINANCEIROS'!P92</f>
        <v>0</v>
      </c>
      <c r="W86" s="30">
        <f>'DADOS FINANCEIROS'!Q92</f>
        <v>0</v>
      </c>
      <c r="X86" s="30">
        <f>'DADOS FINANCEIROS'!R92</f>
        <v>0</v>
      </c>
      <c r="Y86" s="30">
        <f>'DADOS FINANCEIROS'!S92</f>
        <v>0</v>
      </c>
      <c r="Z86" s="30">
        <f>'DADOS FINANCEIROS'!T92</f>
        <v>0</v>
      </c>
      <c r="AA86" s="30">
        <f>'DADOS FINANCEIROS'!U92</f>
        <v>0</v>
      </c>
      <c r="AB86" s="44">
        <f>'DADOS FINANCEIROS'!V92</f>
        <v>0</v>
      </c>
      <c r="AC86" s="44" t="str">
        <f>TEXT(Tabela1[[#This Row],[Data de Negociação]],"MMM-AA")</f>
        <v>jan-00</v>
      </c>
      <c r="AD86" s="44" t="str">
        <f>TEXT(Tabela1[[#This Row],[Data de Negociação]],"AAAA")</f>
        <v>1900</v>
      </c>
      <c r="AE86" s="44">
        <f>'DADOS FINANCEIROS'!W92</f>
        <v>0</v>
      </c>
      <c r="AF86" s="44" t="str">
        <f>TEXT(Tabela1[[#This Row],[Data da Entrada/Primeira Parcela]],"MMM-AA")</f>
        <v>jan-00</v>
      </c>
      <c r="AG86" s="44" t="str">
        <f>TEXT(Tabela1[[#This Row],[Data da Entrada/Primeira Parcela]],"AAAA")</f>
        <v>1900</v>
      </c>
      <c r="AH86" s="30">
        <f>'DADOS FINANCEIROS'!X92</f>
        <v>0</v>
      </c>
      <c r="AI86" s="46">
        <f>'DADOS FINANCEIROS'!Y92</f>
        <v>0</v>
      </c>
      <c r="AJ86" s="46">
        <f>'DADOS FINANCEIROS'!Z92</f>
        <v>0</v>
      </c>
      <c r="AK8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6" s="98"/>
    </row>
    <row r="87" spans="1:38" x14ac:dyDescent="0.3">
      <c r="A87" s="30">
        <f>'DADOS FINANCEIROS'!D93</f>
        <v>0</v>
      </c>
      <c r="B87" s="30">
        <f>'DADOS FINANCEIROS'!A93</f>
        <v>0</v>
      </c>
      <c r="C87" s="30">
        <f>'DADOS FINANCEIROS'!B93</f>
        <v>0</v>
      </c>
      <c r="D87" s="30">
        <f>'DADOS FINANCEIROS'!C93</f>
        <v>0</v>
      </c>
      <c r="E87" s="44">
        <f>'DADOS FINANCEIROS'!E93</f>
        <v>0</v>
      </c>
      <c r="F87" s="44" t="str">
        <f>TEXT(Tabela1[[#This Row],[DATA DE EMISSÃO]],"MMM-AA")</f>
        <v>jan-00</v>
      </c>
      <c r="G87" s="44" t="str">
        <f>TEXT(Tabela1[[#This Row],[DATA DE EMISSÃO]],"AAAA")</f>
        <v>1900</v>
      </c>
      <c r="H87" s="44">
        <f>'DADOS FINANCEIROS'!F93</f>
        <v>0</v>
      </c>
      <c r="I87" s="44" t="str">
        <f>TEXT(Tabela1[[#This Row],[VENCIMENTO ORIGINAL]],"MMM-AA")</f>
        <v>jan-00</v>
      </c>
      <c r="J87" s="44" t="str">
        <f>TEXT(Tabela1[[#This Row],[VENCIMENTO ORIGINAL]],"AAAA")</f>
        <v>1900</v>
      </c>
      <c r="K87" s="44">
        <f>'DADOS FINANCEIROS'!G93</f>
        <v>0</v>
      </c>
      <c r="L87" s="44" t="str">
        <f>TEXT(Tabela1[[#This Row],[VENCIMENTO ATUAL]],"MMM-AA")</f>
        <v>jan-00</v>
      </c>
      <c r="M87" s="44" t="str">
        <f>TEXT(Tabela1[[#This Row],[VENCIMENTO ATUAL]],"AAAA")</f>
        <v>1900</v>
      </c>
      <c r="N87" s="46">
        <f>'DADOS FINANCEIROS'!H93</f>
        <v>0</v>
      </c>
      <c r="O87" s="30">
        <f>'DADOS FINANCEIROS'!I93</f>
        <v>0</v>
      </c>
      <c r="P87" s="30">
        <f>'DADOS FINANCEIROS'!J93</f>
        <v>0</v>
      </c>
      <c r="Q87" s="30">
        <f>'DADOS FINANCEIROS'!K93</f>
        <v>0</v>
      </c>
      <c r="R87" s="30">
        <f>'DADOS FINANCEIROS'!L93</f>
        <v>0</v>
      </c>
      <c r="S87" s="30">
        <f>'DADOS FINANCEIROS'!M93</f>
        <v>0</v>
      </c>
      <c r="T87" s="30">
        <f>IFERROR('DADOS FINANCEIROS'!N93,"")</f>
        <v>0</v>
      </c>
      <c r="U87" s="30">
        <f>'DADOS FINANCEIROS'!O93</f>
        <v>0</v>
      </c>
      <c r="V87" s="30">
        <f>'DADOS FINANCEIROS'!P93</f>
        <v>0</v>
      </c>
      <c r="W87" s="30">
        <f>'DADOS FINANCEIROS'!Q93</f>
        <v>0</v>
      </c>
      <c r="X87" s="30">
        <f>'DADOS FINANCEIROS'!R93</f>
        <v>0</v>
      </c>
      <c r="Y87" s="30">
        <f>'DADOS FINANCEIROS'!S93</f>
        <v>0</v>
      </c>
      <c r="Z87" s="30">
        <f>'DADOS FINANCEIROS'!T93</f>
        <v>0</v>
      </c>
      <c r="AA87" s="30">
        <f>'DADOS FINANCEIROS'!U93</f>
        <v>0</v>
      </c>
      <c r="AB87" s="44">
        <f>'DADOS FINANCEIROS'!V93</f>
        <v>0</v>
      </c>
      <c r="AC87" s="44" t="str">
        <f>TEXT(Tabela1[[#This Row],[Data de Negociação]],"MMM-AA")</f>
        <v>jan-00</v>
      </c>
      <c r="AD87" s="44" t="str">
        <f>TEXT(Tabela1[[#This Row],[Data de Negociação]],"AAAA")</f>
        <v>1900</v>
      </c>
      <c r="AE87" s="44">
        <f>'DADOS FINANCEIROS'!W93</f>
        <v>0</v>
      </c>
      <c r="AF87" s="44" t="str">
        <f>TEXT(Tabela1[[#This Row],[Data da Entrada/Primeira Parcela]],"MMM-AA")</f>
        <v>jan-00</v>
      </c>
      <c r="AG87" s="44" t="str">
        <f>TEXT(Tabela1[[#This Row],[Data da Entrada/Primeira Parcela]],"AAAA")</f>
        <v>1900</v>
      </c>
      <c r="AH87" s="30">
        <f>'DADOS FINANCEIROS'!X93</f>
        <v>0</v>
      </c>
      <c r="AI87" s="46">
        <f>'DADOS FINANCEIROS'!Y93</f>
        <v>0</v>
      </c>
      <c r="AJ87" s="46">
        <f>'DADOS FINANCEIROS'!Z93</f>
        <v>0</v>
      </c>
      <c r="AK8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7" s="98"/>
    </row>
    <row r="88" spans="1:38" x14ac:dyDescent="0.3">
      <c r="A88" s="30">
        <f>'DADOS FINANCEIROS'!D94</f>
        <v>0</v>
      </c>
      <c r="B88" s="30">
        <f>'DADOS FINANCEIROS'!A94</f>
        <v>0</v>
      </c>
      <c r="C88" s="30">
        <f>'DADOS FINANCEIROS'!B94</f>
        <v>0</v>
      </c>
      <c r="D88" s="30">
        <f>'DADOS FINANCEIROS'!C94</f>
        <v>0</v>
      </c>
      <c r="E88" s="44">
        <f>'DADOS FINANCEIROS'!E94</f>
        <v>0</v>
      </c>
      <c r="F88" s="44" t="str">
        <f>TEXT(Tabela1[[#This Row],[DATA DE EMISSÃO]],"MMM-AA")</f>
        <v>jan-00</v>
      </c>
      <c r="G88" s="44" t="str">
        <f>TEXT(Tabela1[[#This Row],[DATA DE EMISSÃO]],"AAAA")</f>
        <v>1900</v>
      </c>
      <c r="H88" s="44">
        <f>'DADOS FINANCEIROS'!F94</f>
        <v>0</v>
      </c>
      <c r="I88" s="44" t="str">
        <f>TEXT(Tabela1[[#This Row],[VENCIMENTO ORIGINAL]],"MMM-AA")</f>
        <v>jan-00</v>
      </c>
      <c r="J88" s="44" t="str">
        <f>TEXT(Tabela1[[#This Row],[VENCIMENTO ORIGINAL]],"AAAA")</f>
        <v>1900</v>
      </c>
      <c r="K88" s="44">
        <f>'DADOS FINANCEIROS'!G94</f>
        <v>0</v>
      </c>
      <c r="L88" s="44" t="str">
        <f>TEXT(Tabela1[[#This Row],[VENCIMENTO ATUAL]],"MMM-AA")</f>
        <v>jan-00</v>
      </c>
      <c r="M88" s="44" t="str">
        <f>TEXT(Tabela1[[#This Row],[VENCIMENTO ATUAL]],"AAAA")</f>
        <v>1900</v>
      </c>
      <c r="N88" s="46">
        <f>'DADOS FINANCEIROS'!H94</f>
        <v>0</v>
      </c>
      <c r="O88" s="30">
        <f>'DADOS FINANCEIROS'!I94</f>
        <v>0</v>
      </c>
      <c r="P88" s="30">
        <f>'DADOS FINANCEIROS'!J94</f>
        <v>0</v>
      </c>
      <c r="Q88" s="30">
        <f>'DADOS FINANCEIROS'!K94</f>
        <v>0</v>
      </c>
      <c r="R88" s="30">
        <f>'DADOS FINANCEIROS'!L94</f>
        <v>0</v>
      </c>
      <c r="S88" s="30">
        <f>'DADOS FINANCEIROS'!M94</f>
        <v>0</v>
      </c>
      <c r="T88" s="30">
        <f>IFERROR('DADOS FINANCEIROS'!N94,"")</f>
        <v>0</v>
      </c>
      <c r="U88" s="30">
        <f>'DADOS FINANCEIROS'!O94</f>
        <v>0</v>
      </c>
      <c r="V88" s="30">
        <f>'DADOS FINANCEIROS'!P94</f>
        <v>0</v>
      </c>
      <c r="W88" s="30">
        <f>'DADOS FINANCEIROS'!Q94</f>
        <v>0</v>
      </c>
      <c r="X88" s="30">
        <f>'DADOS FINANCEIROS'!R94</f>
        <v>0</v>
      </c>
      <c r="Y88" s="30">
        <f>'DADOS FINANCEIROS'!S94</f>
        <v>0</v>
      </c>
      <c r="Z88" s="30">
        <f>'DADOS FINANCEIROS'!T94</f>
        <v>0</v>
      </c>
      <c r="AA88" s="30">
        <f>'DADOS FINANCEIROS'!U94</f>
        <v>0</v>
      </c>
      <c r="AB88" s="44">
        <f>'DADOS FINANCEIROS'!V94</f>
        <v>0</v>
      </c>
      <c r="AC88" s="44" t="str">
        <f>TEXT(Tabela1[[#This Row],[Data de Negociação]],"MMM-AA")</f>
        <v>jan-00</v>
      </c>
      <c r="AD88" s="44" t="str">
        <f>TEXT(Tabela1[[#This Row],[Data de Negociação]],"AAAA")</f>
        <v>1900</v>
      </c>
      <c r="AE88" s="44">
        <f>'DADOS FINANCEIROS'!W94</f>
        <v>0</v>
      </c>
      <c r="AF88" s="44" t="str">
        <f>TEXT(Tabela1[[#This Row],[Data da Entrada/Primeira Parcela]],"MMM-AA")</f>
        <v>jan-00</v>
      </c>
      <c r="AG88" s="44" t="str">
        <f>TEXT(Tabela1[[#This Row],[Data da Entrada/Primeira Parcela]],"AAAA")</f>
        <v>1900</v>
      </c>
      <c r="AH88" s="30">
        <f>'DADOS FINANCEIROS'!X94</f>
        <v>0</v>
      </c>
      <c r="AI88" s="46">
        <f>'DADOS FINANCEIROS'!Y94</f>
        <v>0</v>
      </c>
      <c r="AJ88" s="46">
        <f>'DADOS FINANCEIROS'!Z94</f>
        <v>0</v>
      </c>
      <c r="AK8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8" s="98"/>
    </row>
    <row r="89" spans="1:38" x14ac:dyDescent="0.3">
      <c r="A89" s="30">
        <f>'DADOS FINANCEIROS'!D95</f>
        <v>0</v>
      </c>
      <c r="B89" s="30">
        <f>'DADOS FINANCEIROS'!A95</f>
        <v>0</v>
      </c>
      <c r="C89" s="30">
        <f>'DADOS FINANCEIROS'!B95</f>
        <v>0</v>
      </c>
      <c r="D89" s="30">
        <f>'DADOS FINANCEIROS'!C95</f>
        <v>0</v>
      </c>
      <c r="E89" s="44">
        <f>'DADOS FINANCEIROS'!E95</f>
        <v>0</v>
      </c>
      <c r="F89" s="44" t="str">
        <f>TEXT(Tabela1[[#This Row],[DATA DE EMISSÃO]],"MMM-AA")</f>
        <v>jan-00</v>
      </c>
      <c r="G89" s="44" t="str">
        <f>TEXT(Tabela1[[#This Row],[DATA DE EMISSÃO]],"AAAA")</f>
        <v>1900</v>
      </c>
      <c r="H89" s="44">
        <f>'DADOS FINANCEIROS'!F95</f>
        <v>0</v>
      </c>
      <c r="I89" s="44" t="str">
        <f>TEXT(Tabela1[[#This Row],[VENCIMENTO ORIGINAL]],"MMM-AA")</f>
        <v>jan-00</v>
      </c>
      <c r="J89" s="44" t="str">
        <f>TEXT(Tabela1[[#This Row],[VENCIMENTO ORIGINAL]],"AAAA")</f>
        <v>1900</v>
      </c>
      <c r="K89" s="44">
        <f>'DADOS FINANCEIROS'!G95</f>
        <v>0</v>
      </c>
      <c r="L89" s="44" t="str">
        <f>TEXT(Tabela1[[#This Row],[VENCIMENTO ATUAL]],"MMM-AA")</f>
        <v>jan-00</v>
      </c>
      <c r="M89" s="44" t="str">
        <f>TEXT(Tabela1[[#This Row],[VENCIMENTO ATUAL]],"AAAA")</f>
        <v>1900</v>
      </c>
      <c r="N89" s="46">
        <f>'DADOS FINANCEIROS'!H95</f>
        <v>0</v>
      </c>
      <c r="O89" s="30">
        <f>'DADOS FINANCEIROS'!I95</f>
        <v>0</v>
      </c>
      <c r="P89" s="30">
        <f>'DADOS FINANCEIROS'!J95</f>
        <v>0</v>
      </c>
      <c r="Q89" s="30">
        <f>'DADOS FINANCEIROS'!K95</f>
        <v>0</v>
      </c>
      <c r="R89" s="30">
        <f>'DADOS FINANCEIROS'!L95</f>
        <v>0</v>
      </c>
      <c r="S89" s="30">
        <f>'DADOS FINANCEIROS'!M95</f>
        <v>0</v>
      </c>
      <c r="T89" s="30">
        <f>IFERROR('DADOS FINANCEIROS'!N95,"")</f>
        <v>0</v>
      </c>
      <c r="U89" s="30">
        <f>'DADOS FINANCEIROS'!O95</f>
        <v>0</v>
      </c>
      <c r="V89" s="30">
        <f>'DADOS FINANCEIROS'!P95</f>
        <v>0</v>
      </c>
      <c r="W89" s="30">
        <f>'DADOS FINANCEIROS'!Q95</f>
        <v>0</v>
      </c>
      <c r="X89" s="30">
        <f>'DADOS FINANCEIROS'!R95</f>
        <v>0</v>
      </c>
      <c r="Y89" s="30">
        <f>'DADOS FINANCEIROS'!S95</f>
        <v>0</v>
      </c>
      <c r="Z89" s="30">
        <f>'DADOS FINANCEIROS'!T95</f>
        <v>0</v>
      </c>
      <c r="AA89" s="30">
        <f>'DADOS FINANCEIROS'!U95</f>
        <v>0</v>
      </c>
      <c r="AB89" s="44">
        <f>'DADOS FINANCEIROS'!V95</f>
        <v>0</v>
      </c>
      <c r="AC89" s="44" t="str">
        <f>TEXT(Tabela1[[#This Row],[Data de Negociação]],"MMM-AA")</f>
        <v>jan-00</v>
      </c>
      <c r="AD89" s="44" t="str">
        <f>TEXT(Tabela1[[#This Row],[Data de Negociação]],"AAAA")</f>
        <v>1900</v>
      </c>
      <c r="AE89" s="44">
        <f>'DADOS FINANCEIROS'!W95</f>
        <v>0</v>
      </c>
      <c r="AF89" s="44" t="str">
        <f>TEXT(Tabela1[[#This Row],[Data da Entrada/Primeira Parcela]],"MMM-AA")</f>
        <v>jan-00</v>
      </c>
      <c r="AG89" s="44" t="str">
        <f>TEXT(Tabela1[[#This Row],[Data da Entrada/Primeira Parcela]],"AAAA")</f>
        <v>1900</v>
      </c>
      <c r="AH89" s="30">
        <f>'DADOS FINANCEIROS'!X95</f>
        <v>0</v>
      </c>
      <c r="AI89" s="46">
        <f>'DADOS FINANCEIROS'!Y95</f>
        <v>0</v>
      </c>
      <c r="AJ89" s="46">
        <f>'DADOS FINANCEIROS'!Z95</f>
        <v>0</v>
      </c>
      <c r="AK8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89" s="98"/>
    </row>
    <row r="90" spans="1:38" x14ac:dyDescent="0.3">
      <c r="A90" s="30">
        <f>'DADOS FINANCEIROS'!D96</f>
        <v>0</v>
      </c>
      <c r="B90" s="30">
        <f>'DADOS FINANCEIROS'!A96</f>
        <v>0</v>
      </c>
      <c r="C90" s="30">
        <f>'DADOS FINANCEIROS'!B96</f>
        <v>0</v>
      </c>
      <c r="D90" s="30">
        <f>'DADOS FINANCEIROS'!C96</f>
        <v>0</v>
      </c>
      <c r="E90" s="44">
        <f>'DADOS FINANCEIROS'!E96</f>
        <v>0</v>
      </c>
      <c r="F90" s="44" t="str">
        <f>TEXT(Tabela1[[#This Row],[DATA DE EMISSÃO]],"MMM-AA")</f>
        <v>jan-00</v>
      </c>
      <c r="G90" s="44" t="str">
        <f>TEXT(Tabela1[[#This Row],[DATA DE EMISSÃO]],"AAAA")</f>
        <v>1900</v>
      </c>
      <c r="H90" s="44">
        <f>'DADOS FINANCEIROS'!F96</f>
        <v>0</v>
      </c>
      <c r="I90" s="44" t="str">
        <f>TEXT(Tabela1[[#This Row],[VENCIMENTO ORIGINAL]],"MMM-AA")</f>
        <v>jan-00</v>
      </c>
      <c r="J90" s="44" t="str">
        <f>TEXT(Tabela1[[#This Row],[VENCIMENTO ORIGINAL]],"AAAA")</f>
        <v>1900</v>
      </c>
      <c r="K90" s="44">
        <f>'DADOS FINANCEIROS'!G96</f>
        <v>0</v>
      </c>
      <c r="L90" s="44" t="str">
        <f>TEXT(Tabela1[[#This Row],[VENCIMENTO ATUAL]],"MMM-AA")</f>
        <v>jan-00</v>
      </c>
      <c r="M90" s="44" t="str">
        <f>TEXT(Tabela1[[#This Row],[VENCIMENTO ATUAL]],"AAAA")</f>
        <v>1900</v>
      </c>
      <c r="N90" s="46">
        <f>'DADOS FINANCEIROS'!H96</f>
        <v>0</v>
      </c>
      <c r="O90" s="30">
        <f>'DADOS FINANCEIROS'!I96</f>
        <v>0</v>
      </c>
      <c r="P90" s="30">
        <f>'DADOS FINANCEIROS'!J96</f>
        <v>0</v>
      </c>
      <c r="Q90" s="30">
        <f>'DADOS FINANCEIROS'!K96</f>
        <v>0</v>
      </c>
      <c r="R90" s="30">
        <f>'DADOS FINANCEIROS'!L96</f>
        <v>0</v>
      </c>
      <c r="S90" s="30">
        <f>'DADOS FINANCEIROS'!M96</f>
        <v>0</v>
      </c>
      <c r="T90" s="30">
        <f>IFERROR('DADOS FINANCEIROS'!N96,"")</f>
        <v>0</v>
      </c>
      <c r="U90" s="30">
        <f>'DADOS FINANCEIROS'!O96</f>
        <v>0</v>
      </c>
      <c r="V90" s="30">
        <f>'DADOS FINANCEIROS'!P96</f>
        <v>0</v>
      </c>
      <c r="W90" s="30">
        <f>'DADOS FINANCEIROS'!Q96</f>
        <v>0</v>
      </c>
      <c r="X90" s="30">
        <f>'DADOS FINANCEIROS'!R96</f>
        <v>0</v>
      </c>
      <c r="Y90" s="30">
        <f>'DADOS FINANCEIROS'!S96</f>
        <v>0</v>
      </c>
      <c r="Z90" s="30">
        <f>'DADOS FINANCEIROS'!T96</f>
        <v>0</v>
      </c>
      <c r="AA90" s="30">
        <f>'DADOS FINANCEIROS'!U96</f>
        <v>0</v>
      </c>
      <c r="AB90" s="44">
        <f>'DADOS FINANCEIROS'!V96</f>
        <v>0</v>
      </c>
      <c r="AC90" s="44" t="str">
        <f>TEXT(Tabela1[[#This Row],[Data de Negociação]],"MMM-AA")</f>
        <v>jan-00</v>
      </c>
      <c r="AD90" s="44" t="str">
        <f>TEXT(Tabela1[[#This Row],[Data de Negociação]],"AAAA")</f>
        <v>1900</v>
      </c>
      <c r="AE90" s="44">
        <f>'DADOS FINANCEIROS'!W96</f>
        <v>0</v>
      </c>
      <c r="AF90" s="44" t="str">
        <f>TEXT(Tabela1[[#This Row],[Data da Entrada/Primeira Parcela]],"MMM-AA")</f>
        <v>jan-00</v>
      </c>
      <c r="AG90" s="44" t="str">
        <f>TEXT(Tabela1[[#This Row],[Data da Entrada/Primeira Parcela]],"AAAA")</f>
        <v>1900</v>
      </c>
      <c r="AH90" s="30">
        <f>'DADOS FINANCEIROS'!X96</f>
        <v>0</v>
      </c>
      <c r="AI90" s="46">
        <f>'DADOS FINANCEIROS'!Y96</f>
        <v>0</v>
      </c>
      <c r="AJ90" s="46">
        <f>'DADOS FINANCEIROS'!Z96</f>
        <v>0</v>
      </c>
      <c r="AK9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0" s="98"/>
    </row>
    <row r="91" spans="1:38" x14ac:dyDescent="0.3">
      <c r="A91" s="30">
        <f>'DADOS FINANCEIROS'!D97</f>
        <v>0</v>
      </c>
      <c r="B91" s="30">
        <f>'DADOS FINANCEIROS'!A97</f>
        <v>0</v>
      </c>
      <c r="C91" s="30">
        <f>'DADOS FINANCEIROS'!B97</f>
        <v>0</v>
      </c>
      <c r="D91" s="30">
        <f>'DADOS FINANCEIROS'!C97</f>
        <v>0</v>
      </c>
      <c r="E91" s="44">
        <f>'DADOS FINANCEIROS'!E97</f>
        <v>0</v>
      </c>
      <c r="F91" s="44" t="str">
        <f>TEXT(Tabela1[[#This Row],[DATA DE EMISSÃO]],"MMM-AA")</f>
        <v>jan-00</v>
      </c>
      <c r="G91" s="44" t="str">
        <f>TEXT(Tabela1[[#This Row],[DATA DE EMISSÃO]],"AAAA")</f>
        <v>1900</v>
      </c>
      <c r="H91" s="44">
        <f>'DADOS FINANCEIROS'!F97</f>
        <v>0</v>
      </c>
      <c r="I91" s="44" t="str">
        <f>TEXT(Tabela1[[#This Row],[VENCIMENTO ORIGINAL]],"MMM-AA")</f>
        <v>jan-00</v>
      </c>
      <c r="J91" s="44" t="str">
        <f>TEXT(Tabela1[[#This Row],[VENCIMENTO ORIGINAL]],"AAAA")</f>
        <v>1900</v>
      </c>
      <c r="K91" s="44">
        <f>'DADOS FINANCEIROS'!G97</f>
        <v>0</v>
      </c>
      <c r="L91" s="44" t="str">
        <f>TEXT(Tabela1[[#This Row],[VENCIMENTO ATUAL]],"MMM-AA")</f>
        <v>jan-00</v>
      </c>
      <c r="M91" s="44" t="str">
        <f>TEXT(Tabela1[[#This Row],[VENCIMENTO ATUAL]],"AAAA")</f>
        <v>1900</v>
      </c>
      <c r="N91" s="46">
        <f>'DADOS FINANCEIROS'!H97</f>
        <v>0</v>
      </c>
      <c r="O91" s="30">
        <f>'DADOS FINANCEIROS'!I97</f>
        <v>0</v>
      </c>
      <c r="P91" s="30">
        <f>'DADOS FINANCEIROS'!J97</f>
        <v>0</v>
      </c>
      <c r="Q91" s="30">
        <f>'DADOS FINANCEIROS'!K97</f>
        <v>0</v>
      </c>
      <c r="R91" s="30">
        <f>'DADOS FINANCEIROS'!L97</f>
        <v>0</v>
      </c>
      <c r="S91" s="30">
        <f>'DADOS FINANCEIROS'!M97</f>
        <v>0</v>
      </c>
      <c r="T91" s="30">
        <f>IFERROR('DADOS FINANCEIROS'!N97,"")</f>
        <v>0</v>
      </c>
      <c r="U91" s="30">
        <f>'DADOS FINANCEIROS'!O97</f>
        <v>0</v>
      </c>
      <c r="V91" s="30">
        <f>'DADOS FINANCEIROS'!P97</f>
        <v>0</v>
      </c>
      <c r="W91" s="30">
        <f>'DADOS FINANCEIROS'!Q97</f>
        <v>0</v>
      </c>
      <c r="X91" s="30">
        <f>'DADOS FINANCEIROS'!R97</f>
        <v>0</v>
      </c>
      <c r="Y91" s="30">
        <f>'DADOS FINANCEIROS'!S97</f>
        <v>0</v>
      </c>
      <c r="Z91" s="30">
        <f>'DADOS FINANCEIROS'!T97</f>
        <v>0</v>
      </c>
      <c r="AA91" s="30">
        <f>'DADOS FINANCEIROS'!U97</f>
        <v>0</v>
      </c>
      <c r="AB91" s="44">
        <f>'DADOS FINANCEIROS'!V97</f>
        <v>0</v>
      </c>
      <c r="AC91" s="44" t="str">
        <f>TEXT(Tabela1[[#This Row],[Data de Negociação]],"MMM-AA")</f>
        <v>jan-00</v>
      </c>
      <c r="AD91" s="44" t="str">
        <f>TEXT(Tabela1[[#This Row],[Data de Negociação]],"AAAA")</f>
        <v>1900</v>
      </c>
      <c r="AE91" s="44">
        <f>'DADOS FINANCEIROS'!W97</f>
        <v>0</v>
      </c>
      <c r="AF91" s="44" t="str">
        <f>TEXT(Tabela1[[#This Row],[Data da Entrada/Primeira Parcela]],"MMM-AA")</f>
        <v>jan-00</v>
      </c>
      <c r="AG91" s="44" t="str">
        <f>TEXT(Tabela1[[#This Row],[Data da Entrada/Primeira Parcela]],"AAAA")</f>
        <v>1900</v>
      </c>
      <c r="AH91" s="30">
        <f>'DADOS FINANCEIROS'!X97</f>
        <v>0</v>
      </c>
      <c r="AI91" s="46">
        <f>'DADOS FINANCEIROS'!Y97</f>
        <v>0</v>
      </c>
      <c r="AJ91" s="46">
        <f>'DADOS FINANCEIROS'!Z97</f>
        <v>0</v>
      </c>
      <c r="AK9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1" s="98"/>
    </row>
    <row r="92" spans="1:38" x14ac:dyDescent="0.3">
      <c r="A92" s="30">
        <f>'DADOS FINANCEIROS'!D98</f>
        <v>0</v>
      </c>
      <c r="B92" s="30">
        <f>'DADOS FINANCEIROS'!A98</f>
        <v>0</v>
      </c>
      <c r="C92" s="30">
        <f>'DADOS FINANCEIROS'!B98</f>
        <v>0</v>
      </c>
      <c r="D92" s="30">
        <f>'DADOS FINANCEIROS'!C98</f>
        <v>0</v>
      </c>
      <c r="E92" s="44">
        <f>'DADOS FINANCEIROS'!E98</f>
        <v>0</v>
      </c>
      <c r="F92" s="44" t="str">
        <f>TEXT(Tabela1[[#This Row],[DATA DE EMISSÃO]],"MMM-AA")</f>
        <v>jan-00</v>
      </c>
      <c r="G92" s="44" t="str">
        <f>TEXT(Tabela1[[#This Row],[DATA DE EMISSÃO]],"AAAA")</f>
        <v>1900</v>
      </c>
      <c r="H92" s="44">
        <f>'DADOS FINANCEIROS'!F98</f>
        <v>0</v>
      </c>
      <c r="I92" s="44" t="str">
        <f>TEXT(Tabela1[[#This Row],[VENCIMENTO ORIGINAL]],"MMM-AA")</f>
        <v>jan-00</v>
      </c>
      <c r="J92" s="44" t="str">
        <f>TEXT(Tabela1[[#This Row],[VENCIMENTO ORIGINAL]],"AAAA")</f>
        <v>1900</v>
      </c>
      <c r="K92" s="44">
        <f>'DADOS FINANCEIROS'!G98</f>
        <v>0</v>
      </c>
      <c r="L92" s="44" t="str">
        <f>TEXT(Tabela1[[#This Row],[VENCIMENTO ATUAL]],"MMM-AA")</f>
        <v>jan-00</v>
      </c>
      <c r="M92" s="44" t="str">
        <f>TEXT(Tabela1[[#This Row],[VENCIMENTO ATUAL]],"AAAA")</f>
        <v>1900</v>
      </c>
      <c r="N92" s="46">
        <f>'DADOS FINANCEIROS'!H98</f>
        <v>0</v>
      </c>
      <c r="O92" s="30">
        <f>'DADOS FINANCEIROS'!I98</f>
        <v>0</v>
      </c>
      <c r="P92" s="30">
        <f>'DADOS FINANCEIROS'!J98</f>
        <v>0</v>
      </c>
      <c r="Q92" s="30">
        <f>'DADOS FINANCEIROS'!K98</f>
        <v>0</v>
      </c>
      <c r="R92" s="30">
        <f>'DADOS FINANCEIROS'!L98</f>
        <v>0</v>
      </c>
      <c r="S92" s="30">
        <f>'DADOS FINANCEIROS'!M98</f>
        <v>0</v>
      </c>
      <c r="T92" s="30">
        <f>IFERROR('DADOS FINANCEIROS'!N98,"")</f>
        <v>0</v>
      </c>
      <c r="U92" s="30">
        <f>'DADOS FINANCEIROS'!O98</f>
        <v>0</v>
      </c>
      <c r="V92" s="30">
        <f>'DADOS FINANCEIROS'!P98</f>
        <v>0</v>
      </c>
      <c r="W92" s="30">
        <f>'DADOS FINANCEIROS'!Q98</f>
        <v>0</v>
      </c>
      <c r="X92" s="30">
        <f>'DADOS FINANCEIROS'!R98</f>
        <v>0</v>
      </c>
      <c r="Y92" s="30">
        <f>'DADOS FINANCEIROS'!S98</f>
        <v>0</v>
      </c>
      <c r="Z92" s="30">
        <f>'DADOS FINANCEIROS'!T98</f>
        <v>0</v>
      </c>
      <c r="AA92" s="30">
        <f>'DADOS FINANCEIROS'!U98</f>
        <v>0</v>
      </c>
      <c r="AB92" s="44">
        <f>'DADOS FINANCEIROS'!V98</f>
        <v>0</v>
      </c>
      <c r="AC92" s="44" t="str">
        <f>TEXT(Tabela1[[#This Row],[Data de Negociação]],"MMM-AA")</f>
        <v>jan-00</v>
      </c>
      <c r="AD92" s="44" t="str">
        <f>TEXT(Tabela1[[#This Row],[Data de Negociação]],"AAAA")</f>
        <v>1900</v>
      </c>
      <c r="AE92" s="44">
        <f>'DADOS FINANCEIROS'!W98</f>
        <v>0</v>
      </c>
      <c r="AF92" s="44" t="str">
        <f>TEXT(Tabela1[[#This Row],[Data da Entrada/Primeira Parcela]],"MMM-AA")</f>
        <v>jan-00</v>
      </c>
      <c r="AG92" s="44" t="str">
        <f>TEXT(Tabela1[[#This Row],[Data da Entrada/Primeira Parcela]],"AAAA")</f>
        <v>1900</v>
      </c>
      <c r="AH92" s="30">
        <f>'DADOS FINANCEIROS'!X98</f>
        <v>0</v>
      </c>
      <c r="AI92" s="46">
        <f>'DADOS FINANCEIROS'!Y98</f>
        <v>0</v>
      </c>
      <c r="AJ92" s="46">
        <f>'DADOS FINANCEIROS'!Z98</f>
        <v>0</v>
      </c>
      <c r="AK9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2" s="98"/>
    </row>
    <row r="93" spans="1:38" x14ac:dyDescent="0.3">
      <c r="A93" s="30">
        <f>'DADOS FINANCEIROS'!D99</f>
        <v>0</v>
      </c>
      <c r="B93" s="30">
        <f>'DADOS FINANCEIROS'!A99</f>
        <v>0</v>
      </c>
      <c r="C93" s="30">
        <f>'DADOS FINANCEIROS'!B99</f>
        <v>0</v>
      </c>
      <c r="D93" s="30">
        <f>'DADOS FINANCEIROS'!C99</f>
        <v>0</v>
      </c>
      <c r="E93" s="44">
        <f>'DADOS FINANCEIROS'!E99</f>
        <v>0</v>
      </c>
      <c r="F93" s="44" t="str">
        <f>TEXT(Tabela1[[#This Row],[DATA DE EMISSÃO]],"MMM-AA")</f>
        <v>jan-00</v>
      </c>
      <c r="G93" s="44" t="str">
        <f>TEXT(Tabela1[[#This Row],[DATA DE EMISSÃO]],"AAAA")</f>
        <v>1900</v>
      </c>
      <c r="H93" s="44">
        <f>'DADOS FINANCEIROS'!F99</f>
        <v>0</v>
      </c>
      <c r="I93" s="44" t="str">
        <f>TEXT(Tabela1[[#This Row],[VENCIMENTO ORIGINAL]],"MMM-AA")</f>
        <v>jan-00</v>
      </c>
      <c r="J93" s="44" t="str">
        <f>TEXT(Tabela1[[#This Row],[VENCIMENTO ORIGINAL]],"AAAA")</f>
        <v>1900</v>
      </c>
      <c r="K93" s="44">
        <f>'DADOS FINANCEIROS'!G99</f>
        <v>0</v>
      </c>
      <c r="L93" s="44" t="str">
        <f>TEXT(Tabela1[[#This Row],[VENCIMENTO ATUAL]],"MMM-AA")</f>
        <v>jan-00</v>
      </c>
      <c r="M93" s="44" t="str">
        <f>TEXT(Tabela1[[#This Row],[VENCIMENTO ATUAL]],"AAAA")</f>
        <v>1900</v>
      </c>
      <c r="N93" s="46">
        <f>'DADOS FINANCEIROS'!H99</f>
        <v>0</v>
      </c>
      <c r="O93" s="30">
        <f>'DADOS FINANCEIROS'!I99</f>
        <v>0</v>
      </c>
      <c r="P93" s="30">
        <f>'DADOS FINANCEIROS'!J99</f>
        <v>0</v>
      </c>
      <c r="Q93" s="30">
        <f>'DADOS FINANCEIROS'!K99</f>
        <v>0</v>
      </c>
      <c r="R93" s="30">
        <f>'DADOS FINANCEIROS'!L99</f>
        <v>0</v>
      </c>
      <c r="S93" s="30">
        <f>'DADOS FINANCEIROS'!M99</f>
        <v>0</v>
      </c>
      <c r="T93" s="30">
        <f>IFERROR('DADOS FINANCEIROS'!N99,"")</f>
        <v>0</v>
      </c>
      <c r="U93" s="30">
        <f>'DADOS FINANCEIROS'!O99</f>
        <v>0</v>
      </c>
      <c r="V93" s="30">
        <f>'DADOS FINANCEIROS'!P99</f>
        <v>0</v>
      </c>
      <c r="W93" s="30">
        <f>'DADOS FINANCEIROS'!Q99</f>
        <v>0</v>
      </c>
      <c r="X93" s="30">
        <f>'DADOS FINANCEIROS'!R99</f>
        <v>0</v>
      </c>
      <c r="Y93" s="30">
        <f>'DADOS FINANCEIROS'!S99</f>
        <v>0</v>
      </c>
      <c r="Z93" s="30">
        <f>'DADOS FINANCEIROS'!T99</f>
        <v>0</v>
      </c>
      <c r="AA93" s="30">
        <f>'DADOS FINANCEIROS'!U99</f>
        <v>0</v>
      </c>
      <c r="AB93" s="44">
        <f>'DADOS FINANCEIROS'!V99</f>
        <v>0</v>
      </c>
      <c r="AC93" s="44" t="str">
        <f>TEXT(Tabela1[[#This Row],[Data de Negociação]],"MMM-AA")</f>
        <v>jan-00</v>
      </c>
      <c r="AD93" s="44" t="str">
        <f>TEXT(Tabela1[[#This Row],[Data de Negociação]],"AAAA")</f>
        <v>1900</v>
      </c>
      <c r="AE93" s="44">
        <f>'DADOS FINANCEIROS'!W99</f>
        <v>0</v>
      </c>
      <c r="AF93" s="44" t="str">
        <f>TEXT(Tabela1[[#This Row],[Data da Entrada/Primeira Parcela]],"MMM-AA")</f>
        <v>jan-00</v>
      </c>
      <c r="AG93" s="44" t="str">
        <f>TEXT(Tabela1[[#This Row],[Data da Entrada/Primeira Parcela]],"AAAA")</f>
        <v>1900</v>
      </c>
      <c r="AH93" s="30">
        <f>'DADOS FINANCEIROS'!X99</f>
        <v>0</v>
      </c>
      <c r="AI93" s="46">
        <f>'DADOS FINANCEIROS'!Y99</f>
        <v>0</v>
      </c>
      <c r="AJ93" s="46">
        <f>'DADOS FINANCEIROS'!Z99</f>
        <v>0</v>
      </c>
      <c r="AK9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3" s="98"/>
    </row>
    <row r="94" spans="1:38" x14ac:dyDescent="0.3">
      <c r="A94" s="30">
        <f>'DADOS FINANCEIROS'!D100</f>
        <v>0</v>
      </c>
      <c r="B94" s="30">
        <f>'DADOS FINANCEIROS'!A100</f>
        <v>0</v>
      </c>
      <c r="C94" s="30">
        <f>'DADOS FINANCEIROS'!B100</f>
        <v>0</v>
      </c>
      <c r="D94" s="30">
        <f>'DADOS FINANCEIROS'!C100</f>
        <v>0</v>
      </c>
      <c r="E94" s="44">
        <f>'DADOS FINANCEIROS'!E100</f>
        <v>0</v>
      </c>
      <c r="F94" s="44" t="str">
        <f>TEXT(Tabela1[[#This Row],[DATA DE EMISSÃO]],"MMM-AA")</f>
        <v>jan-00</v>
      </c>
      <c r="G94" s="44" t="str">
        <f>TEXT(Tabela1[[#This Row],[DATA DE EMISSÃO]],"AAAA")</f>
        <v>1900</v>
      </c>
      <c r="H94" s="44">
        <f>'DADOS FINANCEIROS'!F100</f>
        <v>0</v>
      </c>
      <c r="I94" s="44" t="str">
        <f>TEXT(Tabela1[[#This Row],[VENCIMENTO ORIGINAL]],"MMM-AA")</f>
        <v>jan-00</v>
      </c>
      <c r="J94" s="44" t="str">
        <f>TEXT(Tabela1[[#This Row],[VENCIMENTO ORIGINAL]],"AAAA")</f>
        <v>1900</v>
      </c>
      <c r="K94" s="44">
        <f>'DADOS FINANCEIROS'!G100</f>
        <v>0</v>
      </c>
      <c r="L94" s="44" t="str">
        <f>TEXT(Tabela1[[#This Row],[VENCIMENTO ATUAL]],"MMM-AA")</f>
        <v>jan-00</v>
      </c>
      <c r="M94" s="44" t="str">
        <f>TEXT(Tabela1[[#This Row],[VENCIMENTO ATUAL]],"AAAA")</f>
        <v>1900</v>
      </c>
      <c r="N94" s="46">
        <f>'DADOS FINANCEIROS'!H100</f>
        <v>0</v>
      </c>
      <c r="O94" s="30">
        <f>'DADOS FINANCEIROS'!I100</f>
        <v>0</v>
      </c>
      <c r="P94" s="30">
        <f>'DADOS FINANCEIROS'!J100</f>
        <v>0</v>
      </c>
      <c r="Q94" s="30">
        <f>'DADOS FINANCEIROS'!K100</f>
        <v>0</v>
      </c>
      <c r="R94" s="30">
        <f>'DADOS FINANCEIROS'!L100</f>
        <v>0</v>
      </c>
      <c r="S94" s="30">
        <f>'DADOS FINANCEIROS'!M100</f>
        <v>0</v>
      </c>
      <c r="T94" s="30">
        <f>IFERROR('DADOS FINANCEIROS'!N100,"")</f>
        <v>0</v>
      </c>
      <c r="U94" s="30">
        <f>'DADOS FINANCEIROS'!O100</f>
        <v>0</v>
      </c>
      <c r="V94" s="30">
        <f>'DADOS FINANCEIROS'!P100</f>
        <v>0</v>
      </c>
      <c r="W94" s="30">
        <f>'DADOS FINANCEIROS'!Q100</f>
        <v>0</v>
      </c>
      <c r="X94" s="30">
        <f>'DADOS FINANCEIROS'!R100</f>
        <v>0</v>
      </c>
      <c r="Y94" s="30">
        <f>'DADOS FINANCEIROS'!S100</f>
        <v>0</v>
      </c>
      <c r="Z94" s="30">
        <f>'DADOS FINANCEIROS'!T100</f>
        <v>0</v>
      </c>
      <c r="AA94" s="30">
        <f>'DADOS FINANCEIROS'!U100</f>
        <v>0</v>
      </c>
      <c r="AB94" s="44">
        <f>'DADOS FINANCEIROS'!V100</f>
        <v>0</v>
      </c>
      <c r="AC94" s="44" t="str">
        <f>TEXT(Tabela1[[#This Row],[Data de Negociação]],"MMM-AA")</f>
        <v>jan-00</v>
      </c>
      <c r="AD94" s="44" t="str">
        <f>TEXT(Tabela1[[#This Row],[Data de Negociação]],"AAAA")</f>
        <v>1900</v>
      </c>
      <c r="AE94" s="44">
        <f>'DADOS FINANCEIROS'!W100</f>
        <v>0</v>
      </c>
      <c r="AF94" s="44" t="str">
        <f>TEXT(Tabela1[[#This Row],[Data da Entrada/Primeira Parcela]],"MMM-AA")</f>
        <v>jan-00</v>
      </c>
      <c r="AG94" s="44" t="str">
        <f>TEXT(Tabela1[[#This Row],[Data da Entrada/Primeira Parcela]],"AAAA")</f>
        <v>1900</v>
      </c>
      <c r="AH94" s="30">
        <f>'DADOS FINANCEIROS'!X100</f>
        <v>0</v>
      </c>
      <c r="AI94" s="46">
        <f>'DADOS FINANCEIROS'!Y100</f>
        <v>0</v>
      </c>
      <c r="AJ94" s="46">
        <f>'DADOS FINANCEIROS'!Z100</f>
        <v>0</v>
      </c>
      <c r="AK9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4" s="98"/>
    </row>
    <row r="95" spans="1:38" x14ac:dyDescent="0.3">
      <c r="A95" s="30">
        <f>'DADOS FINANCEIROS'!D101</f>
        <v>0</v>
      </c>
      <c r="B95" s="30">
        <f>'DADOS FINANCEIROS'!A101</f>
        <v>0</v>
      </c>
      <c r="C95" s="30">
        <f>'DADOS FINANCEIROS'!B101</f>
        <v>0</v>
      </c>
      <c r="D95" s="30">
        <f>'DADOS FINANCEIROS'!C101</f>
        <v>0</v>
      </c>
      <c r="E95" s="44">
        <f>'DADOS FINANCEIROS'!E101</f>
        <v>0</v>
      </c>
      <c r="F95" s="44" t="str">
        <f>TEXT(Tabela1[[#This Row],[DATA DE EMISSÃO]],"MMM-AA")</f>
        <v>jan-00</v>
      </c>
      <c r="G95" s="44" t="str">
        <f>TEXT(Tabela1[[#This Row],[DATA DE EMISSÃO]],"AAAA")</f>
        <v>1900</v>
      </c>
      <c r="H95" s="44">
        <f>'DADOS FINANCEIROS'!F101</f>
        <v>0</v>
      </c>
      <c r="I95" s="44" t="str">
        <f>TEXT(Tabela1[[#This Row],[VENCIMENTO ORIGINAL]],"MMM-AA")</f>
        <v>jan-00</v>
      </c>
      <c r="J95" s="44" t="str">
        <f>TEXT(Tabela1[[#This Row],[VENCIMENTO ORIGINAL]],"AAAA")</f>
        <v>1900</v>
      </c>
      <c r="K95" s="44">
        <f>'DADOS FINANCEIROS'!G101</f>
        <v>0</v>
      </c>
      <c r="L95" s="44" t="str">
        <f>TEXT(Tabela1[[#This Row],[VENCIMENTO ATUAL]],"MMM-AA")</f>
        <v>jan-00</v>
      </c>
      <c r="M95" s="44" t="str">
        <f>TEXT(Tabela1[[#This Row],[VENCIMENTO ATUAL]],"AAAA")</f>
        <v>1900</v>
      </c>
      <c r="N95" s="46">
        <f>'DADOS FINANCEIROS'!H101</f>
        <v>0</v>
      </c>
      <c r="O95" s="30">
        <f>'DADOS FINANCEIROS'!I101</f>
        <v>0</v>
      </c>
      <c r="P95" s="30">
        <f>'DADOS FINANCEIROS'!J101</f>
        <v>0</v>
      </c>
      <c r="Q95" s="30">
        <f>'DADOS FINANCEIROS'!K101</f>
        <v>0</v>
      </c>
      <c r="R95" s="30">
        <f>'DADOS FINANCEIROS'!L101</f>
        <v>0</v>
      </c>
      <c r="S95" s="30">
        <f>'DADOS FINANCEIROS'!M101</f>
        <v>0</v>
      </c>
      <c r="T95" s="30">
        <f>IFERROR('DADOS FINANCEIROS'!N101,"")</f>
        <v>0</v>
      </c>
      <c r="U95" s="30">
        <f>'DADOS FINANCEIROS'!O101</f>
        <v>0</v>
      </c>
      <c r="V95" s="30">
        <f>'DADOS FINANCEIROS'!P101</f>
        <v>0</v>
      </c>
      <c r="W95" s="30">
        <f>'DADOS FINANCEIROS'!Q101</f>
        <v>0</v>
      </c>
      <c r="X95" s="30">
        <f>'DADOS FINANCEIROS'!R101</f>
        <v>0</v>
      </c>
      <c r="Y95" s="30">
        <f>'DADOS FINANCEIROS'!S101</f>
        <v>0</v>
      </c>
      <c r="Z95" s="30">
        <f>'DADOS FINANCEIROS'!T101</f>
        <v>0</v>
      </c>
      <c r="AA95" s="30">
        <f>'DADOS FINANCEIROS'!U101</f>
        <v>0</v>
      </c>
      <c r="AB95" s="44">
        <f>'DADOS FINANCEIROS'!V101</f>
        <v>0</v>
      </c>
      <c r="AC95" s="44" t="str">
        <f>TEXT(Tabela1[[#This Row],[Data de Negociação]],"MMM-AA")</f>
        <v>jan-00</v>
      </c>
      <c r="AD95" s="44" t="str">
        <f>TEXT(Tabela1[[#This Row],[Data de Negociação]],"AAAA")</f>
        <v>1900</v>
      </c>
      <c r="AE95" s="44">
        <f>'DADOS FINANCEIROS'!W101</f>
        <v>0</v>
      </c>
      <c r="AF95" s="44" t="str">
        <f>TEXT(Tabela1[[#This Row],[Data da Entrada/Primeira Parcela]],"MMM-AA")</f>
        <v>jan-00</v>
      </c>
      <c r="AG95" s="44" t="str">
        <f>TEXT(Tabela1[[#This Row],[Data da Entrada/Primeira Parcela]],"AAAA")</f>
        <v>1900</v>
      </c>
      <c r="AH95" s="30">
        <f>'DADOS FINANCEIROS'!X101</f>
        <v>0</v>
      </c>
      <c r="AI95" s="46">
        <f>'DADOS FINANCEIROS'!Y101</f>
        <v>0</v>
      </c>
      <c r="AJ95" s="46">
        <f>'DADOS FINANCEIROS'!Z101</f>
        <v>0</v>
      </c>
      <c r="AK9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5" s="98"/>
    </row>
    <row r="96" spans="1:38" x14ac:dyDescent="0.3">
      <c r="A96" s="30">
        <f>'DADOS FINANCEIROS'!D102</f>
        <v>0</v>
      </c>
      <c r="B96" s="30">
        <f>'DADOS FINANCEIROS'!A102</f>
        <v>0</v>
      </c>
      <c r="C96" s="30">
        <f>'DADOS FINANCEIROS'!B102</f>
        <v>0</v>
      </c>
      <c r="D96" s="30">
        <f>'DADOS FINANCEIROS'!C102</f>
        <v>0</v>
      </c>
      <c r="E96" s="44">
        <f>'DADOS FINANCEIROS'!E102</f>
        <v>0</v>
      </c>
      <c r="F96" s="44" t="str">
        <f>TEXT(Tabela1[[#This Row],[DATA DE EMISSÃO]],"MMM-AA")</f>
        <v>jan-00</v>
      </c>
      <c r="G96" s="44" t="str">
        <f>TEXT(Tabela1[[#This Row],[DATA DE EMISSÃO]],"AAAA")</f>
        <v>1900</v>
      </c>
      <c r="H96" s="44">
        <f>'DADOS FINANCEIROS'!F102</f>
        <v>0</v>
      </c>
      <c r="I96" s="44" t="str">
        <f>TEXT(Tabela1[[#This Row],[VENCIMENTO ORIGINAL]],"MMM-AA")</f>
        <v>jan-00</v>
      </c>
      <c r="J96" s="44" t="str">
        <f>TEXT(Tabela1[[#This Row],[VENCIMENTO ORIGINAL]],"AAAA")</f>
        <v>1900</v>
      </c>
      <c r="K96" s="44">
        <f>'DADOS FINANCEIROS'!G102</f>
        <v>0</v>
      </c>
      <c r="L96" s="44" t="str">
        <f>TEXT(Tabela1[[#This Row],[VENCIMENTO ATUAL]],"MMM-AA")</f>
        <v>jan-00</v>
      </c>
      <c r="M96" s="44" t="str">
        <f>TEXT(Tabela1[[#This Row],[VENCIMENTO ATUAL]],"AAAA")</f>
        <v>1900</v>
      </c>
      <c r="N96" s="46">
        <f>'DADOS FINANCEIROS'!H102</f>
        <v>0</v>
      </c>
      <c r="O96" s="30">
        <f>'DADOS FINANCEIROS'!I102</f>
        <v>0</v>
      </c>
      <c r="P96" s="30">
        <f>'DADOS FINANCEIROS'!J102</f>
        <v>0</v>
      </c>
      <c r="Q96" s="30">
        <f>'DADOS FINANCEIROS'!K102</f>
        <v>0</v>
      </c>
      <c r="R96" s="30">
        <f>'DADOS FINANCEIROS'!L102</f>
        <v>0</v>
      </c>
      <c r="S96" s="30">
        <f>'DADOS FINANCEIROS'!M102</f>
        <v>0</v>
      </c>
      <c r="T96" s="30">
        <f>IFERROR('DADOS FINANCEIROS'!N102,"")</f>
        <v>0</v>
      </c>
      <c r="U96" s="30">
        <f>'DADOS FINANCEIROS'!O102</f>
        <v>0</v>
      </c>
      <c r="V96" s="30">
        <f>'DADOS FINANCEIROS'!P102</f>
        <v>0</v>
      </c>
      <c r="W96" s="30">
        <f>'DADOS FINANCEIROS'!Q102</f>
        <v>0</v>
      </c>
      <c r="X96" s="30">
        <f>'DADOS FINANCEIROS'!R102</f>
        <v>0</v>
      </c>
      <c r="Y96" s="30">
        <f>'DADOS FINANCEIROS'!S102</f>
        <v>0</v>
      </c>
      <c r="Z96" s="30">
        <f>'DADOS FINANCEIROS'!T102</f>
        <v>0</v>
      </c>
      <c r="AA96" s="30">
        <f>'DADOS FINANCEIROS'!U102</f>
        <v>0</v>
      </c>
      <c r="AB96" s="44">
        <f>'DADOS FINANCEIROS'!V102</f>
        <v>0</v>
      </c>
      <c r="AC96" s="44" t="str">
        <f>TEXT(Tabela1[[#This Row],[Data de Negociação]],"MMM-AA")</f>
        <v>jan-00</v>
      </c>
      <c r="AD96" s="44" t="str">
        <f>TEXT(Tabela1[[#This Row],[Data de Negociação]],"AAAA")</f>
        <v>1900</v>
      </c>
      <c r="AE96" s="44">
        <f>'DADOS FINANCEIROS'!W102</f>
        <v>0</v>
      </c>
      <c r="AF96" s="44" t="str">
        <f>TEXT(Tabela1[[#This Row],[Data da Entrada/Primeira Parcela]],"MMM-AA")</f>
        <v>jan-00</v>
      </c>
      <c r="AG96" s="44" t="str">
        <f>TEXT(Tabela1[[#This Row],[Data da Entrada/Primeira Parcela]],"AAAA")</f>
        <v>1900</v>
      </c>
      <c r="AH96" s="30">
        <f>'DADOS FINANCEIROS'!X102</f>
        <v>0</v>
      </c>
      <c r="AI96" s="46">
        <f>'DADOS FINANCEIROS'!Y102</f>
        <v>0</v>
      </c>
      <c r="AJ96" s="46">
        <f>'DADOS FINANCEIROS'!Z102</f>
        <v>0</v>
      </c>
      <c r="AK9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6" s="98"/>
    </row>
    <row r="97" spans="1:38" x14ac:dyDescent="0.3">
      <c r="A97" s="30">
        <f>'DADOS FINANCEIROS'!D103</f>
        <v>0</v>
      </c>
      <c r="B97" s="30">
        <f>'DADOS FINANCEIROS'!A103</f>
        <v>0</v>
      </c>
      <c r="C97" s="30">
        <f>'DADOS FINANCEIROS'!B103</f>
        <v>0</v>
      </c>
      <c r="D97" s="30">
        <f>'DADOS FINANCEIROS'!C103</f>
        <v>0</v>
      </c>
      <c r="E97" s="44">
        <f>'DADOS FINANCEIROS'!E103</f>
        <v>0</v>
      </c>
      <c r="F97" s="44" t="str">
        <f>TEXT(Tabela1[[#This Row],[DATA DE EMISSÃO]],"MMM-AA")</f>
        <v>jan-00</v>
      </c>
      <c r="G97" s="44" t="str">
        <f>TEXT(Tabela1[[#This Row],[DATA DE EMISSÃO]],"AAAA")</f>
        <v>1900</v>
      </c>
      <c r="H97" s="44">
        <f>'DADOS FINANCEIROS'!F103</f>
        <v>0</v>
      </c>
      <c r="I97" s="44" t="str">
        <f>TEXT(Tabela1[[#This Row],[VENCIMENTO ORIGINAL]],"MMM-AA")</f>
        <v>jan-00</v>
      </c>
      <c r="J97" s="44" t="str">
        <f>TEXT(Tabela1[[#This Row],[VENCIMENTO ORIGINAL]],"AAAA")</f>
        <v>1900</v>
      </c>
      <c r="K97" s="44">
        <f>'DADOS FINANCEIROS'!G103</f>
        <v>0</v>
      </c>
      <c r="L97" s="44" t="str">
        <f>TEXT(Tabela1[[#This Row],[VENCIMENTO ATUAL]],"MMM-AA")</f>
        <v>jan-00</v>
      </c>
      <c r="M97" s="44" t="str">
        <f>TEXT(Tabela1[[#This Row],[VENCIMENTO ATUAL]],"AAAA")</f>
        <v>1900</v>
      </c>
      <c r="N97" s="46">
        <f>'DADOS FINANCEIROS'!H103</f>
        <v>0</v>
      </c>
      <c r="O97" s="30">
        <f>'DADOS FINANCEIROS'!I103</f>
        <v>0</v>
      </c>
      <c r="P97" s="30">
        <f>'DADOS FINANCEIROS'!J103</f>
        <v>0</v>
      </c>
      <c r="Q97" s="30">
        <f>'DADOS FINANCEIROS'!K103</f>
        <v>0</v>
      </c>
      <c r="R97" s="30">
        <f>'DADOS FINANCEIROS'!L103</f>
        <v>0</v>
      </c>
      <c r="S97" s="30">
        <f>'DADOS FINANCEIROS'!M103</f>
        <v>0</v>
      </c>
      <c r="T97" s="30">
        <f>IFERROR('DADOS FINANCEIROS'!N103,"")</f>
        <v>0</v>
      </c>
      <c r="U97" s="30">
        <f>'DADOS FINANCEIROS'!O103</f>
        <v>0</v>
      </c>
      <c r="V97" s="30">
        <f>'DADOS FINANCEIROS'!P103</f>
        <v>0</v>
      </c>
      <c r="W97" s="30">
        <f>'DADOS FINANCEIROS'!Q103</f>
        <v>0</v>
      </c>
      <c r="X97" s="30">
        <f>'DADOS FINANCEIROS'!R103</f>
        <v>0</v>
      </c>
      <c r="Y97" s="30">
        <f>'DADOS FINANCEIROS'!S103</f>
        <v>0</v>
      </c>
      <c r="Z97" s="30">
        <f>'DADOS FINANCEIROS'!T103</f>
        <v>0</v>
      </c>
      <c r="AA97" s="30">
        <f>'DADOS FINANCEIROS'!U103</f>
        <v>0</v>
      </c>
      <c r="AB97" s="44">
        <f>'DADOS FINANCEIROS'!V103</f>
        <v>0</v>
      </c>
      <c r="AC97" s="44" t="str">
        <f>TEXT(Tabela1[[#This Row],[Data de Negociação]],"MMM-AA")</f>
        <v>jan-00</v>
      </c>
      <c r="AD97" s="44" t="str">
        <f>TEXT(Tabela1[[#This Row],[Data de Negociação]],"AAAA")</f>
        <v>1900</v>
      </c>
      <c r="AE97" s="44">
        <f>'DADOS FINANCEIROS'!W103</f>
        <v>0</v>
      </c>
      <c r="AF97" s="44" t="str">
        <f>TEXT(Tabela1[[#This Row],[Data da Entrada/Primeira Parcela]],"MMM-AA")</f>
        <v>jan-00</v>
      </c>
      <c r="AG97" s="44" t="str">
        <f>TEXT(Tabela1[[#This Row],[Data da Entrada/Primeira Parcela]],"AAAA")</f>
        <v>1900</v>
      </c>
      <c r="AH97" s="30">
        <f>'DADOS FINANCEIROS'!X103</f>
        <v>0</v>
      </c>
      <c r="AI97" s="46">
        <f>'DADOS FINANCEIROS'!Y103</f>
        <v>0</v>
      </c>
      <c r="AJ97" s="46">
        <f>'DADOS FINANCEIROS'!Z103</f>
        <v>0</v>
      </c>
      <c r="AK9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7" s="98"/>
    </row>
    <row r="98" spans="1:38" x14ac:dyDescent="0.3">
      <c r="A98" s="30">
        <f>'DADOS FINANCEIROS'!D104</f>
        <v>0</v>
      </c>
      <c r="B98" s="30">
        <f>'DADOS FINANCEIROS'!A104</f>
        <v>0</v>
      </c>
      <c r="C98" s="30">
        <f>'DADOS FINANCEIROS'!B104</f>
        <v>0</v>
      </c>
      <c r="D98" s="30">
        <f>'DADOS FINANCEIROS'!C104</f>
        <v>0</v>
      </c>
      <c r="E98" s="44">
        <f>'DADOS FINANCEIROS'!E104</f>
        <v>0</v>
      </c>
      <c r="F98" s="44" t="str">
        <f>TEXT(Tabela1[[#This Row],[DATA DE EMISSÃO]],"MMM-AA")</f>
        <v>jan-00</v>
      </c>
      <c r="G98" s="44" t="str">
        <f>TEXT(Tabela1[[#This Row],[DATA DE EMISSÃO]],"AAAA")</f>
        <v>1900</v>
      </c>
      <c r="H98" s="44">
        <f>'DADOS FINANCEIROS'!F104</f>
        <v>0</v>
      </c>
      <c r="I98" s="44" t="str">
        <f>TEXT(Tabela1[[#This Row],[VENCIMENTO ORIGINAL]],"MMM-AA")</f>
        <v>jan-00</v>
      </c>
      <c r="J98" s="44" t="str">
        <f>TEXT(Tabela1[[#This Row],[VENCIMENTO ORIGINAL]],"AAAA")</f>
        <v>1900</v>
      </c>
      <c r="K98" s="44">
        <f>'DADOS FINANCEIROS'!G104</f>
        <v>0</v>
      </c>
      <c r="L98" s="44" t="str">
        <f>TEXT(Tabela1[[#This Row],[VENCIMENTO ATUAL]],"MMM-AA")</f>
        <v>jan-00</v>
      </c>
      <c r="M98" s="44" t="str">
        <f>TEXT(Tabela1[[#This Row],[VENCIMENTO ATUAL]],"AAAA")</f>
        <v>1900</v>
      </c>
      <c r="N98" s="46">
        <f>'DADOS FINANCEIROS'!H104</f>
        <v>0</v>
      </c>
      <c r="O98" s="30">
        <f>'DADOS FINANCEIROS'!I104</f>
        <v>0</v>
      </c>
      <c r="P98" s="30">
        <f>'DADOS FINANCEIROS'!J104</f>
        <v>0</v>
      </c>
      <c r="Q98" s="30">
        <f>'DADOS FINANCEIROS'!K104</f>
        <v>0</v>
      </c>
      <c r="R98" s="30">
        <f>'DADOS FINANCEIROS'!L104</f>
        <v>0</v>
      </c>
      <c r="S98" s="30">
        <f>'DADOS FINANCEIROS'!M104</f>
        <v>0</v>
      </c>
      <c r="T98" s="30">
        <f>IFERROR('DADOS FINANCEIROS'!N104,"")</f>
        <v>0</v>
      </c>
      <c r="U98" s="30">
        <f>'DADOS FINANCEIROS'!O104</f>
        <v>0</v>
      </c>
      <c r="V98" s="30">
        <f>'DADOS FINANCEIROS'!P104</f>
        <v>0</v>
      </c>
      <c r="W98" s="30">
        <f>'DADOS FINANCEIROS'!Q104</f>
        <v>0</v>
      </c>
      <c r="X98" s="30">
        <f>'DADOS FINANCEIROS'!R104</f>
        <v>0</v>
      </c>
      <c r="Y98" s="30">
        <f>'DADOS FINANCEIROS'!S104</f>
        <v>0</v>
      </c>
      <c r="Z98" s="30">
        <f>'DADOS FINANCEIROS'!T104</f>
        <v>0</v>
      </c>
      <c r="AA98" s="30">
        <f>'DADOS FINANCEIROS'!U104</f>
        <v>0</v>
      </c>
      <c r="AB98" s="44">
        <f>'DADOS FINANCEIROS'!V104</f>
        <v>0</v>
      </c>
      <c r="AC98" s="44" t="str">
        <f>TEXT(Tabela1[[#This Row],[Data de Negociação]],"MMM-AA")</f>
        <v>jan-00</v>
      </c>
      <c r="AD98" s="44" t="str">
        <f>TEXT(Tabela1[[#This Row],[Data de Negociação]],"AAAA")</f>
        <v>1900</v>
      </c>
      <c r="AE98" s="44">
        <f>'DADOS FINANCEIROS'!W104</f>
        <v>0</v>
      </c>
      <c r="AF98" s="44" t="str">
        <f>TEXT(Tabela1[[#This Row],[Data da Entrada/Primeira Parcela]],"MMM-AA")</f>
        <v>jan-00</v>
      </c>
      <c r="AG98" s="44" t="str">
        <f>TEXT(Tabela1[[#This Row],[Data da Entrada/Primeira Parcela]],"AAAA")</f>
        <v>1900</v>
      </c>
      <c r="AH98" s="30">
        <f>'DADOS FINANCEIROS'!X104</f>
        <v>0</v>
      </c>
      <c r="AI98" s="46">
        <f>'DADOS FINANCEIROS'!Y104</f>
        <v>0</v>
      </c>
      <c r="AJ98" s="46">
        <f>'DADOS FINANCEIROS'!Z104</f>
        <v>0</v>
      </c>
      <c r="AK9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8" s="98"/>
    </row>
    <row r="99" spans="1:38" x14ac:dyDescent="0.3">
      <c r="A99" s="30">
        <f>'DADOS FINANCEIROS'!D105</f>
        <v>0</v>
      </c>
      <c r="B99" s="30">
        <f>'DADOS FINANCEIROS'!A105</f>
        <v>0</v>
      </c>
      <c r="C99" s="30">
        <f>'DADOS FINANCEIROS'!B105</f>
        <v>0</v>
      </c>
      <c r="D99" s="30">
        <f>'DADOS FINANCEIROS'!C105</f>
        <v>0</v>
      </c>
      <c r="E99" s="44">
        <f>'DADOS FINANCEIROS'!E105</f>
        <v>0</v>
      </c>
      <c r="F99" s="44" t="str">
        <f>TEXT(Tabela1[[#This Row],[DATA DE EMISSÃO]],"MMM-AA")</f>
        <v>jan-00</v>
      </c>
      <c r="G99" s="44" t="str">
        <f>TEXT(Tabela1[[#This Row],[DATA DE EMISSÃO]],"AAAA")</f>
        <v>1900</v>
      </c>
      <c r="H99" s="44">
        <f>'DADOS FINANCEIROS'!F105</f>
        <v>0</v>
      </c>
      <c r="I99" s="44" t="str">
        <f>TEXT(Tabela1[[#This Row],[VENCIMENTO ORIGINAL]],"MMM-AA")</f>
        <v>jan-00</v>
      </c>
      <c r="J99" s="44" t="str">
        <f>TEXT(Tabela1[[#This Row],[VENCIMENTO ORIGINAL]],"AAAA")</f>
        <v>1900</v>
      </c>
      <c r="K99" s="44">
        <f>'DADOS FINANCEIROS'!G105</f>
        <v>0</v>
      </c>
      <c r="L99" s="44" t="str">
        <f>TEXT(Tabela1[[#This Row],[VENCIMENTO ATUAL]],"MMM-AA")</f>
        <v>jan-00</v>
      </c>
      <c r="M99" s="44" t="str">
        <f>TEXT(Tabela1[[#This Row],[VENCIMENTO ATUAL]],"AAAA")</f>
        <v>1900</v>
      </c>
      <c r="N99" s="46">
        <f>'DADOS FINANCEIROS'!H105</f>
        <v>0</v>
      </c>
      <c r="O99" s="30">
        <f>'DADOS FINANCEIROS'!I105</f>
        <v>0</v>
      </c>
      <c r="P99" s="30">
        <f>'DADOS FINANCEIROS'!J105</f>
        <v>0</v>
      </c>
      <c r="Q99" s="30">
        <f>'DADOS FINANCEIROS'!K105</f>
        <v>0</v>
      </c>
      <c r="R99" s="30">
        <f>'DADOS FINANCEIROS'!L105</f>
        <v>0</v>
      </c>
      <c r="S99" s="30">
        <f>'DADOS FINANCEIROS'!M105</f>
        <v>0</v>
      </c>
      <c r="T99" s="30">
        <f>IFERROR('DADOS FINANCEIROS'!N105,"")</f>
        <v>0</v>
      </c>
      <c r="U99" s="30">
        <f>'DADOS FINANCEIROS'!O105</f>
        <v>0</v>
      </c>
      <c r="V99" s="30">
        <f>'DADOS FINANCEIROS'!P105</f>
        <v>0</v>
      </c>
      <c r="W99" s="30">
        <f>'DADOS FINANCEIROS'!Q105</f>
        <v>0</v>
      </c>
      <c r="X99" s="30">
        <f>'DADOS FINANCEIROS'!R105</f>
        <v>0</v>
      </c>
      <c r="Y99" s="30">
        <f>'DADOS FINANCEIROS'!S105</f>
        <v>0</v>
      </c>
      <c r="Z99" s="30">
        <f>'DADOS FINANCEIROS'!T105</f>
        <v>0</v>
      </c>
      <c r="AA99" s="30">
        <f>'DADOS FINANCEIROS'!U105</f>
        <v>0</v>
      </c>
      <c r="AB99" s="44">
        <f>'DADOS FINANCEIROS'!V105</f>
        <v>0</v>
      </c>
      <c r="AC99" s="44" t="str">
        <f>TEXT(Tabela1[[#This Row],[Data de Negociação]],"MMM-AA")</f>
        <v>jan-00</v>
      </c>
      <c r="AD99" s="44" t="str">
        <f>TEXT(Tabela1[[#This Row],[Data de Negociação]],"AAAA")</f>
        <v>1900</v>
      </c>
      <c r="AE99" s="44">
        <f>'DADOS FINANCEIROS'!W105</f>
        <v>0</v>
      </c>
      <c r="AF99" s="44" t="str">
        <f>TEXT(Tabela1[[#This Row],[Data da Entrada/Primeira Parcela]],"MMM-AA")</f>
        <v>jan-00</v>
      </c>
      <c r="AG99" s="44" t="str">
        <f>TEXT(Tabela1[[#This Row],[Data da Entrada/Primeira Parcela]],"AAAA")</f>
        <v>1900</v>
      </c>
      <c r="AH99" s="30">
        <f>'DADOS FINANCEIROS'!X105</f>
        <v>0</v>
      </c>
      <c r="AI99" s="46">
        <f>'DADOS FINANCEIROS'!Y105</f>
        <v>0</v>
      </c>
      <c r="AJ99" s="46">
        <f>'DADOS FINANCEIROS'!Z105</f>
        <v>0</v>
      </c>
      <c r="AK9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99" s="98"/>
    </row>
    <row r="100" spans="1:38" x14ac:dyDescent="0.3">
      <c r="A100" s="30">
        <f>'DADOS FINANCEIROS'!D106</f>
        <v>0</v>
      </c>
      <c r="B100" s="30">
        <f>'DADOS FINANCEIROS'!A106</f>
        <v>0</v>
      </c>
      <c r="C100" s="30">
        <f>'DADOS FINANCEIROS'!B106</f>
        <v>0</v>
      </c>
      <c r="D100" s="30">
        <f>'DADOS FINANCEIROS'!C106</f>
        <v>0</v>
      </c>
      <c r="E100" s="44">
        <f>'DADOS FINANCEIROS'!E106</f>
        <v>0</v>
      </c>
      <c r="F100" s="44" t="str">
        <f>TEXT(Tabela1[[#This Row],[DATA DE EMISSÃO]],"MMM-AA")</f>
        <v>jan-00</v>
      </c>
      <c r="G100" s="44" t="str">
        <f>TEXT(Tabela1[[#This Row],[DATA DE EMISSÃO]],"AAAA")</f>
        <v>1900</v>
      </c>
      <c r="H100" s="44">
        <f>'DADOS FINANCEIROS'!F106</f>
        <v>0</v>
      </c>
      <c r="I100" s="44" t="str">
        <f>TEXT(Tabela1[[#This Row],[VENCIMENTO ORIGINAL]],"MMM-AA")</f>
        <v>jan-00</v>
      </c>
      <c r="J100" s="44" t="str">
        <f>TEXT(Tabela1[[#This Row],[VENCIMENTO ORIGINAL]],"AAAA")</f>
        <v>1900</v>
      </c>
      <c r="K100" s="44">
        <f>'DADOS FINANCEIROS'!G106</f>
        <v>0</v>
      </c>
      <c r="L100" s="44" t="str">
        <f>TEXT(Tabela1[[#This Row],[VENCIMENTO ATUAL]],"MMM-AA")</f>
        <v>jan-00</v>
      </c>
      <c r="M100" s="44" t="str">
        <f>TEXT(Tabela1[[#This Row],[VENCIMENTO ATUAL]],"AAAA")</f>
        <v>1900</v>
      </c>
      <c r="N100" s="46">
        <f>'DADOS FINANCEIROS'!H106</f>
        <v>0</v>
      </c>
      <c r="O100" s="30">
        <f>'DADOS FINANCEIROS'!I106</f>
        <v>0</v>
      </c>
      <c r="P100" s="30">
        <f>'DADOS FINANCEIROS'!J106</f>
        <v>0</v>
      </c>
      <c r="Q100" s="30">
        <f>'DADOS FINANCEIROS'!K106</f>
        <v>0</v>
      </c>
      <c r="R100" s="30">
        <f>'DADOS FINANCEIROS'!L106</f>
        <v>0</v>
      </c>
      <c r="S100" s="30">
        <f>'DADOS FINANCEIROS'!M106</f>
        <v>0</v>
      </c>
      <c r="T100" s="30">
        <f>IFERROR('DADOS FINANCEIROS'!N106,"")</f>
        <v>0</v>
      </c>
      <c r="U100" s="30">
        <f>'DADOS FINANCEIROS'!O106</f>
        <v>0</v>
      </c>
      <c r="V100" s="30">
        <f>'DADOS FINANCEIROS'!P106</f>
        <v>0</v>
      </c>
      <c r="W100" s="30">
        <f>'DADOS FINANCEIROS'!Q106</f>
        <v>0</v>
      </c>
      <c r="X100" s="30">
        <f>'DADOS FINANCEIROS'!R106</f>
        <v>0</v>
      </c>
      <c r="Y100" s="30">
        <f>'DADOS FINANCEIROS'!S106</f>
        <v>0</v>
      </c>
      <c r="Z100" s="30">
        <f>'DADOS FINANCEIROS'!T106</f>
        <v>0</v>
      </c>
      <c r="AA100" s="30">
        <f>'DADOS FINANCEIROS'!U106</f>
        <v>0</v>
      </c>
      <c r="AB100" s="44">
        <f>'DADOS FINANCEIROS'!V106</f>
        <v>0</v>
      </c>
      <c r="AC100" s="44" t="str">
        <f>TEXT(Tabela1[[#This Row],[Data de Negociação]],"MMM-AA")</f>
        <v>jan-00</v>
      </c>
      <c r="AD100" s="44" t="str">
        <f>TEXT(Tabela1[[#This Row],[Data de Negociação]],"AAAA")</f>
        <v>1900</v>
      </c>
      <c r="AE100" s="44">
        <f>'DADOS FINANCEIROS'!W106</f>
        <v>0</v>
      </c>
      <c r="AF100" s="44" t="str">
        <f>TEXT(Tabela1[[#This Row],[Data da Entrada/Primeira Parcela]],"MMM-AA")</f>
        <v>jan-00</v>
      </c>
      <c r="AG100" s="44" t="str">
        <f>TEXT(Tabela1[[#This Row],[Data da Entrada/Primeira Parcela]],"AAAA")</f>
        <v>1900</v>
      </c>
      <c r="AH100" s="30">
        <f>'DADOS FINANCEIROS'!X106</f>
        <v>0</v>
      </c>
      <c r="AI100" s="46">
        <f>'DADOS FINANCEIROS'!Y106</f>
        <v>0</v>
      </c>
      <c r="AJ100" s="46">
        <f>'DADOS FINANCEIROS'!Z106</f>
        <v>0</v>
      </c>
      <c r="AK10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0" s="98"/>
    </row>
    <row r="101" spans="1:38" x14ac:dyDescent="0.3">
      <c r="A101" s="30">
        <f>'DADOS FINANCEIROS'!D107</f>
        <v>0</v>
      </c>
      <c r="B101" s="30">
        <f>'DADOS FINANCEIROS'!A107</f>
        <v>0</v>
      </c>
      <c r="C101" s="30">
        <f>'DADOS FINANCEIROS'!B107</f>
        <v>0</v>
      </c>
      <c r="D101" s="30">
        <f>'DADOS FINANCEIROS'!C107</f>
        <v>0</v>
      </c>
      <c r="E101" s="44">
        <f>'DADOS FINANCEIROS'!E107</f>
        <v>0</v>
      </c>
      <c r="F101" s="44" t="str">
        <f>TEXT(Tabela1[[#This Row],[DATA DE EMISSÃO]],"MMM-AA")</f>
        <v>jan-00</v>
      </c>
      <c r="G101" s="44" t="str">
        <f>TEXT(Tabela1[[#This Row],[DATA DE EMISSÃO]],"AAAA")</f>
        <v>1900</v>
      </c>
      <c r="H101" s="44">
        <f>'DADOS FINANCEIROS'!F107</f>
        <v>0</v>
      </c>
      <c r="I101" s="44" t="str">
        <f>TEXT(Tabela1[[#This Row],[VENCIMENTO ORIGINAL]],"MMM-AA")</f>
        <v>jan-00</v>
      </c>
      <c r="J101" s="44" t="str">
        <f>TEXT(Tabela1[[#This Row],[VENCIMENTO ORIGINAL]],"AAAA")</f>
        <v>1900</v>
      </c>
      <c r="K101" s="44">
        <f>'DADOS FINANCEIROS'!G107</f>
        <v>0</v>
      </c>
      <c r="L101" s="44" t="str">
        <f>TEXT(Tabela1[[#This Row],[VENCIMENTO ATUAL]],"MMM-AA")</f>
        <v>jan-00</v>
      </c>
      <c r="M101" s="44" t="str">
        <f>TEXT(Tabela1[[#This Row],[VENCIMENTO ATUAL]],"AAAA")</f>
        <v>1900</v>
      </c>
      <c r="N101" s="46">
        <f>'DADOS FINANCEIROS'!H107</f>
        <v>0</v>
      </c>
      <c r="O101" s="30">
        <f>'DADOS FINANCEIROS'!I107</f>
        <v>0</v>
      </c>
      <c r="P101" s="30">
        <f>'DADOS FINANCEIROS'!J107</f>
        <v>0</v>
      </c>
      <c r="Q101" s="30">
        <f>'DADOS FINANCEIROS'!K107</f>
        <v>0</v>
      </c>
      <c r="R101" s="30">
        <f>'DADOS FINANCEIROS'!L107</f>
        <v>0</v>
      </c>
      <c r="S101" s="30">
        <f>'DADOS FINANCEIROS'!M107</f>
        <v>0</v>
      </c>
      <c r="T101" s="30">
        <f>IFERROR('DADOS FINANCEIROS'!N107,"")</f>
        <v>0</v>
      </c>
      <c r="U101" s="30">
        <f>'DADOS FINANCEIROS'!O107</f>
        <v>0</v>
      </c>
      <c r="V101" s="30">
        <f>'DADOS FINANCEIROS'!P107</f>
        <v>0</v>
      </c>
      <c r="W101" s="30">
        <f>'DADOS FINANCEIROS'!Q107</f>
        <v>0</v>
      </c>
      <c r="X101" s="30">
        <f>'DADOS FINANCEIROS'!R107</f>
        <v>0</v>
      </c>
      <c r="Y101" s="30">
        <f>'DADOS FINANCEIROS'!S107</f>
        <v>0</v>
      </c>
      <c r="Z101" s="30">
        <f>'DADOS FINANCEIROS'!T107</f>
        <v>0</v>
      </c>
      <c r="AA101" s="30">
        <f>'DADOS FINANCEIROS'!U107</f>
        <v>0</v>
      </c>
      <c r="AB101" s="44">
        <f>'DADOS FINANCEIROS'!V107</f>
        <v>0</v>
      </c>
      <c r="AC101" s="44" t="str">
        <f>TEXT(Tabela1[[#This Row],[Data de Negociação]],"MMM-AA")</f>
        <v>jan-00</v>
      </c>
      <c r="AD101" s="44" t="str">
        <f>TEXT(Tabela1[[#This Row],[Data de Negociação]],"AAAA")</f>
        <v>1900</v>
      </c>
      <c r="AE101" s="44">
        <f>'DADOS FINANCEIROS'!W107</f>
        <v>0</v>
      </c>
      <c r="AF101" s="44" t="str">
        <f>TEXT(Tabela1[[#This Row],[Data da Entrada/Primeira Parcela]],"MMM-AA")</f>
        <v>jan-00</v>
      </c>
      <c r="AG101" s="44" t="str">
        <f>TEXT(Tabela1[[#This Row],[Data da Entrada/Primeira Parcela]],"AAAA")</f>
        <v>1900</v>
      </c>
      <c r="AH101" s="30">
        <f>'DADOS FINANCEIROS'!X107</f>
        <v>0</v>
      </c>
      <c r="AI101" s="46">
        <f>'DADOS FINANCEIROS'!Y107</f>
        <v>0</v>
      </c>
      <c r="AJ101" s="46">
        <f>'DADOS FINANCEIROS'!Z107</f>
        <v>0</v>
      </c>
      <c r="AK10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1" s="98"/>
    </row>
    <row r="102" spans="1:38" x14ac:dyDescent="0.3">
      <c r="A102" s="30">
        <f>'DADOS FINANCEIROS'!D108</f>
        <v>0</v>
      </c>
      <c r="B102" s="30">
        <f>'DADOS FINANCEIROS'!A108</f>
        <v>0</v>
      </c>
      <c r="C102" s="30">
        <f>'DADOS FINANCEIROS'!B108</f>
        <v>0</v>
      </c>
      <c r="D102" s="30">
        <f>'DADOS FINANCEIROS'!C108</f>
        <v>0</v>
      </c>
      <c r="E102" s="44">
        <f>'DADOS FINANCEIROS'!E108</f>
        <v>0</v>
      </c>
      <c r="F102" s="44" t="str">
        <f>TEXT(Tabela1[[#This Row],[DATA DE EMISSÃO]],"MMM-AA")</f>
        <v>jan-00</v>
      </c>
      <c r="G102" s="44" t="str">
        <f>TEXT(Tabela1[[#This Row],[DATA DE EMISSÃO]],"AAAA")</f>
        <v>1900</v>
      </c>
      <c r="H102" s="44">
        <f>'DADOS FINANCEIROS'!F108</f>
        <v>0</v>
      </c>
      <c r="I102" s="44" t="str">
        <f>TEXT(Tabela1[[#This Row],[VENCIMENTO ORIGINAL]],"MMM-AA")</f>
        <v>jan-00</v>
      </c>
      <c r="J102" s="44" t="str">
        <f>TEXT(Tabela1[[#This Row],[VENCIMENTO ORIGINAL]],"AAAA")</f>
        <v>1900</v>
      </c>
      <c r="K102" s="44">
        <f>'DADOS FINANCEIROS'!G108</f>
        <v>0</v>
      </c>
      <c r="L102" s="44" t="str">
        <f>TEXT(Tabela1[[#This Row],[VENCIMENTO ATUAL]],"MMM-AA")</f>
        <v>jan-00</v>
      </c>
      <c r="M102" s="44" t="str">
        <f>TEXT(Tabela1[[#This Row],[VENCIMENTO ATUAL]],"AAAA")</f>
        <v>1900</v>
      </c>
      <c r="N102" s="46">
        <f>'DADOS FINANCEIROS'!H108</f>
        <v>0</v>
      </c>
      <c r="O102" s="30">
        <f>'DADOS FINANCEIROS'!I108</f>
        <v>0</v>
      </c>
      <c r="P102" s="30">
        <f>'DADOS FINANCEIROS'!J108</f>
        <v>0</v>
      </c>
      <c r="Q102" s="30">
        <f>'DADOS FINANCEIROS'!K108</f>
        <v>0</v>
      </c>
      <c r="R102" s="30">
        <f>'DADOS FINANCEIROS'!L108</f>
        <v>0</v>
      </c>
      <c r="S102" s="30">
        <f>'DADOS FINANCEIROS'!M108</f>
        <v>0</v>
      </c>
      <c r="T102" s="30">
        <f>IFERROR('DADOS FINANCEIROS'!N108,"")</f>
        <v>0</v>
      </c>
      <c r="U102" s="30">
        <f>'DADOS FINANCEIROS'!O108</f>
        <v>0</v>
      </c>
      <c r="V102" s="30">
        <f>'DADOS FINANCEIROS'!P108</f>
        <v>0</v>
      </c>
      <c r="W102" s="30">
        <f>'DADOS FINANCEIROS'!Q108</f>
        <v>0</v>
      </c>
      <c r="X102" s="30">
        <f>'DADOS FINANCEIROS'!R108</f>
        <v>0</v>
      </c>
      <c r="Y102" s="30">
        <f>'DADOS FINANCEIROS'!S108</f>
        <v>0</v>
      </c>
      <c r="Z102" s="30">
        <f>'DADOS FINANCEIROS'!T108</f>
        <v>0</v>
      </c>
      <c r="AA102" s="30">
        <f>'DADOS FINANCEIROS'!U108</f>
        <v>0</v>
      </c>
      <c r="AB102" s="44">
        <f>'DADOS FINANCEIROS'!V108</f>
        <v>0</v>
      </c>
      <c r="AC102" s="44" t="str">
        <f>TEXT(Tabela1[[#This Row],[Data de Negociação]],"MMM-AA")</f>
        <v>jan-00</v>
      </c>
      <c r="AD102" s="44" t="str">
        <f>TEXT(Tabela1[[#This Row],[Data de Negociação]],"AAAA")</f>
        <v>1900</v>
      </c>
      <c r="AE102" s="44">
        <f>'DADOS FINANCEIROS'!W108</f>
        <v>0</v>
      </c>
      <c r="AF102" s="44" t="str">
        <f>TEXT(Tabela1[[#This Row],[Data da Entrada/Primeira Parcela]],"MMM-AA")</f>
        <v>jan-00</v>
      </c>
      <c r="AG102" s="44" t="str">
        <f>TEXT(Tabela1[[#This Row],[Data da Entrada/Primeira Parcela]],"AAAA")</f>
        <v>1900</v>
      </c>
      <c r="AH102" s="30">
        <f>'DADOS FINANCEIROS'!X108</f>
        <v>0</v>
      </c>
      <c r="AI102" s="46">
        <f>'DADOS FINANCEIROS'!Y108</f>
        <v>0</v>
      </c>
      <c r="AJ102" s="46">
        <f>'DADOS FINANCEIROS'!Z108</f>
        <v>0</v>
      </c>
      <c r="AK10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2" s="98"/>
    </row>
    <row r="103" spans="1:38" x14ac:dyDescent="0.3">
      <c r="A103" s="30">
        <f>'DADOS FINANCEIROS'!D109</f>
        <v>0</v>
      </c>
      <c r="B103" s="30">
        <f>'DADOS FINANCEIROS'!A109</f>
        <v>0</v>
      </c>
      <c r="C103" s="30">
        <f>'DADOS FINANCEIROS'!B109</f>
        <v>0</v>
      </c>
      <c r="D103" s="30">
        <f>'DADOS FINANCEIROS'!C109</f>
        <v>0</v>
      </c>
      <c r="E103" s="44">
        <f>'DADOS FINANCEIROS'!E109</f>
        <v>0</v>
      </c>
      <c r="F103" s="44" t="str">
        <f>TEXT(Tabela1[[#This Row],[DATA DE EMISSÃO]],"MMM-AA")</f>
        <v>jan-00</v>
      </c>
      <c r="G103" s="44" t="str">
        <f>TEXT(Tabela1[[#This Row],[DATA DE EMISSÃO]],"AAAA")</f>
        <v>1900</v>
      </c>
      <c r="H103" s="44">
        <f>'DADOS FINANCEIROS'!F109</f>
        <v>0</v>
      </c>
      <c r="I103" s="44" t="str">
        <f>TEXT(Tabela1[[#This Row],[VENCIMENTO ORIGINAL]],"MMM-AA")</f>
        <v>jan-00</v>
      </c>
      <c r="J103" s="44" t="str">
        <f>TEXT(Tabela1[[#This Row],[VENCIMENTO ORIGINAL]],"AAAA")</f>
        <v>1900</v>
      </c>
      <c r="K103" s="44">
        <f>'DADOS FINANCEIROS'!G109</f>
        <v>0</v>
      </c>
      <c r="L103" s="44" t="str">
        <f>TEXT(Tabela1[[#This Row],[VENCIMENTO ATUAL]],"MMM-AA")</f>
        <v>jan-00</v>
      </c>
      <c r="M103" s="44" t="str">
        <f>TEXT(Tabela1[[#This Row],[VENCIMENTO ATUAL]],"AAAA")</f>
        <v>1900</v>
      </c>
      <c r="N103" s="46">
        <f>'DADOS FINANCEIROS'!H109</f>
        <v>0</v>
      </c>
      <c r="O103" s="30">
        <f>'DADOS FINANCEIROS'!I109</f>
        <v>0</v>
      </c>
      <c r="P103" s="30">
        <f>'DADOS FINANCEIROS'!J109</f>
        <v>0</v>
      </c>
      <c r="Q103" s="30">
        <f>'DADOS FINANCEIROS'!K109</f>
        <v>0</v>
      </c>
      <c r="R103" s="30">
        <f>'DADOS FINANCEIROS'!L109</f>
        <v>0</v>
      </c>
      <c r="S103" s="30">
        <f>'DADOS FINANCEIROS'!M109</f>
        <v>0</v>
      </c>
      <c r="T103" s="30">
        <f>IFERROR('DADOS FINANCEIROS'!N109,"")</f>
        <v>0</v>
      </c>
      <c r="U103" s="30">
        <f>'DADOS FINANCEIROS'!O109</f>
        <v>0</v>
      </c>
      <c r="V103" s="30">
        <f>'DADOS FINANCEIROS'!P109</f>
        <v>0</v>
      </c>
      <c r="W103" s="30">
        <f>'DADOS FINANCEIROS'!Q109</f>
        <v>0</v>
      </c>
      <c r="X103" s="30">
        <f>'DADOS FINANCEIROS'!R109</f>
        <v>0</v>
      </c>
      <c r="Y103" s="30">
        <f>'DADOS FINANCEIROS'!S109</f>
        <v>0</v>
      </c>
      <c r="Z103" s="30">
        <f>'DADOS FINANCEIROS'!T109</f>
        <v>0</v>
      </c>
      <c r="AA103" s="30">
        <f>'DADOS FINANCEIROS'!U109</f>
        <v>0</v>
      </c>
      <c r="AB103" s="44">
        <f>'DADOS FINANCEIROS'!V109</f>
        <v>0</v>
      </c>
      <c r="AC103" s="44" t="str">
        <f>TEXT(Tabela1[[#This Row],[Data de Negociação]],"MMM-AA")</f>
        <v>jan-00</v>
      </c>
      <c r="AD103" s="44" t="str">
        <f>TEXT(Tabela1[[#This Row],[Data de Negociação]],"AAAA")</f>
        <v>1900</v>
      </c>
      <c r="AE103" s="44">
        <f>'DADOS FINANCEIROS'!W109</f>
        <v>0</v>
      </c>
      <c r="AF103" s="44" t="str">
        <f>TEXT(Tabela1[[#This Row],[Data da Entrada/Primeira Parcela]],"MMM-AA")</f>
        <v>jan-00</v>
      </c>
      <c r="AG103" s="44" t="str">
        <f>TEXT(Tabela1[[#This Row],[Data da Entrada/Primeira Parcela]],"AAAA")</f>
        <v>1900</v>
      </c>
      <c r="AH103" s="30">
        <f>'DADOS FINANCEIROS'!X109</f>
        <v>0</v>
      </c>
      <c r="AI103" s="46">
        <f>'DADOS FINANCEIROS'!Y109</f>
        <v>0</v>
      </c>
      <c r="AJ103" s="46">
        <f>'DADOS FINANCEIROS'!Z109</f>
        <v>0</v>
      </c>
      <c r="AK10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3" s="98"/>
    </row>
    <row r="104" spans="1:38" x14ac:dyDescent="0.3">
      <c r="A104" s="30">
        <f>'DADOS FINANCEIROS'!D110</f>
        <v>0</v>
      </c>
      <c r="B104" s="30">
        <f>'DADOS FINANCEIROS'!A110</f>
        <v>0</v>
      </c>
      <c r="C104" s="30">
        <f>'DADOS FINANCEIROS'!B110</f>
        <v>0</v>
      </c>
      <c r="D104" s="30">
        <f>'DADOS FINANCEIROS'!C110</f>
        <v>0</v>
      </c>
      <c r="E104" s="44">
        <f>'DADOS FINANCEIROS'!E110</f>
        <v>0</v>
      </c>
      <c r="F104" s="44" t="str">
        <f>TEXT(Tabela1[[#This Row],[DATA DE EMISSÃO]],"MMM-AA")</f>
        <v>jan-00</v>
      </c>
      <c r="G104" s="44" t="str">
        <f>TEXT(Tabela1[[#This Row],[DATA DE EMISSÃO]],"AAAA")</f>
        <v>1900</v>
      </c>
      <c r="H104" s="44">
        <f>'DADOS FINANCEIROS'!F110</f>
        <v>0</v>
      </c>
      <c r="I104" s="44" t="str">
        <f>TEXT(Tabela1[[#This Row],[VENCIMENTO ORIGINAL]],"MMM-AA")</f>
        <v>jan-00</v>
      </c>
      <c r="J104" s="44" t="str">
        <f>TEXT(Tabela1[[#This Row],[VENCIMENTO ORIGINAL]],"AAAA")</f>
        <v>1900</v>
      </c>
      <c r="K104" s="44">
        <f>'DADOS FINANCEIROS'!G110</f>
        <v>0</v>
      </c>
      <c r="L104" s="44" t="str">
        <f>TEXT(Tabela1[[#This Row],[VENCIMENTO ATUAL]],"MMM-AA")</f>
        <v>jan-00</v>
      </c>
      <c r="M104" s="44" t="str">
        <f>TEXT(Tabela1[[#This Row],[VENCIMENTO ATUAL]],"AAAA")</f>
        <v>1900</v>
      </c>
      <c r="N104" s="46">
        <f>'DADOS FINANCEIROS'!H110</f>
        <v>0</v>
      </c>
      <c r="O104" s="30">
        <f>'DADOS FINANCEIROS'!I110</f>
        <v>0</v>
      </c>
      <c r="P104" s="30">
        <f>'DADOS FINANCEIROS'!J110</f>
        <v>0</v>
      </c>
      <c r="Q104" s="30">
        <f>'DADOS FINANCEIROS'!K110</f>
        <v>0</v>
      </c>
      <c r="R104" s="30">
        <f>'DADOS FINANCEIROS'!L110</f>
        <v>0</v>
      </c>
      <c r="S104" s="30">
        <f>'DADOS FINANCEIROS'!M110</f>
        <v>0</v>
      </c>
      <c r="T104" s="30">
        <f>IFERROR('DADOS FINANCEIROS'!N110,"")</f>
        <v>0</v>
      </c>
      <c r="U104" s="30">
        <f>'DADOS FINANCEIROS'!O110</f>
        <v>0</v>
      </c>
      <c r="V104" s="30">
        <f>'DADOS FINANCEIROS'!P110</f>
        <v>0</v>
      </c>
      <c r="W104" s="30">
        <f>'DADOS FINANCEIROS'!Q110</f>
        <v>0</v>
      </c>
      <c r="X104" s="30">
        <f>'DADOS FINANCEIROS'!R110</f>
        <v>0</v>
      </c>
      <c r="Y104" s="30">
        <f>'DADOS FINANCEIROS'!S110</f>
        <v>0</v>
      </c>
      <c r="Z104" s="30">
        <f>'DADOS FINANCEIROS'!T110</f>
        <v>0</v>
      </c>
      <c r="AA104" s="30">
        <f>'DADOS FINANCEIROS'!U110</f>
        <v>0</v>
      </c>
      <c r="AB104" s="44">
        <f>'DADOS FINANCEIROS'!V110</f>
        <v>0</v>
      </c>
      <c r="AC104" s="44" t="str">
        <f>TEXT(Tabela1[[#This Row],[Data de Negociação]],"MMM-AA")</f>
        <v>jan-00</v>
      </c>
      <c r="AD104" s="44" t="str">
        <f>TEXT(Tabela1[[#This Row],[Data de Negociação]],"AAAA")</f>
        <v>1900</v>
      </c>
      <c r="AE104" s="44">
        <f>'DADOS FINANCEIROS'!W110</f>
        <v>0</v>
      </c>
      <c r="AF104" s="44" t="str">
        <f>TEXT(Tabela1[[#This Row],[Data da Entrada/Primeira Parcela]],"MMM-AA")</f>
        <v>jan-00</v>
      </c>
      <c r="AG104" s="44" t="str">
        <f>TEXT(Tabela1[[#This Row],[Data da Entrada/Primeira Parcela]],"AAAA")</f>
        <v>1900</v>
      </c>
      <c r="AH104" s="30">
        <f>'DADOS FINANCEIROS'!X110</f>
        <v>0</v>
      </c>
      <c r="AI104" s="46">
        <f>'DADOS FINANCEIROS'!Y110</f>
        <v>0</v>
      </c>
      <c r="AJ104" s="46">
        <f>'DADOS FINANCEIROS'!Z110</f>
        <v>0</v>
      </c>
      <c r="AK10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4" s="98"/>
    </row>
    <row r="105" spans="1:38" x14ac:dyDescent="0.3">
      <c r="A105" s="30">
        <f>'DADOS FINANCEIROS'!D111</f>
        <v>0</v>
      </c>
      <c r="B105" s="30">
        <f>'DADOS FINANCEIROS'!A111</f>
        <v>0</v>
      </c>
      <c r="C105" s="30">
        <f>'DADOS FINANCEIROS'!B111</f>
        <v>0</v>
      </c>
      <c r="D105" s="30">
        <f>'DADOS FINANCEIROS'!C111</f>
        <v>0</v>
      </c>
      <c r="E105" s="44">
        <f>'DADOS FINANCEIROS'!E111</f>
        <v>0</v>
      </c>
      <c r="F105" s="44" t="str">
        <f>TEXT(Tabela1[[#This Row],[DATA DE EMISSÃO]],"MMM-AA")</f>
        <v>jan-00</v>
      </c>
      <c r="G105" s="44" t="str">
        <f>TEXT(Tabela1[[#This Row],[DATA DE EMISSÃO]],"AAAA")</f>
        <v>1900</v>
      </c>
      <c r="H105" s="44">
        <f>'DADOS FINANCEIROS'!F111</f>
        <v>0</v>
      </c>
      <c r="I105" s="44" t="str">
        <f>TEXT(Tabela1[[#This Row],[VENCIMENTO ORIGINAL]],"MMM-AA")</f>
        <v>jan-00</v>
      </c>
      <c r="J105" s="44" t="str">
        <f>TEXT(Tabela1[[#This Row],[VENCIMENTO ORIGINAL]],"AAAA")</f>
        <v>1900</v>
      </c>
      <c r="K105" s="44">
        <f>'DADOS FINANCEIROS'!G111</f>
        <v>0</v>
      </c>
      <c r="L105" s="44" t="str">
        <f>TEXT(Tabela1[[#This Row],[VENCIMENTO ATUAL]],"MMM-AA")</f>
        <v>jan-00</v>
      </c>
      <c r="M105" s="44" t="str">
        <f>TEXT(Tabela1[[#This Row],[VENCIMENTO ATUAL]],"AAAA")</f>
        <v>1900</v>
      </c>
      <c r="N105" s="46">
        <f>'DADOS FINANCEIROS'!H111</f>
        <v>0</v>
      </c>
      <c r="O105" s="30">
        <f>'DADOS FINANCEIROS'!I111</f>
        <v>0</v>
      </c>
      <c r="P105" s="30">
        <f>'DADOS FINANCEIROS'!J111</f>
        <v>0</v>
      </c>
      <c r="Q105" s="30">
        <f>'DADOS FINANCEIROS'!K111</f>
        <v>0</v>
      </c>
      <c r="R105" s="30">
        <f>'DADOS FINANCEIROS'!L111</f>
        <v>0</v>
      </c>
      <c r="S105" s="30">
        <f>'DADOS FINANCEIROS'!M111</f>
        <v>0</v>
      </c>
      <c r="T105" s="30">
        <f>IFERROR('DADOS FINANCEIROS'!N111,"")</f>
        <v>0</v>
      </c>
      <c r="U105" s="30">
        <f>'DADOS FINANCEIROS'!O111</f>
        <v>0</v>
      </c>
      <c r="V105" s="30">
        <f>'DADOS FINANCEIROS'!P111</f>
        <v>0</v>
      </c>
      <c r="W105" s="30">
        <f>'DADOS FINANCEIROS'!Q111</f>
        <v>0</v>
      </c>
      <c r="X105" s="30">
        <f>'DADOS FINANCEIROS'!R111</f>
        <v>0</v>
      </c>
      <c r="Y105" s="30">
        <f>'DADOS FINANCEIROS'!S111</f>
        <v>0</v>
      </c>
      <c r="Z105" s="30">
        <f>'DADOS FINANCEIROS'!T111</f>
        <v>0</v>
      </c>
      <c r="AA105" s="30">
        <f>'DADOS FINANCEIROS'!U111</f>
        <v>0</v>
      </c>
      <c r="AB105" s="44">
        <f>'DADOS FINANCEIROS'!V111</f>
        <v>0</v>
      </c>
      <c r="AC105" s="44" t="str">
        <f>TEXT(Tabela1[[#This Row],[Data de Negociação]],"MMM-AA")</f>
        <v>jan-00</v>
      </c>
      <c r="AD105" s="44" t="str">
        <f>TEXT(Tabela1[[#This Row],[Data de Negociação]],"AAAA")</f>
        <v>1900</v>
      </c>
      <c r="AE105" s="44">
        <f>'DADOS FINANCEIROS'!W111</f>
        <v>0</v>
      </c>
      <c r="AF105" s="44" t="str">
        <f>TEXT(Tabela1[[#This Row],[Data da Entrada/Primeira Parcela]],"MMM-AA")</f>
        <v>jan-00</v>
      </c>
      <c r="AG105" s="44" t="str">
        <f>TEXT(Tabela1[[#This Row],[Data da Entrada/Primeira Parcela]],"AAAA")</f>
        <v>1900</v>
      </c>
      <c r="AH105" s="30">
        <f>'DADOS FINANCEIROS'!X111</f>
        <v>0</v>
      </c>
      <c r="AI105" s="46">
        <f>'DADOS FINANCEIROS'!Y111</f>
        <v>0</v>
      </c>
      <c r="AJ105" s="46">
        <f>'DADOS FINANCEIROS'!Z111</f>
        <v>0</v>
      </c>
      <c r="AK10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5" s="98"/>
    </row>
    <row r="106" spans="1:38" x14ac:dyDescent="0.3">
      <c r="A106" s="30">
        <f>'DADOS FINANCEIROS'!D112</f>
        <v>0</v>
      </c>
      <c r="B106" s="30">
        <f>'DADOS FINANCEIROS'!A112</f>
        <v>0</v>
      </c>
      <c r="C106" s="30">
        <f>'DADOS FINANCEIROS'!B112</f>
        <v>0</v>
      </c>
      <c r="D106" s="30">
        <f>'DADOS FINANCEIROS'!C112</f>
        <v>0</v>
      </c>
      <c r="E106" s="44">
        <f>'DADOS FINANCEIROS'!E112</f>
        <v>0</v>
      </c>
      <c r="F106" s="44" t="str">
        <f>TEXT(Tabela1[[#This Row],[DATA DE EMISSÃO]],"MMM-AA")</f>
        <v>jan-00</v>
      </c>
      <c r="G106" s="44" t="str">
        <f>TEXT(Tabela1[[#This Row],[DATA DE EMISSÃO]],"AAAA")</f>
        <v>1900</v>
      </c>
      <c r="H106" s="44">
        <f>'DADOS FINANCEIROS'!F112</f>
        <v>0</v>
      </c>
      <c r="I106" s="44" t="str">
        <f>TEXT(Tabela1[[#This Row],[VENCIMENTO ORIGINAL]],"MMM-AA")</f>
        <v>jan-00</v>
      </c>
      <c r="J106" s="44" t="str">
        <f>TEXT(Tabela1[[#This Row],[VENCIMENTO ORIGINAL]],"AAAA")</f>
        <v>1900</v>
      </c>
      <c r="K106" s="44">
        <f>'DADOS FINANCEIROS'!G112</f>
        <v>0</v>
      </c>
      <c r="L106" s="44" t="str">
        <f>TEXT(Tabela1[[#This Row],[VENCIMENTO ATUAL]],"MMM-AA")</f>
        <v>jan-00</v>
      </c>
      <c r="M106" s="44" t="str">
        <f>TEXT(Tabela1[[#This Row],[VENCIMENTO ATUAL]],"AAAA")</f>
        <v>1900</v>
      </c>
      <c r="N106" s="46">
        <f>'DADOS FINANCEIROS'!H112</f>
        <v>0</v>
      </c>
      <c r="O106" s="30">
        <f>'DADOS FINANCEIROS'!I112</f>
        <v>0</v>
      </c>
      <c r="P106" s="30">
        <f>'DADOS FINANCEIROS'!J112</f>
        <v>0</v>
      </c>
      <c r="Q106" s="30">
        <f>'DADOS FINANCEIROS'!K112</f>
        <v>0</v>
      </c>
      <c r="R106" s="30">
        <f>'DADOS FINANCEIROS'!L112</f>
        <v>0</v>
      </c>
      <c r="S106" s="30">
        <f>'DADOS FINANCEIROS'!M112</f>
        <v>0</v>
      </c>
      <c r="T106" s="30">
        <f>IFERROR('DADOS FINANCEIROS'!N112,"")</f>
        <v>0</v>
      </c>
      <c r="U106" s="30">
        <f>'DADOS FINANCEIROS'!O112</f>
        <v>0</v>
      </c>
      <c r="V106" s="30">
        <f>'DADOS FINANCEIROS'!P112</f>
        <v>0</v>
      </c>
      <c r="W106" s="30">
        <f>'DADOS FINANCEIROS'!Q112</f>
        <v>0</v>
      </c>
      <c r="X106" s="30">
        <f>'DADOS FINANCEIROS'!R112</f>
        <v>0</v>
      </c>
      <c r="Y106" s="30">
        <f>'DADOS FINANCEIROS'!S112</f>
        <v>0</v>
      </c>
      <c r="Z106" s="30">
        <f>'DADOS FINANCEIROS'!T112</f>
        <v>0</v>
      </c>
      <c r="AA106" s="30">
        <f>'DADOS FINANCEIROS'!U112</f>
        <v>0</v>
      </c>
      <c r="AB106" s="44">
        <f>'DADOS FINANCEIROS'!V112</f>
        <v>0</v>
      </c>
      <c r="AC106" s="44" t="str">
        <f>TEXT(Tabela1[[#This Row],[Data de Negociação]],"MMM-AA")</f>
        <v>jan-00</v>
      </c>
      <c r="AD106" s="44" t="str">
        <f>TEXT(Tabela1[[#This Row],[Data de Negociação]],"AAAA")</f>
        <v>1900</v>
      </c>
      <c r="AE106" s="44">
        <f>'DADOS FINANCEIROS'!W112</f>
        <v>0</v>
      </c>
      <c r="AF106" s="44" t="str">
        <f>TEXT(Tabela1[[#This Row],[Data da Entrada/Primeira Parcela]],"MMM-AA")</f>
        <v>jan-00</v>
      </c>
      <c r="AG106" s="44" t="str">
        <f>TEXT(Tabela1[[#This Row],[Data da Entrada/Primeira Parcela]],"AAAA")</f>
        <v>1900</v>
      </c>
      <c r="AH106" s="30">
        <f>'DADOS FINANCEIROS'!X112</f>
        <v>0</v>
      </c>
      <c r="AI106" s="46">
        <f>'DADOS FINANCEIROS'!Y112</f>
        <v>0</v>
      </c>
      <c r="AJ106" s="46">
        <f>'DADOS FINANCEIROS'!Z112</f>
        <v>0</v>
      </c>
      <c r="AK10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6" s="98"/>
    </row>
    <row r="107" spans="1:38" x14ac:dyDescent="0.3">
      <c r="A107" s="30">
        <f>'DADOS FINANCEIROS'!D113</f>
        <v>0</v>
      </c>
      <c r="B107" s="30">
        <f>'DADOS FINANCEIROS'!A113</f>
        <v>0</v>
      </c>
      <c r="C107" s="30">
        <f>'DADOS FINANCEIROS'!B113</f>
        <v>0</v>
      </c>
      <c r="D107" s="30">
        <f>'DADOS FINANCEIROS'!C113</f>
        <v>0</v>
      </c>
      <c r="E107" s="44">
        <f>'DADOS FINANCEIROS'!E113</f>
        <v>0</v>
      </c>
      <c r="F107" s="44" t="str">
        <f>TEXT(Tabela1[[#This Row],[DATA DE EMISSÃO]],"MMM-AA")</f>
        <v>jan-00</v>
      </c>
      <c r="G107" s="44" t="str">
        <f>TEXT(Tabela1[[#This Row],[DATA DE EMISSÃO]],"AAAA")</f>
        <v>1900</v>
      </c>
      <c r="H107" s="44">
        <f>'DADOS FINANCEIROS'!F113</f>
        <v>0</v>
      </c>
      <c r="I107" s="44" t="str">
        <f>TEXT(Tabela1[[#This Row],[VENCIMENTO ORIGINAL]],"MMM-AA")</f>
        <v>jan-00</v>
      </c>
      <c r="J107" s="44" t="str">
        <f>TEXT(Tabela1[[#This Row],[VENCIMENTO ORIGINAL]],"AAAA")</f>
        <v>1900</v>
      </c>
      <c r="K107" s="44">
        <f>'DADOS FINANCEIROS'!G113</f>
        <v>0</v>
      </c>
      <c r="L107" s="44" t="str">
        <f>TEXT(Tabela1[[#This Row],[VENCIMENTO ATUAL]],"MMM-AA")</f>
        <v>jan-00</v>
      </c>
      <c r="M107" s="44" t="str">
        <f>TEXT(Tabela1[[#This Row],[VENCIMENTO ATUAL]],"AAAA")</f>
        <v>1900</v>
      </c>
      <c r="N107" s="46">
        <f>'DADOS FINANCEIROS'!H113</f>
        <v>0</v>
      </c>
      <c r="O107" s="30">
        <f>'DADOS FINANCEIROS'!I113</f>
        <v>0</v>
      </c>
      <c r="P107" s="30">
        <f>'DADOS FINANCEIROS'!J113</f>
        <v>0</v>
      </c>
      <c r="Q107" s="30">
        <f>'DADOS FINANCEIROS'!K113</f>
        <v>0</v>
      </c>
      <c r="R107" s="30">
        <f>'DADOS FINANCEIROS'!L113</f>
        <v>0</v>
      </c>
      <c r="S107" s="30">
        <f>'DADOS FINANCEIROS'!M113</f>
        <v>0</v>
      </c>
      <c r="T107" s="30">
        <f>IFERROR('DADOS FINANCEIROS'!N113,"")</f>
        <v>0</v>
      </c>
      <c r="U107" s="30">
        <f>'DADOS FINANCEIROS'!O113</f>
        <v>0</v>
      </c>
      <c r="V107" s="30">
        <f>'DADOS FINANCEIROS'!P113</f>
        <v>0</v>
      </c>
      <c r="W107" s="30">
        <f>'DADOS FINANCEIROS'!Q113</f>
        <v>0</v>
      </c>
      <c r="X107" s="30">
        <f>'DADOS FINANCEIROS'!R113</f>
        <v>0</v>
      </c>
      <c r="Y107" s="30">
        <f>'DADOS FINANCEIROS'!S113</f>
        <v>0</v>
      </c>
      <c r="Z107" s="30">
        <f>'DADOS FINANCEIROS'!T113</f>
        <v>0</v>
      </c>
      <c r="AA107" s="30">
        <f>'DADOS FINANCEIROS'!U113</f>
        <v>0</v>
      </c>
      <c r="AB107" s="44">
        <f>'DADOS FINANCEIROS'!V113</f>
        <v>0</v>
      </c>
      <c r="AC107" s="44" t="str">
        <f>TEXT(Tabela1[[#This Row],[Data de Negociação]],"MMM-AA")</f>
        <v>jan-00</v>
      </c>
      <c r="AD107" s="44" t="str">
        <f>TEXT(Tabela1[[#This Row],[Data de Negociação]],"AAAA")</f>
        <v>1900</v>
      </c>
      <c r="AE107" s="44">
        <f>'DADOS FINANCEIROS'!W113</f>
        <v>0</v>
      </c>
      <c r="AF107" s="44" t="str">
        <f>TEXT(Tabela1[[#This Row],[Data da Entrada/Primeira Parcela]],"MMM-AA")</f>
        <v>jan-00</v>
      </c>
      <c r="AG107" s="44" t="str">
        <f>TEXT(Tabela1[[#This Row],[Data da Entrada/Primeira Parcela]],"AAAA")</f>
        <v>1900</v>
      </c>
      <c r="AH107" s="30">
        <f>'DADOS FINANCEIROS'!X113</f>
        <v>0</v>
      </c>
      <c r="AI107" s="46">
        <f>'DADOS FINANCEIROS'!Y113</f>
        <v>0</v>
      </c>
      <c r="AJ107" s="46">
        <f>'DADOS FINANCEIROS'!Z113</f>
        <v>0</v>
      </c>
      <c r="AK10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7" s="98"/>
    </row>
    <row r="108" spans="1:38" x14ac:dyDescent="0.3">
      <c r="A108" s="30">
        <f>'DADOS FINANCEIROS'!D114</f>
        <v>0</v>
      </c>
      <c r="B108" s="30">
        <f>'DADOS FINANCEIROS'!A114</f>
        <v>0</v>
      </c>
      <c r="C108" s="30">
        <f>'DADOS FINANCEIROS'!B114</f>
        <v>0</v>
      </c>
      <c r="D108" s="30">
        <f>'DADOS FINANCEIROS'!C114</f>
        <v>0</v>
      </c>
      <c r="E108" s="44">
        <f>'DADOS FINANCEIROS'!E114</f>
        <v>0</v>
      </c>
      <c r="F108" s="44" t="str">
        <f>TEXT(Tabela1[[#This Row],[DATA DE EMISSÃO]],"MMM-AA")</f>
        <v>jan-00</v>
      </c>
      <c r="G108" s="44" t="str">
        <f>TEXT(Tabela1[[#This Row],[DATA DE EMISSÃO]],"AAAA")</f>
        <v>1900</v>
      </c>
      <c r="H108" s="44">
        <f>'DADOS FINANCEIROS'!F114</f>
        <v>0</v>
      </c>
      <c r="I108" s="44" t="str">
        <f>TEXT(Tabela1[[#This Row],[VENCIMENTO ORIGINAL]],"MMM-AA")</f>
        <v>jan-00</v>
      </c>
      <c r="J108" s="44" t="str">
        <f>TEXT(Tabela1[[#This Row],[VENCIMENTO ORIGINAL]],"AAAA")</f>
        <v>1900</v>
      </c>
      <c r="K108" s="44">
        <f>'DADOS FINANCEIROS'!G114</f>
        <v>0</v>
      </c>
      <c r="L108" s="44" t="str">
        <f>TEXT(Tabela1[[#This Row],[VENCIMENTO ATUAL]],"MMM-AA")</f>
        <v>jan-00</v>
      </c>
      <c r="M108" s="44" t="str">
        <f>TEXT(Tabela1[[#This Row],[VENCIMENTO ATUAL]],"AAAA")</f>
        <v>1900</v>
      </c>
      <c r="N108" s="46">
        <f>'DADOS FINANCEIROS'!H114</f>
        <v>0</v>
      </c>
      <c r="O108" s="30">
        <f>'DADOS FINANCEIROS'!I114</f>
        <v>0</v>
      </c>
      <c r="P108" s="30">
        <f>'DADOS FINANCEIROS'!J114</f>
        <v>0</v>
      </c>
      <c r="Q108" s="30">
        <f>'DADOS FINANCEIROS'!K114</f>
        <v>0</v>
      </c>
      <c r="R108" s="30">
        <f>'DADOS FINANCEIROS'!L114</f>
        <v>0</v>
      </c>
      <c r="S108" s="30">
        <f>'DADOS FINANCEIROS'!M114</f>
        <v>0</v>
      </c>
      <c r="T108" s="30">
        <f>IFERROR('DADOS FINANCEIROS'!N114,"")</f>
        <v>0</v>
      </c>
      <c r="U108" s="30">
        <f>'DADOS FINANCEIROS'!O114</f>
        <v>0</v>
      </c>
      <c r="V108" s="30">
        <f>'DADOS FINANCEIROS'!P114</f>
        <v>0</v>
      </c>
      <c r="W108" s="30">
        <f>'DADOS FINANCEIROS'!Q114</f>
        <v>0</v>
      </c>
      <c r="X108" s="30">
        <f>'DADOS FINANCEIROS'!R114</f>
        <v>0</v>
      </c>
      <c r="Y108" s="30">
        <f>'DADOS FINANCEIROS'!S114</f>
        <v>0</v>
      </c>
      <c r="Z108" s="30">
        <f>'DADOS FINANCEIROS'!T114</f>
        <v>0</v>
      </c>
      <c r="AA108" s="30">
        <f>'DADOS FINANCEIROS'!U114</f>
        <v>0</v>
      </c>
      <c r="AB108" s="44">
        <f>'DADOS FINANCEIROS'!V114</f>
        <v>0</v>
      </c>
      <c r="AC108" s="44" t="str">
        <f>TEXT(Tabela1[[#This Row],[Data de Negociação]],"MMM-AA")</f>
        <v>jan-00</v>
      </c>
      <c r="AD108" s="44" t="str">
        <f>TEXT(Tabela1[[#This Row],[Data de Negociação]],"AAAA")</f>
        <v>1900</v>
      </c>
      <c r="AE108" s="44">
        <f>'DADOS FINANCEIROS'!W114</f>
        <v>0</v>
      </c>
      <c r="AF108" s="44" t="str">
        <f>TEXT(Tabela1[[#This Row],[Data da Entrada/Primeira Parcela]],"MMM-AA")</f>
        <v>jan-00</v>
      </c>
      <c r="AG108" s="44" t="str">
        <f>TEXT(Tabela1[[#This Row],[Data da Entrada/Primeira Parcela]],"AAAA")</f>
        <v>1900</v>
      </c>
      <c r="AH108" s="30">
        <f>'DADOS FINANCEIROS'!X114</f>
        <v>0</v>
      </c>
      <c r="AI108" s="46">
        <f>'DADOS FINANCEIROS'!Y114</f>
        <v>0</v>
      </c>
      <c r="AJ108" s="46">
        <f>'DADOS FINANCEIROS'!Z114</f>
        <v>0</v>
      </c>
      <c r="AK10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8" s="98"/>
    </row>
    <row r="109" spans="1:38" x14ac:dyDescent="0.3">
      <c r="A109" s="30">
        <f>'DADOS FINANCEIROS'!D115</f>
        <v>0</v>
      </c>
      <c r="B109" s="30">
        <f>'DADOS FINANCEIROS'!A115</f>
        <v>0</v>
      </c>
      <c r="C109" s="30">
        <f>'DADOS FINANCEIROS'!B115</f>
        <v>0</v>
      </c>
      <c r="D109" s="30">
        <f>'DADOS FINANCEIROS'!C115</f>
        <v>0</v>
      </c>
      <c r="E109" s="44">
        <f>'DADOS FINANCEIROS'!E115</f>
        <v>0</v>
      </c>
      <c r="F109" s="44" t="str">
        <f>TEXT(Tabela1[[#This Row],[DATA DE EMISSÃO]],"MMM-AA")</f>
        <v>jan-00</v>
      </c>
      <c r="G109" s="44" t="str">
        <f>TEXT(Tabela1[[#This Row],[DATA DE EMISSÃO]],"AAAA")</f>
        <v>1900</v>
      </c>
      <c r="H109" s="44">
        <f>'DADOS FINANCEIROS'!F115</f>
        <v>0</v>
      </c>
      <c r="I109" s="44" t="str">
        <f>TEXT(Tabela1[[#This Row],[VENCIMENTO ORIGINAL]],"MMM-AA")</f>
        <v>jan-00</v>
      </c>
      <c r="J109" s="44" t="str">
        <f>TEXT(Tabela1[[#This Row],[VENCIMENTO ORIGINAL]],"AAAA")</f>
        <v>1900</v>
      </c>
      <c r="K109" s="44">
        <f>'DADOS FINANCEIROS'!G115</f>
        <v>0</v>
      </c>
      <c r="L109" s="44" t="str">
        <f>TEXT(Tabela1[[#This Row],[VENCIMENTO ATUAL]],"MMM-AA")</f>
        <v>jan-00</v>
      </c>
      <c r="M109" s="44" t="str">
        <f>TEXT(Tabela1[[#This Row],[VENCIMENTO ATUAL]],"AAAA")</f>
        <v>1900</v>
      </c>
      <c r="N109" s="46">
        <f>'DADOS FINANCEIROS'!H115</f>
        <v>0</v>
      </c>
      <c r="O109" s="30">
        <f>'DADOS FINANCEIROS'!I115</f>
        <v>0</v>
      </c>
      <c r="P109" s="30">
        <f>'DADOS FINANCEIROS'!J115</f>
        <v>0</v>
      </c>
      <c r="Q109" s="30">
        <f>'DADOS FINANCEIROS'!K115</f>
        <v>0</v>
      </c>
      <c r="R109" s="30">
        <f>'DADOS FINANCEIROS'!L115</f>
        <v>0</v>
      </c>
      <c r="S109" s="30">
        <f>'DADOS FINANCEIROS'!M115</f>
        <v>0</v>
      </c>
      <c r="T109" s="30">
        <f>IFERROR('DADOS FINANCEIROS'!N115,"")</f>
        <v>0</v>
      </c>
      <c r="U109" s="30">
        <f>'DADOS FINANCEIROS'!O115</f>
        <v>0</v>
      </c>
      <c r="V109" s="30">
        <f>'DADOS FINANCEIROS'!P115</f>
        <v>0</v>
      </c>
      <c r="W109" s="30">
        <f>'DADOS FINANCEIROS'!Q115</f>
        <v>0</v>
      </c>
      <c r="X109" s="30">
        <f>'DADOS FINANCEIROS'!R115</f>
        <v>0</v>
      </c>
      <c r="Y109" s="30">
        <f>'DADOS FINANCEIROS'!S115</f>
        <v>0</v>
      </c>
      <c r="Z109" s="30">
        <f>'DADOS FINANCEIROS'!T115</f>
        <v>0</v>
      </c>
      <c r="AA109" s="30">
        <f>'DADOS FINANCEIROS'!U115</f>
        <v>0</v>
      </c>
      <c r="AB109" s="44">
        <f>'DADOS FINANCEIROS'!V115</f>
        <v>0</v>
      </c>
      <c r="AC109" s="44" t="str">
        <f>TEXT(Tabela1[[#This Row],[Data de Negociação]],"MMM-AA")</f>
        <v>jan-00</v>
      </c>
      <c r="AD109" s="44" t="str">
        <f>TEXT(Tabela1[[#This Row],[Data de Negociação]],"AAAA")</f>
        <v>1900</v>
      </c>
      <c r="AE109" s="44">
        <f>'DADOS FINANCEIROS'!W115</f>
        <v>0</v>
      </c>
      <c r="AF109" s="44" t="str">
        <f>TEXT(Tabela1[[#This Row],[Data da Entrada/Primeira Parcela]],"MMM-AA")</f>
        <v>jan-00</v>
      </c>
      <c r="AG109" s="44" t="str">
        <f>TEXT(Tabela1[[#This Row],[Data da Entrada/Primeira Parcela]],"AAAA")</f>
        <v>1900</v>
      </c>
      <c r="AH109" s="30">
        <f>'DADOS FINANCEIROS'!X115</f>
        <v>0</v>
      </c>
      <c r="AI109" s="46">
        <f>'DADOS FINANCEIROS'!Y115</f>
        <v>0</v>
      </c>
      <c r="AJ109" s="46">
        <f>'DADOS FINANCEIROS'!Z115</f>
        <v>0</v>
      </c>
      <c r="AK10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09" s="98"/>
    </row>
    <row r="110" spans="1:38" x14ac:dyDescent="0.3">
      <c r="A110" s="30">
        <f>'DADOS FINANCEIROS'!D116</f>
        <v>0</v>
      </c>
      <c r="B110" s="30">
        <f>'DADOS FINANCEIROS'!A116</f>
        <v>0</v>
      </c>
      <c r="C110" s="30">
        <f>'DADOS FINANCEIROS'!B116</f>
        <v>0</v>
      </c>
      <c r="D110" s="30">
        <f>'DADOS FINANCEIROS'!C116</f>
        <v>0</v>
      </c>
      <c r="E110" s="44">
        <f>'DADOS FINANCEIROS'!E116</f>
        <v>0</v>
      </c>
      <c r="F110" s="44" t="str">
        <f>TEXT(Tabela1[[#This Row],[DATA DE EMISSÃO]],"MMM-AA")</f>
        <v>jan-00</v>
      </c>
      <c r="G110" s="44" t="str">
        <f>TEXT(Tabela1[[#This Row],[DATA DE EMISSÃO]],"AAAA")</f>
        <v>1900</v>
      </c>
      <c r="H110" s="44">
        <f>'DADOS FINANCEIROS'!F116</f>
        <v>0</v>
      </c>
      <c r="I110" s="44" t="str">
        <f>TEXT(Tabela1[[#This Row],[VENCIMENTO ORIGINAL]],"MMM-AA")</f>
        <v>jan-00</v>
      </c>
      <c r="J110" s="44" t="str">
        <f>TEXT(Tabela1[[#This Row],[VENCIMENTO ORIGINAL]],"AAAA")</f>
        <v>1900</v>
      </c>
      <c r="K110" s="44">
        <f>'DADOS FINANCEIROS'!G116</f>
        <v>0</v>
      </c>
      <c r="L110" s="44" t="str">
        <f>TEXT(Tabela1[[#This Row],[VENCIMENTO ATUAL]],"MMM-AA")</f>
        <v>jan-00</v>
      </c>
      <c r="M110" s="44" t="str">
        <f>TEXT(Tabela1[[#This Row],[VENCIMENTO ATUAL]],"AAAA")</f>
        <v>1900</v>
      </c>
      <c r="N110" s="46">
        <f>'DADOS FINANCEIROS'!H116</f>
        <v>0</v>
      </c>
      <c r="O110" s="30">
        <f>'DADOS FINANCEIROS'!I116</f>
        <v>0</v>
      </c>
      <c r="P110" s="30">
        <f>'DADOS FINANCEIROS'!J116</f>
        <v>0</v>
      </c>
      <c r="Q110" s="30">
        <f>'DADOS FINANCEIROS'!K116</f>
        <v>0</v>
      </c>
      <c r="R110" s="30">
        <f>'DADOS FINANCEIROS'!L116</f>
        <v>0</v>
      </c>
      <c r="S110" s="30">
        <f>'DADOS FINANCEIROS'!M116</f>
        <v>0</v>
      </c>
      <c r="T110" s="30">
        <f>IFERROR('DADOS FINANCEIROS'!N116,"")</f>
        <v>0</v>
      </c>
      <c r="U110" s="30">
        <f>'DADOS FINANCEIROS'!O116</f>
        <v>0</v>
      </c>
      <c r="V110" s="30">
        <f>'DADOS FINANCEIROS'!P116</f>
        <v>0</v>
      </c>
      <c r="W110" s="30">
        <f>'DADOS FINANCEIROS'!Q116</f>
        <v>0</v>
      </c>
      <c r="X110" s="30">
        <f>'DADOS FINANCEIROS'!R116</f>
        <v>0</v>
      </c>
      <c r="Y110" s="30">
        <f>'DADOS FINANCEIROS'!S116</f>
        <v>0</v>
      </c>
      <c r="Z110" s="30">
        <f>'DADOS FINANCEIROS'!T116</f>
        <v>0</v>
      </c>
      <c r="AA110" s="30">
        <f>'DADOS FINANCEIROS'!U116</f>
        <v>0</v>
      </c>
      <c r="AB110" s="44">
        <f>'DADOS FINANCEIROS'!V116</f>
        <v>0</v>
      </c>
      <c r="AC110" s="44" t="str">
        <f>TEXT(Tabela1[[#This Row],[Data de Negociação]],"MMM-AA")</f>
        <v>jan-00</v>
      </c>
      <c r="AD110" s="44" t="str">
        <f>TEXT(Tabela1[[#This Row],[Data de Negociação]],"AAAA")</f>
        <v>1900</v>
      </c>
      <c r="AE110" s="44">
        <f>'DADOS FINANCEIROS'!W116</f>
        <v>0</v>
      </c>
      <c r="AF110" s="44" t="str">
        <f>TEXT(Tabela1[[#This Row],[Data da Entrada/Primeira Parcela]],"MMM-AA")</f>
        <v>jan-00</v>
      </c>
      <c r="AG110" s="44" t="str">
        <f>TEXT(Tabela1[[#This Row],[Data da Entrada/Primeira Parcela]],"AAAA")</f>
        <v>1900</v>
      </c>
      <c r="AH110" s="30">
        <f>'DADOS FINANCEIROS'!X116</f>
        <v>0</v>
      </c>
      <c r="AI110" s="46">
        <f>'DADOS FINANCEIROS'!Y116</f>
        <v>0</v>
      </c>
      <c r="AJ110" s="46">
        <f>'DADOS FINANCEIROS'!Z116</f>
        <v>0</v>
      </c>
      <c r="AK11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0" s="98"/>
    </row>
    <row r="111" spans="1:38" x14ac:dyDescent="0.3">
      <c r="A111" s="30">
        <f>'DADOS FINANCEIROS'!D117</f>
        <v>0</v>
      </c>
      <c r="B111" s="30">
        <f>'DADOS FINANCEIROS'!A117</f>
        <v>0</v>
      </c>
      <c r="C111" s="30">
        <f>'DADOS FINANCEIROS'!B117</f>
        <v>0</v>
      </c>
      <c r="D111" s="30">
        <f>'DADOS FINANCEIROS'!C117</f>
        <v>0</v>
      </c>
      <c r="E111" s="44">
        <f>'DADOS FINANCEIROS'!E117</f>
        <v>0</v>
      </c>
      <c r="F111" s="44" t="str">
        <f>TEXT(Tabela1[[#This Row],[DATA DE EMISSÃO]],"MMM-AA")</f>
        <v>jan-00</v>
      </c>
      <c r="G111" s="44" t="str">
        <f>TEXT(Tabela1[[#This Row],[DATA DE EMISSÃO]],"AAAA")</f>
        <v>1900</v>
      </c>
      <c r="H111" s="44">
        <f>'DADOS FINANCEIROS'!F117</f>
        <v>0</v>
      </c>
      <c r="I111" s="44" t="str">
        <f>TEXT(Tabela1[[#This Row],[VENCIMENTO ORIGINAL]],"MMM-AA")</f>
        <v>jan-00</v>
      </c>
      <c r="J111" s="44" t="str">
        <f>TEXT(Tabela1[[#This Row],[VENCIMENTO ORIGINAL]],"AAAA")</f>
        <v>1900</v>
      </c>
      <c r="K111" s="44">
        <f>'DADOS FINANCEIROS'!G117</f>
        <v>0</v>
      </c>
      <c r="L111" s="44" t="str">
        <f>TEXT(Tabela1[[#This Row],[VENCIMENTO ATUAL]],"MMM-AA")</f>
        <v>jan-00</v>
      </c>
      <c r="M111" s="44" t="str">
        <f>TEXT(Tabela1[[#This Row],[VENCIMENTO ATUAL]],"AAAA")</f>
        <v>1900</v>
      </c>
      <c r="N111" s="46">
        <f>'DADOS FINANCEIROS'!H117</f>
        <v>0</v>
      </c>
      <c r="O111" s="30">
        <f>'DADOS FINANCEIROS'!I117</f>
        <v>0</v>
      </c>
      <c r="P111" s="30">
        <f>'DADOS FINANCEIROS'!J117</f>
        <v>0</v>
      </c>
      <c r="Q111" s="30">
        <f>'DADOS FINANCEIROS'!K117</f>
        <v>0</v>
      </c>
      <c r="R111" s="30">
        <f>'DADOS FINANCEIROS'!L117</f>
        <v>0</v>
      </c>
      <c r="S111" s="30">
        <f>'DADOS FINANCEIROS'!M117</f>
        <v>0</v>
      </c>
      <c r="T111" s="30">
        <f>IFERROR('DADOS FINANCEIROS'!N117,"")</f>
        <v>0</v>
      </c>
      <c r="U111" s="30">
        <f>'DADOS FINANCEIROS'!O117</f>
        <v>0</v>
      </c>
      <c r="V111" s="30">
        <f>'DADOS FINANCEIROS'!P117</f>
        <v>0</v>
      </c>
      <c r="W111" s="30">
        <f>'DADOS FINANCEIROS'!Q117</f>
        <v>0</v>
      </c>
      <c r="X111" s="30">
        <f>'DADOS FINANCEIROS'!R117</f>
        <v>0</v>
      </c>
      <c r="Y111" s="30">
        <f>'DADOS FINANCEIROS'!S117</f>
        <v>0</v>
      </c>
      <c r="Z111" s="30">
        <f>'DADOS FINANCEIROS'!T117</f>
        <v>0</v>
      </c>
      <c r="AA111" s="30">
        <f>'DADOS FINANCEIROS'!U117</f>
        <v>0</v>
      </c>
      <c r="AB111" s="44">
        <f>'DADOS FINANCEIROS'!V117</f>
        <v>0</v>
      </c>
      <c r="AC111" s="44" t="str">
        <f>TEXT(Tabela1[[#This Row],[Data de Negociação]],"MMM-AA")</f>
        <v>jan-00</v>
      </c>
      <c r="AD111" s="44" t="str">
        <f>TEXT(Tabela1[[#This Row],[Data de Negociação]],"AAAA")</f>
        <v>1900</v>
      </c>
      <c r="AE111" s="44">
        <f>'DADOS FINANCEIROS'!W117</f>
        <v>0</v>
      </c>
      <c r="AF111" s="44" t="str">
        <f>TEXT(Tabela1[[#This Row],[Data da Entrada/Primeira Parcela]],"MMM-AA")</f>
        <v>jan-00</v>
      </c>
      <c r="AG111" s="44" t="str">
        <f>TEXT(Tabela1[[#This Row],[Data da Entrada/Primeira Parcela]],"AAAA")</f>
        <v>1900</v>
      </c>
      <c r="AH111" s="30">
        <f>'DADOS FINANCEIROS'!X117</f>
        <v>0</v>
      </c>
      <c r="AI111" s="46">
        <f>'DADOS FINANCEIROS'!Y117</f>
        <v>0</v>
      </c>
      <c r="AJ111" s="46">
        <f>'DADOS FINANCEIROS'!Z117</f>
        <v>0</v>
      </c>
      <c r="AK11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1" s="98"/>
    </row>
    <row r="112" spans="1:38" x14ac:dyDescent="0.3">
      <c r="A112" s="30">
        <f>'DADOS FINANCEIROS'!D118</f>
        <v>0</v>
      </c>
      <c r="B112" s="30">
        <f>'DADOS FINANCEIROS'!A118</f>
        <v>0</v>
      </c>
      <c r="C112" s="30">
        <f>'DADOS FINANCEIROS'!B118</f>
        <v>0</v>
      </c>
      <c r="D112" s="30">
        <f>'DADOS FINANCEIROS'!C118</f>
        <v>0</v>
      </c>
      <c r="E112" s="44">
        <f>'DADOS FINANCEIROS'!E118</f>
        <v>0</v>
      </c>
      <c r="F112" s="44" t="str">
        <f>TEXT(Tabela1[[#This Row],[DATA DE EMISSÃO]],"MMM-AA")</f>
        <v>jan-00</v>
      </c>
      <c r="G112" s="44" t="str">
        <f>TEXT(Tabela1[[#This Row],[DATA DE EMISSÃO]],"AAAA")</f>
        <v>1900</v>
      </c>
      <c r="H112" s="44">
        <f>'DADOS FINANCEIROS'!F118</f>
        <v>0</v>
      </c>
      <c r="I112" s="44" t="str">
        <f>TEXT(Tabela1[[#This Row],[VENCIMENTO ORIGINAL]],"MMM-AA")</f>
        <v>jan-00</v>
      </c>
      <c r="J112" s="44" t="str">
        <f>TEXT(Tabela1[[#This Row],[VENCIMENTO ORIGINAL]],"AAAA")</f>
        <v>1900</v>
      </c>
      <c r="K112" s="44">
        <f>'DADOS FINANCEIROS'!G118</f>
        <v>0</v>
      </c>
      <c r="L112" s="44" t="str">
        <f>TEXT(Tabela1[[#This Row],[VENCIMENTO ATUAL]],"MMM-AA")</f>
        <v>jan-00</v>
      </c>
      <c r="M112" s="44" t="str">
        <f>TEXT(Tabela1[[#This Row],[VENCIMENTO ATUAL]],"AAAA")</f>
        <v>1900</v>
      </c>
      <c r="N112" s="46">
        <f>'DADOS FINANCEIROS'!H118</f>
        <v>0</v>
      </c>
      <c r="O112" s="30">
        <f>'DADOS FINANCEIROS'!I118</f>
        <v>0</v>
      </c>
      <c r="P112" s="30">
        <f>'DADOS FINANCEIROS'!J118</f>
        <v>0</v>
      </c>
      <c r="Q112" s="30">
        <f>'DADOS FINANCEIROS'!K118</f>
        <v>0</v>
      </c>
      <c r="R112" s="30">
        <f>'DADOS FINANCEIROS'!L118</f>
        <v>0</v>
      </c>
      <c r="S112" s="30">
        <f>'DADOS FINANCEIROS'!M118</f>
        <v>0</v>
      </c>
      <c r="T112" s="30">
        <f>IFERROR('DADOS FINANCEIROS'!N118,"")</f>
        <v>0</v>
      </c>
      <c r="U112" s="30">
        <f>'DADOS FINANCEIROS'!O118</f>
        <v>0</v>
      </c>
      <c r="V112" s="30">
        <f>'DADOS FINANCEIROS'!P118</f>
        <v>0</v>
      </c>
      <c r="W112" s="30">
        <f>'DADOS FINANCEIROS'!Q118</f>
        <v>0</v>
      </c>
      <c r="X112" s="30">
        <f>'DADOS FINANCEIROS'!R118</f>
        <v>0</v>
      </c>
      <c r="Y112" s="30">
        <f>'DADOS FINANCEIROS'!S118</f>
        <v>0</v>
      </c>
      <c r="Z112" s="30">
        <f>'DADOS FINANCEIROS'!T118</f>
        <v>0</v>
      </c>
      <c r="AA112" s="30">
        <f>'DADOS FINANCEIROS'!U118</f>
        <v>0</v>
      </c>
      <c r="AB112" s="44">
        <f>'DADOS FINANCEIROS'!V118</f>
        <v>0</v>
      </c>
      <c r="AC112" s="44" t="str">
        <f>TEXT(Tabela1[[#This Row],[Data de Negociação]],"MMM-AA")</f>
        <v>jan-00</v>
      </c>
      <c r="AD112" s="44" t="str">
        <f>TEXT(Tabela1[[#This Row],[Data de Negociação]],"AAAA")</f>
        <v>1900</v>
      </c>
      <c r="AE112" s="44">
        <f>'DADOS FINANCEIROS'!W118</f>
        <v>0</v>
      </c>
      <c r="AF112" s="44" t="str">
        <f>TEXT(Tabela1[[#This Row],[Data da Entrada/Primeira Parcela]],"MMM-AA")</f>
        <v>jan-00</v>
      </c>
      <c r="AG112" s="44" t="str">
        <f>TEXT(Tabela1[[#This Row],[Data da Entrada/Primeira Parcela]],"AAAA")</f>
        <v>1900</v>
      </c>
      <c r="AH112" s="30">
        <f>'DADOS FINANCEIROS'!X118</f>
        <v>0</v>
      </c>
      <c r="AI112" s="46">
        <f>'DADOS FINANCEIROS'!Y118</f>
        <v>0</v>
      </c>
      <c r="AJ112" s="46">
        <f>'DADOS FINANCEIROS'!Z118</f>
        <v>0</v>
      </c>
      <c r="AK11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2" s="98"/>
    </row>
    <row r="113" spans="1:38" x14ac:dyDescent="0.3">
      <c r="A113" s="30">
        <f>'DADOS FINANCEIROS'!D119</f>
        <v>0</v>
      </c>
      <c r="B113" s="30">
        <f>'DADOS FINANCEIROS'!A119</f>
        <v>0</v>
      </c>
      <c r="C113" s="30">
        <f>'DADOS FINANCEIROS'!B119</f>
        <v>0</v>
      </c>
      <c r="D113" s="30">
        <f>'DADOS FINANCEIROS'!C119</f>
        <v>0</v>
      </c>
      <c r="E113" s="44">
        <f>'DADOS FINANCEIROS'!E119</f>
        <v>0</v>
      </c>
      <c r="F113" s="44" t="str">
        <f>TEXT(Tabela1[[#This Row],[DATA DE EMISSÃO]],"MMM-AA")</f>
        <v>jan-00</v>
      </c>
      <c r="G113" s="44" t="str">
        <f>TEXT(Tabela1[[#This Row],[DATA DE EMISSÃO]],"AAAA")</f>
        <v>1900</v>
      </c>
      <c r="H113" s="44">
        <f>'DADOS FINANCEIROS'!F119</f>
        <v>0</v>
      </c>
      <c r="I113" s="44" t="str">
        <f>TEXT(Tabela1[[#This Row],[VENCIMENTO ORIGINAL]],"MMM-AA")</f>
        <v>jan-00</v>
      </c>
      <c r="J113" s="44" t="str">
        <f>TEXT(Tabela1[[#This Row],[VENCIMENTO ORIGINAL]],"AAAA")</f>
        <v>1900</v>
      </c>
      <c r="K113" s="44">
        <f>'DADOS FINANCEIROS'!G119</f>
        <v>0</v>
      </c>
      <c r="L113" s="44" t="str">
        <f>TEXT(Tabela1[[#This Row],[VENCIMENTO ATUAL]],"MMM-AA")</f>
        <v>jan-00</v>
      </c>
      <c r="M113" s="44" t="str">
        <f>TEXT(Tabela1[[#This Row],[VENCIMENTO ATUAL]],"AAAA")</f>
        <v>1900</v>
      </c>
      <c r="N113" s="46">
        <f>'DADOS FINANCEIROS'!H119</f>
        <v>0</v>
      </c>
      <c r="O113" s="30">
        <f>'DADOS FINANCEIROS'!I119</f>
        <v>0</v>
      </c>
      <c r="P113" s="30">
        <f>'DADOS FINANCEIROS'!J119</f>
        <v>0</v>
      </c>
      <c r="Q113" s="30">
        <f>'DADOS FINANCEIROS'!K119</f>
        <v>0</v>
      </c>
      <c r="R113" s="30">
        <f>'DADOS FINANCEIROS'!L119</f>
        <v>0</v>
      </c>
      <c r="S113" s="30">
        <f>'DADOS FINANCEIROS'!M119</f>
        <v>0</v>
      </c>
      <c r="T113" s="30">
        <f>IFERROR('DADOS FINANCEIROS'!N119,"")</f>
        <v>0</v>
      </c>
      <c r="U113" s="30">
        <f>'DADOS FINANCEIROS'!O119</f>
        <v>0</v>
      </c>
      <c r="V113" s="30">
        <f>'DADOS FINANCEIROS'!P119</f>
        <v>0</v>
      </c>
      <c r="W113" s="30">
        <f>'DADOS FINANCEIROS'!Q119</f>
        <v>0</v>
      </c>
      <c r="X113" s="30">
        <f>'DADOS FINANCEIROS'!R119</f>
        <v>0</v>
      </c>
      <c r="Y113" s="30">
        <f>'DADOS FINANCEIROS'!S119</f>
        <v>0</v>
      </c>
      <c r="Z113" s="30">
        <f>'DADOS FINANCEIROS'!T119</f>
        <v>0</v>
      </c>
      <c r="AA113" s="30">
        <f>'DADOS FINANCEIROS'!U119</f>
        <v>0</v>
      </c>
      <c r="AB113" s="44">
        <f>'DADOS FINANCEIROS'!V119</f>
        <v>0</v>
      </c>
      <c r="AC113" s="44" t="str">
        <f>TEXT(Tabela1[[#This Row],[Data de Negociação]],"MMM-AA")</f>
        <v>jan-00</v>
      </c>
      <c r="AD113" s="44" t="str">
        <f>TEXT(Tabela1[[#This Row],[Data de Negociação]],"AAAA")</f>
        <v>1900</v>
      </c>
      <c r="AE113" s="44">
        <f>'DADOS FINANCEIROS'!W119</f>
        <v>0</v>
      </c>
      <c r="AF113" s="44" t="str">
        <f>TEXT(Tabela1[[#This Row],[Data da Entrada/Primeira Parcela]],"MMM-AA")</f>
        <v>jan-00</v>
      </c>
      <c r="AG113" s="44" t="str">
        <f>TEXT(Tabela1[[#This Row],[Data da Entrada/Primeira Parcela]],"AAAA")</f>
        <v>1900</v>
      </c>
      <c r="AH113" s="30">
        <f>'DADOS FINANCEIROS'!X119</f>
        <v>0</v>
      </c>
      <c r="AI113" s="46">
        <f>'DADOS FINANCEIROS'!Y119</f>
        <v>0</v>
      </c>
      <c r="AJ113" s="46">
        <f>'DADOS FINANCEIROS'!Z119</f>
        <v>0</v>
      </c>
      <c r="AK11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3" s="98"/>
    </row>
    <row r="114" spans="1:38" x14ac:dyDescent="0.3">
      <c r="A114" s="30">
        <f>'DADOS FINANCEIROS'!D120</f>
        <v>0</v>
      </c>
      <c r="B114" s="30">
        <f>'DADOS FINANCEIROS'!A120</f>
        <v>0</v>
      </c>
      <c r="C114" s="30">
        <f>'DADOS FINANCEIROS'!B120</f>
        <v>0</v>
      </c>
      <c r="D114" s="30">
        <f>'DADOS FINANCEIROS'!C120</f>
        <v>0</v>
      </c>
      <c r="E114" s="44">
        <f>'DADOS FINANCEIROS'!E120</f>
        <v>0</v>
      </c>
      <c r="F114" s="44" t="str">
        <f>TEXT(Tabela1[[#This Row],[DATA DE EMISSÃO]],"MMM-AA")</f>
        <v>jan-00</v>
      </c>
      <c r="G114" s="44" t="str">
        <f>TEXT(Tabela1[[#This Row],[DATA DE EMISSÃO]],"AAAA")</f>
        <v>1900</v>
      </c>
      <c r="H114" s="44">
        <f>'DADOS FINANCEIROS'!F120</f>
        <v>0</v>
      </c>
      <c r="I114" s="44" t="str">
        <f>TEXT(Tabela1[[#This Row],[VENCIMENTO ORIGINAL]],"MMM-AA")</f>
        <v>jan-00</v>
      </c>
      <c r="J114" s="44" t="str">
        <f>TEXT(Tabela1[[#This Row],[VENCIMENTO ORIGINAL]],"AAAA")</f>
        <v>1900</v>
      </c>
      <c r="K114" s="44">
        <f>'DADOS FINANCEIROS'!G120</f>
        <v>0</v>
      </c>
      <c r="L114" s="44" t="str">
        <f>TEXT(Tabela1[[#This Row],[VENCIMENTO ATUAL]],"MMM-AA")</f>
        <v>jan-00</v>
      </c>
      <c r="M114" s="44" t="str">
        <f>TEXT(Tabela1[[#This Row],[VENCIMENTO ATUAL]],"AAAA")</f>
        <v>1900</v>
      </c>
      <c r="N114" s="46">
        <f>'DADOS FINANCEIROS'!H120</f>
        <v>0</v>
      </c>
      <c r="O114" s="30">
        <f>'DADOS FINANCEIROS'!I120</f>
        <v>0</v>
      </c>
      <c r="P114" s="30">
        <f>'DADOS FINANCEIROS'!J120</f>
        <v>0</v>
      </c>
      <c r="Q114" s="30">
        <f>'DADOS FINANCEIROS'!K120</f>
        <v>0</v>
      </c>
      <c r="R114" s="30">
        <f>'DADOS FINANCEIROS'!L120</f>
        <v>0</v>
      </c>
      <c r="S114" s="30">
        <f>'DADOS FINANCEIROS'!M120</f>
        <v>0</v>
      </c>
      <c r="T114" s="30">
        <f>IFERROR('DADOS FINANCEIROS'!N120,"")</f>
        <v>0</v>
      </c>
      <c r="U114" s="30">
        <f>'DADOS FINANCEIROS'!O120</f>
        <v>0</v>
      </c>
      <c r="V114" s="30">
        <f>'DADOS FINANCEIROS'!P120</f>
        <v>0</v>
      </c>
      <c r="W114" s="30">
        <f>'DADOS FINANCEIROS'!Q120</f>
        <v>0</v>
      </c>
      <c r="X114" s="30">
        <f>'DADOS FINANCEIROS'!R120</f>
        <v>0</v>
      </c>
      <c r="Y114" s="30">
        <f>'DADOS FINANCEIROS'!S120</f>
        <v>0</v>
      </c>
      <c r="Z114" s="30">
        <f>'DADOS FINANCEIROS'!T120</f>
        <v>0</v>
      </c>
      <c r="AA114" s="30">
        <f>'DADOS FINANCEIROS'!U120</f>
        <v>0</v>
      </c>
      <c r="AB114" s="44">
        <f>'DADOS FINANCEIROS'!V120</f>
        <v>0</v>
      </c>
      <c r="AC114" s="44" t="str">
        <f>TEXT(Tabela1[[#This Row],[Data de Negociação]],"MMM-AA")</f>
        <v>jan-00</v>
      </c>
      <c r="AD114" s="44" t="str">
        <f>TEXT(Tabela1[[#This Row],[Data de Negociação]],"AAAA")</f>
        <v>1900</v>
      </c>
      <c r="AE114" s="44">
        <f>'DADOS FINANCEIROS'!W120</f>
        <v>0</v>
      </c>
      <c r="AF114" s="44" t="str">
        <f>TEXT(Tabela1[[#This Row],[Data da Entrada/Primeira Parcela]],"MMM-AA")</f>
        <v>jan-00</v>
      </c>
      <c r="AG114" s="44" t="str">
        <f>TEXT(Tabela1[[#This Row],[Data da Entrada/Primeira Parcela]],"AAAA")</f>
        <v>1900</v>
      </c>
      <c r="AH114" s="30">
        <f>'DADOS FINANCEIROS'!X120</f>
        <v>0</v>
      </c>
      <c r="AI114" s="46">
        <f>'DADOS FINANCEIROS'!Y120</f>
        <v>0</v>
      </c>
      <c r="AJ114" s="46">
        <f>'DADOS FINANCEIROS'!Z120</f>
        <v>0</v>
      </c>
      <c r="AK11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4" s="98"/>
    </row>
    <row r="115" spans="1:38" x14ac:dyDescent="0.3">
      <c r="A115" s="30">
        <f>'DADOS FINANCEIROS'!D121</f>
        <v>0</v>
      </c>
      <c r="B115" s="30">
        <f>'DADOS FINANCEIROS'!A121</f>
        <v>0</v>
      </c>
      <c r="C115" s="30">
        <f>'DADOS FINANCEIROS'!B121</f>
        <v>0</v>
      </c>
      <c r="D115" s="30">
        <f>'DADOS FINANCEIROS'!C121</f>
        <v>0</v>
      </c>
      <c r="E115" s="44">
        <f>'DADOS FINANCEIROS'!E121</f>
        <v>0</v>
      </c>
      <c r="F115" s="44" t="str">
        <f>TEXT(Tabela1[[#This Row],[DATA DE EMISSÃO]],"MMM-AA")</f>
        <v>jan-00</v>
      </c>
      <c r="G115" s="44" t="str">
        <f>TEXT(Tabela1[[#This Row],[DATA DE EMISSÃO]],"AAAA")</f>
        <v>1900</v>
      </c>
      <c r="H115" s="44">
        <f>'DADOS FINANCEIROS'!F121</f>
        <v>0</v>
      </c>
      <c r="I115" s="44" t="str">
        <f>TEXT(Tabela1[[#This Row],[VENCIMENTO ORIGINAL]],"MMM-AA")</f>
        <v>jan-00</v>
      </c>
      <c r="J115" s="44" t="str">
        <f>TEXT(Tabela1[[#This Row],[VENCIMENTO ORIGINAL]],"AAAA")</f>
        <v>1900</v>
      </c>
      <c r="K115" s="44">
        <f>'DADOS FINANCEIROS'!G121</f>
        <v>0</v>
      </c>
      <c r="L115" s="44" t="str">
        <f>TEXT(Tabela1[[#This Row],[VENCIMENTO ATUAL]],"MMM-AA")</f>
        <v>jan-00</v>
      </c>
      <c r="M115" s="44" t="str">
        <f>TEXT(Tabela1[[#This Row],[VENCIMENTO ATUAL]],"AAAA")</f>
        <v>1900</v>
      </c>
      <c r="N115" s="46">
        <f>'DADOS FINANCEIROS'!H121</f>
        <v>0</v>
      </c>
      <c r="O115" s="30">
        <f>'DADOS FINANCEIROS'!I121</f>
        <v>0</v>
      </c>
      <c r="P115" s="30">
        <f>'DADOS FINANCEIROS'!J121</f>
        <v>0</v>
      </c>
      <c r="Q115" s="30">
        <f>'DADOS FINANCEIROS'!K121</f>
        <v>0</v>
      </c>
      <c r="R115" s="30">
        <f>'DADOS FINANCEIROS'!L121</f>
        <v>0</v>
      </c>
      <c r="S115" s="30">
        <f>'DADOS FINANCEIROS'!M121</f>
        <v>0</v>
      </c>
      <c r="T115" s="30">
        <f>IFERROR('DADOS FINANCEIROS'!N121,"")</f>
        <v>0</v>
      </c>
      <c r="U115" s="30">
        <f>'DADOS FINANCEIROS'!O121</f>
        <v>0</v>
      </c>
      <c r="V115" s="30">
        <f>'DADOS FINANCEIROS'!P121</f>
        <v>0</v>
      </c>
      <c r="W115" s="30">
        <f>'DADOS FINANCEIROS'!Q121</f>
        <v>0</v>
      </c>
      <c r="X115" s="30">
        <f>'DADOS FINANCEIROS'!R121</f>
        <v>0</v>
      </c>
      <c r="Y115" s="30">
        <f>'DADOS FINANCEIROS'!S121</f>
        <v>0</v>
      </c>
      <c r="Z115" s="30">
        <f>'DADOS FINANCEIROS'!T121</f>
        <v>0</v>
      </c>
      <c r="AA115" s="30">
        <f>'DADOS FINANCEIROS'!U121</f>
        <v>0</v>
      </c>
      <c r="AB115" s="44">
        <f>'DADOS FINANCEIROS'!V121</f>
        <v>0</v>
      </c>
      <c r="AC115" s="44" t="str">
        <f>TEXT(Tabela1[[#This Row],[Data de Negociação]],"MMM-AA")</f>
        <v>jan-00</v>
      </c>
      <c r="AD115" s="44" t="str">
        <f>TEXT(Tabela1[[#This Row],[Data de Negociação]],"AAAA")</f>
        <v>1900</v>
      </c>
      <c r="AE115" s="44">
        <f>'DADOS FINANCEIROS'!W121</f>
        <v>0</v>
      </c>
      <c r="AF115" s="44" t="str">
        <f>TEXT(Tabela1[[#This Row],[Data da Entrada/Primeira Parcela]],"MMM-AA")</f>
        <v>jan-00</v>
      </c>
      <c r="AG115" s="44" t="str">
        <f>TEXT(Tabela1[[#This Row],[Data da Entrada/Primeira Parcela]],"AAAA")</f>
        <v>1900</v>
      </c>
      <c r="AH115" s="30">
        <f>'DADOS FINANCEIROS'!X121</f>
        <v>0</v>
      </c>
      <c r="AI115" s="46">
        <f>'DADOS FINANCEIROS'!Y121</f>
        <v>0</v>
      </c>
      <c r="AJ115" s="46">
        <f>'DADOS FINANCEIROS'!Z121</f>
        <v>0</v>
      </c>
      <c r="AK11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5" s="98"/>
    </row>
    <row r="116" spans="1:38" x14ac:dyDescent="0.3">
      <c r="A116" s="30">
        <f>'DADOS FINANCEIROS'!D122</f>
        <v>0</v>
      </c>
      <c r="B116" s="30">
        <f>'DADOS FINANCEIROS'!A122</f>
        <v>0</v>
      </c>
      <c r="C116" s="30">
        <f>'DADOS FINANCEIROS'!B122</f>
        <v>0</v>
      </c>
      <c r="D116" s="30">
        <f>'DADOS FINANCEIROS'!C122</f>
        <v>0</v>
      </c>
      <c r="E116" s="44">
        <f>'DADOS FINANCEIROS'!E122</f>
        <v>0</v>
      </c>
      <c r="F116" s="44" t="str">
        <f>TEXT(Tabela1[[#This Row],[DATA DE EMISSÃO]],"MMM-AA")</f>
        <v>jan-00</v>
      </c>
      <c r="G116" s="44" t="str">
        <f>TEXT(Tabela1[[#This Row],[DATA DE EMISSÃO]],"AAAA")</f>
        <v>1900</v>
      </c>
      <c r="H116" s="44">
        <f>'DADOS FINANCEIROS'!F122</f>
        <v>0</v>
      </c>
      <c r="I116" s="44" t="str">
        <f>TEXT(Tabela1[[#This Row],[VENCIMENTO ORIGINAL]],"MMM-AA")</f>
        <v>jan-00</v>
      </c>
      <c r="J116" s="44" t="str">
        <f>TEXT(Tabela1[[#This Row],[VENCIMENTO ORIGINAL]],"AAAA")</f>
        <v>1900</v>
      </c>
      <c r="K116" s="44">
        <f>'DADOS FINANCEIROS'!G122</f>
        <v>0</v>
      </c>
      <c r="L116" s="44" t="str">
        <f>TEXT(Tabela1[[#This Row],[VENCIMENTO ATUAL]],"MMM-AA")</f>
        <v>jan-00</v>
      </c>
      <c r="M116" s="44" t="str">
        <f>TEXT(Tabela1[[#This Row],[VENCIMENTO ATUAL]],"AAAA")</f>
        <v>1900</v>
      </c>
      <c r="N116" s="46">
        <f>'DADOS FINANCEIROS'!H122</f>
        <v>0</v>
      </c>
      <c r="O116" s="30">
        <f>'DADOS FINANCEIROS'!I122</f>
        <v>0</v>
      </c>
      <c r="P116" s="30">
        <f>'DADOS FINANCEIROS'!J122</f>
        <v>0</v>
      </c>
      <c r="Q116" s="30">
        <f>'DADOS FINANCEIROS'!K122</f>
        <v>0</v>
      </c>
      <c r="R116" s="30">
        <f>'DADOS FINANCEIROS'!L122</f>
        <v>0</v>
      </c>
      <c r="S116" s="30">
        <f>'DADOS FINANCEIROS'!M122</f>
        <v>0</v>
      </c>
      <c r="T116" s="30">
        <f>IFERROR('DADOS FINANCEIROS'!N122,"")</f>
        <v>0</v>
      </c>
      <c r="U116" s="30">
        <f>'DADOS FINANCEIROS'!O122</f>
        <v>0</v>
      </c>
      <c r="V116" s="30">
        <f>'DADOS FINANCEIROS'!P122</f>
        <v>0</v>
      </c>
      <c r="W116" s="30">
        <f>'DADOS FINANCEIROS'!Q122</f>
        <v>0</v>
      </c>
      <c r="X116" s="30">
        <f>'DADOS FINANCEIROS'!R122</f>
        <v>0</v>
      </c>
      <c r="Y116" s="30">
        <f>'DADOS FINANCEIROS'!S122</f>
        <v>0</v>
      </c>
      <c r="Z116" s="30">
        <f>'DADOS FINANCEIROS'!T122</f>
        <v>0</v>
      </c>
      <c r="AA116" s="30">
        <f>'DADOS FINANCEIROS'!U122</f>
        <v>0</v>
      </c>
      <c r="AB116" s="44">
        <f>'DADOS FINANCEIROS'!V122</f>
        <v>0</v>
      </c>
      <c r="AC116" s="44" t="str">
        <f>TEXT(Tabela1[[#This Row],[Data de Negociação]],"MMM-AA")</f>
        <v>jan-00</v>
      </c>
      <c r="AD116" s="44" t="str">
        <f>TEXT(Tabela1[[#This Row],[Data de Negociação]],"AAAA")</f>
        <v>1900</v>
      </c>
      <c r="AE116" s="44">
        <f>'DADOS FINANCEIROS'!W122</f>
        <v>0</v>
      </c>
      <c r="AF116" s="44" t="str">
        <f>TEXT(Tabela1[[#This Row],[Data da Entrada/Primeira Parcela]],"MMM-AA")</f>
        <v>jan-00</v>
      </c>
      <c r="AG116" s="44" t="str">
        <f>TEXT(Tabela1[[#This Row],[Data da Entrada/Primeira Parcela]],"AAAA")</f>
        <v>1900</v>
      </c>
      <c r="AH116" s="30">
        <f>'DADOS FINANCEIROS'!X122</f>
        <v>0</v>
      </c>
      <c r="AI116" s="46">
        <f>'DADOS FINANCEIROS'!Y122</f>
        <v>0</v>
      </c>
      <c r="AJ116" s="46">
        <f>'DADOS FINANCEIROS'!Z122</f>
        <v>0</v>
      </c>
      <c r="AK11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6" s="98"/>
    </row>
    <row r="117" spans="1:38" x14ac:dyDescent="0.3">
      <c r="A117" s="30">
        <f>'DADOS FINANCEIROS'!D123</f>
        <v>0</v>
      </c>
      <c r="B117" s="30">
        <f>'DADOS FINANCEIROS'!A123</f>
        <v>0</v>
      </c>
      <c r="C117" s="30">
        <f>'DADOS FINANCEIROS'!B123</f>
        <v>0</v>
      </c>
      <c r="D117" s="30">
        <f>'DADOS FINANCEIROS'!C123</f>
        <v>0</v>
      </c>
      <c r="E117" s="44">
        <f>'DADOS FINANCEIROS'!E123</f>
        <v>0</v>
      </c>
      <c r="F117" s="44" t="str">
        <f>TEXT(Tabela1[[#This Row],[DATA DE EMISSÃO]],"MMM-AA")</f>
        <v>jan-00</v>
      </c>
      <c r="G117" s="44" t="str">
        <f>TEXT(Tabela1[[#This Row],[DATA DE EMISSÃO]],"AAAA")</f>
        <v>1900</v>
      </c>
      <c r="H117" s="44">
        <f>'DADOS FINANCEIROS'!F123</f>
        <v>0</v>
      </c>
      <c r="I117" s="44" t="str">
        <f>TEXT(Tabela1[[#This Row],[VENCIMENTO ORIGINAL]],"MMM-AA")</f>
        <v>jan-00</v>
      </c>
      <c r="J117" s="44" t="str">
        <f>TEXT(Tabela1[[#This Row],[VENCIMENTO ORIGINAL]],"AAAA")</f>
        <v>1900</v>
      </c>
      <c r="K117" s="44">
        <f>'DADOS FINANCEIROS'!G123</f>
        <v>0</v>
      </c>
      <c r="L117" s="44" t="str">
        <f>TEXT(Tabela1[[#This Row],[VENCIMENTO ATUAL]],"MMM-AA")</f>
        <v>jan-00</v>
      </c>
      <c r="M117" s="44" t="str">
        <f>TEXT(Tabela1[[#This Row],[VENCIMENTO ATUAL]],"AAAA")</f>
        <v>1900</v>
      </c>
      <c r="N117" s="46">
        <f>'DADOS FINANCEIROS'!H123</f>
        <v>0</v>
      </c>
      <c r="O117" s="30">
        <f>'DADOS FINANCEIROS'!I123</f>
        <v>0</v>
      </c>
      <c r="P117" s="30">
        <f>'DADOS FINANCEIROS'!J123</f>
        <v>0</v>
      </c>
      <c r="Q117" s="30">
        <f>'DADOS FINANCEIROS'!K123</f>
        <v>0</v>
      </c>
      <c r="R117" s="30">
        <f>'DADOS FINANCEIROS'!L123</f>
        <v>0</v>
      </c>
      <c r="S117" s="30">
        <f>'DADOS FINANCEIROS'!M123</f>
        <v>0</v>
      </c>
      <c r="T117" s="30">
        <f>IFERROR('DADOS FINANCEIROS'!N123,"")</f>
        <v>0</v>
      </c>
      <c r="U117" s="30">
        <f>'DADOS FINANCEIROS'!O123</f>
        <v>0</v>
      </c>
      <c r="V117" s="30">
        <f>'DADOS FINANCEIROS'!P123</f>
        <v>0</v>
      </c>
      <c r="W117" s="30">
        <f>'DADOS FINANCEIROS'!Q123</f>
        <v>0</v>
      </c>
      <c r="X117" s="30">
        <f>'DADOS FINANCEIROS'!R123</f>
        <v>0</v>
      </c>
      <c r="Y117" s="30">
        <f>'DADOS FINANCEIROS'!S123</f>
        <v>0</v>
      </c>
      <c r="Z117" s="30">
        <f>'DADOS FINANCEIROS'!T123</f>
        <v>0</v>
      </c>
      <c r="AA117" s="30">
        <f>'DADOS FINANCEIROS'!U123</f>
        <v>0</v>
      </c>
      <c r="AB117" s="44">
        <f>'DADOS FINANCEIROS'!V123</f>
        <v>0</v>
      </c>
      <c r="AC117" s="44" t="str">
        <f>TEXT(Tabela1[[#This Row],[Data de Negociação]],"MMM-AA")</f>
        <v>jan-00</v>
      </c>
      <c r="AD117" s="44" t="str">
        <f>TEXT(Tabela1[[#This Row],[Data de Negociação]],"AAAA")</f>
        <v>1900</v>
      </c>
      <c r="AE117" s="44">
        <f>'DADOS FINANCEIROS'!W123</f>
        <v>0</v>
      </c>
      <c r="AF117" s="44" t="str">
        <f>TEXT(Tabela1[[#This Row],[Data da Entrada/Primeira Parcela]],"MMM-AA")</f>
        <v>jan-00</v>
      </c>
      <c r="AG117" s="44" t="str">
        <f>TEXT(Tabela1[[#This Row],[Data da Entrada/Primeira Parcela]],"AAAA")</f>
        <v>1900</v>
      </c>
      <c r="AH117" s="30">
        <f>'DADOS FINANCEIROS'!X123</f>
        <v>0</v>
      </c>
      <c r="AI117" s="46">
        <f>'DADOS FINANCEIROS'!Y123</f>
        <v>0</v>
      </c>
      <c r="AJ117" s="46">
        <f>'DADOS FINANCEIROS'!Z123</f>
        <v>0</v>
      </c>
      <c r="AK11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7" s="98"/>
    </row>
    <row r="118" spans="1:38" x14ac:dyDescent="0.3">
      <c r="A118" s="30">
        <f>'DADOS FINANCEIROS'!D124</f>
        <v>0</v>
      </c>
      <c r="B118" s="30">
        <f>'DADOS FINANCEIROS'!A124</f>
        <v>0</v>
      </c>
      <c r="C118" s="30">
        <f>'DADOS FINANCEIROS'!B124</f>
        <v>0</v>
      </c>
      <c r="D118" s="30">
        <f>'DADOS FINANCEIROS'!C124</f>
        <v>0</v>
      </c>
      <c r="E118" s="44">
        <f>'DADOS FINANCEIROS'!E124</f>
        <v>0</v>
      </c>
      <c r="F118" s="44" t="str">
        <f>TEXT(Tabela1[[#This Row],[DATA DE EMISSÃO]],"MMM-AA")</f>
        <v>jan-00</v>
      </c>
      <c r="G118" s="44" t="str">
        <f>TEXT(Tabela1[[#This Row],[DATA DE EMISSÃO]],"AAAA")</f>
        <v>1900</v>
      </c>
      <c r="H118" s="44">
        <f>'DADOS FINANCEIROS'!F124</f>
        <v>0</v>
      </c>
      <c r="I118" s="44" t="str">
        <f>TEXT(Tabela1[[#This Row],[VENCIMENTO ORIGINAL]],"MMM-AA")</f>
        <v>jan-00</v>
      </c>
      <c r="J118" s="44" t="str">
        <f>TEXT(Tabela1[[#This Row],[VENCIMENTO ORIGINAL]],"AAAA")</f>
        <v>1900</v>
      </c>
      <c r="K118" s="44">
        <f>'DADOS FINANCEIROS'!G124</f>
        <v>0</v>
      </c>
      <c r="L118" s="44" t="str">
        <f>TEXT(Tabela1[[#This Row],[VENCIMENTO ATUAL]],"MMM-AA")</f>
        <v>jan-00</v>
      </c>
      <c r="M118" s="44" t="str">
        <f>TEXT(Tabela1[[#This Row],[VENCIMENTO ATUAL]],"AAAA")</f>
        <v>1900</v>
      </c>
      <c r="N118" s="46">
        <f>'DADOS FINANCEIROS'!H124</f>
        <v>0</v>
      </c>
      <c r="O118" s="30">
        <f>'DADOS FINANCEIROS'!I124</f>
        <v>0</v>
      </c>
      <c r="P118" s="30">
        <f>'DADOS FINANCEIROS'!J124</f>
        <v>0</v>
      </c>
      <c r="Q118" s="30">
        <f>'DADOS FINANCEIROS'!K124</f>
        <v>0</v>
      </c>
      <c r="R118" s="30">
        <f>'DADOS FINANCEIROS'!L124</f>
        <v>0</v>
      </c>
      <c r="S118" s="30">
        <f>'DADOS FINANCEIROS'!M124</f>
        <v>0</v>
      </c>
      <c r="T118" s="30">
        <f>IFERROR('DADOS FINANCEIROS'!N124,"")</f>
        <v>0</v>
      </c>
      <c r="U118" s="30">
        <f>'DADOS FINANCEIROS'!O124</f>
        <v>0</v>
      </c>
      <c r="V118" s="30">
        <f>'DADOS FINANCEIROS'!P124</f>
        <v>0</v>
      </c>
      <c r="W118" s="30">
        <f>'DADOS FINANCEIROS'!Q124</f>
        <v>0</v>
      </c>
      <c r="X118" s="30">
        <f>'DADOS FINANCEIROS'!R124</f>
        <v>0</v>
      </c>
      <c r="Y118" s="30">
        <f>'DADOS FINANCEIROS'!S124</f>
        <v>0</v>
      </c>
      <c r="Z118" s="30">
        <f>'DADOS FINANCEIROS'!T124</f>
        <v>0</v>
      </c>
      <c r="AA118" s="30">
        <f>'DADOS FINANCEIROS'!U124</f>
        <v>0</v>
      </c>
      <c r="AB118" s="44">
        <f>'DADOS FINANCEIROS'!V124</f>
        <v>0</v>
      </c>
      <c r="AC118" s="44" t="str">
        <f>TEXT(Tabela1[[#This Row],[Data de Negociação]],"MMM-AA")</f>
        <v>jan-00</v>
      </c>
      <c r="AD118" s="44" t="str">
        <f>TEXT(Tabela1[[#This Row],[Data de Negociação]],"AAAA")</f>
        <v>1900</v>
      </c>
      <c r="AE118" s="44">
        <f>'DADOS FINANCEIROS'!W124</f>
        <v>0</v>
      </c>
      <c r="AF118" s="44" t="str">
        <f>TEXT(Tabela1[[#This Row],[Data da Entrada/Primeira Parcela]],"MMM-AA")</f>
        <v>jan-00</v>
      </c>
      <c r="AG118" s="44" t="str">
        <f>TEXT(Tabela1[[#This Row],[Data da Entrada/Primeira Parcela]],"AAAA")</f>
        <v>1900</v>
      </c>
      <c r="AH118" s="30">
        <f>'DADOS FINANCEIROS'!X124</f>
        <v>0</v>
      </c>
      <c r="AI118" s="46">
        <f>'DADOS FINANCEIROS'!Y124</f>
        <v>0</v>
      </c>
      <c r="AJ118" s="46">
        <f>'DADOS FINANCEIROS'!Z124</f>
        <v>0</v>
      </c>
      <c r="AK11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8" s="98"/>
    </row>
    <row r="119" spans="1:38" x14ac:dyDescent="0.3">
      <c r="A119" s="30">
        <f>'DADOS FINANCEIROS'!D125</f>
        <v>0</v>
      </c>
      <c r="B119" s="30">
        <f>'DADOS FINANCEIROS'!A125</f>
        <v>0</v>
      </c>
      <c r="C119" s="30">
        <f>'DADOS FINANCEIROS'!B125</f>
        <v>0</v>
      </c>
      <c r="D119" s="30">
        <f>'DADOS FINANCEIROS'!C125</f>
        <v>0</v>
      </c>
      <c r="E119" s="44">
        <f>'DADOS FINANCEIROS'!E125</f>
        <v>0</v>
      </c>
      <c r="F119" s="44" t="str">
        <f>TEXT(Tabela1[[#This Row],[DATA DE EMISSÃO]],"MMM-AA")</f>
        <v>jan-00</v>
      </c>
      <c r="G119" s="44" t="str">
        <f>TEXT(Tabela1[[#This Row],[DATA DE EMISSÃO]],"AAAA")</f>
        <v>1900</v>
      </c>
      <c r="H119" s="44">
        <f>'DADOS FINANCEIROS'!F125</f>
        <v>0</v>
      </c>
      <c r="I119" s="44" t="str">
        <f>TEXT(Tabela1[[#This Row],[VENCIMENTO ORIGINAL]],"MMM-AA")</f>
        <v>jan-00</v>
      </c>
      <c r="J119" s="44" t="str">
        <f>TEXT(Tabela1[[#This Row],[VENCIMENTO ORIGINAL]],"AAAA")</f>
        <v>1900</v>
      </c>
      <c r="K119" s="44">
        <f>'DADOS FINANCEIROS'!G125</f>
        <v>0</v>
      </c>
      <c r="L119" s="44" t="str">
        <f>TEXT(Tabela1[[#This Row],[VENCIMENTO ATUAL]],"MMM-AA")</f>
        <v>jan-00</v>
      </c>
      <c r="M119" s="44" t="str">
        <f>TEXT(Tabela1[[#This Row],[VENCIMENTO ATUAL]],"AAAA")</f>
        <v>1900</v>
      </c>
      <c r="N119" s="46">
        <f>'DADOS FINANCEIROS'!H125</f>
        <v>0</v>
      </c>
      <c r="O119" s="30">
        <f>'DADOS FINANCEIROS'!I125</f>
        <v>0</v>
      </c>
      <c r="P119" s="30">
        <f>'DADOS FINANCEIROS'!J125</f>
        <v>0</v>
      </c>
      <c r="Q119" s="30">
        <f>'DADOS FINANCEIROS'!K125</f>
        <v>0</v>
      </c>
      <c r="R119" s="30">
        <f>'DADOS FINANCEIROS'!L125</f>
        <v>0</v>
      </c>
      <c r="S119" s="30">
        <f>'DADOS FINANCEIROS'!M125</f>
        <v>0</v>
      </c>
      <c r="T119" s="30">
        <f>IFERROR('DADOS FINANCEIROS'!N125,"")</f>
        <v>0</v>
      </c>
      <c r="U119" s="30">
        <f>'DADOS FINANCEIROS'!O125</f>
        <v>0</v>
      </c>
      <c r="V119" s="30">
        <f>'DADOS FINANCEIROS'!P125</f>
        <v>0</v>
      </c>
      <c r="W119" s="30">
        <f>'DADOS FINANCEIROS'!Q125</f>
        <v>0</v>
      </c>
      <c r="X119" s="30">
        <f>'DADOS FINANCEIROS'!R125</f>
        <v>0</v>
      </c>
      <c r="Y119" s="30">
        <f>'DADOS FINANCEIROS'!S125</f>
        <v>0</v>
      </c>
      <c r="Z119" s="30">
        <f>'DADOS FINANCEIROS'!T125</f>
        <v>0</v>
      </c>
      <c r="AA119" s="30">
        <f>'DADOS FINANCEIROS'!U125</f>
        <v>0</v>
      </c>
      <c r="AB119" s="44">
        <f>'DADOS FINANCEIROS'!V125</f>
        <v>0</v>
      </c>
      <c r="AC119" s="44" t="str">
        <f>TEXT(Tabela1[[#This Row],[Data de Negociação]],"MMM-AA")</f>
        <v>jan-00</v>
      </c>
      <c r="AD119" s="44" t="str">
        <f>TEXT(Tabela1[[#This Row],[Data de Negociação]],"AAAA")</f>
        <v>1900</v>
      </c>
      <c r="AE119" s="44">
        <f>'DADOS FINANCEIROS'!W125</f>
        <v>0</v>
      </c>
      <c r="AF119" s="44" t="str">
        <f>TEXT(Tabela1[[#This Row],[Data da Entrada/Primeira Parcela]],"MMM-AA")</f>
        <v>jan-00</v>
      </c>
      <c r="AG119" s="44" t="str">
        <f>TEXT(Tabela1[[#This Row],[Data da Entrada/Primeira Parcela]],"AAAA")</f>
        <v>1900</v>
      </c>
      <c r="AH119" s="30">
        <f>'DADOS FINANCEIROS'!X125</f>
        <v>0</v>
      </c>
      <c r="AI119" s="46">
        <f>'DADOS FINANCEIROS'!Y125</f>
        <v>0</v>
      </c>
      <c r="AJ119" s="46">
        <f>'DADOS FINANCEIROS'!Z125</f>
        <v>0</v>
      </c>
      <c r="AK11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19" s="98"/>
    </row>
    <row r="120" spans="1:38" x14ac:dyDescent="0.3">
      <c r="A120" s="30">
        <f>'DADOS FINANCEIROS'!D126</f>
        <v>0</v>
      </c>
      <c r="B120" s="30">
        <f>'DADOS FINANCEIROS'!A126</f>
        <v>0</v>
      </c>
      <c r="C120" s="30">
        <f>'DADOS FINANCEIROS'!B126</f>
        <v>0</v>
      </c>
      <c r="D120" s="30">
        <f>'DADOS FINANCEIROS'!C126</f>
        <v>0</v>
      </c>
      <c r="E120" s="44">
        <f>'DADOS FINANCEIROS'!E126</f>
        <v>0</v>
      </c>
      <c r="F120" s="44" t="str">
        <f>TEXT(Tabela1[[#This Row],[DATA DE EMISSÃO]],"MMM-AA")</f>
        <v>jan-00</v>
      </c>
      <c r="G120" s="44" t="str">
        <f>TEXT(Tabela1[[#This Row],[DATA DE EMISSÃO]],"AAAA")</f>
        <v>1900</v>
      </c>
      <c r="H120" s="44">
        <f>'DADOS FINANCEIROS'!F126</f>
        <v>0</v>
      </c>
      <c r="I120" s="44" t="str">
        <f>TEXT(Tabela1[[#This Row],[VENCIMENTO ORIGINAL]],"MMM-AA")</f>
        <v>jan-00</v>
      </c>
      <c r="J120" s="44" t="str">
        <f>TEXT(Tabela1[[#This Row],[VENCIMENTO ORIGINAL]],"AAAA")</f>
        <v>1900</v>
      </c>
      <c r="K120" s="44">
        <f>'DADOS FINANCEIROS'!G126</f>
        <v>0</v>
      </c>
      <c r="L120" s="44" t="str">
        <f>TEXT(Tabela1[[#This Row],[VENCIMENTO ATUAL]],"MMM-AA")</f>
        <v>jan-00</v>
      </c>
      <c r="M120" s="44" t="str">
        <f>TEXT(Tabela1[[#This Row],[VENCIMENTO ATUAL]],"AAAA")</f>
        <v>1900</v>
      </c>
      <c r="N120" s="46">
        <f>'DADOS FINANCEIROS'!H126</f>
        <v>0</v>
      </c>
      <c r="O120" s="30">
        <f>'DADOS FINANCEIROS'!I126</f>
        <v>0</v>
      </c>
      <c r="P120" s="30">
        <f>'DADOS FINANCEIROS'!J126</f>
        <v>0</v>
      </c>
      <c r="Q120" s="30">
        <f>'DADOS FINANCEIROS'!K126</f>
        <v>0</v>
      </c>
      <c r="R120" s="30">
        <f>'DADOS FINANCEIROS'!L126</f>
        <v>0</v>
      </c>
      <c r="S120" s="30">
        <f>'DADOS FINANCEIROS'!M126</f>
        <v>0</v>
      </c>
      <c r="T120" s="30">
        <f>IFERROR('DADOS FINANCEIROS'!N126,"")</f>
        <v>0</v>
      </c>
      <c r="U120" s="30">
        <f>'DADOS FINANCEIROS'!O126</f>
        <v>0</v>
      </c>
      <c r="V120" s="30">
        <f>'DADOS FINANCEIROS'!P126</f>
        <v>0</v>
      </c>
      <c r="W120" s="30">
        <f>'DADOS FINANCEIROS'!Q126</f>
        <v>0</v>
      </c>
      <c r="X120" s="30">
        <f>'DADOS FINANCEIROS'!R126</f>
        <v>0</v>
      </c>
      <c r="Y120" s="30">
        <f>'DADOS FINANCEIROS'!S126</f>
        <v>0</v>
      </c>
      <c r="Z120" s="30">
        <f>'DADOS FINANCEIROS'!T126</f>
        <v>0</v>
      </c>
      <c r="AA120" s="30">
        <f>'DADOS FINANCEIROS'!U126</f>
        <v>0</v>
      </c>
      <c r="AB120" s="44">
        <f>'DADOS FINANCEIROS'!V126</f>
        <v>0</v>
      </c>
      <c r="AC120" s="44" t="str">
        <f>TEXT(Tabela1[[#This Row],[Data de Negociação]],"MMM-AA")</f>
        <v>jan-00</v>
      </c>
      <c r="AD120" s="44" t="str">
        <f>TEXT(Tabela1[[#This Row],[Data de Negociação]],"AAAA")</f>
        <v>1900</v>
      </c>
      <c r="AE120" s="44">
        <f>'DADOS FINANCEIROS'!W126</f>
        <v>0</v>
      </c>
      <c r="AF120" s="44" t="str">
        <f>TEXT(Tabela1[[#This Row],[Data da Entrada/Primeira Parcela]],"MMM-AA")</f>
        <v>jan-00</v>
      </c>
      <c r="AG120" s="44" t="str">
        <f>TEXT(Tabela1[[#This Row],[Data da Entrada/Primeira Parcela]],"AAAA")</f>
        <v>1900</v>
      </c>
      <c r="AH120" s="30">
        <f>'DADOS FINANCEIROS'!X126</f>
        <v>0</v>
      </c>
      <c r="AI120" s="46">
        <f>'DADOS FINANCEIROS'!Y126</f>
        <v>0</v>
      </c>
      <c r="AJ120" s="46">
        <f>'DADOS FINANCEIROS'!Z126</f>
        <v>0</v>
      </c>
      <c r="AK12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0" s="98"/>
    </row>
    <row r="121" spans="1:38" x14ac:dyDescent="0.3">
      <c r="A121" s="30">
        <f>'DADOS FINANCEIROS'!D127</f>
        <v>0</v>
      </c>
      <c r="B121" s="30">
        <f>'DADOS FINANCEIROS'!A127</f>
        <v>0</v>
      </c>
      <c r="C121" s="30">
        <f>'DADOS FINANCEIROS'!B127</f>
        <v>0</v>
      </c>
      <c r="D121" s="30">
        <f>'DADOS FINANCEIROS'!C127</f>
        <v>0</v>
      </c>
      <c r="E121" s="44">
        <f>'DADOS FINANCEIROS'!E127</f>
        <v>0</v>
      </c>
      <c r="F121" s="44" t="str">
        <f>TEXT(Tabela1[[#This Row],[DATA DE EMISSÃO]],"MMM-AA")</f>
        <v>jan-00</v>
      </c>
      <c r="G121" s="44" t="str">
        <f>TEXT(Tabela1[[#This Row],[DATA DE EMISSÃO]],"AAAA")</f>
        <v>1900</v>
      </c>
      <c r="H121" s="44">
        <f>'DADOS FINANCEIROS'!F127</f>
        <v>0</v>
      </c>
      <c r="I121" s="44" t="str">
        <f>TEXT(Tabela1[[#This Row],[VENCIMENTO ORIGINAL]],"MMM-AA")</f>
        <v>jan-00</v>
      </c>
      <c r="J121" s="44" t="str">
        <f>TEXT(Tabela1[[#This Row],[VENCIMENTO ORIGINAL]],"AAAA")</f>
        <v>1900</v>
      </c>
      <c r="K121" s="44">
        <f>'DADOS FINANCEIROS'!G127</f>
        <v>0</v>
      </c>
      <c r="L121" s="44" t="str">
        <f>TEXT(Tabela1[[#This Row],[VENCIMENTO ATUAL]],"MMM-AA")</f>
        <v>jan-00</v>
      </c>
      <c r="M121" s="44" t="str">
        <f>TEXT(Tabela1[[#This Row],[VENCIMENTO ATUAL]],"AAAA")</f>
        <v>1900</v>
      </c>
      <c r="N121" s="46">
        <f>'DADOS FINANCEIROS'!H127</f>
        <v>0</v>
      </c>
      <c r="O121" s="30">
        <f>'DADOS FINANCEIROS'!I127</f>
        <v>0</v>
      </c>
      <c r="P121" s="30">
        <f>'DADOS FINANCEIROS'!J127</f>
        <v>0</v>
      </c>
      <c r="Q121" s="30">
        <f>'DADOS FINANCEIROS'!K127</f>
        <v>0</v>
      </c>
      <c r="R121" s="30">
        <f>'DADOS FINANCEIROS'!L127</f>
        <v>0</v>
      </c>
      <c r="S121" s="30">
        <f>'DADOS FINANCEIROS'!M127</f>
        <v>0</v>
      </c>
      <c r="T121" s="30">
        <f>IFERROR('DADOS FINANCEIROS'!N127,"")</f>
        <v>0</v>
      </c>
      <c r="U121" s="30">
        <f>'DADOS FINANCEIROS'!O127</f>
        <v>0</v>
      </c>
      <c r="V121" s="30">
        <f>'DADOS FINANCEIROS'!P127</f>
        <v>0</v>
      </c>
      <c r="W121" s="30">
        <f>'DADOS FINANCEIROS'!Q127</f>
        <v>0</v>
      </c>
      <c r="X121" s="30">
        <f>'DADOS FINANCEIROS'!R127</f>
        <v>0</v>
      </c>
      <c r="Y121" s="30">
        <f>'DADOS FINANCEIROS'!S127</f>
        <v>0</v>
      </c>
      <c r="Z121" s="30">
        <f>'DADOS FINANCEIROS'!T127</f>
        <v>0</v>
      </c>
      <c r="AA121" s="30">
        <f>'DADOS FINANCEIROS'!U127</f>
        <v>0</v>
      </c>
      <c r="AB121" s="44">
        <f>'DADOS FINANCEIROS'!V127</f>
        <v>0</v>
      </c>
      <c r="AC121" s="44" t="str">
        <f>TEXT(Tabela1[[#This Row],[Data de Negociação]],"MMM-AA")</f>
        <v>jan-00</v>
      </c>
      <c r="AD121" s="44" t="str">
        <f>TEXT(Tabela1[[#This Row],[Data de Negociação]],"AAAA")</f>
        <v>1900</v>
      </c>
      <c r="AE121" s="44">
        <f>'DADOS FINANCEIROS'!W127</f>
        <v>0</v>
      </c>
      <c r="AF121" s="44" t="str">
        <f>TEXT(Tabela1[[#This Row],[Data da Entrada/Primeira Parcela]],"MMM-AA")</f>
        <v>jan-00</v>
      </c>
      <c r="AG121" s="44" t="str">
        <f>TEXT(Tabela1[[#This Row],[Data da Entrada/Primeira Parcela]],"AAAA")</f>
        <v>1900</v>
      </c>
      <c r="AH121" s="30">
        <f>'DADOS FINANCEIROS'!X127</f>
        <v>0</v>
      </c>
      <c r="AI121" s="46">
        <f>'DADOS FINANCEIROS'!Y127</f>
        <v>0</v>
      </c>
      <c r="AJ121" s="46">
        <f>'DADOS FINANCEIROS'!Z127</f>
        <v>0</v>
      </c>
      <c r="AK12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1" s="98"/>
    </row>
    <row r="122" spans="1:38" x14ac:dyDescent="0.3">
      <c r="A122" s="30">
        <f>'DADOS FINANCEIROS'!D128</f>
        <v>0</v>
      </c>
      <c r="B122" s="30">
        <f>'DADOS FINANCEIROS'!A128</f>
        <v>0</v>
      </c>
      <c r="C122" s="30">
        <f>'DADOS FINANCEIROS'!B128</f>
        <v>0</v>
      </c>
      <c r="D122" s="30">
        <f>'DADOS FINANCEIROS'!C128</f>
        <v>0</v>
      </c>
      <c r="E122" s="44">
        <f>'DADOS FINANCEIROS'!E128</f>
        <v>0</v>
      </c>
      <c r="F122" s="44" t="str">
        <f>TEXT(Tabela1[[#This Row],[DATA DE EMISSÃO]],"MMM-AA")</f>
        <v>jan-00</v>
      </c>
      <c r="G122" s="44" t="str">
        <f>TEXT(Tabela1[[#This Row],[DATA DE EMISSÃO]],"AAAA")</f>
        <v>1900</v>
      </c>
      <c r="H122" s="44">
        <f>'DADOS FINANCEIROS'!F128</f>
        <v>0</v>
      </c>
      <c r="I122" s="44" t="str">
        <f>TEXT(Tabela1[[#This Row],[VENCIMENTO ORIGINAL]],"MMM-AA")</f>
        <v>jan-00</v>
      </c>
      <c r="J122" s="44" t="str">
        <f>TEXT(Tabela1[[#This Row],[VENCIMENTO ORIGINAL]],"AAAA")</f>
        <v>1900</v>
      </c>
      <c r="K122" s="44">
        <f>'DADOS FINANCEIROS'!G128</f>
        <v>0</v>
      </c>
      <c r="L122" s="44" t="str">
        <f>TEXT(Tabela1[[#This Row],[VENCIMENTO ATUAL]],"MMM-AA")</f>
        <v>jan-00</v>
      </c>
      <c r="M122" s="44" t="str">
        <f>TEXT(Tabela1[[#This Row],[VENCIMENTO ATUAL]],"AAAA")</f>
        <v>1900</v>
      </c>
      <c r="N122" s="46">
        <f>'DADOS FINANCEIROS'!H128</f>
        <v>0</v>
      </c>
      <c r="O122" s="30">
        <f>'DADOS FINANCEIROS'!I128</f>
        <v>0</v>
      </c>
      <c r="P122" s="30">
        <f>'DADOS FINANCEIROS'!J128</f>
        <v>0</v>
      </c>
      <c r="Q122" s="30">
        <f>'DADOS FINANCEIROS'!K128</f>
        <v>0</v>
      </c>
      <c r="R122" s="30">
        <f>'DADOS FINANCEIROS'!L128</f>
        <v>0</v>
      </c>
      <c r="S122" s="30">
        <f>'DADOS FINANCEIROS'!M128</f>
        <v>0</v>
      </c>
      <c r="T122" s="30">
        <f>IFERROR('DADOS FINANCEIROS'!N128,"")</f>
        <v>0</v>
      </c>
      <c r="U122" s="30">
        <f>'DADOS FINANCEIROS'!O128</f>
        <v>0</v>
      </c>
      <c r="V122" s="30">
        <f>'DADOS FINANCEIROS'!P128</f>
        <v>0</v>
      </c>
      <c r="W122" s="30">
        <f>'DADOS FINANCEIROS'!Q128</f>
        <v>0</v>
      </c>
      <c r="X122" s="30">
        <f>'DADOS FINANCEIROS'!R128</f>
        <v>0</v>
      </c>
      <c r="Y122" s="30">
        <f>'DADOS FINANCEIROS'!S128</f>
        <v>0</v>
      </c>
      <c r="Z122" s="30">
        <f>'DADOS FINANCEIROS'!T128</f>
        <v>0</v>
      </c>
      <c r="AA122" s="30">
        <f>'DADOS FINANCEIROS'!U128</f>
        <v>0</v>
      </c>
      <c r="AB122" s="44">
        <f>'DADOS FINANCEIROS'!V128</f>
        <v>0</v>
      </c>
      <c r="AC122" s="44" t="str">
        <f>TEXT(Tabela1[[#This Row],[Data de Negociação]],"MMM-AA")</f>
        <v>jan-00</v>
      </c>
      <c r="AD122" s="44" t="str">
        <f>TEXT(Tabela1[[#This Row],[Data de Negociação]],"AAAA")</f>
        <v>1900</v>
      </c>
      <c r="AE122" s="44">
        <f>'DADOS FINANCEIROS'!W128</f>
        <v>0</v>
      </c>
      <c r="AF122" s="44" t="str">
        <f>TEXT(Tabela1[[#This Row],[Data da Entrada/Primeira Parcela]],"MMM-AA")</f>
        <v>jan-00</v>
      </c>
      <c r="AG122" s="44" t="str">
        <f>TEXT(Tabela1[[#This Row],[Data da Entrada/Primeira Parcela]],"AAAA")</f>
        <v>1900</v>
      </c>
      <c r="AH122" s="30">
        <f>'DADOS FINANCEIROS'!X128</f>
        <v>0</v>
      </c>
      <c r="AI122" s="46">
        <f>'DADOS FINANCEIROS'!Y128</f>
        <v>0</v>
      </c>
      <c r="AJ122" s="46">
        <f>'DADOS FINANCEIROS'!Z128</f>
        <v>0</v>
      </c>
      <c r="AK12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2" s="98"/>
    </row>
    <row r="123" spans="1:38" x14ac:dyDescent="0.3">
      <c r="A123" s="30">
        <f>'DADOS FINANCEIROS'!D129</f>
        <v>0</v>
      </c>
      <c r="B123" s="30">
        <f>'DADOS FINANCEIROS'!A129</f>
        <v>0</v>
      </c>
      <c r="C123" s="30">
        <f>'DADOS FINANCEIROS'!B129</f>
        <v>0</v>
      </c>
      <c r="D123" s="30">
        <f>'DADOS FINANCEIROS'!C129</f>
        <v>0</v>
      </c>
      <c r="E123" s="44">
        <f>'DADOS FINANCEIROS'!E129</f>
        <v>0</v>
      </c>
      <c r="F123" s="44" t="str">
        <f>TEXT(Tabela1[[#This Row],[DATA DE EMISSÃO]],"MMM-AA")</f>
        <v>jan-00</v>
      </c>
      <c r="G123" s="44" t="str">
        <f>TEXT(Tabela1[[#This Row],[DATA DE EMISSÃO]],"AAAA")</f>
        <v>1900</v>
      </c>
      <c r="H123" s="44">
        <f>'DADOS FINANCEIROS'!F129</f>
        <v>0</v>
      </c>
      <c r="I123" s="44" t="str">
        <f>TEXT(Tabela1[[#This Row],[VENCIMENTO ORIGINAL]],"MMM-AA")</f>
        <v>jan-00</v>
      </c>
      <c r="J123" s="44" t="str">
        <f>TEXT(Tabela1[[#This Row],[VENCIMENTO ORIGINAL]],"AAAA")</f>
        <v>1900</v>
      </c>
      <c r="K123" s="44">
        <f>'DADOS FINANCEIROS'!G129</f>
        <v>0</v>
      </c>
      <c r="L123" s="44" t="str">
        <f>TEXT(Tabela1[[#This Row],[VENCIMENTO ATUAL]],"MMM-AA")</f>
        <v>jan-00</v>
      </c>
      <c r="M123" s="44" t="str">
        <f>TEXT(Tabela1[[#This Row],[VENCIMENTO ATUAL]],"AAAA")</f>
        <v>1900</v>
      </c>
      <c r="N123" s="46">
        <f>'DADOS FINANCEIROS'!H129</f>
        <v>0</v>
      </c>
      <c r="O123" s="30">
        <f>'DADOS FINANCEIROS'!I129</f>
        <v>0</v>
      </c>
      <c r="P123" s="30">
        <f>'DADOS FINANCEIROS'!J129</f>
        <v>0</v>
      </c>
      <c r="Q123" s="30">
        <f>'DADOS FINANCEIROS'!K129</f>
        <v>0</v>
      </c>
      <c r="R123" s="30">
        <f>'DADOS FINANCEIROS'!L129</f>
        <v>0</v>
      </c>
      <c r="S123" s="30">
        <f>'DADOS FINANCEIROS'!M129</f>
        <v>0</v>
      </c>
      <c r="T123" s="30">
        <f>IFERROR('DADOS FINANCEIROS'!N129,"")</f>
        <v>0</v>
      </c>
      <c r="U123" s="30">
        <f>'DADOS FINANCEIROS'!O129</f>
        <v>0</v>
      </c>
      <c r="V123" s="30">
        <f>'DADOS FINANCEIROS'!P129</f>
        <v>0</v>
      </c>
      <c r="W123" s="30">
        <f>'DADOS FINANCEIROS'!Q129</f>
        <v>0</v>
      </c>
      <c r="X123" s="30">
        <f>'DADOS FINANCEIROS'!R129</f>
        <v>0</v>
      </c>
      <c r="Y123" s="30">
        <f>'DADOS FINANCEIROS'!S129</f>
        <v>0</v>
      </c>
      <c r="Z123" s="30">
        <f>'DADOS FINANCEIROS'!T129</f>
        <v>0</v>
      </c>
      <c r="AA123" s="30">
        <f>'DADOS FINANCEIROS'!U129</f>
        <v>0</v>
      </c>
      <c r="AB123" s="44">
        <f>'DADOS FINANCEIROS'!V129</f>
        <v>0</v>
      </c>
      <c r="AC123" s="44" t="str">
        <f>TEXT(Tabela1[[#This Row],[Data de Negociação]],"MMM-AA")</f>
        <v>jan-00</v>
      </c>
      <c r="AD123" s="44" t="str">
        <f>TEXT(Tabela1[[#This Row],[Data de Negociação]],"AAAA")</f>
        <v>1900</v>
      </c>
      <c r="AE123" s="44">
        <f>'DADOS FINANCEIROS'!W129</f>
        <v>0</v>
      </c>
      <c r="AF123" s="44" t="str">
        <f>TEXT(Tabela1[[#This Row],[Data da Entrada/Primeira Parcela]],"MMM-AA")</f>
        <v>jan-00</v>
      </c>
      <c r="AG123" s="44" t="str">
        <f>TEXT(Tabela1[[#This Row],[Data da Entrada/Primeira Parcela]],"AAAA")</f>
        <v>1900</v>
      </c>
      <c r="AH123" s="30">
        <f>'DADOS FINANCEIROS'!X129</f>
        <v>0</v>
      </c>
      <c r="AI123" s="46">
        <f>'DADOS FINANCEIROS'!Y129</f>
        <v>0</v>
      </c>
      <c r="AJ123" s="46">
        <f>'DADOS FINANCEIROS'!Z129</f>
        <v>0</v>
      </c>
      <c r="AK12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3" s="98"/>
    </row>
    <row r="124" spans="1:38" x14ac:dyDescent="0.3">
      <c r="A124" s="30">
        <f>'DADOS FINANCEIROS'!D130</f>
        <v>0</v>
      </c>
      <c r="B124" s="30">
        <f>'DADOS FINANCEIROS'!A130</f>
        <v>0</v>
      </c>
      <c r="C124" s="30">
        <f>'DADOS FINANCEIROS'!B130</f>
        <v>0</v>
      </c>
      <c r="D124" s="30">
        <f>'DADOS FINANCEIROS'!C130</f>
        <v>0</v>
      </c>
      <c r="E124" s="44">
        <f>'DADOS FINANCEIROS'!E130</f>
        <v>0</v>
      </c>
      <c r="F124" s="44" t="str">
        <f>TEXT(Tabela1[[#This Row],[DATA DE EMISSÃO]],"MMM-AA")</f>
        <v>jan-00</v>
      </c>
      <c r="G124" s="44" t="str">
        <f>TEXT(Tabela1[[#This Row],[DATA DE EMISSÃO]],"AAAA")</f>
        <v>1900</v>
      </c>
      <c r="H124" s="44">
        <f>'DADOS FINANCEIROS'!F130</f>
        <v>0</v>
      </c>
      <c r="I124" s="44" t="str">
        <f>TEXT(Tabela1[[#This Row],[VENCIMENTO ORIGINAL]],"MMM-AA")</f>
        <v>jan-00</v>
      </c>
      <c r="J124" s="44" t="str">
        <f>TEXT(Tabela1[[#This Row],[VENCIMENTO ORIGINAL]],"AAAA")</f>
        <v>1900</v>
      </c>
      <c r="K124" s="44">
        <f>'DADOS FINANCEIROS'!G130</f>
        <v>0</v>
      </c>
      <c r="L124" s="44" t="str">
        <f>TEXT(Tabela1[[#This Row],[VENCIMENTO ATUAL]],"MMM-AA")</f>
        <v>jan-00</v>
      </c>
      <c r="M124" s="44" t="str">
        <f>TEXT(Tabela1[[#This Row],[VENCIMENTO ATUAL]],"AAAA")</f>
        <v>1900</v>
      </c>
      <c r="N124" s="46">
        <f>'DADOS FINANCEIROS'!H130</f>
        <v>0</v>
      </c>
      <c r="O124" s="30">
        <f>'DADOS FINANCEIROS'!I130</f>
        <v>0</v>
      </c>
      <c r="P124" s="30">
        <f>'DADOS FINANCEIROS'!J130</f>
        <v>0</v>
      </c>
      <c r="Q124" s="30">
        <f>'DADOS FINANCEIROS'!K130</f>
        <v>0</v>
      </c>
      <c r="R124" s="30">
        <f>'DADOS FINANCEIROS'!L130</f>
        <v>0</v>
      </c>
      <c r="S124" s="30">
        <f>'DADOS FINANCEIROS'!M130</f>
        <v>0</v>
      </c>
      <c r="T124" s="30">
        <f>IFERROR('DADOS FINANCEIROS'!N130,"")</f>
        <v>0</v>
      </c>
      <c r="U124" s="30">
        <f>'DADOS FINANCEIROS'!O130</f>
        <v>0</v>
      </c>
      <c r="V124" s="30">
        <f>'DADOS FINANCEIROS'!P130</f>
        <v>0</v>
      </c>
      <c r="W124" s="30">
        <f>'DADOS FINANCEIROS'!Q130</f>
        <v>0</v>
      </c>
      <c r="X124" s="30">
        <f>'DADOS FINANCEIROS'!R130</f>
        <v>0</v>
      </c>
      <c r="Y124" s="30">
        <f>'DADOS FINANCEIROS'!S130</f>
        <v>0</v>
      </c>
      <c r="Z124" s="30">
        <f>'DADOS FINANCEIROS'!T130</f>
        <v>0</v>
      </c>
      <c r="AA124" s="30">
        <f>'DADOS FINANCEIROS'!U130</f>
        <v>0</v>
      </c>
      <c r="AB124" s="44">
        <f>'DADOS FINANCEIROS'!V130</f>
        <v>0</v>
      </c>
      <c r="AC124" s="44" t="str">
        <f>TEXT(Tabela1[[#This Row],[Data de Negociação]],"MMM-AA")</f>
        <v>jan-00</v>
      </c>
      <c r="AD124" s="44" t="str">
        <f>TEXT(Tabela1[[#This Row],[Data de Negociação]],"AAAA")</f>
        <v>1900</v>
      </c>
      <c r="AE124" s="44">
        <f>'DADOS FINANCEIROS'!W130</f>
        <v>0</v>
      </c>
      <c r="AF124" s="44" t="str">
        <f>TEXT(Tabela1[[#This Row],[Data da Entrada/Primeira Parcela]],"MMM-AA")</f>
        <v>jan-00</v>
      </c>
      <c r="AG124" s="44" t="str">
        <f>TEXT(Tabela1[[#This Row],[Data da Entrada/Primeira Parcela]],"AAAA")</f>
        <v>1900</v>
      </c>
      <c r="AH124" s="30">
        <f>'DADOS FINANCEIROS'!X130</f>
        <v>0</v>
      </c>
      <c r="AI124" s="46">
        <f>'DADOS FINANCEIROS'!Y130</f>
        <v>0</v>
      </c>
      <c r="AJ124" s="46">
        <f>'DADOS FINANCEIROS'!Z130</f>
        <v>0</v>
      </c>
      <c r="AK12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4" s="98"/>
    </row>
    <row r="125" spans="1:38" x14ac:dyDescent="0.3">
      <c r="A125" s="30">
        <f>'DADOS FINANCEIROS'!D131</f>
        <v>0</v>
      </c>
      <c r="B125" s="30">
        <f>'DADOS FINANCEIROS'!A131</f>
        <v>0</v>
      </c>
      <c r="C125" s="30">
        <f>'DADOS FINANCEIROS'!B131</f>
        <v>0</v>
      </c>
      <c r="D125" s="30">
        <f>'DADOS FINANCEIROS'!C131</f>
        <v>0</v>
      </c>
      <c r="E125" s="44">
        <f>'DADOS FINANCEIROS'!E131</f>
        <v>0</v>
      </c>
      <c r="F125" s="44" t="str">
        <f>TEXT(Tabela1[[#This Row],[DATA DE EMISSÃO]],"MMM-AA")</f>
        <v>jan-00</v>
      </c>
      <c r="G125" s="44" t="str">
        <f>TEXT(Tabela1[[#This Row],[DATA DE EMISSÃO]],"AAAA")</f>
        <v>1900</v>
      </c>
      <c r="H125" s="44">
        <f>'DADOS FINANCEIROS'!F131</f>
        <v>0</v>
      </c>
      <c r="I125" s="44" t="str">
        <f>TEXT(Tabela1[[#This Row],[VENCIMENTO ORIGINAL]],"MMM-AA")</f>
        <v>jan-00</v>
      </c>
      <c r="J125" s="44" t="str">
        <f>TEXT(Tabela1[[#This Row],[VENCIMENTO ORIGINAL]],"AAAA")</f>
        <v>1900</v>
      </c>
      <c r="K125" s="44">
        <f>'DADOS FINANCEIROS'!G131</f>
        <v>0</v>
      </c>
      <c r="L125" s="44" t="str">
        <f>TEXT(Tabela1[[#This Row],[VENCIMENTO ATUAL]],"MMM-AA")</f>
        <v>jan-00</v>
      </c>
      <c r="M125" s="44" t="str">
        <f>TEXT(Tabela1[[#This Row],[VENCIMENTO ATUAL]],"AAAA")</f>
        <v>1900</v>
      </c>
      <c r="N125" s="46">
        <f>'DADOS FINANCEIROS'!H131</f>
        <v>0</v>
      </c>
      <c r="O125" s="30">
        <f>'DADOS FINANCEIROS'!I131</f>
        <v>0</v>
      </c>
      <c r="P125" s="30">
        <f>'DADOS FINANCEIROS'!J131</f>
        <v>0</v>
      </c>
      <c r="Q125" s="30">
        <f>'DADOS FINANCEIROS'!K131</f>
        <v>0</v>
      </c>
      <c r="R125" s="30">
        <f>'DADOS FINANCEIROS'!L131</f>
        <v>0</v>
      </c>
      <c r="S125" s="30">
        <f>'DADOS FINANCEIROS'!M131</f>
        <v>0</v>
      </c>
      <c r="T125" s="30">
        <f>IFERROR('DADOS FINANCEIROS'!N131,"")</f>
        <v>0</v>
      </c>
      <c r="U125" s="30">
        <f>'DADOS FINANCEIROS'!O131</f>
        <v>0</v>
      </c>
      <c r="V125" s="30">
        <f>'DADOS FINANCEIROS'!P131</f>
        <v>0</v>
      </c>
      <c r="W125" s="30">
        <f>'DADOS FINANCEIROS'!Q131</f>
        <v>0</v>
      </c>
      <c r="X125" s="30">
        <f>'DADOS FINANCEIROS'!R131</f>
        <v>0</v>
      </c>
      <c r="Y125" s="30">
        <f>'DADOS FINANCEIROS'!S131</f>
        <v>0</v>
      </c>
      <c r="Z125" s="30">
        <f>'DADOS FINANCEIROS'!T131</f>
        <v>0</v>
      </c>
      <c r="AA125" s="30">
        <f>'DADOS FINANCEIROS'!U131</f>
        <v>0</v>
      </c>
      <c r="AB125" s="44">
        <f>'DADOS FINANCEIROS'!V131</f>
        <v>0</v>
      </c>
      <c r="AC125" s="44" t="str">
        <f>TEXT(Tabela1[[#This Row],[Data de Negociação]],"MMM-AA")</f>
        <v>jan-00</v>
      </c>
      <c r="AD125" s="44" t="str">
        <f>TEXT(Tabela1[[#This Row],[Data de Negociação]],"AAAA")</f>
        <v>1900</v>
      </c>
      <c r="AE125" s="44">
        <f>'DADOS FINANCEIROS'!W131</f>
        <v>0</v>
      </c>
      <c r="AF125" s="44" t="str">
        <f>TEXT(Tabela1[[#This Row],[Data da Entrada/Primeira Parcela]],"MMM-AA")</f>
        <v>jan-00</v>
      </c>
      <c r="AG125" s="44" t="str">
        <f>TEXT(Tabela1[[#This Row],[Data da Entrada/Primeira Parcela]],"AAAA")</f>
        <v>1900</v>
      </c>
      <c r="AH125" s="30">
        <f>'DADOS FINANCEIROS'!X131</f>
        <v>0</v>
      </c>
      <c r="AI125" s="46">
        <f>'DADOS FINANCEIROS'!Y131</f>
        <v>0</v>
      </c>
      <c r="AJ125" s="46">
        <f>'DADOS FINANCEIROS'!Z131</f>
        <v>0</v>
      </c>
      <c r="AK12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5" s="98"/>
    </row>
    <row r="126" spans="1:38" x14ac:dyDescent="0.3">
      <c r="A126" s="30">
        <f>'DADOS FINANCEIROS'!D132</f>
        <v>0</v>
      </c>
      <c r="B126" s="30">
        <f>'DADOS FINANCEIROS'!A132</f>
        <v>0</v>
      </c>
      <c r="C126" s="30">
        <f>'DADOS FINANCEIROS'!B132</f>
        <v>0</v>
      </c>
      <c r="D126" s="30">
        <f>'DADOS FINANCEIROS'!C132</f>
        <v>0</v>
      </c>
      <c r="E126" s="44">
        <f>'DADOS FINANCEIROS'!E132</f>
        <v>0</v>
      </c>
      <c r="F126" s="44" t="str">
        <f>TEXT(Tabela1[[#This Row],[DATA DE EMISSÃO]],"MMM-AA")</f>
        <v>jan-00</v>
      </c>
      <c r="G126" s="44" t="str">
        <f>TEXT(Tabela1[[#This Row],[DATA DE EMISSÃO]],"AAAA")</f>
        <v>1900</v>
      </c>
      <c r="H126" s="44">
        <f>'DADOS FINANCEIROS'!F132</f>
        <v>0</v>
      </c>
      <c r="I126" s="44" t="str">
        <f>TEXT(Tabela1[[#This Row],[VENCIMENTO ORIGINAL]],"MMM-AA")</f>
        <v>jan-00</v>
      </c>
      <c r="J126" s="44" t="str">
        <f>TEXT(Tabela1[[#This Row],[VENCIMENTO ORIGINAL]],"AAAA")</f>
        <v>1900</v>
      </c>
      <c r="K126" s="44">
        <f>'DADOS FINANCEIROS'!G132</f>
        <v>0</v>
      </c>
      <c r="L126" s="44" t="str">
        <f>TEXT(Tabela1[[#This Row],[VENCIMENTO ATUAL]],"MMM-AA")</f>
        <v>jan-00</v>
      </c>
      <c r="M126" s="44" t="str">
        <f>TEXT(Tabela1[[#This Row],[VENCIMENTO ATUAL]],"AAAA")</f>
        <v>1900</v>
      </c>
      <c r="N126" s="46">
        <f>'DADOS FINANCEIROS'!H132</f>
        <v>0</v>
      </c>
      <c r="O126" s="30">
        <f>'DADOS FINANCEIROS'!I132</f>
        <v>0</v>
      </c>
      <c r="P126" s="30">
        <f>'DADOS FINANCEIROS'!J132</f>
        <v>0</v>
      </c>
      <c r="Q126" s="30">
        <f>'DADOS FINANCEIROS'!K132</f>
        <v>0</v>
      </c>
      <c r="R126" s="30">
        <f>'DADOS FINANCEIROS'!L132</f>
        <v>0</v>
      </c>
      <c r="S126" s="30">
        <f>'DADOS FINANCEIROS'!M132</f>
        <v>0</v>
      </c>
      <c r="T126" s="30">
        <f>IFERROR('DADOS FINANCEIROS'!N132,"")</f>
        <v>0</v>
      </c>
      <c r="U126" s="30">
        <f>'DADOS FINANCEIROS'!O132</f>
        <v>0</v>
      </c>
      <c r="V126" s="30">
        <f>'DADOS FINANCEIROS'!P132</f>
        <v>0</v>
      </c>
      <c r="W126" s="30">
        <f>'DADOS FINANCEIROS'!Q132</f>
        <v>0</v>
      </c>
      <c r="X126" s="30">
        <f>'DADOS FINANCEIROS'!R132</f>
        <v>0</v>
      </c>
      <c r="Y126" s="30">
        <f>'DADOS FINANCEIROS'!S132</f>
        <v>0</v>
      </c>
      <c r="Z126" s="30">
        <f>'DADOS FINANCEIROS'!T132</f>
        <v>0</v>
      </c>
      <c r="AA126" s="30">
        <f>'DADOS FINANCEIROS'!U132</f>
        <v>0</v>
      </c>
      <c r="AB126" s="44">
        <f>'DADOS FINANCEIROS'!V132</f>
        <v>0</v>
      </c>
      <c r="AC126" s="44" t="str">
        <f>TEXT(Tabela1[[#This Row],[Data de Negociação]],"MMM-AA")</f>
        <v>jan-00</v>
      </c>
      <c r="AD126" s="44" t="str">
        <f>TEXT(Tabela1[[#This Row],[Data de Negociação]],"AAAA")</f>
        <v>1900</v>
      </c>
      <c r="AE126" s="44">
        <f>'DADOS FINANCEIROS'!W132</f>
        <v>0</v>
      </c>
      <c r="AF126" s="44" t="str">
        <f>TEXT(Tabela1[[#This Row],[Data da Entrada/Primeira Parcela]],"MMM-AA")</f>
        <v>jan-00</v>
      </c>
      <c r="AG126" s="44" t="str">
        <f>TEXT(Tabela1[[#This Row],[Data da Entrada/Primeira Parcela]],"AAAA")</f>
        <v>1900</v>
      </c>
      <c r="AH126" s="30">
        <f>'DADOS FINANCEIROS'!X132</f>
        <v>0</v>
      </c>
      <c r="AI126" s="46">
        <f>'DADOS FINANCEIROS'!Y132</f>
        <v>0</v>
      </c>
      <c r="AJ126" s="46">
        <f>'DADOS FINANCEIROS'!Z132</f>
        <v>0</v>
      </c>
      <c r="AK12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6" s="98"/>
    </row>
    <row r="127" spans="1:38" x14ac:dyDescent="0.3">
      <c r="A127" s="30">
        <f>'DADOS FINANCEIROS'!D133</f>
        <v>0</v>
      </c>
      <c r="B127" s="30">
        <f>'DADOS FINANCEIROS'!A133</f>
        <v>0</v>
      </c>
      <c r="C127" s="30">
        <f>'DADOS FINANCEIROS'!B133</f>
        <v>0</v>
      </c>
      <c r="D127" s="30">
        <f>'DADOS FINANCEIROS'!C133</f>
        <v>0</v>
      </c>
      <c r="E127" s="44">
        <f>'DADOS FINANCEIROS'!E133</f>
        <v>0</v>
      </c>
      <c r="F127" s="44" t="str">
        <f>TEXT(Tabela1[[#This Row],[DATA DE EMISSÃO]],"MMM-AA")</f>
        <v>jan-00</v>
      </c>
      <c r="G127" s="44" t="str">
        <f>TEXT(Tabela1[[#This Row],[DATA DE EMISSÃO]],"AAAA")</f>
        <v>1900</v>
      </c>
      <c r="H127" s="44">
        <f>'DADOS FINANCEIROS'!F133</f>
        <v>0</v>
      </c>
      <c r="I127" s="44" t="str">
        <f>TEXT(Tabela1[[#This Row],[VENCIMENTO ORIGINAL]],"MMM-AA")</f>
        <v>jan-00</v>
      </c>
      <c r="J127" s="44" t="str">
        <f>TEXT(Tabela1[[#This Row],[VENCIMENTO ORIGINAL]],"AAAA")</f>
        <v>1900</v>
      </c>
      <c r="K127" s="44">
        <f>'DADOS FINANCEIROS'!G133</f>
        <v>0</v>
      </c>
      <c r="L127" s="44" t="str">
        <f>TEXT(Tabela1[[#This Row],[VENCIMENTO ATUAL]],"MMM-AA")</f>
        <v>jan-00</v>
      </c>
      <c r="M127" s="44" t="str">
        <f>TEXT(Tabela1[[#This Row],[VENCIMENTO ATUAL]],"AAAA")</f>
        <v>1900</v>
      </c>
      <c r="N127" s="46">
        <f>'DADOS FINANCEIROS'!H133</f>
        <v>0</v>
      </c>
      <c r="O127" s="30">
        <f>'DADOS FINANCEIROS'!I133</f>
        <v>0</v>
      </c>
      <c r="P127" s="30">
        <f>'DADOS FINANCEIROS'!J133</f>
        <v>0</v>
      </c>
      <c r="Q127" s="30">
        <f>'DADOS FINANCEIROS'!K133</f>
        <v>0</v>
      </c>
      <c r="R127" s="30">
        <f>'DADOS FINANCEIROS'!L133</f>
        <v>0</v>
      </c>
      <c r="S127" s="30">
        <f>'DADOS FINANCEIROS'!M133</f>
        <v>0</v>
      </c>
      <c r="T127" s="30">
        <f>IFERROR('DADOS FINANCEIROS'!N133,"")</f>
        <v>0</v>
      </c>
      <c r="U127" s="30">
        <f>'DADOS FINANCEIROS'!O133</f>
        <v>0</v>
      </c>
      <c r="V127" s="30">
        <f>'DADOS FINANCEIROS'!P133</f>
        <v>0</v>
      </c>
      <c r="W127" s="30">
        <f>'DADOS FINANCEIROS'!Q133</f>
        <v>0</v>
      </c>
      <c r="X127" s="30">
        <f>'DADOS FINANCEIROS'!R133</f>
        <v>0</v>
      </c>
      <c r="Y127" s="30">
        <f>'DADOS FINANCEIROS'!S133</f>
        <v>0</v>
      </c>
      <c r="Z127" s="30">
        <f>'DADOS FINANCEIROS'!T133</f>
        <v>0</v>
      </c>
      <c r="AA127" s="30">
        <f>'DADOS FINANCEIROS'!U133</f>
        <v>0</v>
      </c>
      <c r="AB127" s="44">
        <f>'DADOS FINANCEIROS'!V133</f>
        <v>0</v>
      </c>
      <c r="AC127" s="44" t="str">
        <f>TEXT(Tabela1[[#This Row],[Data de Negociação]],"MMM-AA")</f>
        <v>jan-00</v>
      </c>
      <c r="AD127" s="44" t="str">
        <f>TEXT(Tabela1[[#This Row],[Data de Negociação]],"AAAA")</f>
        <v>1900</v>
      </c>
      <c r="AE127" s="44">
        <f>'DADOS FINANCEIROS'!W133</f>
        <v>0</v>
      </c>
      <c r="AF127" s="44" t="str">
        <f>TEXT(Tabela1[[#This Row],[Data da Entrada/Primeira Parcela]],"MMM-AA")</f>
        <v>jan-00</v>
      </c>
      <c r="AG127" s="44" t="str">
        <f>TEXT(Tabela1[[#This Row],[Data da Entrada/Primeira Parcela]],"AAAA")</f>
        <v>1900</v>
      </c>
      <c r="AH127" s="30">
        <f>'DADOS FINANCEIROS'!X133</f>
        <v>0</v>
      </c>
      <c r="AI127" s="46">
        <f>'DADOS FINANCEIROS'!Y133</f>
        <v>0</v>
      </c>
      <c r="AJ127" s="46">
        <f>'DADOS FINANCEIROS'!Z133</f>
        <v>0</v>
      </c>
      <c r="AK12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7" s="98"/>
    </row>
    <row r="128" spans="1:38" x14ac:dyDescent="0.3">
      <c r="A128" s="30">
        <f>'DADOS FINANCEIROS'!D134</f>
        <v>0</v>
      </c>
      <c r="B128" s="30">
        <f>'DADOS FINANCEIROS'!A134</f>
        <v>0</v>
      </c>
      <c r="C128" s="30">
        <f>'DADOS FINANCEIROS'!B134</f>
        <v>0</v>
      </c>
      <c r="D128" s="30">
        <f>'DADOS FINANCEIROS'!C134</f>
        <v>0</v>
      </c>
      <c r="E128" s="44">
        <f>'DADOS FINANCEIROS'!E134</f>
        <v>0</v>
      </c>
      <c r="F128" s="44" t="str">
        <f>TEXT(Tabela1[[#This Row],[DATA DE EMISSÃO]],"MMM-AA")</f>
        <v>jan-00</v>
      </c>
      <c r="G128" s="44" t="str">
        <f>TEXT(Tabela1[[#This Row],[DATA DE EMISSÃO]],"AAAA")</f>
        <v>1900</v>
      </c>
      <c r="H128" s="44">
        <f>'DADOS FINANCEIROS'!F134</f>
        <v>0</v>
      </c>
      <c r="I128" s="44" t="str">
        <f>TEXT(Tabela1[[#This Row],[VENCIMENTO ORIGINAL]],"MMM-AA")</f>
        <v>jan-00</v>
      </c>
      <c r="J128" s="44" t="str">
        <f>TEXT(Tabela1[[#This Row],[VENCIMENTO ORIGINAL]],"AAAA")</f>
        <v>1900</v>
      </c>
      <c r="K128" s="44">
        <f>'DADOS FINANCEIROS'!G134</f>
        <v>0</v>
      </c>
      <c r="L128" s="44" t="str">
        <f>TEXT(Tabela1[[#This Row],[VENCIMENTO ATUAL]],"MMM-AA")</f>
        <v>jan-00</v>
      </c>
      <c r="M128" s="44" t="str">
        <f>TEXT(Tabela1[[#This Row],[VENCIMENTO ATUAL]],"AAAA")</f>
        <v>1900</v>
      </c>
      <c r="N128" s="46">
        <f>'DADOS FINANCEIROS'!H134</f>
        <v>0</v>
      </c>
      <c r="O128" s="30">
        <f>'DADOS FINANCEIROS'!I134</f>
        <v>0</v>
      </c>
      <c r="P128" s="30">
        <f>'DADOS FINANCEIROS'!J134</f>
        <v>0</v>
      </c>
      <c r="Q128" s="30">
        <f>'DADOS FINANCEIROS'!K134</f>
        <v>0</v>
      </c>
      <c r="R128" s="30">
        <f>'DADOS FINANCEIROS'!L134</f>
        <v>0</v>
      </c>
      <c r="S128" s="30">
        <f>'DADOS FINANCEIROS'!M134</f>
        <v>0</v>
      </c>
      <c r="T128" s="30">
        <f>IFERROR('DADOS FINANCEIROS'!N134,"")</f>
        <v>0</v>
      </c>
      <c r="U128" s="30">
        <f>'DADOS FINANCEIROS'!O134</f>
        <v>0</v>
      </c>
      <c r="V128" s="30">
        <f>'DADOS FINANCEIROS'!P134</f>
        <v>0</v>
      </c>
      <c r="W128" s="30">
        <f>'DADOS FINANCEIROS'!Q134</f>
        <v>0</v>
      </c>
      <c r="X128" s="30">
        <f>'DADOS FINANCEIROS'!R134</f>
        <v>0</v>
      </c>
      <c r="Y128" s="30">
        <f>'DADOS FINANCEIROS'!S134</f>
        <v>0</v>
      </c>
      <c r="Z128" s="30">
        <f>'DADOS FINANCEIROS'!T134</f>
        <v>0</v>
      </c>
      <c r="AA128" s="30">
        <f>'DADOS FINANCEIROS'!U134</f>
        <v>0</v>
      </c>
      <c r="AB128" s="44">
        <f>'DADOS FINANCEIROS'!V134</f>
        <v>0</v>
      </c>
      <c r="AC128" s="44" t="str">
        <f>TEXT(Tabela1[[#This Row],[Data de Negociação]],"MMM-AA")</f>
        <v>jan-00</v>
      </c>
      <c r="AD128" s="44" t="str">
        <f>TEXT(Tabela1[[#This Row],[Data de Negociação]],"AAAA")</f>
        <v>1900</v>
      </c>
      <c r="AE128" s="44">
        <f>'DADOS FINANCEIROS'!W134</f>
        <v>0</v>
      </c>
      <c r="AF128" s="44" t="str">
        <f>TEXT(Tabela1[[#This Row],[Data da Entrada/Primeira Parcela]],"MMM-AA")</f>
        <v>jan-00</v>
      </c>
      <c r="AG128" s="44" t="str">
        <f>TEXT(Tabela1[[#This Row],[Data da Entrada/Primeira Parcela]],"AAAA")</f>
        <v>1900</v>
      </c>
      <c r="AH128" s="30">
        <f>'DADOS FINANCEIROS'!X134</f>
        <v>0</v>
      </c>
      <c r="AI128" s="46">
        <f>'DADOS FINANCEIROS'!Y134</f>
        <v>0</v>
      </c>
      <c r="AJ128" s="46">
        <f>'DADOS FINANCEIROS'!Z134</f>
        <v>0</v>
      </c>
      <c r="AK12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8" s="98"/>
    </row>
    <row r="129" spans="1:38" x14ac:dyDescent="0.3">
      <c r="A129" s="30">
        <f>'DADOS FINANCEIROS'!D135</f>
        <v>0</v>
      </c>
      <c r="B129" s="30">
        <f>'DADOS FINANCEIROS'!A135</f>
        <v>0</v>
      </c>
      <c r="C129" s="30">
        <f>'DADOS FINANCEIROS'!B135</f>
        <v>0</v>
      </c>
      <c r="D129" s="30">
        <f>'DADOS FINANCEIROS'!C135</f>
        <v>0</v>
      </c>
      <c r="E129" s="44">
        <f>'DADOS FINANCEIROS'!E135</f>
        <v>0</v>
      </c>
      <c r="F129" s="44" t="str">
        <f>TEXT(Tabela1[[#This Row],[DATA DE EMISSÃO]],"MMM-AA")</f>
        <v>jan-00</v>
      </c>
      <c r="G129" s="44" t="str">
        <f>TEXT(Tabela1[[#This Row],[DATA DE EMISSÃO]],"AAAA")</f>
        <v>1900</v>
      </c>
      <c r="H129" s="44">
        <f>'DADOS FINANCEIROS'!F135</f>
        <v>0</v>
      </c>
      <c r="I129" s="44" t="str">
        <f>TEXT(Tabela1[[#This Row],[VENCIMENTO ORIGINAL]],"MMM-AA")</f>
        <v>jan-00</v>
      </c>
      <c r="J129" s="44" t="str">
        <f>TEXT(Tabela1[[#This Row],[VENCIMENTO ORIGINAL]],"AAAA")</f>
        <v>1900</v>
      </c>
      <c r="K129" s="44">
        <f>'DADOS FINANCEIROS'!G135</f>
        <v>0</v>
      </c>
      <c r="L129" s="44" t="str">
        <f>TEXT(Tabela1[[#This Row],[VENCIMENTO ATUAL]],"MMM-AA")</f>
        <v>jan-00</v>
      </c>
      <c r="M129" s="44" t="str">
        <f>TEXT(Tabela1[[#This Row],[VENCIMENTO ATUAL]],"AAAA")</f>
        <v>1900</v>
      </c>
      <c r="N129" s="46">
        <f>'DADOS FINANCEIROS'!H135</f>
        <v>0</v>
      </c>
      <c r="O129" s="30">
        <f>'DADOS FINANCEIROS'!I135</f>
        <v>0</v>
      </c>
      <c r="P129" s="30">
        <f>'DADOS FINANCEIROS'!J135</f>
        <v>0</v>
      </c>
      <c r="Q129" s="30">
        <f>'DADOS FINANCEIROS'!K135</f>
        <v>0</v>
      </c>
      <c r="R129" s="30">
        <f>'DADOS FINANCEIROS'!L135</f>
        <v>0</v>
      </c>
      <c r="S129" s="30">
        <f>'DADOS FINANCEIROS'!M135</f>
        <v>0</v>
      </c>
      <c r="T129" s="30">
        <f>IFERROR('DADOS FINANCEIROS'!N135,"")</f>
        <v>0</v>
      </c>
      <c r="U129" s="30">
        <f>'DADOS FINANCEIROS'!O135</f>
        <v>0</v>
      </c>
      <c r="V129" s="30">
        <f>'DADOS FINANCEIROS'!P135</f>
        <v>0</v>
      </c>
      <c r="W129" s="30">
        <f>'DADOS FINANCEIROS'!Q135</f>
        <v>0</v>
      </c>
      <c r="X129" s="30">
        <f>'DADOS FINANCEIROS'!R135</f>
        <v>0</v>
      </c>
      <c r="Y129" s="30">
        <f>'DADOS FINANCEIROS'!S135</f>
        <v>0</v>
      </c>
      <c r="Z129" s="30">
        <f>'DADOS FINANCEIROS'!T135</f>
        <v>0</v>
      </c>
      <c r="AA129" s="30">
        <f>'DADOS FINANCEIROS'!U135</f>
        <v>0</v>
      </c>
      <c r="AB129" s="44">
        <f>'DADOS FINANCEIROS'!V135</f>
        <v>0</v>
      </c>
      <c r="AC129" s="44" t="str">
        <f>TEXT(Tabela1[[#This Row],[Data de Negociação]],"MMM-AA")</f>
        <v>jan-00</v>
      </c>
      <c r="AD129" s="44" t="str">
        <f>TEXT(Tabela1[[#This Row],[Data de Negociação]],"AAAA")</f>
        <v>1900</v>
      </c>
      <c r="AE129" s="44">
        <f>'DADOS FINANCEIROS'!W135</f>
        <v>0</v>
      </c>
      <c r="AF129" s="44" t="str">
        <f>TEXT(Tabela1[[#This Row],[Data da Entrada/Primeira Parcela]],"MMM-AA")</f>
        <v>jan-00</v>
      </c>
      <c r="AG129" s="44" t="str">
        <f>TEXT(Tabela1[[#This Row],[Data da Entrada/Primeira Parcela]],"AAAA")</f>
        <v>1900</v>
      </c>
      <c r="AH129" s="30">
        <f>'DADOS FINANCEIROS'!X135</f>
        <v>0</v>
      </c>
      <c r="AI129" s="46">
        <f>'DADOS FINANCEIROS'!Y135</f>
        <v>0</v>
      </c>
      <c r="AJ129" s="46">
        <f>'DADOS FINANCEIROS'!Z135</f>
        <v>0</v>
      </c>
      <c r="AK12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29" s="98"/>
    </row>
    <row r="130" spans="1:38" x14ac:dyDescent="0.3">
      <c r="A130" s="30">
        <f>'DADOS FINANCEIROS'!D136</f>
        <v>0</v>
      </c>
      <c r="B130" s="30">
        <f>'DADOS FINANCEIROS'!A136</f>
        <v>0</v>
      </c>
      <c r="C130" s="30">
        <f>'DADOS FINANCEIROS'!B136</f>
        <v>0</v>
      </c>
      <c r="D130" s="30">
        <f>'DADOS FINANCEIROS'!C136</f>
        <v>0</v>
      </c>
      <c r="E130" s="44">
        <f>'DADOS FINANCEIROS'!E136</f>
        <v>0</v>
      </c>
      <c r="F130" s="44" t="str">
        <f>TEXT(Tabela1[[#This Row],[DATA DE EMISSÃO]],"MMM-AA")</f>
        <v>jan-00</v>
      </c>
      <c r="G130" s="44" t="str">
        <f>TEXT(Tabela1[[#This Row],[DATA DE EMISSÃO]],"AAAA")</f>
        <v>1900</v>
      </c>
      <c r="H130" s="44">
        <f>'DADOS FINANCEIROS'!F136</f>
        <v>0</v>
      </c>
      <c r="I130" s="44" t="str">
        <f>TEXT(Tabela1[[#This Row],[VENCIMENTO ORIGINAL]],"MMM-AA")</f>
        <v>jan-00</v>
      </c>
      <c r="J130" s="44" t="str">
        <f>TEXT(Tabela1[[#This Row],[VENCIMENTO ORIGINAL]],"AAAA")</f>
        <v>1900</v>
      </c>
      <c r="K130" s="44">
        <f>'DADOS FINANCEIROS'!G136</f>
        <v>0</v>
      </c>
      <c r="L130" s="44" t="str">
        <f>TEXT(Tabela1[[#This Row],[VENCIMENTO ATUAL]],"MMM-AA")</f>
        <v>jan-00</v>
      </c>
      <c r="M130" s="44" t="str">
        <f>TEXT(Tabela1[[#This Row],[VENCIMENTO ATUAL]],"AAAA")</f>
        <v>1900</v>
      </c>
      <c r="N130" s="46">
        <f>'DADOS FINANCEIROS'!H136</f>
        <v>0</v>
      </c>
      <c r="O130" s="30">
        <f>'DADOS FINANCEIROS'!I136</f>
        <v>0</v>
      </c>
      <c r="P130" s="30">
        <f>'DADOS FINANCEIROS'!J136</f>
        <v>0</v>
      </c>
      <c r="Q130" s="30">
        <f>'DADOS FINANCEIROS'!K136</f>
        <v>0</v>
      </c>
      <c r="R130" s="30">
        <f>'DADOS FINANCEIROS'!L136</f>
        <v>0</v>
      </c>
      <c r="S130" s="30">
        <f>'DADOS FINANCEIROS'!M136</f>
        <v>0</v>
      </c>
      <c r="T130" s="30">
        <f>IFERROR('DADOS FINANCEIROS'!N136,"")</f>
        <v>0</v>
      </c>
      <c r="U130" s="30">
        <f>'DADOS FINANCEIROS'!O136</f>
        <v>0</v>
      </c>
      <c r="V130" s="30">
        <f>'DADOS FINANCEIROS'!P136</f>
        <v>0</v>
      </c>
      <c r="W130" s="30">
        <f>'DADOS FINANCEIROS'!Q136</f>
        <v>0</v>
      </c>
      <c r="X130" s="30">
        <f>'DADOS FINANCEIROS'!R136</f>
        <v>0</v>
      </c>
      <c r="Y130" s="30">
        <f>'DADOS FINANCEIROS'!S136</f>
        <v>0</v>
      </c>
      <c r="Z130" s="30">
        <f>'DADOS FINANCEIROS'!T136</f>
        <v>0</v>
      </c>
      <c r="AA130" s="30">
        <f>'DADOS FINANCEIROS'!U136</f>
        <v>0</v>
      </c>
      <c r="AB130" s="44">
        <f>'DADOS FINANCEIROS'!V136</f>
        <v>0</v>
      </c>
      <c r="AC130" s="44" t="str">
        <f>TEXT(Tabela1[[#This Row],[Data de Negociação]],"MMM-AA")</f>
        <v>jan-00</v>
      </c>
      <c r="AD130" s="44" t="str">
        <f>TEXT(Tabela1[[#This Row],[Data de Negociação]],"AAAA")</f>
        <v>1900</v>
      </c>
      <c r="AE130" s="44">
        <f>'DADOS FINANCEIROS'!W136</f>
        <v>0</v>
      </c>
      <c r="AF130" s="44" t="str">
        <f>TEXT(Tabela1[[#This Row],[Data da Entrada/Primeira Parcela]],"MMM-AA")</f>
        <v>jan-00</v>
      </c>
      <c r="AG130" s="44" t="str">
        <f>TEXT(Tabela1[[#This Row],[Data da Entrada/Primeira Parcela]],"AAAA")</f>
        <v>1900</v>
      </c>
      <c r="AH130" s="30">
        <f>'DADOS FINANCEIROS'!X136</f>
        <v>0</v>
      </c>
      <c r="AI130" s="46">
        <f>'DADOS FINANCEIROS'!Y136</f>
        <v>0</v>
      </c>
      <c r="AJ130" s="46">
        <f>'DADOS FINANCEIROS'!Z136</f>
        <v>0</v>
      </c>
      <c r="AK13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0" s="98"/>
    </row>
    <row r="131" spans="1:38" x14ac:dyDescent="0.3">
      <c r="A131" s="30">
        <f>'DADOS FINANCEIROS'!D137</f>
        <v>0</v>
      </c>
      <c r="B131" s="30">
        <f>'DADOS FINANCEIROS'!A137</f>
        <v>0</v>
      </c>
      <c r="C131" s="30">
        <f>'DADOS FINANCEIROS'!B137</f>
        <v>0</v>
      </c>
      <c r="D131" s="30">
        <f>'DADOS FINANCEIROS'!C137</f>
        <v>0</v>
      </c>
      <c r="E131" s="44">
        <f>'DADOS FINANCEIROS'!E137</f>
        <v>0</v>
      </c>
      <c r="F131" s="44" t="str">
        <f>TEXT(Tabela1[[#This Row],[DATA DE EMISSÃO]],"MMM-AA")</f>
        <v>jan-00</v>
      </c>
      <c r="G131" s="44" t="str">
        <f>TEXT(Tabela1[[#This Row],[DATA DE EMISSÃO]],"AAAA")</f>
        <v>1900</v>
      </c>
      <c r="H131" s="44">
        <f>'DADOS FINANCEIROS'!F137</f>
        <v>0</v>
      </c>
      <c r="I131" s="44" t="str">
        <f>TEXT(Tabela1[[#This Row],[VENCIMENTO ORIGINAL]],"MMM-AA")</f>
        <v>jan-00</v>
      </c>
      <c r="J131" s="44" t="str">
        <f>TEXT(Tabela1[[#This Row],[VENCIMENTO ORIGINAL]],"AAAA")</f>
        <v>1900</v>
      </c>
      <c r="K131" s="44">
        <f>'DADOS FINANCEIROS'!G137</f>
        <v>0</v>
      </c>
      <c r="L131" s="44" t="str">
        <f>TEXT(Tabela1[[#This Row],[VENCIMENTO ATUAL]],"MMM-AA")</f>
        <v>jan-00</v>
      </c>
      <c r="M131" s="44" t="str">
        <f>TEXT(Tabela1[[#This Row],[VENCIMENTO ATUAL]],"AAAA")</f>
        <v>1900</v>
      </c>
      <c r="N131" s="46">
        <f>'DADOS FINANCEIROS'!H137</f>
        <v>0</v>
      </c>
      <c r="O131" s="30">
        <f>'DADOS FINANCEIROS'!I137</f>
        <v>0</v>
      </c>
      <c r="P131" s="30">
        <f>'DADOS FINANCEIROS'!J137</f>
        <v>0</v>
      </c>
      <c r="Q131" s="30">
        <f>'DADOS FINANCEIROS'!K137</f>
        <v>0</v>
      </c>
      <c r="R131" s="30">
        <f>'DADOS FINANCEIROS'!L137</f>
        <v>0</v>
      </c>
      <c r="S131" s="30">
        <f>'DADOS FINANCEIROS'!M137</f>
        <v>0</v>
      </c>
      <c r="T131" s="30">
        <f>IFERROR('DADOS FINANCEIROS'!N137,"")</f>
        <v>0</v>
      </c>
      <c r="U131" s="30">
        <f>'DADOS FINANCEIROS'!O137</f>
        <v>0</v>
      </c>
      <c r="V131" s="30">
        <f>'DADOS FINANCEIROS'!P137</f>
        <v>0</v>
      </c>
      <c r="W131" s="30">
        <f>'DADOS FINANCEIROS'!Q137</f>
        <v>0</v>
      </c>
      <c r="X131" s="30">
        <f>'DADOS FINANCEIROS'!R137</f>
        <v>0</v>
      </c>
      <c r="Y131" s="30">
        <f>'DADOS FINANCEIROS'!S137</f>
        <v>0</v>
      </c>
      <c r="Z131" s="30">
        <f>'DADOS FINANCEIROS'!T137</f>
        <v>0</v>
      </c>
      <c r="AA131" s="30">
        <f>'DADOS FINANCEIROS'!U137</f>
        <v>0</v>
      </c>
      <c r="AB131" s="44">
        <f>'DADOS FINANCEIROS'!V137</f>
        <v>0</v>
      </c>
      <c r="AC131" s="44" t="str">
        <f>TEXT(Tabela1[[#This Row],[Data de Negociação]],"MMM-AA")</f>
        <v>jan-00</v>
      </c>
      <c r="AD131" s="44" t="str">
        <f>TEXT(Tabela1[[#This Row],[Data de Negociação]],"AAAA")</f>
        <v>1900</v>
      </c>
      <c r="AE131" s="44">
        <f>'DADOS FINANCEIROS'!W137</f>
        <v>0</v>
      </c>
      <c r="AF131" s="44" t="str">
        <f>TEXT(Tabela1[[#This Row],[Data da Entrada/Primeira Parcela]],"MMM-AA")</f>
        <v>jan-00</v>
      </c>
      <c r="AG131" s="44" t="str">
        <f>TEXT(Tabela1[[#This Row],[Data da Entrada/Primeira Parcela]],"AAAA")</f>
        <v>1900</v>
      </c>
      <c r="AH131" s="30">
        <f>'DADOS FINANCEIROS'!X137</f>
        <v>0</v>
      </c>
      <c r="AI131" s="46">
        <f>'DADOS FINANCEIROS'!Y137</f>
        <v>0</v>
      </c>
      <c r="AJ131" s="46">
        <f>'DADOS FINANCEIROS'!Z137</f>
        <v>0</v>
      </c>
      <c r="AK13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1" s="98"/>
    </row>
    <row r="132" spans="1:38" x14ac:dyDescent="0.3">
      <c r="A132" s="30">
        <f>'DADOS FINANCEIROS'!D138</f>
        <v>0</v>
      </c>
      <c r="B132" s="30">
        <f>'DADOS FINANCEIROS'!A138</f>
        <v>0</v>
      </c>
      <c r="C132" s="30">
        <f>'DADOS FINANCEIROS'!B138</f>
        <v>0</v>
      </c>
      <c r="D132" s="30">
        <f>'DADOS FINANCEIROS'!C138</f>
        <v>0</v>
      </c>
      <c r="E132" s="44">
        <f>'DADOS FINANCEIROS'!E138</f>
        <v>0</v>
      </c>
      <c r="F132" s="44" t="str">
        <f>TEXT(Tabela1[[#This Row],[DATA DE EMISSÃO]],"MMM-AA")</f>
        <v>jan-00</v>
      </c>
      <c r="G132" s="44" t="str">
        <f>TEXT(Tabela1[[#This Row],[DATA DE EMISSÃO]],"AAAA")</f>
        <v>1900</v>
      </c>
      <c r="H132" s="44">
        <f>'DADOS FINANCEIROS'!F138</f>
        <v>0</v>
      </c>
      <c r="I132" s="44" t="str">
        <f>TEXT(Tabela1[[#This Row],[VENCIMENTO ORIGINAL]],"MMM-AA")</f>
        <v>jan-00</v>
      </c>
      <c r="J132" s="44" t="str">
        <f>TEXT(Tabela1[[#This Row],[VENCIMENTO ORIGINAL]],"AAAA")</f>
        <v>1900</v>
      </c>
      <c r="K132" s="44">
        <f>'DADOS FINANCEIROS'!G138</f>
        <v>0</v>
      </c>
      <c r="L132" s="44" t="str">
        <f>TEXT(Tabela1[[#This Row],[VENCIMENTO ATUAL]],"MMM-AA")</f>
        <v>jan-00</v>
      </c>
      <c r="M132" s="44" t="str">
        <f>TEXT(Tabela1[[#This Row],[VENCIMENTO ATUAL]],"AAAA")</f>
        <v>1900</v>
      </c>
      <c r="N132" s="46">
        <f>'DADOS FINANCEIROS'!H138</f>
        <v>0</v>
      </c>
      <c r="O132" s="30">
        <f>'DADOS FINANCEIROS'!I138</f>
        <v>0</v>
      </c>
      <c r="P132" s="30">
        <f>'DADOS FINANCEIROS'!J138</f>
        <v>0</v>
      </c>
      <c r="Q132" s="30">
        <f>'DADOS FINANCEIROS'!K138</f>
        <v>0</v>
      </c>
      <c r="R132" s="30">
        <f>'DADOS FINANCEIROS'!L138</f>
        <v>0</v>
      </c>
      <c r="S132" s="30">
        <f>'DADOS FINANCEIROS'!M138</f>
        <v>0</v>
      </c>
      <c r="T132" s="30">
        <f>IFERROR('DADOS FINANCEIROS'!N138,"")</f>
        <v>0</v>
      </c>
      <c r="U132" s="30">
        <f>'DADOS FINANCEIROS'!O138</f>
        <v>0</v>
      </c>
      <c r="V132" s="30">
        <f>'DADOS FINANCEIROS'!P138</f>
        <v>0</v>
      </c>
      <c r="W132" s="30">
        <f>'DADOS FINANCEIROS'!Q138</f>
        <v>0</v>
      </c>
      <c r="X132" s="30">
        <f>'DADOS FINANCEIROS'!R138</f>
        <v>0</v>
      </c>
      <c r="Y132" s="30">
        <f>'DADOS FINANCEIROS'!S138</f>
        <v>0</v>
      </c>
      <c r="Z132" s="30">
        <f>'DADOS FINANCEIROS'!T138</f>
        <v>0</v>
      </c>
      <c r="AA132" s="30">
        <f>'DADOS FINANCEIROS'!U138</f>
        <v>0</v>
      </c>
      <c r="AB132" s="44">
        <f>'DADOS FINANCEIROS'!V138</f>
        <v>0</v>
      </c>
      <c r="AC132" s="44" t="str">
        <f>TEXT(Tabela1[[#This Row],[Data de Negociação]],"MMM-AA")</f>
        <v>jan-00</v>
      </c>
      <c r="AD132" s="44" t="str">
        <f>TEXT(Tabela1[[#This Row],[Data de Negociação]],"AAAA")</f>
        <v>1900</v>
      </c>
      <c r="AE132" s="44">
        <f>'DADOS FINANCEIROS'!W138</f>
        <v>0</v>
      </c>
      <c r="AF132" s="44" t="str">
        <f>TEXT(Tabela1[[#This Row],[Data da Entrada/Primeira Parcela]],"MMM-AA")</f>
        <v>jan-00</v>
      </c>
      <c r="AG132" s="44" t="str">
        <f>TEXT(Tabela1[[#This Row],[Data da Entrada/Primeira Parcela]],"AAAA")</f>
        <v>1900</v>
      </c>
      <c r="AH132" s="30">
        <f>'DADOS FINANCEIROS'!X138</f>
        <v>0</v>
      </c>
      <c r="AI132" s="46">
        <f>'DADOS FINANCEIROS'!Y138</f>
        <v>0</v>
      </c>
      <c r="AJ132" s="46">
        <f>'DADOS FINANCEIROS'!Z138</f>
        <v>0</v>
      </c>
      <c r="AK13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2" s="98"/>
    </row>
    <row r="133" spans="1:38" x14ac:dyDescent="0.3">
      <c r="A133" s="30">
        <f>'DADOS FINANCEIROS'!D139</f>
        <v>0</v>
      </c>
      <c r="B133" s="30">
        <f>'DADOS FINANCEIROS'!A139</f>
        <v>0</v>
      </c>
      <c r="C133" s="30">
        <f>'DADOS FINANCEIROS'!B139</f>
        <v>0</v>
      </c>
      <c r="D133" s="30">
        <f>'DADOS FINANCEIROS'!C139</f>
        <v>0</v>
      </c>
      <c r="E133" s="44">
        <f>'DADOS FINANCEIROS'!E139</f>
        <v>0</v>
      </c>
      <c r="F133" s="44" t="str">
        <f>TEXT(Tabela1[[#This Row],[DATA DE EMISSÃO]],"MMM-AA")</f>
        <v>jan-00</v>
      </c>
      <c r="G133" s="44" t="str">
        <f>TEXT(Tabela1[[#This Row],[DATA DE EMISSÃO]],"AAAA")</f>
        <v>1900</v>
      </c>
      <c r="H133" s="44">
        <f>'DADOS FINANCEIROS'!F139</f>
        <v>0</v>
      </c>
      <c r="I133" s="44" t="str">
        <f>TEXT(Tabela1[[#This Row],[VENCIMENTO ORIGINAL]],"MMM-AA")</f>
        <v>jan-00</v>
      </c>
      <c r="J133" s="44" t="str">
        <f>TEXT(Tabela1[[#This Row],[VENCIMENTO ORIGINAL]],"AAAA")</f>
        <v>1900</v>
      </c>
      <c r="K133" s="44">
        <f>'DADOS FINANCEIROS'!G139</f>
        <v>0</v>
      </c>
      <c r="L133" s="44" t="str">
        <f>TEXT(Tabela1[[#This Row],[VENCIMENTO ATUAL]],"MMM-AA")</f>
        <v>jan-00</v>
      </c>
      <c r="M133" s="44" t="str">
        <f>TEXT(Tabela1[[#This Row],[VENCIMENTO ATUAL]],"AAAA")</f>
        <v>1900</v>
      </c>
      <c r="N133" s="46">
        <f>'DADOS FINANCEIROS'!H139</f>
        <v>0</v>
      </c>
      <c r="O133" s="30">
        <f>'DADOS FINANCEIROS'!I139</f>
        <v>0</v>
      </c>
      <c r="P133" s="30">
        <f>'DADOS FINANCEIROS'!J139</f>
        <v>0</v>
      </c>
      <c r="Q133" s="30">
        <f>'DADOS FINANCEIROS'!K139</f>
        <v>0</v>
      </c>
      <c r="R133" s="30">
        <f>'DADOS FINANCEIROS'!L139</f>
        <v>0</v>
      </c>
      <c r="S133" s="30">
        <f>'DADOS FINANCEIROS'!M139</f>
        <v>0</v>
      </c>
      <c r="T133" s="30">
        <f>IFERROR('DADOS FINANCEIROS'!N139,"")</f>
        <v>0</v>
      </c>
      <c r="U133" s="30">
        <f>'DADOS FINANCEIROS'!O139</f>
        <v>0</v>
      </c>
      <c r="V133" s="30">
        <f>'DADOS FINANCEIROS'!P139</f>
        <v>0</v>
      </c>
      <c r="W133" s="30">
        <f>'DADOS FINANCEIROS'!Q139</f>
        <v>0</v>
      </c>
      <c r="X133" s="30">
        <f>'DADOS FINANCEIROS'!R139</f>
        <v>0</v>
      </c>
      <c r="Y133" s="30">
        <f>'DADOS FINANCEIROS'!S139</f>
        <v>0</v>
      </c>
      <c r="Z133" s="30">
        <f>'DADOS FINANCEIROS'!T139</f>
        <v>0</v>
      </c>
      <c r="AA133" s="30">
        <f>'DADOS FINANCEIROS'!U139</f>
        <v>0</v>
      </c>
      <c r="AB133" s="44">
        <f>'DADOS FINANCEIROS'!V139</f>
        <v>0</v>
      </c>
      <c r="AC133" s="44" t="str">
        <f>TEXT(Tabela1[[#This Row],[Data de Negociação]],"MMM-AA")</f>
        <v>jan-00</v>
      </c>
      <c r="AD133" s="44" t="str">
        <f>TEXT(Tabela1[[#This Row],[Data de Negociação]],"AAAA")</f>
        <v>1900</v>
      </c>
      <c r="AE133" s="44">
        <f>'DADOS FINANCEIROS'!W139</f>
        <v>0</v>
      </c>
      <c r="AF133" s="44" t="str">
        <f>TEXT(Tabela1[[#This Row],[Data da Entrada/Primeira Parcela]],"MMM-AA")</f>
        <v>jan-00</v>
      </c>
      <c r="AG133" s="44" t="str">
        <f>TEXT(Tabela1[[#This Row],[Data da Entrada/Primeira Parcela]],"AAAA")</f>
        <v>1900</v>
      </c>
      <c r="AH133" s="30">
        <f>'DADOS FINANCEIROS'!X139</f>
        <v>0</v>
      </c>
      <c r="AI133" s="46">
        <f>'DADOS FINANCEIROS'!Y139</f>
        <v>0</v>
      </c>
      <c r="AJ133" s="46">
        <f>'DADOS FINANCEIROS'!Z139</f>
        <v>0</v>
      </c>
      <c r="AK13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3" s="98"/>
    </row>
    <row r="134" spans="1:38" x14ac:dyDescent="0.3">
      <c r="A134" s="30">
        <f>'DADOS FINANCEIROS'!D140</f>
        <v>0</v>
      </c>
      <c r="B134" s="30">
        <f>'DADOS FINANCEIROS'!A140</f>
        <v>0</v>
      </c>
      <c r="C134" s="30">
        <f>'DADOS FINANCEIROS'!B140</f>
        <v>0</v>
      </c>
      <c r="D134" s="30">
        <f>'DADOS FINANCEIROS'!C140</f>
        <v>0</v>
      </c>
      <c r="E134" s="44">
        <f>'DADOS FINANCEIROS'!E140</f>
        <v>0</v>
      </c>
      <c r="F134" s="44" t="str">
        <f>TEXT(Tabela1[[#This Row],[DATA DE EMISSÃO]],"MMM-AA")</f>
        <v>jan-00</v>
      </c>
      <c r="G134" s="44" t="str">
        <f>TEXT(Tabela1[[#This Row],[DATA DE EMISSÃO]],"AAAA")</f>
        <v>1900</v>
      </c>
      <c r="H134" s="44">
        <f>'DADOS FINANCEIROS'!F140</f>
        <v>0</v>
      </c>
      <c r="I134" s="44" t="str">
        <f>TEXT(Tabela1[[#This Row],[VENCIMENTO ORIGINAL]],"MMM-AA")</f>
        <v>jan-00</v>
      </c>
      <c r="J134" s="44" t="str">
        <f>TEXT(Tabela1[[#This Row],[VENCIMENTO ORIGINAL]],"AAAA")</f>
        <v>1900</v>
      </c>
      <c r="K134" s="44">
        <f>'DADOS FINANCEIROS'!G140</f>
        <v>0</v>
      </c>
      <c r="L134" s="44" t="str">
        <f>TEXT(Tabela1[[#This Row],[VENCIMENTO ATUAL]],"MMM-AA")</f>
        <v>jan-00</v>
      </c>
      <c r="M134" s="44" t="str">
        <f>TEXT(Tabela1[[#This Row],[VENCIMENTO ATUAL]],"AAAA")</f>
        <v>1900</v>
      </c>
      <c r="N134" s="46">
        <f>'DADOS FINANCEIROS'!H140</f>
        <v>0</v>
      </c>
      <c r="O134" s="30">
        <f>'DADOS FINANCEIROS'!I140</f>
        <v>0</v>
      </c>
      <c r="P134" s="30">
        <f>'DADOS FINANCEIROS'!J140</f>
        <v>0</v>
      </c>
      <c r="Q134" s="30">
        <f>'DADOS FINANCEIROS'!K140</f>
        <v>0</v>
      </c>
      <c r="R134" s="30">
        <f>'DADOS FINANCEIROS'!L140</f>
        <v>0</v>
      </c>
      <c r="S134" s="30">
        <f>'DADOS FINANCEIROS'!M140</f>
        <v>0</v>
      </c>
      <c r="T134" s="30">
        <f>IFERROR('DADOS FINANCEIROS'!N140,"")</f>
        <v>0</v>
      </c>
      <c r="U134" s="30">
        <f>'DADOS FINANCEIROS'!O140</f>
        <v>0</v>
      </c>
      <c r="V134" s="30">
        <f>'DADOS FINANCEIROS'!P140</f>
        <v>0</v>
      </c>
      <c r="W134" s="30">
        <f>'DADOS FINANCEIROS'!Q140</f>
        <v>0</v>
      </c>
      <c r="X134" s="30">
        <f>'DADOS FINANCEIROS'!R140</f>
        <v>0</v>
      </c>
      <c r="Y134" s="30">
        <f>'DADOS FINANCEIROS'!S140</f>
        <v>0</v>
      </c>
      <c r="Z134" s="30">
        <f>'DADOS FINANCEIROS'!T140</f>
        <v>0</v>
      </c>
      <c r="AA134" s="30">
        <f>'DADOS FINANCEIROS'!U140</f>
        <v>0</v>
      </c>
      <c r="AB134" s="44">
        <f>'DADOS FINANCEIROS'!V140</f>
        <v>0</v>
      </c>
      <c r="AC134" s="44" t="str">
        <f>TEXT(Tabela1[[#This Row],[Data de Negociação]],"MMM-AA")</f>
        <v>jan-00</v>
      </c>
      <c r="AD134" s="44" t="str">
        <f>TEXT(Tabela1[[#This Row],[Data de Negociação]],"AAAA")</f>
        <v>1900</v>
      </c>
      <c r="AE134" s="44">
        <f>'DADOS FINANCEIROS'!W140</f>
        <v>0</v>
      </c>
      <c r="AF134" s="44" t="str">
        <f>TEXT(Tabela1[[#This Row],[Data da Entrada/Primeira Parcela]],"MMM-AA")</f>
        <v>jan-00</v>
      </c>
      <c r="AG134" s="44" t="str">
        <f>TEXT(Tabela1[[#This Row],[Data da Entrada/Primeira Parcela]],"AAAA")</f>
        <v>1900</v>
      </c>
      <c r="AH134" s="30">
        <f>'DADOS FINANCEIROS'!X140</f>
        <v>0</v>
      </c>
      <c r="AI134" s="46">
        <f>'DADOS FINANCEIROS'!Y140</f>
        <v>0</v>
      </c>
      <c r="AJ134" s="46">
        <f>'DADOS FINANCEIROS'!Z140</f>
        <v>0</v>
      </c>
      <c r="AK13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4" s="98"/>
    </row>
    <row r="135" spans="1:38" x14ac:dyDescent="0.3">
      <c r="A135" s="30">
        <f>'DADOS FINANCEIROS'!D141</f>
        <v>0</v>
      </c>
      <c r="B135" s="30">
        <f>'DADOS FINANCEIROS'!A141</f>
        <v>0</v>
      </c>
      <c r="C135" s="30">
        <f>'DADOS FINANCEIROS'!B141</f>
        <v>0</v>
      </c>
      <c r="D135" s="30">
        <f>'DADOS FINANCEIROS'!C141</f>
        <v>0</v>
      </c>
      <c r="E135" s="44">
        <f>'DADOS FINANCEIROS'!E141</f>
        <v>0</v>
      </c>
      <c r="F135" s="44" t="str">
        <f>TEXT(Tabela1[[#This Row],[DATA DE EMISSÃO]],"MMM-AA")</f>
        <v>jan-00</v>
      </c>
      <c r="G135" s="44" t="str">
        <f>TEXT(Tabela1[[#This Row],[DATA DE EMISSÃO]],"AAAA")</f>
        <v>1900</v>
      </c>
      <c r="H135" s="44">
        <f>'DADOS FINANCEIROS'!F141</f>
        <v>0</v>
      </c>
      <c r="I135" s="44" t="str">
        <f>TEXT(Tabela1[[#This Row],[VENCIMENTO ORIGINAL]],"MMM-AA")</f>
        <v>jan-00</v>
      </c>
      <c r="J135" s="44" t="str">
        <f>TEXT(Tabela1[[#This Row],[VENCIMENTO ORIGINAL]],"AAAA")</f>
        <v>1900</v>
      </c>
      <c r="K135" s="44">
        <f>'DADOS FINANCEIROS'!G141</f>
        <v>0</v>
      </c>
      <c r="L135" s="44" t="str">
        <f>TEXT(Tabela1[[#This Row],[VENCIMENTO ATUAL]],"MMM-AA")</f>
        <v>jan-00</v>
      </c>
      <c r="M135" s="44" t="str">
        <f>TEXT(Tabela1[[#This Row],[VENCIMENTO ATUAL]],"AAAA")</f>
        <v>1900</v>
      </c>
      <c r="N135" s="46">
        <f>'DADOS FINANCEIROS'!H141</f>
        <v>0</v>
      </c>
      <c r="O135" s="30">
        <f>'DADOS FINANCEIROS'!I141</f>
        <v>0</v>
      </c>
      <c r="P135" s="30">
        <f>'DADOS FINANCEIROS'!J141</f>
        <v>0</v>
      </c>
      <c r="Q135" s="30">
        <f>'DADOS FINANCEIROS'!K141</f>
        <v>0</v>
      </c>
      <c r="R135" s="30">
        <f>'DADOS FINANCEIROS'!L141</f>
        <v>0</v>
      </c>
      <c r="S135" s="30">
        <f>'DADOS FINANCEIROS'!M141</f>
        <v>0</v>
      </c>
      <c r="T135" s="30">
        <f>IFERROR('DADOS FINANCEIROS'!N141,"")</f>
        <v>0</v>
      </c>
      <c r="U135" s="30">
        <f>'DADOS FINANCEIROS'!O141</f>
        <v>0</v>
      </c>
      <c r="V135" s="30">
        <f>'DADOS FINANCEIROS'!P141</f>
        <v>0</v>
      </c>
      <c r="W135" s="30">
        <f>'DADOS FINANCEIROS'!Q141</f>
        <v>0</v>
      </c>
      <c r="X135" s="30">
        <f>'DADOS FINANCEIROS'!R141</f>
        <v>0</v>
      </c>
      <c r="Y135" s="30">
        <f>'DADOS FINANCEIROS'!S141</f>
        <v>0</v>
      </c>
      <c r="Z135" s="30">
        <f>'DADOS FINANCEIROS'!T141</f>
        <v>0</v>
      </c>
      <c r="AA135" s="30">
        <f>'DADOS FINANCEIROS'!U141</f>
        <v>0</v>
      </c>
      <c r="AB135" s="44">
        <f>'DADOS FINANCEIROS'!V141</f>
        <v>0</v>
      </c>
      <c r="AC135" s="44" t="str">
        <f>TEXT(Tabela1[[#This Row],[Data de Negociação]],"MMM-AA")</f>
        <v>jan-00</v>
      </c>
      <c r="AD135" s="44" t="str">
        <f>TEXT(Tabela1[[#This Row],[Data de Negociação]],"AAAA")</f>
        <v>1900</v>
      </c>
      <c r="AE135" s="44">
        <f>'DADOS FINANCEIROS'!W141</f>
        <v>0</v>
      </c>
      <c r="AF135" s="44" t="str">
        <f>TEXT(Tabela1[[#This Row],[Data da Entrada/Primeira Parcela]],"MMM-AA")</f>
        <v>jan-00</v>
      </c>
      <c r="AG135" s="44" t="str">
        <f>TEXT(Tabela1[[#This Row],[Data da Entrada/Primeira Parcela]],"AAAA")</f>
        <v>1900</v>
      </c>
      <c r="AH135" s="30">
        <f>'DADOS FINANCEIROS'!X141</f>
        <v>0</v>
      </c>
      <c r="AI135" s="46">
        <f>'DADOS FINANCEIROS'!Y141</f>
        <v>0</v>
      </c>
      <c r="AJ135" s="46">
        <f>'DADOS FINANCEIROS'!Z141</f>
        <v>0</v>
      </c>
      <c r="AK13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5" s="98"/>
    </row>
    <row r="136" spans="1:38" x14ac:dyDescent="0.3">
      <c r="A136" s="30">
        <f>'DADOS FINANCEIROS'!D142</f>
        <v>0</v>
      </c>
      <c r="B136" s="30">
        <f>'DADOS FINANCEIROS'!A142</f>
        <v>0</v>
      </c>
      <c r="C136" s="30">
        <f>'DADOS FINANCEIROS'!B142</f>
        <v>0</v>
      </c>
      <c r="D136" s="30">
        <f>'DADOS FINANCEIROS'!C142</f>
        <v>0</v>
      </c>
      <c r="E136" s="44">
        <f>'DADOS FINANCEIROS'!E142</f>
        <v>0</v>
      </c>
      <c r="F136" s="44" t="str">
        <f>TEXT(Tabela1[[#This Row],[DATA DE EMISSÃO]],"MMM-AA")</f>
        <v>jan-00</v>
      </c>
      <c r="G136" s="44" t="str">
        <f>TEXT(Tabela1[[#This Row],[DATA DE EMISSÃO]],"AAAA")</f>
        <v>1900</v>
      </c>
      <c r="H136" s="44">
        <f>'DADOS FINANCEIROS'!F142</f>
        <v>0</v>
      </c>
      <c r="I136" s="44" t="str">
        <f>TEXT(Tabela1[[#This Row],[VENCIMENTO ORIGINAL]],"MMM-AA")</f>
        <v>jan-00</v>
      </c>
      <c r="J136" s="44" t="str">
        <f>TEXT(Tabela1[[#This Row],[VENCIMENTO ORIGINAL]],"AAAA")</f>
        <v>1900</v>
      </c>
      <c r="K136" s="44">
        <f>'DADOS FINANCEIROS'!G142</f>
        <v>0</v>
      </c>
      <c r="L136" s="44" t="str">
        <f>TEXT(Tabela1[[#This Row],[VENCIMENTO ATUAL]],"MMM-AA")</f>
        <v>jan-00</v>
      </c>
      <c r="M136" s="44" t="str">
        <f>TEXT(Tabela1[[#This Row],[VENCIMENTO ATUAL]],"AAAA")</f>
        <v>1900</v>
      </c>
      <c r="N136" s="46">
        <f>'DADOS FINANCEIROS'!H142</f>
        <v>0</v>
      </c>
      <c r="O136" s="30">
        <f>'DADOS FINANCEIROS'!I142</f>
        <v>0</v>
      </c>
      <c r="P136" s="30">
        <f>'DADOS FINANCEIROS'!J142</f>
        <v>0</v>
      </c>
      <c r="Q136" s="30">
        <f>'DADOS FINANCEIROS'!K142</f>
        <v>0</v>
      </c>
      <c r="R136" s="30">
        <f>'DADOS FINANCEIROS'!L142</f>
        <v>0</v>
      </c>
      <c r="S136" s="30">
        <f>'DADOS FINANCEIROS'!M142</f>
        <v>0</v>
      </c>
      <c r="T136" s="30">
        <f>IFERROR('DADOS FINANCEIROS'!N142,"")</f>
        <v>0</v>
      </c>
      <c r="U136" s="30">
        <f>'DADOS FINANCEIROS'!O142</f>
        <v>0</v>
      </c>
      <c r="V136" s="30">
        <f>'DADOS FINANCEIROS'!P142</f>
        <v>0</v>
      </c>
      <c r="W136" s="30">
        <f>'DADOS FINANCEIROS'!Q142</f>
        <v>0</v>
      </c>
      <c r="X136" s="30">
        <f>'DADOS FINANCEIROS'!R142</f>
        <v>0</v>
      </c>
      <c r="Y136" s="30">
        <f>'DADOS FINANCEIROS'!S142</f>
        <v>0</v>
      </c>
      <c r="Z136" s="30">
        <f>'DADOS FINANCEIROS'!T142</f>
        <v>0</v>
      </c>
      <c r="AA136" s="30">
        <f>'DADOS FINANCEIROS'!U142</f>
        <v>0</v>
      </c>
      <c r="AB136" s="44">
        <f>'DADOS FINANCEIROS'!V142</f>
        <v>0</v>
      </c>
      <c r="AC136" s="44" t="str">
        <f>TEXT(Tabela1[[#This Row],[Data de Negociação]],"MMM-AA")</f>
        <v>jan-00</v>
      </c>
      <c r="AD136" s="44" t="str">
        <f>TEXT(Tabela1[[#This Row],[Data de Negociação]],"AAAA")</f>
        <v>1900</v>
      </c>
      <c r="AE136" s="44">
        <f>'DADOS FINANCEIROS'!W142</f>
        <v>0</v>
      </c>
      <c r="AF136" s="44" t="str">
        <f>TEXT(Tabela1[[#This Row],[Data da Entrada/Primeira Parcela]],"MMM-AA")</f>
        <v>jan-00</v>
      </c>
      <c r="AG136" s="44" t="str">
        <f>TEXT(Tabela1[[#This Row],[Data da Entrada/Primeira Parcela]],"AAAA")</f>
        <v>1900</v>
      </c>
      <c r="AH136" s="30">
        <f>'DADOS FINANCEIROS'!X142</f>
        <v>0</v>
      </c>
      <c r="AI136" s="46">
        <f>'DADOS FINANCEIROS'!Y142</f>
        <v>0</v>
      </c>
      <c r="AJ136" s="46">
        <f>'DADOS FINANCEIROS'!Z142</f>
        <v>0</v>
      </c>
      <c r="AK13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6" s="98"/>
    </row>
    <row r="137" spans="1:38" x14ac:dyDescent="0.3">
      <c r="A137" s="30">
        <f>'DADOS FINANCEIROS'!D143</f>
        <v>0</v>
      </c>
      <c r="B137" s="30">
        <f>'DADOS FINANCEIROS'!A143</f>
        <v>0</v>
      </c>
      <c r="C137" s="30">
        <f>'DADOS FINANCEIROS'!B143</f>
        <v>0</v>
      </c>
      <c r="D137" s="30">
        <f>'DADOS FINANCEIROS'!C143</f>
        <v>0</v>
      </c>
      <c r="E137" s="44">
        <f>'DADOS FINANCEIROS'!E143</f>
        <v>0</v>
      </c>
      <c r="F137" s="44" t="str">
        <f>TEXT(Tabela1[[#This Row],[DATA DE EMISSÃO]],"MMM-AA")</f>
        <v>jan-00</v>
      </c>
      <c r="G137" s="44" t="str">
        <f>TEXT(Tabela1[[#This Row],[DATA DE EMISSÃO]],"AAAA")</f>
        <v>1900</v>
      </c>
      <c r="H137" s="44">
        <f>'DADOS FINANCEIROS'!F143</f>
        <v>0</v>
      </c>
      <c r="I137" s="44" t="str">
        <f>TEXT(Tabela1[[#This Row],[VENCIMENTO ORIGINAL]],"MMM-AA")</f>
        <v>jan-00</v>
      </c>
      <c r="J137" s="44" t="str">
        <f>TEXT(Tabela1[[#This Row],[VENCIMENTO ORIGINAL]],"AAAA")</f>
        <v>1900</v>
      </c>
      <c r="K137" s="44">
        <f>'DADOS FINANCEIROS'!G143</f>
        <v>0</v>
      </c>
      <c r="L137" s="44" t="str">
        <f>TEXT(Tabela1[[#This Row],[VENCIMENTO ATUAL]],"MMM-AA")</f>
        <v>jan-00</v>
      </c>
      <c r="M137" s="44" t="str">
        <f>TEXT(Tabela1[[#This Row],[VENCIMENTO ATUAL]],"AAAA")</f>
        <v>1900</v>
      </c>
      <c r="N137" s="46">
        <f>'DADOS FINANCEIROS'!H143</f>
        <v>0</v>
      </c>
      <c r="O137" s="30">
        <f>'DADOS FINANCEIROS'!I143</f>
        <v>0</v>
      </c>
      <c r="P137" s="30">
        <f>'DADOS FINANCEIROS'!J143</f>
        <v>0</v>
      </c>
      <c r="Q137" s="30">
        <f>'DADOS FINANCEIROS'!K143</f>
        <v>0</v>
      </c>
      <c r="R137" s="30">
        <f>'DADOS FINANCEIROS'!L143</f>
        <v>0</v>
      </c>
      <c r="S137" s="30">
        <f>'DADOS FINANCEIROS'!M143</f>
        <v>0</v>
      </c>
      <c r="T137" s="30">
        <f>IFERROR('DADOS FINANCEIROS'!N143,"")</f>
        <v>0</v>
      </c>
      <c r="U137" s="30">
        <f>'DADOS FINANCEIROS'!O143</f>
        <v>0</v>
      </c>
      <c r="V137" s="30">
        <f>'DADOS FINANCEIROS'!P143</f>
        <v>0</v>
      </c>
      <c r="W137" s="30">
        <f>'DADOS FINANCEIROS'!Q143</f>
        <v>0</v>
      </c>
      <c r="X137" s="30">
        <f>'DADOS FINANCEIROS'!R143</f>
        <v>0</v>
      </c>
      <c r="Y137" s="30">
        <f>'DADOS FINANCEIROS'!S143</f>
        <v>0</v>
      </c>
      <c r="Z137" s="30">
        <f>'DADOS FINANCEIROS'!T143</f>
        <v>0</v>
      </c>
      <c r="AA137" s="30">
        <f>'DADOS FINANCEIROS'!U143</f>
        <v>0</v>
      </c>
      <c r="AB137" s="44">
        <f>'DADOS FINANCEIROS'!V143</f>
        <v>0</v>
      </c>
      <c r="AC137" s="44" t="str">
        <f>TEXT(Tabela1[[#This Row],[Data de Negociação]],"MMM-AA")</f>
        <v>jan-00</v>
      </c>
      <c r="AD137" s="44" t="str">
        <f>TEXT(Tabela1[[#This Row],[Data de Negociação]],"AAAA")</f>
        <v>1900</v>
      </c>
      <c r="AE137" s="44">
        <f>'DADOS FINANCEIROS'!W143</f>
        <v>0</v>
      </c>
      <c r="AF137" s="44" t="str">
        <f>TEXT(Tabela1[[#This Row],[Data da Entrada/Primeira Parcela]],"MMM-AA")</f>
        <v>jan-00</v>
      </c>
      <c r="AG137" s="44" t="str">
        <f>TEXT(Tabela1[[#This Row],[Data da Entrada/Primeira Parcela]],"AAAA")</f>
        <v>1900</v>
      </c>
      <c r="AH137" s="30">
        <f>'DADOS FINANCEIROS'!X143</f>
        <v>0</v>
      </c>
      <c r="AI137" s="46">
        <f>'DADOS FINANCEIROS'!Y143</f>
        <v>0</v>
      </c>
      <c r="AJ137" s="46">
        <f>'DADOS FINANCEIROS'!Z143</f>
        <v>0</v>
      </c>
      <c r="AK13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7" s="98"/>
    </row>
    <row r="138" spans="1:38" x14ac:dyDescent="0.3">
      <c r="A138" s="30">
        <f>'DADOS FINANCEIROS'!D144</f>
        <v>0</v>
      </c>
      <c r="B138" s="30">
        <f>'DADOS FINANCEIROS'!A144</f>
        <v>0</v>
      </c>
      <c r="C138" s="30">
        <f>'DADOS FINANCEIROS'!B144</f>
        <v>0</v>
      </c>
      <c r="D138" s="30">
        <f>'DADOS FINANCEIROS'!C144</f>
        <v>0</v>
      </c>
      <c r="E138" s="44">
        <f>'DADOS FINANCEIROS'!E144</f>
        <v>0</v>
      </c>
      <c r="F138" s="44" t="str">
        <f>TEXT(Tabela1[[#This Row],[DATA DE EMISSÃO]],"MMM-AA")</f>
        <v>jan-00</v>
      </c>
      <c r="G138" s="44" t="str">
        <f>TEXT(Tabela1[[#This Row],[DATA DE EMISSÃO]],"AAAA")</f>
        <v>1900</v>
      </c>
      <c r="H138" s="44">
        <f>'DADOS FINANCEIROS'!F144</f>
        <v>0</v>
      </c>
      <c r="I138" s="44" t="str">
        <f>TEXT(Tabela1[[#This Row],[VENCIMENTO ORIGINAL]],"MMM-AA")</f>
        <v>jan-00</v>
      </c>
      <c r="J138" s="44" t="str">
        <f>TEXT(Tabela1[[#This Row],[VENCIMENTO ORIGINAL]],"AAAA")</f>
        <v>1900</v>
      </c>
      <c r="K138" s="44">
        <f>'DADOS FINANCEIROS'!G144</f>
        <v>0</v>
      </c>
      <c r="L138" s="44" t="str">
        <f>TEXT(Tabela1[[#This Row],[VENCIMENTO ATUAL]],"MMM-AA")</f>
        <v>jan-00</v>
      </c>
      <c r="M138" s="44" t="str">
        <f>TEXT(Tabela1[[#This Row],[VENCIMENTO ATUAL]],"AAAA")</f>
        <v>1900</v>
      </c>
      <c r="N138" s="46">
        <f>'DADOS FINANCEIROS'!H144</f>
        <v>0</v>
      </c>
      <c r="O138" s="30">
        <f>'DADOS FINANCEIROS'!I144</f>
        <v>0</v>
      </c>
      <c r="P138" s="30">
        <f>'DADOS FINANCEIROS'!J144</f>
        <v>0</v>
      </c>
      <c r="Q138" s="30">
        <f>'DADOS FINANCEIROS'!K144</f>
        <v>0</v>
      </c>
      <c r="R138" s="30">
        <f>'DADOS FINANCEIROS'!L144</f>
        <v>0</v>
      </c>
      <c r="S138" s="30">
        <f>'DADOS FINANCEIROS'!M144</f>
        <v>0</v>
      </c>
      <c r="T138" s="30">
        <f>IFERROR('DADOS FINANCEIROS'!N144,"")</f>
        <v>0</v>
      </c>
      <c r="U138" s="30">
        <f>'DADOS FINANCEIROS'!O144</f>
        <v>0</v>
      </c>
      <c r="V138" s="30">
        <f>'DADOS FINANCEIROS'!P144</f>
        <v>0</v>
      </c>
      <c r="W138" s="30">
        <f>'DADOS FINANCEIROS'!Q144</f>
        <v>0</v>
      </c>
      <c r="X138" s="30">
        <f>'DADOS FINANCEIROS'!R144</f>
        <v>0</v>
      </c>
      <c r="Y138" s="30">
        <f>'DADOS FINANCEIROS'!S144</f>
        <v>0</v>
      </c>
      <c r="Z138" s="30">
        <f>'DADOS FINANCEIROS'!T144</f>
        <v>0</v>
      </c>
      <c r="AA138" s="30">
        <f>'DADOS FINANCEIROS'!U144</f>
        <v>0</v>
      </c>
      <c r="AB138" s="44">
        <f>'DADOS FINANCEIROS'!V144</f>
        <v>0</v>
      </c>
      <c r="AC138" s="44" t="str">
        <f>TEXT(Tabela1[[#This Row],[Data de Negociação]],"MMM-AA")</f>
        <v>jan-00</v>
      </c>
      <c r="AD138" s="44" t="str">
        <f>TEXT(Tabela1[[#This Row],[Data de Negociação]],"AAAA")</f>
        <v>1900</v>
      </c>
      <c r="AE138" s="44">
        <f>'DADOS FINANCEIROS'!W144</f>
        <v>0</v>
      </c>
      <c r="AF138" s="44" t="str">
        <f>TEXT(Tabela1[[#This Row],[Data da Entrada/Primeira Parcela]],"MMM-AA")</f>
        <v>jan-00</v>
      </c>
      <c r="AG138" s="44" t="str">
        <f>TEXT(Tabela1[[#This Row],[Data da Entrada/Primeira Parcela]],"AAAA")</f>
        <v>1900</v>
      </c>
      <c r="AH138" s="30">
        <f>'DADOS FINANCEIROS'!X144</f>
        <v>0</v>
      </c>
      <c r="AI138" s="46">
        <f>'DADOS FINANCEIROS'!Y144</f>
        <v>0</v>
      </c>
      <c r="AJ138" s="46">
        <f>'DADOS FINANCEIROS'!Z144</f>
        <v>0</v>
      </c>
      <c r="AK13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8" s="98"/>
    </row>
    <row r="139" spans="1:38" x14ac:dyDescent="0.3">
      <c r="A139" s="30">
        <f>'DADOS FINANCEIROS'!D145</f>
        <v>0</v>
      </c>
      <c r="B139" s="30">
        <f>'DADOS FINANCEIROS'!A145</f>
        <v>0</v>
      </c>
      <c r="C139" s="30">
        <f>'DADOS FINANCEIROS'!B145</f>
        <v>0</v>
      </c>
      <c r="D139" s="30">
        <f>'DADOS FINANCEIROS'!C145</f>
        <v>0</v>
      </c>
      <c r="E139" s="44">
        <f>'DADOS FINANCEIROS'!E145</f>
        <v>0</v>
      </c>
      <c r="F139" s="44" t="str">
        <f>TEXT(Tabela1[[#This Row],[DATA DE EMISSÃO]],"MMM-AA")</f>
        <v>jan-00</v>
      </c>
      <c r="G139" s="44" t="str">
        <f>TEXT(Tabela1[[#This Row],[DATA DE EMISSÃO]],"AAAA")</f>
        <v>1900</v>
      </c>
      <c r="H139" s="44">
        <f>'DADOS FINANCEIROS'!F145</f>
        <v>0</v>
      </c>
      <c r="I139" s="44" t="str">
        <f>TEXT(Tabela1[[#This Row],[VENCIMENTO ORIGINAL]],"MMM-AA")</f>
        <v>jan-00</v>
      </c>
      <c r="J139" s="44" t="str">
        <f>TEXT(Tabela1[[#This Row],[VENCIMENTO ORIGINAL]],"AAAA")</f>
        <v>1900</v>
      </c>
      <c r="K139" s="44">
        <f>'DADOS FINANCEIROS'!G145</f>
        <v>0</v>
      </c>
      <c r="L139" s="44" t="str">
        <f>TEXT(Tabela1[[#This Row],[VENCIMENTO ATUAL]],"MMM-AA")</f>
        <v>jan-00</v>
      </c>
      <c r="M139" s="44" t="str">
        <f>TEXT(Tabela1[[#This Row],[VENCIMENTO ATUAL]],"AAAA")</f>
        <v>1900</v>
      </c>
      <c r="N139" s="46">
        <f>'DADOS FINANCEIROS'!H145</f>
        <v>0</v>
      </c>
      <c r="O139" s="30">
        <f>'DADOS FINANCEIROS'!I145</f>
        <v>0</v>
      </c>
      <c r="P139" s="30">
        <f>'DADOS FINANCEIROS'!J145</f>
        <v>0</v>
      </c>
      <c r="Q139" s="30">
        <f>'DADOS FINANCEIROS'!K145</f>
        <v>0</v>
      </c>
      <c r="R139" s="30">
        <f>'DADOS FINANCEIROS'!L145</f>
        <v>0</v>
      </c>
      <c r="S139" s="30">
        <f>'DADOS FINANCEIROS'!M145</f>
        <v>0</v>
      </c>
      <c r="T139" s="30">
        <f>IFERROR('DADOS FINANCEIROS'!N145,"")</f>
        <v>0</v>
      </c>
      <c r="U139" s="30">
        <f>'DADOS FINANCEIROS'!O145</f>
        <v>0</v>
      </c>
      <c r="V139" s="30">
        <f>'DADOS FINANCEIROS'!P145</f>
        <v>0</v>
      </c>
      <c r="W139" s="30">
        <f>'DADOS FINANCEIROS'!Q145</f>
        <v>0</v>
      </c>
      <c r="X139" s="30">
        <f>'DADOS FINANCEIROS'!R145</f>
        <v>0</v>
      </c>
      <c r="Y139" s="30">
        <f>'DADOS FINANCEIROS'!S145</f>
        <v>0</v>
      </c>
      <c r="Z139" s="30">
        <f>'DADOS FINANCEIROS'!T145</f>
        <v>0</v>
      </c>
      <c r="AA139" s="30">
        <f>'DADOS FINANCEIROS'!U145</f>
        <v>0</v>
      </c>
      <c r="AB139" s="44">
        <f>'DADOS FINANCEIROS'!V145</f>
        <v>0</v>
      </c>
      <c r="AC139" s="44" t="str">
        <f>TEXT(Tabela1[[#This Row],[Data de Negociação]],"MMM-AA")</f>
        <v>jan-00</v>
      </c>
      <c r="AD139" s="44" t="str">
        <f>TEXT(Tabela1[[#This Row],[Data de Negociação]],"AAAA")</f>
        <v>1900</v>
      </c>
      <c r="AE139" s="44">
        <f>'DADOS FINANCEIROS'!W145</f>
        <v>0</v>
      </c>
      <c r="AF139" s="44" t="str">
        <f>TEXT(Tabela1[[#This Row],[Data da Entrada/Primeira Parcela]],"MMM-AA")</f>
        <v>jan-00</v>
      </c>
      <c r="AG139" s="44" t="str">
        <f>TEXT(Tabela1[[#This Row],[Data da Entrada/Primeira Parcela]],"AAAA")</f>
        <v>1900</v>
      </c>
      <c r="AH139" s="30">
        <f>'DADOS FINANCEIROS'!X145</f>
        <v>0</v>
      </c>
      <c r="AI139" s="46">
        <f>'DADOS FINANCEIROS'!Y145</f>
        <v>0</v>
      </c>
      <c r="AJ139" s="46">
        <f>'DADOS FINANCEIROS'!Z145</f>
        <v>0</v>
      </c>
      <c r="AK13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39" s="98"/>
    </row>
    <row r="140" spans="1:38" x14ac:dyDescent="0.3">
      <c r="A140" s="30">
        <f>'DADOS FINANCEIROS'!D146</f>
        <v>0</v>
      </c>
      <c r="B140" s="30">
        <f>'DADOS FINANCEIROS'!A146</f>
        <v>0</v>
      </c>
      <c r="C140" s="30">
        <f>'DADOS FINANCEIROS'!B146</f>
        <v>0</v>
      </c>
      <c r="D140" s="30">
        <f>'DADOS FINANCEIROS'!C146</f>
        <v>0</v>
      </c>
      <c r="E140" s="44">
        <f>'DADOS FINANCEIROS'!E146</f>
        <v>0</v>
      </c>
      <c r="F140" s="44" t="str">
        <f>TEXT(Tabela1[[#This Row],[DATA DE EMISSÃO]],"MMM-AA")</f>
        <v>jan-00</v>
      </c>
      <c r="G140" s="44" t="str">
        <f>TEXT(Tabela1[[#This Row],[DATA DE EMISSÃO]],"AAAA")</f>
        <v>1900</v>
      </c>
      <c r="H140" s="44">
        <f>'DADOS FINANCEIROS'!F146</f>
        <v>0</v>
      </c>
      <c r="I140" s="44" t="str">
        <f>TEXT(Tabela1[[#This Row],[VENCIMENTO ORIGINAL]],"MMM-AA")</f>
        <v>jan-00</v>
      </c>
      <c r="J140" s="44" t="str">
        <f>TEXT(Tabela1[[#This Row],[VENCIMENTO ORIGINAL]],"AAAA")</f>
        <v>1900</v>
      </c>
      <c r="K140" s="44">
        <f>'DADOS FINANCEIROS'!G146</f>
        <v>0</v>
      </c>
      <c r="L140" s="44" t="str">
        <f>TEXT(Tabela1[[#This Row],[VENCIMENTO ATUAL]],"MMM-AA")</f>
        <v>jan-00</v>
      </c>
      <c r="M140" s="44" t="str">
        <f>TEXT(Tabela1[[#This Row],[VENCIMENTO ATUAL]],"AAAA")</f>
        <v>1900</v>
      </c>
      <c r="N140" s="46">
        <f>'DADOS FINANCEIROS'!H146</f>
        <v>0</v>
      </c>
      <c r="O140" s="30">
        <f>'DADOS FINANCEIROS'!I146</f>
        <v>0</v>
      </c>
      <c r="P140" s="30">
        <f>'DADOS FINANCEIROS'!J146</f>
        <v>0</v>
      </c>
      <c r="Q140" s="30">
        <f>'DADOS FINANCEIROS'!K146</f>
        <v>0</v>
      </c>
      <c r="R140" s="30">
        <f>'DADOS FINANCEIROS'!L146</f>
        <v>0</v>
      </c>
      <c r="S140" s="30">
        <f>'DADOS FINANCEIROS'!M146</f>
        <v>0</v>
      </c>
      <c r="T140" s="30">
        <f>IFERROR('DADOS FINANCEIROS'!N146,"")</f>
        <v>0</v>
      </c>
      <c r="U140" s="30">
        <f>'DADOS FINANCEIROS'!O146</f>
        <v>0</v>
      </c>
      <c r="V140" s="30">
        <f>'DADOS FINANCEIROS'!P146</f>
        <v>0</v>
      </c>
      <c r="W140" s="30">
        <f>'DADOS FINANCEIROS'!Q146</f>
        <v>0</v>
      </c>
      <c r="X140" s="30">
        <f>'DADOS FINANCEIROS'!R146</f>
        <v>0</v>
      </c>
      <c r="Y140" s="30">
        <f>'DADOS FINANCEIROS'!S146</f>
        <v>0</v>
      </c>
      <c r="Z140" s="30">
        <f>'DADOS FINANCEIROS'!T146</f>
        <v>0</v>
      </c>
      <c r="AA140" s="30">
        <f>'DADOS FINANCEIROS'!U146</f>
        <v>0</v>
      </c>
      <c r="AB140" s="44">
        <f>'DADOS FINANCEIROS'!V146</f>
        <v>0</v>
      </c>
      <c r="AC140" s="44" t="str">
        <f>TEXT(Tabela1[[#This Row],[Data de Negociação]],"MMM-AA")</f>
        <v>jan-00</v>
      </c>
      <c r="AD140" s="44" t="str">
        <f>TEXT(Tabela1[[#This Row],[Data de Negociação]],"AAAA")</f>
        <v>1900</v>
      </c>
      <c r="AE140" s="44">
        <f>'DADOS FINANCEIROS'!W146</f>
        <v>0</v>
      </c>
      <c r="AF140" s="44" t="str">
        <f>TEXT(Tabela1[[#This Row],[Data da Entrada/Primeira Parcela]],"MMM-AA")</f>
        <v>jan-00</v>
      </c>
      <c r="AG140" s="44" t="str">
        <f>TEXT(Tabela1[[#This Row],[Data da Entrada/Primeira Parcela]],"AAAA")</f>
        <v>1900</v>
      </c>
      <c r="AH140" s="30">
        <f>'DADOS FINANCEIROS'!X146</f>
        <v>0</v>
      </c>
      <c r="AI140" s="46">
        <f>'DADOS FINANCEIROS'!Y146</f>
        <v>0</v>
      </c>
      <c r="AJ140" s="46">
        <f>'DADOS FINANCEIROS'!Z146</f>
        <v>0</v>
      </c>
      <c r="AK14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0" s="98"/>
    </row>
    <row r="141" spans="1:38" x14ac:dyDescent="0.3">
      <c r="A141" s="30">
        <f>'DADOS FINANCEIROS'!D147</f>
        <v>0</v>
      </c>
      <c r="B141" s="30">
        <f>'DADOS FINANCEIROS'!A147</f>
        <v>0</v>
      </c>
      <c r="C141" s="30">
        <f>'DADOS FINANCEIROS'!B147</f>
        <v>0</v>
      </c>
      <c r="D141" s="30">
        <f>'DADOS FINANCEIROS'!C147</f>
        <v>0</v>
      </c>
      <c r="E141" s="44">
        <f>'DADOS FINANCEIROS'!E147</f>
        <v>0</v>
      </c>
      <c r="F141" s="44" t="str">
        <f>TEXT(Tabela1[[#This Row],[DATA DE EMISSÃO]],"MMM-AA")</f>
        <v>jan-00</v>
      </c>
      <c r="G141" s="44" t="str">
        <f>TEXT(Tabela1[[#This Row],[DATA DE EMISSÃO]],"AAAA")</f>
        <v>1900</v>
      </c>
      <c r="H141" s="44">
        <f>'DADOS FINANCEIROS'!F147</f>
        <v>0</v>
      </c>
      <c r="I141" s="44" t="str">
        <f>TEXT(Tabela1[[#This Row],[VENCIMENTO ORIGINAL]],"MMM-AA")</f>
        <v>jan-00</v>
      </c>
      <c r="J141" s="44" t="str">
        <f>TEXT(Tabela1[[#This Row],[VENCIMENTO ORIGINAL]],"AAAA")</f>
        <v>1900</v>
      </c>
      <c r="K141" s="44">
        <f>'DADOS FINANCEIROS'!G147</f>
        <v>0</v>
      </c>
      <c r="L141" s="44" t="str">
        <f>TEXT(Tabela1[[#This Row],[VENCIMENTO ATUAL]],"MMM-AA")</f>
        <v>jan-00</v>
      </c>
      <c r="M141" s="44" t="str">
        <f>TEXT(Tabela1[[#This Row],[VENCIMENTO ATUAL]],"AAAA")</f>
        <v>1900</v>
      </c>
      <c r="N141" s="46">
        <f>'DADOS FINANCEIROS'!H147</f>
        <v>0</v>
      </c>
      <c r="O141" s="30">
        <f>'DADOS FINANCEIROS'!I147</f>
        <v>0</v>
      </c>
      <c r="P141" s="30">
        <f>'DADOS FINANCEIROS'!J147</f>
        <v>0</v>
      </c>
      <c r="Q141" s="30">
        <f>'DADOS FINANCEIROS'!K147</f>
        <v>0</v>
      </c>
      <c r="R141" s="30">
        <f>'DADOS FINANCEIROS'!L147</f>
        <v>0</v>
      </c>
      <c r="S141" s="30">
        <f>'DADOS FINANCEIROS'!M147</f>
        <v>0</v>
      </c>
      <c r="T141" s="30">
        <f>IFERROR('DADOS FINANCEIROS'!N147,"")</f>
        <v>0</v>
      </c>
      <c r="U141" s="30">
        <f>'DADOS FINANCEIROS'!O147</f>
        <v>0</v>
      </c>
      <c r="V141" s="30">
        <f>'DADOS FINANCEIROS'!P147</f>
        <v>0</v>
      </c>
      <c r="W141" s="30">
        <f>'DADOS FINANCEIROS'!Q147</f>
        <v>0</v>
      </c>
      <c r="X141" s="30">
        <f>'DADOS FINANCEIROS'!R147</f>
        <v>0</v>
      </c>
      <c r="Y141" s="30">
        <f>'DADOS FINANCEIROS'!S147</f>
        <v>0</v>
      </c>
      <c r="Z141" s="30">
        <f>'DADOS FINANCEIROS'!T147</f>
        <v>0</v>
      </c>
      <c r="AA141" s="30">
        <f>'DADOS FINANCEIROS'!U147</f>
        <v>0</v>
      </c>
      <c r="AB141" s="44">
        <f>'DADOS FINANCEIROS'!V147</f>
        <v>0</v>
      </c>
      <c r="AC141" s="44" t="str">
        <f>TEXT(Tabela1[[#This Row],[Data de Negociação]],"MMM-AA")</f>
        <v>jan-00</v>
      </c>
      <c r="AD141" s="44" t="str">
        <f>TEXT(Tabela1[[#This Row],[Data de Negociação]],"AAAA")</f>
        <v>1900</v>
      </c>
      <c r="AE141" s="44">
        <f>'DADOS FINANCEIROS'!W147</f>
        <v>0</v>
      </c>
      <c r="AF141" s="44" t="str">
        <f>TEXT(Tabela1[[#This Row],[Data da Entrada/Primeira Parcela]],"MMM-AA")</f>
        <v>jan-00</v>
      </c>
      <c r="AG141" s="44" t="str">
        <f>TEXT(Tabela1[[#This Row],[Data da Entrada/Primeira Parcela]],"AAAA")</f>
        <v>1900</v>
      </c>
      <c r="AH141" s="30">
        <f>'DADOS FINANCEIROS'!X147</f>
        <v>0</v>
      </c>
      <c r="AI141" s="46">
        <f>'DADOS FINANCEIROS'!Y147</f>
        <v>0</v>
      </c>
      <c r="AJ141" s="46">
        <f>'DADOS FINANCEIROS'!Z147</f>
        <v>0</v>
      </c>
      <c r="AK14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1" s="98"/>
    </row>
    <row r="142" spans="1:38" x14ac:dyDescent="0.3">
      <c r="A142" s="30">
        <f>'DADOS FINANCEIROS'!D148</f>
        <v>0</v>
      </c>
      <c r="B142" s="30">
        <f>'DADOS FINANCEIROS'!A148</f>
        <v>0</v>
      </c>
      <c r="C142" s="30">
        <f>'DADOS FINANCEIROS'!B148</f>
        <v>0</v>
      </c>
      <c r="D142" s="30">
        <f>'DADOS FINANCEIROS'!C148</f>
        <v>0</v>
      </c>
      <c r="E142" s="44">
        <f>'DADOS FINANCEIROS'!E148</f>
        <v>0</v>
      </c>
      <c r="F142" s="44" t="str">
        <f>TEXT(Tabela1[[#This Row],[DATA DE EMISSÃO]],"MMM-AA")</f>
        <v>jan-00</v>
      </c>
      <c r="G142" s="44" t="str">
        <f>TEXT(Tabela1[[#This Row],[DATA DE EMISSÃO]],"AAAA")</f>
        <v>1900</v>
      </c>
      <c r="H142" s="44">
        <f>'DADOS FINANCEIROS'!F148</f>
        <v>0</v>
      </c>
      <c r="I142" s="44" t="str">
        <f>TEXT(Tabela1[[#This Row],[VENCIMENTO ORIGINAL]],"MMM-AA")</f>
        <v>jan-00</v>
      </c>
      <c r="J142" s="44" t="str">
        <f>TEXT(Tabela1[[#This Row],[VENCIMENTO ORIGINAL]],"AAAA")</f>
        <v>1900</v>
      </c>
      <c r="K142" s="44">
        <f>'DADOS FINANCEIROS'!G148</f>
        <v>0</v>
      </c>
      <c r="L142" s="44" t="str">
        <f>TEXT(Tabela1[[#This Row],[VENCIMENTO ATUAL]],"MMM-AA")</f>
        <v>jan-00</v>
      </c>
      <c r="M142" s="44" t="str">
        <f>TEXT(Tabela1[[#This Row],[VENCIMENTO ATUAL]],"AAAA")</f>
        <v>1900</v>
      </c>
      <c r="N142" s="46">
        <f>'DADOS FINANCEIROS'!H148</f>
        <v>0</v>
      </c>
      <c r="O142" s="30">
        <f>'DADOS FINANCEIROS'!I148</f>
        <v>0</v>
      </c>
      <c r="P142" s="30">
        <f>'DADOS FINANCEIROS'!J148</f>
        <v>0</v>
      </c>
      <c r="Q142" s="30">
        <f>'DADOS FINANCEIROS'!K148</f>
        <v>0</v>
      </c>
      <c r="R142" s="30">
        <f>'DADOS FINANCEIROS'!L148</f>
        <v>0</v>
      </c>
      <c r="S142" s="30">
        <f>'DADOS FINANCEIROS'!M148</f>
        <v>0</v>
      </c>
      <c r="T142" s="30">
        <f>IFERROR('DADOS FINANCEIROS'!N148,"")</f>
        <v>0</v>
      </c>
      <c r="U142" s="30">
        <f>'DADOS FINANCEIROS'!O148</f>
        <v>0</v>
      </c>
      <c r="V142" s="30">
        <f>'DADOS FINANCEIROS'!P148</f>
        <v>0</v>
      </c>
      <c r="W142" s="30">
        <f>'DADOS FINANCEIROS'!Q148</f>
        <v>0</v>
      </c>
      <c r="X142" s="30">
        <f>'DADOS FINANCEIROS'!R148</f>
        <v>0</v>
      </c>
      <c r="Y142" s="30">
        <f>'DADOS FINANCEIROS'!S148</f>
        <v>0</v>
      </c>
      <c r="Z142" s="30">
        <f>'DADOS FINANCEIROS'!T148</f>
        <v>0</v>
      </c>
      <c r="AA142" s="30">
        <f>'DADOS FINANCEIROS'!U148</f>
        <v>0</v>
      </c>
      <c r="AB142" s="44">
        <f>'DADOS FINANCEIROS'!V148</f>
        <v>0</v>
      </c>
      <c r="AC142" s="44" t="str">
        <f>TEXT(Tabela1[[#This Row],[Data de Negociação]],"MMM-AA")</f>
        <v>jan-00</v>
      </c>
      <c r="AD142" s="44" t="str">
        <f>TEXT(Tabela1[[#This Row],[Data de Negociação]],"AAAA")</f>
        <v>1900</v>
      </c>
      <c r="AE142" s="44">
        <f>'DADOS FINANCEIROS'!W148</f>
        <v>0</v>
      </c>
      <c r="AF142" s="44" t="str">
        <f>TEXT(Tabela1[[#This Row],[Data da Entrada/Primeira Parcela]],"MMM-AA")</f>
        <v>jan-00</v>
      </c>
      <c r="AG142" s="44" t="str">
        <f>TEXT(Tabela1[[#This Row],[Data da Entrada/Primeira Parcela]],"AAAA")</f>
        <v>1900</v>
      </c>
      <c r="AH142" s="30">
        <f>'DADOS FINANCEIROS'!X148</f>
        <v>0</v>
      </c>
      <c r="AI142" s="46">
        <f>'DADOS FINANCEIROS'!Y148</f>
        <v>0</v>
      </c>
      <c r="AJ142" s="46">
        <f>'DADOS FINANCEIROS'!Z148</f>
        <v>0</v>
      </c>
      <c r="AK14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2" s="98"/>
    </row>
    <row r="143" spans="1:38" x14ac:dyDescent="0.3">
      <c r="A143" s="30">
        <f>'DADOS FINANCEIROS'!D149</f>
        <v>0</v>
      </c>
      <c r="B143" s="30">
        <f>'DADOS FINANCEIROS'!A149</f>
        <v>0</v>
      </c>
      <c r="C143" s="30">
        <f>'DADOS FINANCEIROS'!B149</f>
        <v>0</v>
      </c>
      <c r="D143" s="30">
        <f>'DADOS FINANCEIROS'!C149</f>
        <v>0</v>
      </c>
      <c r="E143" s="44">
        <f>'DADOS FINANCEIROS'!E149</f>
        <v>0</v>
      </c>
      <c r="F143" s="44" t="str">
        <f>TEXT(Tabela1[[#This Row],[DATA DE EMISSÃO]],"MMM-AA")</f>
        <v>jan-00</v>
      </c>
      <c r="G143" s="44" t="str">
        <f>TEXT(Tabela1[[#This Row],[DATA DE EMISSÃO]],"AAAA")</f>
        <v>1900</v>
      </c>
      <c r="H143" s="44">
        <f>'DADOS FINANCEIROS'!F149</f>
        <v>0</v>
      </c>
      <c r="I143" s="44" t="str">
        <f>TEXT(Tabela1[[#This Row],[VENCIMENTO ORIGINAL]],"MMM-AA")</f>
        <v>jan-00</v>
      </c>
      <c r="J143" s="44" t="str">
        <f>TEXT(Tabela1[[#This Row],[VENCIMENTO ORIGINAL]],"AAAA")</f>
        <v>1900</v>
      </c>
      <c r="K143" s="44">
        <f>'DADOS FINANCEIROS'!G149</f>
        <v>0</v>
      </c>
      <c r="L143" s="44" t="str">
        <f>TEXT(Tabela1[[#This Row],[VENCIMENTO ATUAL]],"MMM-AA")</f>
        <v>jan-00</v>
      </c>
      <c r="M143" s="44" t="str">
        <f>TEXT(Tabela1[[#This Row],[VENCIMENTO ATUAL]],"AAAA")</f>
        <v>1900</v>
      </c>
      <c r="N143" s="46">
        <f>'DADOS FINANCEIROS'!H149</f>
        <v>0</v>
      </c>
      <c r="O143" s="30">
        <f>'DADOS FINANCEIROS'!I149</f>
        <v>0</v>
      </c>
      <c r="P143" s="30">
        <f>'DADOS FINANCEIROS'!J149</f>
        <v>0</v>
      </c>
      <c r="Q143" s="30">
        <f>'DADOS FINANCEIROS'!K149</f>
        <v>0</v>
      </c>
      <c r="R143" s="30">
        <f>'DADOS FINANCEIROS'!L149</f>
        <v>0</v>
      </c>
      <c r="S143" s="30">
        <f>'DADOS FINANCEIROS'!M149</f>
        <v>0</v>
      </c>
      <c r="T143" s="30">
        <f>IFERROR('DADOS FINANCEIROS'!N149,"")</f>
        <v>0</v>
      </c>
      <c r="U143" s="30">
        <f>'DADOS FINANCEIROS'!O149</f>
        <v>0</v>
      </c>
      <c r="V143" s="30">
        <f>'DADOS FINANCEIROS'!P149</f>
        <v>0</v>
      </c>
      <c r="W143" s="30">
        <f>'DADOS FINANCEIROS'!Q149</f>
        <v>0</v>
      </c>
      <c r="X143" s="30">
        <f>'DADOS FINANCEIROS'!R149</f>
        <v>0</v>
      </c>
      <c r="Y143" s="30">
        <f>'DADOS FINANCEIROS'!S149</f>
        <v>0</v>
      </c>
      <c r="Z143" s="30">
        <f>'DADOS FINANCEIROS'!T149</f>
        <v>0</v>
      </c>
      <c r="AA143" s="30">
        <f>'DADOS FINANCEIROS'!U149</f>
        <v>0</v>
      </c>
      <c r="AB143" s="44">
        <f>'DADOS FINANCEIROS'!V149</f>
        <v>0</v>
      </c>
      <c r="AC143" s="44" t="str">
        <f>TEXT(Tabela1[[#This Row],[Data de Negociação]],"MMM-AA")</f>
        <v>jan-00</v>
      </c>
      <c r="AD143" s="44" t="str">
        <f>TEXT(Tabela1[[#This Row],[Data de Negociação]],"AAAA")</f>
        <v>1900</v>
      </c>
      <c r="AE143" s="44">
        <f>'DADOS FINANCEIROS'!W149</f>
        <v>0</v>
      </c>
      <c r="AF143" s="44" t="str">
        <f>TEXT(Tabela1[[#This Row],[Data da Entrada/Primeira Parcela]],"MMM-AA")</f>
        <v>jan-00</v>
      </c>
      <c r="AG143" s="44" t="str">
        <f>TEXT(Tabela1[[#This Row],[Data da Entrada/Primeira Parcela]],"AAAA")</f>
        <v>1900</v>
      </c>
      <c r="AH143" s="30">
        <f>'DADOS FINANCEIROS'!X149</f>
        <v>0</v>
      </c>
      <c r="AI143" s="46">
        <f>'DADOS FINANCEIROS'!Y149</f>
        <v>0</v>
      </c>
      <c r="AJ143" s="46">
        <f>'DADOS FINANCEIROS'!Z149</f>
        <v>0</v>
      </c>
      <c r="AK14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3" s="98"/>
    </row>
    <row r="144" spans="1:38" x14ac:dyDescent="0.3">
      <c r="A144" s="30">
        <f>'DADOS FINANCEIROS'!D150</f>
        <v>0</v>
      </c>
      <c r="B144" s="30">
        <f>'DADOS FINANCEIROS'!A150</f>
        <v>0</v>
      </c>
      <c r="C144" s="30">
        <f>'DADOS FINANCEIROS'!B150</f>
        <v>0</v>
      </c>
      <c r="D144" s="30">
        <f>'DADOS FINANCEIROS'!C150</f>
        <v>0</v>
      </c>
      <c r="E144" s="44">
        <f>'DADOS FINANCEIROS'!E150</f>
        <v>0</v>
      </c>
      <c r="F144" s="44" t="str">
        <f>TEXT(Tabela1[[#This Row],[DATA DE EMISSÃO]],"MMM-AA")</f>
        <v>jan-00</v>
      </c>
      <c r="G144" s="44" t="str">
        <f>TEXT(Tabela1[[#This Row],[DATA DE EMISSÃO]],"AAAA")</f>
        <v>1900</v>
      </c>
      <c r="H144" s="44">
        <f>'DADOS FINANCEIROS'!F150</f>
        <v>0</v>
      </c>
      <c r="I144" s="44" t="str">
        <f>TEXT(Tabela1[[#This Row],[VENCIMENTO ORIGINAL]],"MMM-AA")</f>
        <v>jan-00</v>
      </c>
      <c r="J144" s="44" t="str">
        <f>TEXT(Tabela1[[#This Row],[VENCIMENTO ORIGINAL]],"AAAA")</f>
        <v>1900</v>
      </c>
      <c r="K144" s="44">
        <f>'DADOS FINANCEIROS'!G150</f>
        <v>0</v>
      </c>
      <c r="L144" s="44" t="str">
        <f>TEXT(Tabela1[[#This Row],[VENCIMENTO ATUAL]],"MMM-AA")</f>
        <v>jan-00</v>
      </c>
      <c r="M144" s="44" t="str">
        <f>TEXT(Tabela1[[#This Row],[VENCIMENTO ATUAL]],"AAAA")</f>
        <v>1900</v>
      </c>
      <c r="N144" s="46">
        <f>'DADOS FINANCEIROS'!H150</f>
        <v>0</v>
      </c>
      <c r="O144" s="30">
        <f>'DADOS FINANCEIROS'!I150</f>
        <v>0</v>
      </c>
      <c r="P144" s="30">
        <f>'DADOS FINANCEIROS'!J150</f>
        <v>0</v>
      </c>
      <c r="Q144" s="30">
        <f>'DADOS FINANCEIROS'!K150</f>
        <v>0</v>
      </c>
      <c r="R144" s="30">
        <f>'DADOS FINANCEIROS'!L150</f>
        <v>0</v>
      </c>
      <c r="S144" s="30">
        <f>'DADOS FINANCEIROS'!M150</f>
        <v>0</v>
      </c>
      <c r="T144" s="30">
        <f>IFERROR('DADOS FINANCEIROS'!N150,"")</f>
        <v>0</v>
      </c>
      <c r="U144" s="30">
        <f>'DADOS FINANCEIROS'!O150</f>
        <v>0</v>
      </c>
      <c r="V144" s="30">
        <f>'DADOS FINANCEIROS'!P150</f>
        <v>0</v>
      </c>
      <c r="W144" s="30">
        <f>'DADOS FINANCEIROS'!Q150</f>
        <v>0</v>
      </c>
      <c r="X144" s="30">
        <f>'DADOS FINANCEIROS'!R150</f>
        <v>0</v>
      </c>
      <c r="Y144" s="30">
        <f>'DADOS FINANCEIROS'!S150</f>
        <v>0</v>
      </c>
      <c r="Z144" s="30">
        <f>'DADOS FINANCEIROS'!T150</f>
        <v>0</v>
      </c>
      <c r="AA144" s="30">
        <f>'DADOS FINANCEIROS'!U150</f>
        <v>0</v>
      </c>
      <c r="AB144" s="44">
        <f>'DADOS FINANCEIROS'!V150</f>
        <v>0</v>
      </c>
      <c r="AC144" s="44" t="str">
        <f>TEXT(Tabela1[[#This Row],[Data de Negociação]],"MMM-AA")</f>
        <v>jan-00</v>
      </c>
      <c r="AD144" s="44" t="str">
        <f>TEXT(Tabela1[[#This Row],[Data de Negociação]],"AAAA")</f>
        <v>1900</v>
      </c>
      <c r="AE144" s="44">
        <f>'DADOS FINANCEIROS'!W150</f>
        <v>0</v>
      </c>
      <c r="AF144" s="44" t="str">
        <f>TEXT(Tabela1[[#This Row],[Data da Entrada/Primeira Parcela]],"MMM-AA")</f>
        <v>jan-00</v>
      </c>
      <c r="AG144" s="44" t="str">
        <f>TEXT(Tabela1[[#This Row],[Data da Entrada/Primeira Parcela]],"AAAA")</f>
        <v>1900</v>
      </c>
      <c r="AH144" s="30">
        <f>'DADOS FINANCEIROS'!X150</f>
        <v>0</v>
      </c>
      <c r="AI144" s="46">
        <f>'DADOS FINANCEIROS'!Y150</f>
        <v>0</v>
      </c>
      <c r="AJ144" s="46">
        <f>'DADOS FINANCEIROS'!Z150</f>
        <v>0</v>
      </c>
      <c r="AK14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4" s="98"/>
    </row>
    <row r="145" spans="1:38" x14ac:dyDescent="0.3">
      <c r="A145" s="30">
        <f>'DADOS FINANCEIROS'!D151</f>
        <v>0</v>
      </c>
      <c r="B145" s="30">
        <f>'DADOS FINANCEIROS'!A151</f>
        <v>0</v>
      </c>
      <c r="C145" s="30">
        <f>'DADOS FINANCEIROS'!B151</f>
        <v>0</v>
      </c>
      <c r="D145" s="30">
        <f>'DADOS FINANCEIROS'!C151</f>
        <v>0</v>
      </c>
      <c r="E145" s="44">
        <f>'DADOS FINANCEIROS'!E151</f>
        <v>0</v>
      </c>
      <c r="F145" s="44" t="str">
        <f>TEXT(Tabela1[[#This Row],[DATA DE EMISSÃO]],"MMM-AA")</f>
        <v>jan-00</v>
      </c>
      <c r="G145" s="44" t="str">
        <f>TEXT(Tabela1[[#This Row],[DATA DE EMISSÃO]],"AAAA")</f>
        <v>1900</v>
      </c>
      <c r="H145" s="44">
        <f>'DADOS FINANCEIROS'!F151</f>
        <v>0</v>
      </c>
      <c r="I145" s="44" t="str">
        <f>TEXT(Tabela1[[#This Row],[VENCIMENTO ORIGINAL]],"MMM-AA")</f>
        <v>jan-00</v>
      </c>
      <c r="J145" s="44" t="str">
        <f>TEXT(Tabela1[[#This Row],[VENCIMENTO ORIGINAL]],"AAAA")</f>
        <v>1900</v>
      </c>
      <c r="K145" s="44">
        <f>'DADOS FINANCEIROS'!G151</f>
        <v>0</v>
      </c>
      <c r="L145" s="44" t="str">
        <f>TEXT(Tabela1[[#This Row],[VENCIMENTO ATUAL]],"MMM-AA")</f>
        <v>jan-00</v>
      </c>
      <c r="M145" s="44" t="str">
        <f>TEXT(Tabela1[[#This Row],[VENCIMENTO ATUAL]],"AAAA")</f>
        <v>1900</v>
      </c>
      <c r="N145" s="46">
        <f>'DADOS FINANCEIROS'!H151</f>
        <v>0</v>
      </c>
      <c r="O145" s="30">
        <f>'DADOS FINANCEIROS'!I151</f>
        <v>0</v>
      </c>
      <c r="P145" s="30">
        <f>'DADOS FINANCEIROS'!J151</f>
        <v>0</v>
      </c>
      <c r="Q145" s="30">
        <f>'DADOS FINANCEIROS'!K151</f>
        <v>0</v>
      </c>
      <c r="R145" s="30">
        <f>'DADOS FINANCEIROS'!L151</f>
        <v>0</v>
      </c>
      <c r="S145" s="30">
        <f>'DADOS FINANCEIROS'!M151</f>
        <v>0</v>
      </c>
      <c r="T145" s="30">
        <f>IFERROR('DADOS FINANCEIROS'!N151,"")</f>
        <v>0</v>
      </c>
      <c r="U145" s="30">
        <f>'DADOS FINANCEIROS'!O151</f>
        <v>0</v>
      </c>
      <c r="V145" s="30">
        <f>'DADOS FINANCEIROS'!P151</f>
        <v>0</v>
      </c>
      <c r="W145" s="30">
        <f>'DADOS FINANCEIROS'!Q151</f>
        <v>0</v>
      </c>
      <c r="X145" s="30">
        <f>'DADOS FINANCEIROS'!R151</f>
        <v>0</v>
      </c>
      <c r="Y145" s="30">
        <f>'DADOS FINANCEIROS'!S151</f>
        <v>0</v>
      </c>
      <c r="Z145" s="30">
        <f>'DADOS FINANCEIROS'!T151</f>
        <v>0</v>
      </c>
      <c r="AA145" s="30">
        <f>'DADOS FINANCEIROS'!U151</f>
        <v>0</v>
      </c>
      <c r="AB145" s="44">
        <f>'DADOS FINANCEIROS'!V151</f>
        <v>0</v>
      </c>
      <c r="AC145" s="44" t="str">
        <f>TEXT(Tabela1[[#This Row],[Data de Negociação]],"MMM-AA")</f>
        <v>jan-00</v>
      </c>
      <c r="AD145" s="44" t="str">
        <f>TEXT(Tabela1[[#This Row],[Data de Negociação]],"AAAA")</f>
        <v>1900</v>
      </c>
      <c r="AE145" s="44">
        <f>'DADOS FINANCEIROS'!W151</f>
        <v>0</v>
      </c>
      <c r="AF145" s="44" t="str">
        <f>TEXT(Tabela1[[#This Row],[Data da Entrada/Primeira Parcela]],"MMM-AA")</f>
        <v>jan-00</v>
      </c>
      <c r="AG145" s="44" t="str">
        <f>TEXT(Tabela1[[#This Row],[Data da Entrada/Primeira Parcela]],"AAAA")</f>
        <v>1900</v>
      </c>
      <c r="AH145" s="30">
        <f>'DADOS FINANCEIROS'!X151</f>
        <v>0</v>
      </c>
      <c r="AI145" s="46">
        <f>'DADOS FINANCEIROS'!Y151</f>
        <v>0</v>
      </c>
      <c r="AJ145" s="46">
        <f>'DADOS FINANCEIROS'!Z151</f>
        <v>0</v>
      </c>
      <c r="AK14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5" s="98"/>
    </row>
    <row r="146" spans="1:38" x14ac:dyDescent="0.3">
      <c r="A146" s="30">
        <f>'DADOS FINANCEIROS'!D152</f>
        <v>0</v>
      </c>
      <c r="B146" s="30">
        <f>'DADOS FINANCEIROS'!A152</f>
        <v>0</v>
      </c>
      <c r="C146" s="30">
        <f>'DADOS FINANCEIROS'!B152</f>
        <v>0</v>
      </c>
      <c r="D146" s="30">
        <f>'DADOS FINANCEIROS'!C152</f>
        <v>0</v>
      </c>
      <c r="E146" s="44">
        <f>'DADOS FINANCEIROS'!E152</f>
        <v>0</v>
      </c>
      <c r="F146" s="44" t="str">
        <f>TEXT(Tabela1[[#This Row],[DATA DE EMISSÃO]],"MMM-AA")</f>
        <v>jan-00</v>
      </c>
      <c r="G146" s="44" t="str">
        <f>TEXT(Tabela1[[#This Row],[DATA DE EMISSÃO]],"AAAA")</f>
        <v>1900</v>
      </c>
      <c r="H146" s="44">
        <f>'DADOS FINANCEIROS'!F152</f>
        <v>0</v>
      </c>
      <c r="I146" s="44" t="str">
        <f>TEXT(Tabela1[[#This Row],[VENCIMENTO ORIGINAL]],"MMM-AA")</f>
        <v>jan-00</v>
      </c>
      <c r="J146" s="44" t="str">
        <f>TEXT(Tabela1[[#This Row],[VENCIMENTO ORIGINAL]],"AAAA")</f>
        <v>1900</v>
      </c>
      <c r="K146" s="44">
        <f>'DADOS FINANCEIROS'!G152</f>
        <v>0</v>
      </c>
      <c r="L146" s="44" t="str">
        <f>TEXT(Tabela1[[#This Row],[VENCIMENTO ATUAL]],"MMM-AA")</f>
        <v>jan-00</v>
      </c>
      <c r="M146" s="44" t="str">
        <f>TEXT(Tabela1[[#This Row],[VENCIMENTO ATUAL]],"AAAA")</f>
        <v>1900</v>
      </c>
      <c r="N146" s="46">
        <f>'DADOS FINANCEIROS'!H152</f>
        <v>0</v>
      </c>
      <c r="O146" s="30">
        <f>'DADOS FINANCEIROS'!I152</f>
        <v>0</v>
      </c>
      <c r="P146" s="30">
        <f>'DADOS FINANCEIROS'!J152</f>
        <v>0</v>
      </c>
      <c r="Q146" s="30">
        <f>'DADOS FINANCEIROS'!K152</f>
        <v>0</v>
      </c>
      <c r="R146" s="30">
        <f>'DADOS FINANCEIROS'!L152</f>
        <v>0</v>
      </c>
      <c r="S146" s="30">
        <f>'DADOS FINANCEIROS'!M152</f>
        <v>0</v>
      </c>
      <c r="T146" s="30">
        <f>IFERROR('DADOS FINANCEIROS'!N152,"")</f>
        <v>0</v>
      </c>
      <c r="U146" s="30">
        <f>'DADOS FINANCEIROS'!O152</f>
        <v>0</v>
      </c>
      <c r="V146" s="30">
        <f>'DADOS FINANCEIROS'!P152</f>
        <v>0</v>
      </c>
      <c r="W146" s="30">
        <f>'DADOS FINANCEIROS'!Q152</f>
        <v>0</v>
      </c>
      <c r="X146" s="30">
        <f>'DADOS FINANCEIROS'!R152</f>
        <v>0</v>
      </c>
      <c r="Y146" s="30">
        <f>'DADOS FINANCEIROS'!S152</f>
        <v>0</v>
      </c>
      <c r="Z146" s="30">
        <f>'DADOS FINANCEIROS'!T152</f>
        <v>0</v>
      </c>
      <c r="AA146" s="30">
        <f>'DADOS FINANCEIROS'!U152</f>
        <v>0</v>
      </c>
      <c r="AB146" s="44">
        <f>'DADOS FINANCEIROS'!V152</f>
        <v>0</v>
      </c>
      <c r="AC146" s="44" t="str">
        <f>TEXT(Tabela1[[#This Row],[Data de Negociação]],"MMM-AA")</f>
        <v>jan-00</v>
      </c>
      <c r="AD146" s="44" t="str">
        <f>TEXT(Tabela1[[#This Row],[Data de Negociação]],"AAAA")</f>
        <v>1900</v>
      </c>
      <c r="AE146" s="44">
        <f>'DADOS FINANCEIROS'!W152</f>
        <v>0</v>
      </c>
      <c r="AF146" s="44" t="str">
        <f>TEXT(Tabela1[[#This Row],[Data da Entrada/Primeira Parcela]],"MMM-AA")</f>
        <v>jan-00</v>
      </c>
      <c r="AG146" s="44" t="str">
        <f>TEXT(Tabela1[[#This Row],[Data da Entrada/Primeira Parcela]],"AAAA")</f>
        <v>1900</v>
      </c>
      <c r="AH146" s="30">
        <f>'DADOS FINANCEIROS'!X152</f>
        <v>0</v>
      </c>
      <c r="AI146" s="46">
        <f>'DADOS FINANCEIROS'!Y152</f>
        <v>0</v>
      </c>
      <c r="AJ146" s="46">
        <f>'DADOS FINANCEIROS'!Z152</f>
        <v>0</v>
      </c>
      <c r="AK14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6" s="98"/>
    </row>
    <row r="147" spans="1:38" x14ac:dyDescent="0.3">
      <c r="A147" s="30">
        <f>'DADOS FINANCEIROS'!D153</f>
        <v>0</v>
      </c>
      <c r="B147" s="30">
        <f>'DADOS FINANCEIROS'!A153</f>
        <v>0</v>
      </c>
      <c r="C147" s="30">
        <f>'DADOS FINANCEIROS'!B153</f>
        <v>0</v>
      </c>
      <c r="D147" s="30">
        <f>'DADOS FINANCEIROS'!C153</f>
        <v>0</v>
      </c>
      <c r="E147" s="44">
        <f>'DADOS FINANCEIROS'!E153</f>
        <v>0</v>
      </c>
      <c r="F147" s="44" t="str">
        <f>TEXT(Tabela1[[#This Row],[DATA DE EMISSÃO]],"MMM-AA")</f>
        <v>jan-00</v>
      </c>
      <c r="G147" s="44" t="str">
        <f>TEXT(Tabela1[[#This Row],[DATA DE EMISSÃO]],"AAAA")</f>
        <v>1900</v>
      </c>
      <c r="H147" s="44">
        <f>'DADOS FINANCEIROS'!F153</f>
        <v>0</v>
      </c>
      <c r="I147" s="44" t="str">
        <f>TEXT(Tabela1[[#This Row],[VENCIMENTO ORIGINAL]],"MMM-AA")</f>
        <v>jan-00</v>
      </c>
      <c r="J147" s="44" t="str">
        <f>TEXT(Tabela1[[#This Row],[VENCIMENTO ORIGINAL]],"AAAA")</f>
        <v>1900</v>
      </c>
      <c r="K147" s="44">
        <f>'DADOS FINANCEIROS'!G153</f>
        <v>0</v>
      </c>
      <c r="L147" s="44" t="str">
        <f>TEXT(Tabela1[[#This Row],[VENCIMENTO ATUAL]],"MMM-AA")</f>
        <v>jan-00</v>
      </c>
      <c r="M147" s="44" t="str">
        <f>TEXT(Tabela1[[#This Row],[VENCIMENTO ATUAL]],"AAAA")</f>
        <v>1900</v>
      </c>
      <c r="N147" s="46">
        <f>'DADOS FINANCEIROS'!H153</f>
        <v>0</v>
      </c>
      <c r="O147" s="30">
        <f>'DADOS FINANCEIROS'!I153</f>
        <v>0</v>
      </c>
      <c r="P147" s="30">
        <f>'DADOS FINANCEIROS'!J153</f>
        <v>0</v>
      </c>
      <c r="Q147" s="30">
        <f>'DADOS FINANCEIROS'!K153</f>
        <v>0</v>
      </c>
      <c r="R147" s="30">
        <f>'DADOS FINANCEIROS'!L153</f>
        <v>0</v>
      </c>
      <c r="S147" s="30">
        <f>'DADOS FINANCEIROS'!M153</f>
        <v>0</v>
      </c>
      <c r="T147" s="30">
        <f>IFERROR('DADOS FINANCEIROS'!N153,"")</f>
        <v>0</v>
      </c>
      <c r="U147" s="30">
        <f>'DADOS FINANCEIROS'!O153</f>
        <v>0</v>
      </c>
      <c r="V147" s="30">
        <f>'DADOS FINANCEIROS'!P153</f>
        <v>0</v>
      </c>
      <c r="W147" s="30">
        <f>'DADOS FINANCEIROS'!Q153</f>
        <v>0</v>
      </c>
      <c r="X147" s="30">
        <f>'DADOS FINANCEIROS'!R153</f>
        <v>0</v>
      </c>
      <c r="Y147" s="30">
        <f>'DADOS FINANCEIROS'!S153</f>
        <v>0</v>
      </c>
      <c r="Z147" s="30">
        <f>'DADOS FINANCEIROS'!T153</f>
        <v>0</v>
      </c>
      <c r="AA147" s="30">
        <f>'DADOS FINANCEIROS'!U153</f>
        <v>0</v>
      </c>
      <c r="AB147" s="44">
        <f>'DADOS FINANCEIROS'!V153</f>
        <v>0</v>
      </c>
      <c r="AC147" s="44" t="str">
        <f>TEXT(Tabela1[[#This Row],[Data de Negociação]],"MMM-AA")</f>
        <v>jan-00</v>
      </c>
      <c r="AD147" s="44" t="str">
        <f>TEXT(Tabela1[[#This Row],[Data de Negociação]],"AAAA")</f>
        <v>1900</v>
      </c>
      <c r="AE147" s="44">
        <f>'DADOS FINANCEIROS'!W153</f>
        <v>0</v>
      </c>
      <c r="AF147" s="44" t="str">
        <f>TEXT(Tabela1[[#This Row],[Data da Entrada/Primeira Parcela]],"MMM-AA")</f>
        <v>jan-00</v>
      </c>
      <c r="AG147" s="44" t="str">
        <f>TEXT(Tabela1[[#This Row],[Data da Entrada/Primeira Parcela]],"AAAA")</f>
        <v>1900</v>
      </c>
      <c r="AH147" s="30">
        <f>'DADOS FINANCEIROS'!X153</f>
        <v>0</v>
      </c>
      <c r="AI147" s="46">
        <f>'DADOS FINANCEIROS'!Y153</f>
        <v>0</v>
      </c>
      <c r="AJ147" s="46">
        <f>'DADOS FINANCEIROS'!Z153</f>
        <v>0</v>
      </c>
      <c r="AK14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7" s="98"/>
    </row>
    <row r="148" spans="1:38" x14ac:dyDescent="0.3">
      <c r="A148" s="30">
        <f>'DADOS FINANCEIROS'!D154</f>
        <v>0</v>
      </c>
      <c r="B148" s="30">
        <f>'DADOS FINANCEIROS'!A154</f>
        <v>0</v>
      </c>
      <c r="C148" s="30">
        <f>'DADOS FINANCEIROS'!B154</f>
        <v>0</v>
      </c>
      <c r="D148" s="30">
        <f>'DADOS FINANCEIROS'!C154</f>
        <v>0</v>
      </c>
      <c r="E148" s="44">
        <f>'DADOS FINANCEIROS'!E154</f>
        <v>0</v>
      </c>
      <c r="F148" s="44" t="str">
        <f>TEXT(Tabela1[[#This Row],[DATA DE EMISSÃO]],"MMM-AA")</f>
        <v>jan-00</v>
      </c>
      <c r="G148" s="44" t="str">
        <f>TEXT(Tabela1[[#This Row],[DATA DE EMISSÃO]],"AAAA")</f>
        <v>1900</v>
      </c>
      <c r="H148" s="44">
        <f>'DADOS FINANCEIROS'!F154</f>
        <v>0</v>
      </c>
      <c r="I148" s="44" t="str">
        <f>TEXT(Tabela1[[#This Row],[VENCIMENTO ORIGINAL]],"MMM-AA")</f>
        <v>jan-00</v>
      </c>
      <c r="J148" s="44" t="str">
        <f>TEXT(Tabela1[[#This Row],[VENCIMENTO ORIGINAL]],"AAAA")</f>
        <v>1900</v>
      </c>
      <c r="K148" s="44">
        <f>'DADOS FINANCEIROS'!G154</f>
        <v>0</v>
      </c>
      <c r="L148" s="44" t="str">
        <f>TEXT(Tabela1[[#This Row],[VENCIMENTO ATUAL]],"MMM-AA")</f>
        <v>jan-00</v>
      </c>
      <c r="M148" s="44" t="str">
        <f>TEXT(Tabela1[[#This Row],[VENCIMENTO ATUAL]],"AAAA")</f>
        <v>1900</v>
      </c>
      <c r="N148" s="46">
        <f>'DADOS FINANCEIROS'!H154</f>
        <v>0</v>
      </c>
      <c r="O148" s="30">
        <f>'DADOS FINANCEIROS'!I154</f>
        <v>0</v>
      </c>
      <c r="P148" s="30">
        <f>'DADOS FINANCEIROS'!J154</f>
        <v>0</v>
      </c>
      <c r="Q148" s="30">
        <f>'DADOS FINANCEIROS'!K154</f>
        <v>0</v>
      </c>
      <c r="R148" s="30">
        <f>'DADOS FINANCEIROS'!L154</f>
        <v>0</v>
      </c>
      <c r="S148" s="30">
        <f>'DADOS FINANCEIROS'!M154</f>
        <v>0</v>
      </c>
      <c r="T148" s="30">
        <f>IFERROR('DADOS FINANCEIROS'!N154,"")</f>
        <v>0</v>
      </c>
      <c r="U148" s="30">
        <f>'DADOS FINANCEIROS'!O154</f>
        <v>0</v>
      </c>
      <c r="V148" s="30">
        <f>'DADOS FINANCEIROS'!P154</f>
        <v>0</v>
      </c>
      <c r="W148" s="30">
        <f>'DADOS FINANCEIROS'!Q154</f>
        <v>0</v>
      </c>
      <c r="X148" s="30">
        <f>'DADOS FINANCEIROS'!R154</f>
        <v>0</v>
      </c>
      <c r="Y148" s="30">
        <f>'DADOS FINANCEIROS'!S154</f>
        <v>0</v>
      </c>
      <c r="Z148" s="30">
        <f>'DADOS FINANCEIROS'!T154</f>
        <v>0</v>
      </c>
      <c r="AA148" s="30">
        <f>'DADOS FINANCEIROS'!U154</f>
        <v>0</v>
      </c>
      <c r="AB148" s="44">
        <f>'DADOS FINANCEIROS'!V154</f>
        <v>0</v>
      </c>
      <c r="AC148" s="44" t="str">
        <f>TEXT(Tabela1[[#This Row],[Data de Negociação]],"MMM-AA")</f>
        <v>jan-00</v>
      </c>
      <c r="AD148" s="44" t="str">
        <f>TEXT(Tabela1[[#This Row],[Data de Negociação]],"AAAA")</f>
        <v>1900</v>
      </c>
      <c r="AE148" s="44">
        <f>'DADOS FINANCEIROS'!W154</f>
        <v>0</v>
      </c>
      <c r="AF148" s="44" t="str">
        <f>TEXT(Tabela1[[#This Row],[Data da Entrada/Primeira Parcela]],"MMM-AA")</f>
        <v>jan-00</v>
      </c>
      <c r="AG148" s="44" t="str">
        <f>TEXT(Tabela1[[#This Row],[Data da Entrada/Primeira Parcela]],"AAAA")</f>
        <v>1900</v>
      </c>
      <c r="AH148" s="30">
        <f>'DADOS FINANCEIROS'!X154</f>
        <v>0</v>
      </c>
      <c r="AI148" s="46">
        <f>'DADOS FINANCEIROS'!Y154</f>
        <v>0</v>
      </c>
      <c r="AJ148" s="46">
        <f>'DADOS FINANCEIROS'!Z154</f>
        <v>0</v>
      </c>
      <c r="AK14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8" s="98"/>
    </row>
    <row r="149" spans="1:38" x14ac:dyDescent="0.3">
      <c r="A149" s="30">
        <f>'DADOS FINANCEIROS'!D155</f>
        <v>0</v>
      </c>
      <c r="B149" s="30">
        <f>'DADOS FINANCEIROS'!A155</f>
        <v>0</v>
      </c>
      <c r="C149" s="30">
        <f>'DADOS FINANCEIROS'!B155</f>
        <v>0</v>
      </c>
      <c r="D149" s="30">
        <f>'DADOS FINANCEIROS'!C155</f>
        <v>0</v>
      </c>
      <c r="E149" s="44">
        <f>'DADOS FINANCEIROS'!E155</f>
        <v>0</v>
      </c>
      <c r="F149" s="44" t="str">
        <f>TEXT(Tabela1[[#This Row],[DATA DE EMISSÃO]],"MMM-AA")</f>
        <v>jan-00</v>
      </c>
      <c r="G149" s="44" t="str">
        <f>TEXT(Tabela1[[#This Row],[DATA DE EMISSÃO]],"AAAA")</f>
        <v>1900</v>
      </c>
      <c r="H149" s="44">
        <f>'DADOS FINANCEIROS'!F155</f>
        <v>0</v>
      </c>
      <c r="I149" s="44" t="str">
        <f>TEXT(Tabela1[[#This Row],[VENCIMENTO ORIGINAL]],"MMM-AA")</f>
        <v>jan-00</v>
      </c>
      <c r="J149" s="44" t="str">
        <f>TEXT(Tabela1[[#This Row],[VENCIMENTO ORIGINAL]],"AAAA")</f>
        <v>1900</v>
      </c>
      <c r="K149" s="44">
        <f>'DADOS FINANCEIROS'!G155</f>
        <v>0</v>
      </c>
      <c r="L149" s="44" t="str">
        <f>TEXT(Tabela1[[#This Row],[VENCIMENTO ATUAL]],"MMM-AA")</f>
        <v>jan-00</v>
      </c>
      <c r="M149" s="44" t="str">
        <f>TEXT(Tabela1[[#This Row],[VENCIMENTO ATUAL]],"AAAA")</f>
        <v>1900</v>
      </c>
      <c r="N149" s="46">
        <f>'DADOS FINANCEIROS'!H155</f>
        <v>0</v>
      </c>
      <c r="O149" s="30">
        <f>'DADOS FINANCEIROS'!I155</f>
        <v>0</v>
      </c>
      <c r="P149" s="30">
        <f>'DADOS FINANCEIROS'!J155</f>
        <v>0</v>
      </c>
      <c r="Q149" s="30">
        <f>'DADOS FINANCEIROS'!K155</f>
        <v>0</v>
      </c>
      <c r="R149" s="30">
        <f>'DADOS FINANCEIROS'!L155</f>
        <v>0</v>
      </c>
      <c r="S149" s="30">
        <f>'DADOS FINANCEIROS'!M155</f>
        <v>0</v>
      </c>
      <c r="T149" s="30">
        <f>IFERROR('DADOS FINANCEIROS'!N155,"")</f>
        <v>0</v>
      </c>
      <c r="U149" s="30">
        <f>'DADOS FINANCEIROS'!O155</f>
        <v>0</v>
      </c>
      <c r="V149" s="30">
        <f>'DADOS FINANCEIROS'!P155</f>
        <v>0</v>
      </c>
      <c r="W149" s="30">
        <f>'DADOS FINANCEIROS'!Q155</f>
        <v>0</v>
      </c>
      <c r="X149" s="30">
        <f>'DADOS FINANCEIROS'!R155</f>
        <v>0</v>
      </c>
      <c r="Y149" s="30">
        <f>'DADOS FINANCEIROS'!S155</f>
        <v>0</v>
      </c>
      <c r="Z149" s="30">
        <f>'DADOS FINANCEIROS'!T155</f>
        <v>0</v>
      </c>
      <c r="AA149" s="30">
        <f>'DADOS FINANCEIROS'!U155</f>
        <v>0</v>
      </c>
      <c r="AB149" s="44">
        <f>'DADOS FINANCEIROS'!V155</f>
        <v>0</v>
      </c>
      <c r="AC149" s="44" t="str">
        <f>TEXT(Tabela1[[#This Row],[Data de Negociação]],"MMM-AA")</f>
        <v>jan-00</v>
      </c>
      <c r="AD149" s="44" t="str">
        <f>TEXT(Tabela1[[#This Row],[Data de Negociação]],"AAAA")</f>
        <v>1900</v>
      </c>
      <c r="AE149" s="44">
        <f>'DADOS FINANCEIROS'!W155</f>
        <v>0</v>
      </c>
      <c r="AF149" s="44" t="str">
        <f>TEXT(Tabela1[[#This Row],[Data da Entrada/Primeira Parcela]],"MMM-AA")</f>
        <v>jan-00</v>
      </c>
      <c r="AG149" s="44" t="str">
        <f>TEXT(Tabela1[[#This Row],[Data da Entrada/Primeira Parcela]],"AAAA")</f>
        <v>1900</v>
      </c>
      <c r="AH149" s="30">
        <f>'DADOS FINANCEIROS'!X155</f>
        <v>0</v>
      </c>
      <c r="AI149" s="46">
        <f>'DADOS FINANCEIROS'!Y155</f>
        <v>0</v>
      </c>
      <c r="AJ149" s="46">
        <f>'DADOS FINANCEIROS'!Z155</f>
        <v>0</v>
      </c>
      <c r="AK14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49" s="98"/>
    </row>
    <row r="150" spans="1:38" x14ac:dyDescent="0.3">
      <c r="A150" s="30">
        <f>'DADOS FINANCEIROS'!D156</f>
        <v>0</v>
      </c>
      <c r="B150" s="30">
        <f>'DADOS FINANCEIROS'!A156</f>
        <v>0</v>
      </c>
      <c r="C150" s="30">
        <f>'DADOS FINANCEIROS'!B156</f>
        <v>0</v>
      </c>
      <c r="D150" s="30">
        <f>'DADOS FINANCEIROS'!C156</f>
        <v>0</v>
      </c>
      <c r="E150" s="44">
        <f>'DADOS FINANCEIROS'!E156</f>
        <v>0</v>
      </c>
      <c r="F150" s="44" t="str">
        <f>TEXT(Tabela1[[#This Row],[DATA DE EMISSÃO]],"MMM-AA")</f>
        <v>jan-00</v>
      </c>
      <c r="G150" s="44" t="str">
        <f>TEXT(Tabela1[[#This Row],[DATA DE EMISSÃO]],"AAAA")</f>
        <v>1900</v>
      </c>
      <c r="H150" s="44">
        <f>'DADOS FINANCEIROS'!F156</f>
        <v>0</v>
      </c>
      <c r="I150" s="44" t="str">
        <f>TEXT(Tabela1[[#This Row],[VENCIMENTO ORIGINAL]],"MMM-AA")</f>
        <v>jan-00</v>
      </c>
      <c r="J150" s="44" t="str">
        <f>TEXT(Tabela1[[#This Row],[VENCIMENTO ORIGINAL]],"AAAA")</f>
        <v>1900</v>
      </c>
      <c r="K150" s="44">
        <f>'DADOS FINANCEIROS'!G156</f>
        <v>0</v>
      </c>
      <c r="L150" s="44" t="str">
        <f>TEXT(Tabela1[[#This Row],[VENCIMENTO ATUAL]],"MMM-AA")</f>
        <v>jan-00</v>
      </c>
      <c r="M150" s="44" t="str">
        <f>TEXT(Tabela1[[#This Row],[VENCIMENTO ATUAL]],"AAAA")</f>
        <v>1900</v>
      </c>
      <c r="N150" s="46">
        <f>'DADOS FINANCEIROS'!H156</f>
        <v>0</v>
      </c>
      <c r="O150" s="30">
        <f>'DADOS FINANCEIROS'!I156</f>
        <v>0</v>
      </c>
      <c r="P150" s="30">
        <f>'DADOS FINANCEIROS'!J156</f>
        <v>0</v>
      </c>
      <c r="Q150" s="30">
        <f>'DADOS FINANCEIROS'!K156</f>
        <v>0</v>
      </c>
      <c r="R150" s="30">
        <f>'DADOS FINANCEIROS'!L156</f>
        <v>0</v>
      </c>
      <c r="S150" s="30">
        <f>'DADOS FINANCEIROS'!M156</f>
        <v>0</v>
      </c>
      <c r="T150" s="30">
        <f>IFERROR('DADOS FINANCEIROS'!N156,"")</f>
        <v>0</v>
      </c>
      <c r="U150" s="30">
        <f>'DADOS FINANCEIROS'!O156</f>
        <v>0</v>
      </c>
      <c r="V150" s="30">
        <f>'DADOS FINANCEIROS'!P156</f>
        <v>0</v>
      </c>
      <c r="W150" s="30">
        <f>'DADOS FINANCEIROS'!Q156</f>
        <v>0</v>
      </c>
      <c r="X150" s="30">
        <f>'DADOS FINANCEIROS'!R156</f>
        <v>0</v>
      </c>
      <c r="Y150" s="30">
        <f>'DADOS FINANCEIROS'!S156</f>
        <v>0</v>
      </c>
      <c r="Z150" s="30">
        <f>'DADOS FINANCEIROS'!T156</f>
        <v>0</v>
      </c>
      <c r="AA150" s="30">
        <f>'DADOS FINANCEIROS'!U156</f>
        <v>0</v>
      </c>
      <c r="AB150" s="44">
        <f>'DADOS FINANCEIROS'!V156</f>
        <v>0</v>
      </c>
      <c r="AC150" s="44" t="str">
        <f>TEXT(Tabela1[[#This Row],[Data de Negociação]],"MMM-AA")</f>
        <v>jan-00</v>
      </c>
      <c r="AD150" s="44" t="str">
        <f>TEXT(Tabela1[[#This Row],[Data de Negociação]],"AAAA")</f>
        <v>1900</v>
      </c>
      <c r="AE150" s="44">
        <f>'DADOS FINANCEIROS'!W156</f>
        <v>0</v>
      </c>
      <c r="AF150" s="44" t="str">
        <f>TEXT(Tabela1[[#This Row],[Data da Entrada/Primeira Parcela]],"MMM-AA")</f>
        <v>jan-00</v>
      </c>
      <c r="AG150" s="44" t="str">
        <f>TEXT(Tabela1[[#This Row],[Data da Entrada/Primeira Parcela]],"AAAA")</f>
        <v>1900</v>
      </c>
      <c r="AH150" s="30">
        <f>'DADOS FINANCEIROS'!X156</f>
        <v>0</v>
      </c>
      <c r="AI150" s="46">
        <f>'DADOS FINANCEIROS'!Y156</f>
        <v>0</v>
      </c>
      <c r="AJ150" s="46">
        <f>'DADOS FINANCEIROS'!Z156</f>
        <v>0</v>
      </c>
      <c r="AK15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0" s="98"/>
    </row>
    <row r="151" spans="1:38" x14ac:dyDescent="0.3">
      <c r="A151" s="30">
        <f>'DADOS FINANCEIROS'!D157</f>
        <v>0</v>
      </c>
      <c r="B151" s="30">
        <f>'DADOS FINANCEIROS'!A157</f>
        <v>0</v>
      </c>
      <c r="C151" s="30">
        <f>'DADOS FINANCEIROS'!B157</f>
        <v>0</v>
      </c>
      <c r="D151" s="30">
        <f>'DADOS FINANCEIROS'!C157</f>
        <v>0</v>
      </c>
      <c r="E151" s="44">
        <f>'DADOS FINANCEIROS'!E157</f>
        <v>0</v>
      </c>
      <c r="F151" s="44" t="str">
        <f>TEXT(Tabela1[[#This Row],[DATA DE EMISSÃO]],"MMM-AA")</f>
        <v>jan-00</v>
      </c>
      <c r="G151" s="44" t="str">
        <f>TEXT(Tabela1[[#This Row],[DATA DE EMISSÃO]],"AAAA")</f>
        <v>1900</v>
      </c>
      <c r="H151" s="44">
        <f>'DADOS FINANCEIROS'!F157</f>
        <v>0</v>
      </c>
      <c r="I151" s="44" t="str">
        <f>TEXT(Tabela1[[#This Row],[VENCIMENTO ORIGINAL]],"MMM-AA")</f>
        <v>jan-00</v>
      </c>
      <c r="J151" s="44" t="str">
        <f>TEXT(Tabela1[[#This Row],[VENCIMENTO ORIGINAL]],"AAAA")</f>
        <v>1900</v>
      </c>
      <c r="K151" s="44">
        <f>'DADOS FINANCEIROS'!G157</f>
        <v>0</v>
      </c>
      <c r="L151" s="44" t="str">
        <f>TEXT(Tabela1[[#This Row],[VENCIMENTO ATUAL]],"MMM-AA")</f>
        <v>jan-00</v>
      </c>
      <c r="M151" s="44" t="str">
        <f>TEXT(Tabela1[[#This Row],[VENCIMENTO ATUAL]],"AAAA")</f>
        <v>1900</v>
      </c>
      <c r="N151" s="46">
        <f>'DADOS FINANCEIROS'!H157</f>
        <v>0</v>
      </c>
      <c r="O151" s="30">
        <f>'DADOS FINANCEIROS'!I157</f>
        <v>0</v>
      </c>
      <c r="P151" s="30">
        <f>'DADOS FINANCEIROS'!J157</f>
        <v>0</v>
      </c>
      <c r="Q151" s="30">
        <f>'DADOS FINANCEIROS'!K157</f>
        <v>0</v>
      </c>
      <c r="R151" s="30">
        <f>'DADOS FINANCEIROS'!L157</f>
        <v>0</v>
      </c>
      <c r="S151" s="30">
        <f>'DADOS FINANCEIROS'!M157</f>
        <v>0</v>
      </c>
      <c r="T151" s="30">
        <f>IFERROR('DADOS FINANCEIROS'!N157,"")</f>
        <v>0</v>
      </c>
      <c r="U151" s="30">
        <f>'DADOS FINANCEIROS'!O157</f>
        <v>0</v>
      </c>
      <c r="V151" s="30">
        <f>'DADOS FINANCEIROS'!P157</f>
        <v>0</v>
      </c>
      <c r="W151" s="30">
        <f>'DADOS FINANCEIROS'!Q157</f>
        <v>0</v>
      </c>
      <c r="X151" s="30">
        <f>'DADOS FINANCEIROS'!R157</f>
        <v>0</v>
      </c>
      <c r="Y151" s="30">
        <f>'DADOS FINANCEIROS'!S157</f>
        <v>0</v>
      </c>
      <c r="Z151" s="30">
        <f>'DADOS FINANCEIROS'!T157</f>
        <v>0</v>
      </c>
      <c r="AA151" s="30">
        <f>'DADOS FINANCEIROS'!U157</f>
        <v>0</v>
      </c>
      <c r="AB151" s="44">
        <f>'DADOS FINANCEIROS'!V157</f>
        <v>0</v>
      </c>
      <c r="AC151" s="44" t="str">
        <f>TEXT(Tabela1[[#This Row],[Data de Negociação]],"MMM-AA")</f>
        <v>jan-00</v>
      </c>
      <c r="AD151" s="44" t="str">
        <f>TEXT(Tabela1[[#This Row],[Data de Negociação]],"AAAA")</f>
        <v>1900</v>
      </c>
      <c r="AE151" s="44">
        <f>'DADOS FINANCEIROS'!W157</f>
        <v>0</v>
      </c>
      <c r="AF151" s="44" t="str">
        <f>TEXT(Tabela1[[#This Row],[Data da Entrada/Primeira Parcela]],"MMM-AA")</f>
        <v>jan-00</v>
      </c>
      <c r="AG151" s="44" t="str">
        <f>TEXT(Tabela1[[#This Row],[Data da Entrada/Primeira Parcela]],"AAAA")</f>
        <v>1900</v>
      </c>
      <c r="AH151" s="30">
        <f>'DADOS FINANCEIROS'!X157</f>
        <v>0</v>
      </c>
      <c r="AI151" s="46">
        <f>'DADOS FINANCEIROS'!Y157</f>
        <v>0</v>
      </c>
      <c r="AJ151" s="46">
        <f>'DADOS FINANCEIROS'!Z157</f>
        <v>0</v>
      </c>
      <c r="AK15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1" s="98"/>
    </row>
    <row r="152" spans="1:38" x14ac:dyDescent="0.3">
      <c r="A152" s="30">
        <f>'DADOS FINANCEIROS'!D158</f>
        <v>0</v>
      </c>
      <c r="B152" s="30">
        <f>'DADOS FINANCEIROS'!A158</f>
        <v>0</v>
      </c>
      <c r="C152" s="30">
        <f>'DADOS FINANCEIROS'!B158</f>
        <v>0</v>
      </c>
      <c r="D152" s="30">
        <f>'DADOS FINANCEIROS'!C158</f>
        <v>0</v>
      </c>
      <c r="E152" s="44">
        <f>'DADOS FINANCEIROS'!E158</f>
        <v>0</v>
      </c>
      <c r="F152" s="44" t="str">
        <f>TEXT(Tabela1[[#This Row],[DATA DE EMISSÃO]],"MMM-AA")</f>
        <v>jan-00</v>
      </c>
      <c r="G152" s="44" t="str">
        <f>TEXT(Tabela1[[#This Row],[DATA DE EMISSÃO]],"AAAA")</f>
        <v>1900</v>
      </c>
      <c r="H152" s="44">
        <f>'DADOS FINANCEIROS'!F158</f>
        <v>0</v>
      </c>
      <c r="I152" s="44" t="str">
        <f>TEXT(Tabela1[[#This Row],[VENCIMENTO ORIGINAL]],"MMM-AA")</f>
        <v>jan-00</v>
      </c>
      <c r="J152" s="44" t="str">
        <f>TEXT(Tabela1[[#This Row],[VENCIMENTO ORIGINAL]],"AAAA")</f>
        <v>1900</v>
      </c>
      <c r="K152" s="44">
        <f>'DADOS FINANCEIROS'!G158</f>
        <v>0</v>
      </c>
      <c r="L152" s="44" t="str">
        <f>TEXT(Tabela1[[#This Row],[VENCIMENTO ATUAL]],"MMM-AA")</f>
        <v>jan-00</v>
      </c>
      <c r="M152" s="44" t="str">
        <f>TEXT(Tabela1[[#This Row],[VENCIMENTO ATUAL]],"AAAA")</f>
        <v>1900</v>
      </c>
      <c r="N152" s="46">
        <f>'DADOS FINANCEIROS'!H158</f>
        <v>0</v>
      </c>
      <c r="O152" s="30">
        <f>'DADOS FINANCEIROS'!I158</f>
        <v>0</v>
      </c>
      <c r="P152" s="30">
        <f>'DADOS FINANCEIROS'!J158</f>
        <v>0</v>
      </c>
      <c r="Q152" s="30">
        <f>'DADOS FINANCEIROS'!K158</f>
        <v>0</v>
      </c>
      <c r="R152" s="30">
        <f>'DADOS FINANCEIROS'!L158</f>
        <v>0</v>
      </c>
      <c r="S152" s="30">
        <f>'DADOS FINANCEIROS'!M158</f>
        <v>0</v>
      </c>
      <c r="T152" s="30">
        <f>IFERROR('DADOS FINANCEIROS'!N158,"")</f>
        <v>0</v>
      </c>
      <c r="U152" s="30">
        <f>'DADOS FINANCEIROS'!O158</f>
        <v>0</v>
      </c>
      <c r="V152" s="30">
        <f>'DADOS FINANCEIROS'!P158</f>
        <v>0</v>
      </c>
      <c r="W152" s="30">
        <f>'DADOS FINANCEIROS'!Q158</f>
        <v>0</v>
      </c>
      <c r="X152" s="30">
        <f>'DADOS FINANCEIROS'!R158</f>
        <v>0</v>
      </c>
      <c r="Y152" s="30">
        <f>'DADOS FINANCEIROS'!S158</f>
        <v>0</v>
      </c>
      <c r="Z152" s="30">
        <f>'DADOS FINANCEIROS'!T158</f>
        <v>0</v>
      </c>
      <c r="AA152" s="30">
        <f>'DADOS FINANCEIROS'!U158</f>
        <v>0</v>
      </c>
      <c r="AB152" s="44">
        <f>'DADOS FINANCEIROS'!V158</f>
        <v>0</v>
      </c>
      <c r="AC152" s="44" t="str">
        <f>TEXT(Tabela1[[#This Row],[Data de Negociação]],"MMM-AA")</f>
        <v>jan-00</v>
      </c>
      <c r="AD152" s="44" t="str">
        <f>TEXT(Tabela1[[#This Row],[Data de Negociação]],"AAAA")</f>
        <v>1900</v>
      </c>
      <c r="AE152" s="44">
        <f>'DADOS FINANCEIROS'!W158</f>
        <v>0</v>
      </c>
      <c r="AF152" s="44" t="str">
        <f>TEXT(Tabela1[[#This Row],[Data da Entrada/Primeira Parcela]],"MMM-AA")</f>
        <v>jan-00</v>
      </c>
      <c r="AG152" s="44" t="str">
        <f>TEXT(Tabela1[[#This Row],[Data da Entrada/Primeira Parcela]],"AAAA")</f>
        <v>1900</v>
      </c>
      <c r="AH152" s="30">
        <f>'DADOS FINANCEIROS'!X158</f>
        <v>0</v>
      </c>
      <c r="AI152" s="46">
        <f>'DADOS FINANCEIROS'!Y158</f>
        <v>0</v>
      </c>
      <c r="AJ152" s="46">
        <f>'DADOS FINANCEIROS'!Z158</f>
        <v>0</v>
      </c>
      <c r="AK15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2" s="98"/>
    </row>
    <row r="153" spans="1:38" x14ac:dyDescent="0.3">
      <c r="A153" s="30">
        <f>'DADOS FINANCEIROS'!D159</f>
        <v>0</v>
      </c>
      <c r="B153" s="30">
        <f>'DADOS FINANCEIROS'!A159</f>
        <v>0</v>
      </c>
      <c r="C153" s="30">
        <f>'DADOS FINANCEIROS'!B159</f>
        <v>0</v>
      </c>
      <c r="D153" s="30">
        <f>'DADOS FINANCEIROS'!C159</f>
        <v>0</v>
      </c>
      <c r="E153" s="44">
        <f>'DADOS FINANCEIROS'!E159</f>
        <v>0</v>
      </c>
      <c r="F153" s="44" t="str">
        <f>TEXT(Tabela1[[#This Row],[DATA DE EMISSÃO]],"MMM-AA")</f>
        <v>jan-00</v>
      </c>
      <c r="G153" s="44" t="str">
        <f>TEXT(Tabela1[[#This Row],[DATA DE EMISSÃO]],"AAAA")</f>
        <v>1900</v>
      </c>
      <c r="H153" s="44">
        <f>'DADOS FINANCEIROS'!F159</f>
        <v>0</v>
      </c>
      <c r="I153" s="44" t="str">
        <f>TEXT(Tabela1[[#This Row],[VENCIMENTO ORIGINAL]],"MMM-AA")</f>
        <v>jan-00</v>
      </c>
      <c r="J153" s="44" t="str">
        <f>TEXT(Tabela1[[#This Row],[VENCIMENTO ORIGINAL]],"AAAA")</f>
        <v>1900</v>
      </c>
      <c r="K153" s="44">
        <f>'DADOS FINANCEIROS'!G159</f>
        <v>0</v>
      </c>
      <c r="L153" s="44" t="str">
        <f>TEXT(Tabela1[[#This Row],[VENCIMENTO ATUAL]],"MMM-AA")</f>
        <v>jan-00</v>
      </c>
      <c r="M153" s="44" t="str">
        <f>TEXT(Tabela1[[#This Row],[VENCIMENTO ATUAL]],"AAAA")</f>
        <v>1900</v>
      </c>
      <c r="N153" s="46">
        <f>'DADOS FINANCEIROS'!H159</f>
        <v>0</v>
      </c>
      <c r="O153" s="30">
        <f>'DADOS FINANCEIROS'!I159</f>
        <v>0</v>
      </c>
      <c r="P153" s="30">
        <f>'DADOS FINANCEIROS'!J159</f>
        <v>0</v>
      </c>
      <c r="Q153" s="30">
        <f>'DADOS FINANCEIROS'!K159</f>
        <v>0</v>
      </c>
      <c r="R153" s="30">
        <f>'DADOS FINANCEIROS'!L159</f>
        <v>0</v>
      </c>
      <c r="S153" s="30">
        <f>'DADOS FINANCEIROS'!M159</f>
        <v>0</v>
      </c>
      <c r="T153" s="30">
        <f>IFERROR('DADOS FINANCEIROS'!N159,"")</f>
        <v>0</v>
      </c>
      <c r="U153" s="30">
        <f>'DADOS FINANCEIROS'!O159</f>
        <v>0</v>
      </c>
      <c r="V153" s="30">
        <f>'DADOS FINANCEIROS'!P159</f>
        <v>0</v>
      </c>
      <c r="W153" s="30">
        <f>'DADOS FINANCEIROS'!Q159</f>
        <v>0</v>
      </c>
      <c r="X153" s="30">
        <f>'DADOS FINANCEIROS'!R159</f>
        <v>0</v>
      </c>
      <c r="Y153" s="30">
        <f>'DADOS FINANCEIROS'!S159</f>
        <v>0</v>
      </c>
      <c r="Z153" s="30">
        <f>'DADOS FINANCEIROS'!T159</f>
        <v>0</v>
      </c>
      <c r="AA153" s="30">
        <f>'DADOS FINANCEIROS'!U159</f>
        <v>0</v>
      </c>
      <c r="AB153" s="44">
        <f>'DADOS FINANCEIROS'!V159</f>
        <v>0</v>
      </c>
      <c r="AC153" s="44" t="str">
        <f>TEXT(Tabela1[[#This Row],[Data de Negociação]],"MMM-AA")</f>
        <v>jan-00</v>
      </c>
      <c r="AD153" s="44" t="str">
        <f>TEXT(Tabela1[[#This Row],[Data de Negociação]],"AAAA")</f>
        <v>1900</v>
      </c>
      <c r="AE153" s="44">
        <f>'DADOS FINANCEIROS'!W159</f>
        <v>0</v>
      </c>
      <c r="AF153" s="44" t="str">
        <f>TEXT(Tabela1[[#This Row],[Data da Entrada/Primeira Parcela]],"MMM-AA")</f>
        <v>jan-00</v>
      </c>
      <c r="AG153" s="44" t="str">
        <f>TEXT(Tabela1[[#This Row],[Data da Entrada/Primeira Parcela]],"AAAA")</f>
        <v>1900</v>
      </c>
      <c r="AH153" s="30">
        <f>'DADOS FINANCEIROS'!X159</f>
        <v>0</v>
      </c>
      <c r="AI153" s="46">
        <f>'DADOS FINANCEIROS'!Y159</f>
        <v>0</v>
      </c>
      <c r="AJ153" s="46">
        <f>'DADOS FINANCEIROS'!Z159</f>
        <v>0</v>
      </c>
      <c r="AK15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3" s="98"/>
    </row>
    <row r="154" spans="1:38" x14ac:dyDescent="0.3">
      <c r="A154" s="30">
        <f>'DADOS FINANCEIROS'!D160</f>
        <v>0</v>
      </c>
      <c r="B154" s="30">
        <f>'DADOS FINANCEIROS'!A160</f>
        <v>0</v>
      </c>
      <c r="C154" s="30">
        <f>'DADOS FINANCEIROS'!B160</f>
        <v>0</v>
      </c>
      <c r="D154" s="30">
        <f>'DADOS FINANCEIROS'!C160</f>
        <v>0</v>
      </c>
      <c r="E154" s="44">
        <f>'DADOS FINANCEIROS'!E160</f>
        <v>0</v>
      </c>
      <c r="F154" s="44" t="str">
        <f>TEXT(Tabela1[[#This Row],[DATA DE EMISSÃO]],"MMM-AA")</f>
        <v>jan-00</v>
      </c>
      <c r="G154" s="44" t="str">
        <f>TEXT(Tabela1[[#This Row],[DATA DE EMISSÃO]],"AAAA")</f>
        <v>1900</v>
      </c>
      <c r="H154" s="44">
        <f>'DADOS FINANCEIROS'!F160</f>
        <v>0</v>
      </c>
      <c r="I154" s="44" t="str">
        <f>TEXT(Tabela1[[#This Row],[VENCIMENTO ORIGINAL]],"MMM-AA")</f>
        <v>jan-00</v>
      </c>
      <c r="J154" s="44" t="str">
        <f>TEXT(Tabela1[[#This Row],[VENCIMENTO ORIGINAL]],"AAAA")</f>
        <v>1900</v>
      </c>
      <c r="K154" s="44">
        <f>'DADOS FINANCEIROS'!G160</f>
        <v>0</v>
      </c>
      <c r="L154" s="44" t="str">
        <f>TEXT(Tabela1[[#This Row],[VENCIMENTO ATUAL]],"MMM-AA")</f>
        <v>jan-00</v>
      </c>
      <c r="M154" s="44" t="str">
        <f>TEXT(Tabela1[[#This Row],[VENCIMENTO ATUAL]],"AAAA")</f>
        <v>1900</v>
      </c>
      <c r="N154" s="46">
        <f>'DADOS FINANCEIROS'!H160</f>
        <v>0</v>
      </c>
      <c r="O154" s="30">
        <f>'DADOS FINANCEIROS'!I160</f>
        <v>0</v>
      </c>
      <c r="P154" s="30">
        <f>'DADOS FINANCEIROS'!J160</f>
        <v>0</v>
      </c>
      <c r="Q154" s="30">
        <f>'DADOS FINANCEIROS'!K160</f>
        <v>0</v>
      </c>
      <c r="R154" s="30">
        <f>'DADOS FINANCEIROS'!L160</f>
        <v>0</v>
      </c>
      <c r="S154" s="30">
        <f>'DADOS FINANCEIROS'!M160</f>
        <v>0</v>
      </c>
      <c r="T154" s="30">
        <f>IFERROR('DADOS FINANCEIROS'!N160,"")</f>
        <v>0</v>
      </c>
      <c r="U154" s="30">
        <f>'DADOS FINANCEIROS'!O160</f>
        <v>0</v>
      </c>
      <c r="V154" s="30">
        <f>'DADOS FINANCEIROS'!P160</f>
        <v>0</v>
      </c>
      <c r="W154" s="30">
        <f>'DADOS FINANCEIROS'!Q160</f>
        <v>0</v>
      </c>
      <c r="X154" s="30">
        <f>'DADOS FINANCEIROS'!R160</f>
        <v>0</v>
      </c>
      <c r="Y154" s="30">
        <f>'DADOS FINANCEIROS'!S160</f>
        <v>0</v>
      </c>
      <c r="Z154" s="30">
        <f>'DADOS FINANCEIROS'!T160</f>
        <v>0</v>
      </c>
      <c r="AA154" s="30">
        <f>'DADOS FINANCEIROS'!U160</f>
        <v>0</v>
      </c>
      <c r="AB154" s="44">
        <f>'DADOS FINANCEIROS'!V160</f>
        <v>0</v>
      </c>
      <c r="AC154" s="44" t="str">
        <f>TEXT(Tabela1[[#This Row],[Data de Negociação]],"MMM-AA")</f>
        <v>jan-00</v>
      </c>
      <c r="AD154" s="44" t="str">
        <f>TEXT(Tabela1[[#This Row],[Data de Negociação]],"AAAA")</f>
        <v>1900</v>
      </c>
      <c r="AE154" s="44">
        <f>'DADOS FINANCEIROS'!W160</f>
        <v>0</v>
      </c>
      <c r="AF154" s="44" t="str">
        <f>TEXT(Tabela1[[#This Row],[Data da Entrada/Primeira Parcela]],"MMM-AA")</f>
        <v>jan-00</v>
      </c>
      <c r="AG154" s="44" t="str">
        <f>TEXT(Tabela1[[#This Row],[Data da Entrada/Primeira Parcela]],"AAAA")</f>
        <v>1900</v>
      </c>
      <c r="AH154" s="30">
        <f>'DADOS FINANCEIROS'!X160</f>
        <v>0</v>
      </c>
      <c r="AI154" s="46">
        <f>'DADOS FINANCEIROS'!Y160</f>
        <v>0</v>
      </c>
      <c r="AJ154" s="46">
        <f>'DADOS FINANCEIROS'!Z160</f>
        <v>0</v>
      </c>
      <c r="AK15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4" s="98"/>
    </row>
    <row r="155" spans="1:38" x14ac:dyDescent="0.3">
      <c r="A155" s="30">
        <f>'DADOS FINANCEIROS'!D161</f>
        <v>0</v>
      </c>
      <c r="B155" s="30">
        <f>'DADOS FINANCEIROS'!A161</f>
        <v>0</v>
      </c>
      <c r="C155" s="30">
        <f>'DADOS FINANCEIROS'!B161</f>
        <v>0</v>
      </c>
      <c r="D155" s="30">
        <f>'DADOS FINANCEIROS'!C161</f>
        <v>0</v>
      </c>
      <c r="E155" s="44">
        <f>'DADOS FINANCEIROS'!E161</f>
        <v>0</v>
      </c>
      <c r="F155" s="44" t="str">
        <f>TEXT(Tabela1[[#This Row],[DATA DE EMISSÃO]],"MMM-AA")</f>
        <v>jan-00</v>
      </c>
      <c r="G155" s="44" t="str">
        <f>TEXT(Tabela1[[#This Row],[DATA DE EMISSÃO]],"AAAA")</f>
        <v>1900</v>
      </c>
      <c r="H155" s="44">
        <f>'DADOS FINANCEIROS'!F161</f>
        <v>0</v>
      </c>
      <c r="I155" s="44" t="str">
        <f>TEXT(Tabela1[[#This Row],[VENCIMENTO ORIGINAL]],"MMM-AA")</f>
        <v>jan-00</v>
      </c>
      <c r="J155" s="44" t="str">
        <f>TEXT(Tabela1[[#This Row],[VENCIMENTO ORIGINAL]],"AAAA")</f>
        <v>1900</v>
      </c>
      <c r="K155" s="44">
        <f>'DADOS FINANCEIROS'!G161</f>
        <v>0</v>
      </c>
      <c r="L155" s="44" t="str">
        <f>TEXT(Tabela1[[#This Row],[VENCIMENTO ATUAL]],"MMM-AA")</f>
        <v>jan-00</v>
      </c>
      <c r="M155" s="44" t="str">
        <f>TEXT(Tabela1[[#This Row],[VENCIMENTO ATUAL]],"AAAA")</f>
        <v>1900</v>
      </c>
      <c r="N155" s="46">
        <f>'DADOS FINANCEIROS'!H161</f>
        <v>0</v>
      </c>
      <c r="O155" s="30">
        <f>'DADOS FINANCEIROS'!I161</f>
        <v>0</v>
      </c>
      <c r="P155" s="30">
        <f>'DADOS FINANCEIROS'!J161</f>
        <v>0</v>
      </c>
      <c r="Q155" s="30">
        <f>'DADOS FINANCEIROS'!K161</f>
        <v>0</v>
      </c>
      <c r="R155" s="30">
        <f>'DADOS FINANCEIROS'!L161</f>
        <v>0</v>
      </c>
      <c r="S155" s="30">
        <f>'DADOS FINANCEIROS'!M161</f>
        <v>0</v>
      </c>
      <c r="T155" s="30">
        <f>IFERROR('DADOS FINANCEIROS'!N161,"")</f>
        <v>0</v>
      </c>
      <c r="U155" s="30">
        <f>'DADOS FINANCEIROS'!O161</f>
        <v>0</v>
      </c>
      <c r="V155" s="30">
        <f>'DADOS FINANCEIROS'!P161</f>
        <v>0</v>
      </c>
      <c r="W155" s="30">
        <f>'DADOS FINANCEIROS'!Q161</f>
        <v>0</v>
      </c>
      <c r="X155" s="30">
        <f>'DADOS FINANCEIROS'!R161</f>
        <v>0</v>
      </c>
      <c r="Y155" s="30">
        <f>'DADOS FINANCEIROS'!S161</f>
        <v>0</v>
      </c>
      <c r="Z155" s="30">
        <f>'DADOS FINANCEIROS'!T161</f>
        <v>0</v>
      </c>
      <c r="AA155" s="30">
        <f>'DADOS FINANCEIROS'!U161</f>
        <v>0</v>
      </c>
      <c r="AB155" s="44">
        <f>'DADOS FINANCEIROS'!V161</f>
        <v>0</v>
      </c>
      <c r="AC155" s="44" t="str">
        <f>TEXT(Tabela1[[#This Row],[Data de Negociação]],"MMM-AA")</f>
        <v>jan-00</v>
      </c>
      <c r="AD155" s="44" t="str">
        <f>TEXT(Tabela1[[#This Row],[Data de Negociação]],"AAAA")</f>
        <v>1900</v>
      </c>
      <c r="AE155" s="44">
        <f>'DADOS FINANCEIROS'!W161</f>
        <v>0</v>
      </c>
      <c r="AF155" s="44" t="str">
        <f>TEXT(Tabela1[[#This Row],[Data da Entrada/Primeira Parcela]],"MMM-AA")</f>
        <v>jan-00</v>
      </c>
      <c r="AG155" s="44" t="str">
        <f>TEXT(Tabela1[[#This Row],[Data da Entrada/Primeira Parcela]],"AAAA")</f>
        <v>1900</v>
      </c>
      <c r="AH155" s="30">
        <f>'DADOS FINANCEIROS'!X161</f>
        <v>0</v>
      </c>
      <c r="AI155" s="46">
        <f>'DADOS FINANCEIROS'!Y161</f>
        <v>0</v>
      </c>
      <c r="AJ155" s="46">
        <f>'DADOS FINANCEIROS'!Z161</f>
        <v>0</v>
      </c>
      <c r="AK15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5" s="98"/>
    </row>
    <row r="156" spans="1:38" x14ac:dyDescent="0.3">
      <c r="A156" s="30">
        <f>'DADOS FINANCEIROS'!D162</f>
        <v>0</v>
      </c>
      <c r="B156" s="30">
        <f>'DADOS FINANCEIROS'!A162</f>
        <v>0</v>
      </c>
      <c r="C156" s="30">
        <f>'DADOS FINANCEIROS'!B162</f>
        <v>0</v>
      </c>
      <c r="D156" s="30">
        <f>'DADOS FINANCEIROS'!C162</f>
        <v>0</v>
      </c>
      <c r="E156" s="44">
        <f>'DADOS FINANCEIROS'!E162</f>
        <v>0</v>
      </c>
      <c r="F156" s="44" t="str">
        <f>TEXT(Tabela1[[#This Row],[DATA DE EMISSÃO]],"MMM-AA")</f>
        <v>jan-00</v>
      </c>
      <c r="G156" s="44" t="str">
        <f>TEXT(Tabela1[[#This Row],[DATA DE EMISSÃO]],"AAAA")</f>
        <v>1900</v>
      </c>
      <c r="H156" s="44">
        <f>'DADOS FINANCEIROS'!F162</f>
        <v>0</v>
      </c>
      <c r="I156" s="44" t="str">
        <f>TEXT(Tabela1[[#This Row],[VENCIMENTO ORIGINAL]],"MMM-AA")</f>
        <v>jan-00</v>
      </c>
      <c r="J156" s="44" t="str">
        <f>TEXT(Tabela1[[#This Row],[VENCIMENTO ORIGINAL]],"AAAA")</f>
        <v>1900</v>
      </c>
      <c r="K156" s="44">
        <f>'DADOS FINANCEIROS'!G162</f>
        <v>0</v>
      </c>
      <c r="L156" s="44" t="str">
        <f>TEXT(Tabela1[[#This Row],[VENCIMENTO ATUAL]],"MMM-AA")</f>
        <v>jan-00</v>
      </c>
      <c r="M156" s="44" t="str">
        <f>TEXT(Tabela1[[#This Row],[VENCIMENTO ATUAL]],"AAAA")</f>
        <v>1900</v>
      </c>
      <c r="N156" s="46">
        <f>'DADOS FINANCEIROS'!H162</f>
        <v>0</v>
      </c>
      <c r="O156" s="30">
        <f>'DADOS FINANCEIROS'!I162</f>
        <v>0</v>
      </c>
      <c r="P156" s="30">
        <f>'DADOS FINANCEIROS'!J162</f>
        <v>0</v>
      </c>
      <c r="Q156" s="30">
        <f>'DADOS FINANCEIROS'!K162</f>
        <v>0</v>
      </c>
      <c r="R156" s="30">
        <f>'DADOS FINANCEIROS'!L162</f>
        <v>0</v>
      </c>
      <c r="S156" s="30">
        <f>'DADOS FINANCEIROS'!M162</f>
        <v>0</v>
      </c>
      <c r="T156" s="30">
        <f>IFERROR('DADOS FINANCEIROS'!N162,"")</f>
        <v>0</v>
      </c>
      <c r="U156" s="30">
        <f>'DADOS FINANCEIROS'!O162</f>
        <v>0</v>
      </c>
      <c r="V156" s="30">
        <f>'DADOS FINANCEIROS'!P162</f>
        <v>0</v>
      </c>
      <c r="W156" s="30">
        <f>'DADOS FINANCEIROS'!Q162</f>
        <v>0</v>
      </c>
      <c r="X156" s="30">
        <f>'DADOS FINANCEIROS'!R162</f>
        <v>0</v>
      </c>
      <c r="Y156" s="30">
        <f>'DADOS FINANCEIROS'!S162</f>
        <v>0</v>
      </c>
      <c r="Z156" s="30">
        <f>'DADOS FINANCEIROS'!T162</f>
        <v>0</v>
      </c>
      <c r="AA156" s="30">
        <f>'DADOS FINANCEIROS'!U162</f>
        <v>0</v>
      </c>
      <c r="AB156" s="44">
        <f>'DADOS FINANCEIROS'!V162</f>
        <v>0</v>
      </c>
      <c r="AC156" s="44" t="str">
        <f>TEXT(Tabela1[[#This Row],[Data de Negociação]],"MMM-AA")</f>
        <v>jan-00</v>
      </c>
      <c r="AD156" s="44" t="str">
        <f>TEXT(Tabela1[[#This Row],[Data de Negociação]],"AAAA")</f>
        <v>1900</v>
      </c>
      <c r="AE156" s="44">
        <f>'DADOS FINANCEIROS'!W162</f>
        <v>0</v>
      </c>
      <c r="AF156" s="44" t="str">
        <f>TEXT(Tabela1[[#This Row],[Data da Entrada/Primeira Parcela]],"MMM-AA")</f>
        <v>jan-00</v>
      </c>
      <c r="AG156" s="44" t="str">
        <f>TEXT(Tabela1[[#This Row],[Data da Entrada/Primeira Parcela]],"AAAA")</f>
        <v>1900</v>
      </c>
      <c r="AH156" s="30">
        <f>'DADOS FINANCEIROS'!X162</f>
        <v>0</v>
      </c>
      <c r="AI156" s="46">
        <f>'DADOS FINANCEIROS'!Y162</f>
        <v>0</v>
      </c>
      <c r="AJ156" s="46">
        <f>'DADOS FINANCEIROS'!Z162</f>
        <v>0</v>
      </c>
      <c r="AK15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6" s="98"/>
    </row>
    <row r="157" spans="1:38" x14ac:dyDescent="0.3">
      <c r="A157" s="30">
        <f>'DADOS FINANCEIROS'!D163</f>
        <v>0</v>
      </c>
      <c r="B157" s="30">
        <f>'DADOS FINANCEIROS'!A163</f>
        <v>0</v>
      </c>
      <c r="C157" s="30">
        <f>'DADOS FINANCEIROS'!B163</f>
        <v>0</v>
      </c>
      <c r="D157" s="30">
        <f>'DADOS FINANCEIROS'!C163</f>
        <v>0</v>
      </c>
      <c r="E157" s="44">
        <f>'DADOS FINANCEIROS'!E163</f>
        <v>0</v>
      </c>
      <c r="F157" s="44" t="str">
        <f>TEXT(Tabela1[[#This Row],[DATA DE EMISSÃO]],"MMM-AA")</f>
        <v>jan-00</v>
      </c>
      <c r="G157" s="44" t="str">
        <f>TEXT(Tabela1[[#This Row],[DATA DE EMISSÃO]],"AAAA")</f>
        <v>1900</v>
      </c>
      <c r="H157" s="44">
        <f>'DADOS FINANCEIROS'!F163</f>
        <v>0</v>
      </c>
      <c r="I157" s="44" t="str">
        <f>TEXT(Tabela1[[#This Row],[VENCIMENTO ORIGINAL]],"MMM-AA")</f>
        <v>jan-00</v>
      </c>
      <c r="J157" s="44" t="str">
        <f>TEXT(Tabela1[[#This Row],[VENCIMENTO ORIGINAL]],"AAAA")</f>
        <v>1900</v>
      </c>
      <c r="K157" s="44">
        <f>'DADOS FINANCEIROS'!G163</f>
        <v>0</v>
      </c>
      <c r="L157" s="44" t="str">
        <f>TEXT(Tabela1[[#This Row],[VENCIMENTO ATUAL]],"MMM-AA")</f>
        <v>jan-00</v>
      </c>
      <c r="M157" s="44" t="str">
        <f>TEXT(Tabela1[[#This Row],[VENCIMENTO ATUAL]],"AAAA")</f>
        <v>1900</v>
      </c>
      <c r="N157" s="46">
        <f>'DADOS FINANCEIROS'!H163</f>
        <v>0</v>
      </c>
      <c r="O157" s="30">
        <f>'DADOS FINANCEIROS'!I163</f>
        <v>0</v>
      </c>
      <c r="P157" s="30">
        <f>'DADOS FINANCEIROS'!J163</f>
        <v>0</v>
      </c>
      <c r="Q157" s="30">
        <f>'DADOS FINANCEIROS'!K163</f>
        <v>0</v>
      </c>
      <c r="R157" s="30">
        <f>'DADOS FINANCEIROS'!L163</f>
        <v>0</v>
      </c>
      <c r="S157" s="30">
        <f>'DADOS FINANCEIROS'!M163</f>
        <v>0</v>
      </c>
      <c r="T157" s="30">
        <f>IFERROR('DADOS FINANCEIROS'!N163,"")</f>
        <v>0</v>
      </c>
      <c r="U157" s="30">
        <f>'DADOS FINANCEIROS'!O163</f>
        <v>0</v>
      </c>
      <c r="V157" s="30">
        <f>'DADOS FINANCEIROS'!P163</f>
        <v>0</v>
      </c>
      <c r="W157" s="30">
        <f>'DADOS FINANCEIROS'!Q163</f>
        <v>0</v>
      </c>
      <c r="X157" s="30">
        <f>'DADOS FINANCEIROS'!R163</f>
        <v>0</v>
      </c>
      <c r="Y157" s="30">
        <f>'DADOS FINANCEIROS'!S163</f>
        <v>0</v>
      </c>
      <c r="Z157" s="30">
        <f>'DADOS FINANCEIROS'!T163</f>
        <v>0</v>
      </c>
      <c r="AA157" s="30">
        <f>'DADOS FINANCEIROS'!U163</f>
        <v>0</v>
      </c>
      <c r="AB157" s="44">
        <f>'DADOS FINANCEIROS'!V163</f>
        <v>0</v>
      </c>
      <c r="AC157" s="44" t="str">
        <f>TEXT(Tabela1[[#This Row],[Data de Negociação]],"MMM-AA")</f>
        <v>jan-00</v>
      </c>
      <c r="AD157" s="44" t="str">
        <f>TEXT(Tabela1[[#This Row],[Data de Negociação]],"AAAA")</f>
        <v>1900</v>
      </c>
      <c r="AE157" s="44">
        <f>'DADOS FINANCEIROS'!W163</f>
        <v>0</v>
      </c>
      <c r="AF157" s="44" t="str">
        <f>TEXT(Tabela1[[#This Row],[Data da Entrada/Primeira Parcela]],"MMM-AA")</f>
        <v>jan-00</v>
      </c>
      <c r="AG157" s="44" t="str">
        <f>TEXT(Tabela1[[#This Row],[Data da Entrada/Primeira Parcela]],"AAAA")</f>
        <v>1900</v>
      </c>
      <c r="AH157" s="30">
        <f>'DADOS FINANCEIROS'!X163</f>
        <v>0</v>
      </c>
      <c r="AI157" s="46">
        <f>'DADOS FINANCEIROS'!Y163</f>
        <v>0</v>
      </c>
      <c r="AJ157" s="46">
        <f>'DADOS FINANCEIROS'!Z163</f>
        <v>0</v>
      </c>
      <c r="AK15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7" s="98"/>
    </row>
    <row r="158" spans="1:38" x14ac:dyDescent="0.3">
      <c r="A158" s="30">
        <f>'DADOS FINANCEIROS'!D164</f>
        <v>0</v>
      </c>
      <c r="B158" s="30">
        <f>'DADOS FINANCEIROS'!A164</f>
        <v>0</v>
      </c>
      <c r="C158" s="30">
        <f>'DADOS FINANCEIROS'!B164</f>
        <v>0</v>
      </c>
      <c r="D158" s="30">
        <f>'DADOS FINANCEIROS'!C164</f>
        <v>0</v>
      </c>
      <c r="E158" s="44">
        <f>'DADOS FINANCEIROS'!E164</f>
        <v>0</v>
      </c>
      <c r="F158" s="44" t="str">
        <f>TEXT(Tabela1[[#This Row],[DATA DE EMISSÃO]],"MMM-AA")</f>
        <v>jan-00</v>
      </c>
      <c r="G158" s="44" t="str">
        <f>TEXT(Tabela1[[#This Row],[DATA DE EMISSÃO]],"AAAA")</f>
        <v>1900</v>
      </c>
      <c r="H158" s="44">
        <f>'DADOS FINANCEIROS'!F164</f>
        <v>0</v>
      </c>
      <c r="I158" s="44" t="str">
        <f>TEXT(Tabela1[[#This Row],[VENCIMENTO ORIGINAL]],"MMM-AA")</f>
        <v>jan-00</v>
      </c>
      <c r="J158" s="44" t="str">
        <f>TEXT(Tabela1[[#This Row],[VENCIMENTO ORIGINAL]],"AAAA")</f>
        <v>1900</v>
      </c>
      <c r="K158" s="44">
        <f>'DADOS FINANCEIROS'!G164</f>
        <v>0</v>
      </c>
      <c r="L158" s="44" t="str">
        <f>TEXT(Tabela1[[#This Row],[VENCIMENTO ATUAL]],"MMM-AA")</f>
        <v>jan-00</v>
      </c>
      <c r="M158" s="44" t="str">
        <f>TEXT(Tabela1[[#This Row],[VENCIMENTO ATUAL]],"AAAA")</f>
        <v>1900</v>
      </c>
      <c r="N158" s="46">
        <f>'DADOS FINANCEIROS'!H164</f>
        <v>0</v>
      </c>
      <c r="O158" s="30">
        <f>'DADOS FINANCEIROS'!I164</f>
        <v>0</v>
      </c>
      <c r="P158" s="30">
        <f>'DADOS FINANCEIROS'!J164</f>
        <v>0</v>
      </c>
      <c r="Q158" s="30">
        <f>'DADOS FINANCEIROS'!K164</f>
        <v>0</v>
      </c>
      <c r="R158" s="30">
        <f>'DADOS FINANCEIROS'!L164</f>
        <v>0</v>
      </c>
      <c r="S158" s="30">
        <f>'DADOS FINANCEIROS'!M164</f>
        <v>0</v>
      </c>
      <c r="T158" s="30">
        <f>IFERROR('DADOS FINANCEIROS'!N164,"")</f>
        <v>0</v>
      </c>
      <c r="U158" s="30">
        <f>'DADOS FINANCEIROS'!O164</f>
        <v>0</v>
      </c>
      <c r="V158" s="30">
        <f>'DADOS FINANCEIROS'!P164</f>
        <v>0</v>
      </c>
      <c r="W158" s="30">
        <f>'DADOS FINANCEIROS'!Q164</f>
        <v>0</v>
      </c>
      <c r="X158" s="30">
        <f>'DADOS FINANCEIROS'!R164</f>
        <v>0</v>
      </c>
      <c r="Y158" s="30">
        <f>'DADOS FINANCEIROS'!S164</f>
        <v>0</v>
      </c>
      <c r="Z158" s="30">
        <f>'DADOS FINANCEIROS'!T164</f>
        <v>0</v>
      </c>
      <c r="AA158" s="30">
        <f>'DADOS FINANCEIROS'!U164</f>
        <v>0</v>
      </c>
      <c r="AB158" s="44">
        <f>'DADOS FINANCEIROS'!V164</f>
        <v>0</v>
      </c>
      <c r="AC158" s="44" t="str">
        <f>TEXT(Tabela1[[#This Row],[Data de Negociação]],"MMM-AA")</f>
        <v>jan-00</v>
      </c>
      <c r="AD158" s="44" t="str">
        <f>TEXT(Tabela1[[#This Row],[Data de Negociação]],"AAAA")</f>
        <v>1900</v>
      </c>
      <c r="AE158" s="44">
        <f>'DADOS FINANCEIROS'!W164</f>
        <v>0</v>
      </c>
      <c r="AF158" s="44" t="str">
        <f>TEXT(Tabela1[[#This Row],[Data da Entrada/Primeira Parcela]],"MMM-AA")</f>
        <v>jan-00</v>
      </c>
      <c r="AG158" s="44" t="str">
        <f>TEXT(Tabela1[[#This Row],[Data da Entrada/Primeira Parcela]],"AAAA")</f>
        <v>1900</v>
      </c>
      <c r="AH158" s="30">
        <f>'DADOS FINANCEIROS'!X164</f>
        <v>0</v>
      </c>
      <c r="AI158" s="46">
        <f>'DADOS FINANCEIROS'!Y164</f>
        <v>0</v>
      </c>
      <c r="AJ158" s="46">
        <f>'DADOS FINANCEIROS'!Z164</f>
        <v>0</v>
      </c>
      <c r="AK15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8" s="98"/>
    </row>
    <row r="159" spans="1:38" x14ac:dyDescent="0.3">
      <c r="A159" s="30">
        <f>'DADOS FINANCEIROS'!D165</f>
        <v>0</v>
      </c>
      <c r="B159" s="30">
        <f>'DADOS FINANCEIROS'!A165</f>
        <v>0</v>
      </c>
      <c r="C159" s="30">
        <f>'DADOS FINANCEIROS'!B165</f>
        <v>0</v>
      </c>
      <c r="D159" s="30">
        <f>'DADOS FINANCEIROS'!C165</f>
        <v>0</v>
      </c>
      <c r="E159" s="44">
        <f>'DADOS FINANCEIROS'!E165</f>
        <v>0</v>
      </c>
      <c r="F159" s="44" t="str">
        <f>TEXT(Tabela1[[#This Row],[DATA DE EMISSÃO]],"MMM-AA")</f>
        <v>jan-00</v>
      </c>
      <c r="G159" s="44" t="str">
        <f>TEXT(Tabela1[[#This Row],[DATA DE EMISSÃO]],"AAAA")</f>
        <v>1900</v>
      </c>
      <c r="H159" s="44">
        <f>'DADOS FINANCEIROS'!F165</f>
        <v>0</v>
      </c>
      <c r="I159" s="44" t="str">
        <f>TEXT(Tabela1[[#This Row],[VENCIMENTO ORIGINAL]],"MMM-AA")</f>
        <v>jan-00</v>
      </c>
      <c r="J159" s="44" t="str">
        <f>TEXT(Tabela1[[#This Row],[VENCIMENTO ORIGINAL]],"AAAA")</f>
        <v>1900</v>
      </c>
      <c r="K159" s="44">
        <f>'DADOS FINANCEIROS'!G165</f>
        <v>0</v>
      </c>
      <c r="L159" s="44" t="str">
        <f>TEXT(Tabela1[[#This Row],[VENCIMENTO ATUAL]],"MMM-AA")</f>
        <v>jan-00</v>
      </c>
      <c r="M159" s="44" t="str">
        <f>TEXT(Tabela1[[#This Row],[VENCIMENTO ATUAL]],"AAAA")</f>
        <v>1900</v>
      </c>
      <c r="N159" s="46">
        <f>'DADOS FINANCEIROS'!H165</f>
        <v>0</v>
      </c>
      <c r="O159" s="30">
        <f>'DADOS FINANCEIROS'!I165</f>
        <v>0</v>
      </c>
      <c r="P159" s="30">
        <f>'DADOS FINANCEIROS'!J165</f>
        <v>0</v>
      </c>
      <c r="Q159" s="30">
        <f>'DADOS FINANCEIROS'!K165</f>
        <v>0</v>
      </c>
      <c r="R159" s="30">
        <f>'DADOS FINANCEIROS'!L165</f>
        <v>0</v>
      </c>
      <c r="S159" s="30">
        <f>'DADOS FINANCEIROS'!M165</f>
        <v>0</v>
      </c>
      <c r="T159" s="30">
        <f>IFERROR('DADOS FINANCEIROS'!N165,"")</f>
        <v>0</v>
      </c>
      <c r="U159" s="30">
        <f>'DADOS FINANCEIROS'!O165</f>
        <v>0</v>
      </c>
      <c r="V159" s="30">
        <f>'DADOS FINANCEIROS'!P165</f>
        <v>0</v>
      </c>
      <c r="W159" s="30">
        <f>'DADOS FINANCEIROS'!Q165</f>
        <v>0</v>
      </c>
      <c r="X159" s="30">
        <f>'DADOS FINANCEIROS'!R165</f>
        <v>0</v>
      </c>
      <c r="Y159" s="30">
        <f>'DADOS FINANCEIROS'!S165</f>
        <v>0</v>
      </c>
      <c r="Z159" s="30">
        <f>'DADOS FINANCEIROS'!T165</f>
        <v>0</v>
      </c>
      <c r="AA159" s="30">
        <f>'DADOS FINANCEIROS'!U165</f>
        <v>0</v>
      </c>
      <c r="AB159" s="44">
        <f>'DADOS FINANCEIROS'!V165</f>
        <v>0</v>
      </c>
      <c r="AC159" s="44" t="str">
        <f>TEXT(Tabela1[[#This Row],[Data de Negociação]],"MMM-AA")</f>
        <v>jan-00</v>
      </c>
      <c r="AD159" s="44" t="str">
        <f>TEXT(Tabela1[[#This Row],[Data de Negociação]],"AAAA")</f>
        <v>1900</v>
      </c>
      <c r="AE159" s="44">
        <f>'DADOS FINANCEIROS'!W165</f>
        <v>0</v>
      </c>
      <c r="AF159" s="44" t="str">
        <f>TEXT(Tabela1[[#This Row],[Data da Entrada/Primeira Parcela]],"MMM-AA")</f>
        <v>jan-00</v>
      </c>
      <c r="AG159" s="44" t="str">
        <f>TEXT(Tabela1[[#This Row],[Data da Entrada/Primeira Parcela]],"AAAA")</f>
        <v>1900</v>
      </c>
      <c r="AH159" s="30">
        <f>'DADOS FINANCEIROS'!X165</f>
        <v>0</v>
      </c>
      <c r="AI159" s="46">
        <f>'DADOS FINANCEIROS'!Y165</f>
        <v>0</v>
      </c>
      <c r="AJ159" s="46">
        <f>'DADOS FINANCEIROS'!Z165</f>
        <v>0</v>
      </c>
      <c r="AK15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59" s="98"/>
    </row>
    <row r="160" spans="1:38" x14ac:dyDescent="0.3">
      <c r="A160" s="30">
        <f>'DADOS FINANCEIROS'!D166</f>
        <v>0</v>
      </c>
      <c r="B160" s="30">
        <f>'DADOS FINANCEIROS'!A166</f>
        <v>0</v>
      </c>
      <c r="C160" s="30">
        <f>'DADOS FINANCEIROS'!B166</f>
        <v>0</v>
      </c>
      <c r="D160" s="30">
        <f>'DADOS FINANCEIROS'!C166</f>
        <v>0</v>
      </c>
      <c r="E160" s="44">
        <f>'DADOS FINANCEIROS'!E166</f>
        <v>0</v>
      </c>
      <c r="F160" s="44" t="str">
        <f>TEXT(Tabela1[[#This Row],[DATA DE EMISSÃO]],"MMM-AA")</f>
        <v>jan-00</v>
      </c>
      <c r="G160" s="44" t="str">
        <f>TEXT(Tabela1[[#This Row],[DATA DE EMISSÃO]],"AAAA")</f>
        <v>1900</v>
      </c>
      <c r="H160" s="44">
        <f>'DADOS FINANCEIROS'!F166</f>
        <v>0</v>
      </c>
      <c r="I160" s="44" t="str">
        <f>TEXT(Tabela1[[#This Row],[VENCIMENTO ORIGINAL]],"MMM-AA")</f>
        <v>jan-00</v>
      </c>
      <c r="J160" s="44" t="str">
        <f>TEXT(Tabela1[[#This Row],[VENCIMENTO ORIGINAL]],"AAAA")</f>
        <v>1900</v>
      </c>
      <c r="K160" s="44">
        <f>'DADOS FINANCEIROS'!G166</f>
        <v>0</v>
      </c>
      <c r="L160" s="44" t="str">
        <f>TEXT(Tabela1[[#This Row],[VENCIMENTO ATUAL]],"MMM-AA")</f>
        <v>jan-00</v>
      </c>
      <c r="M160" s="44" t="str">
        <f>TEXT(Tabela1[[#This Row],[VENCIMENTO ATUAL]],"AAAA")</f>
        <v>1900</v>
      </c>
      <c r="N160" s="46">
        <f>'DADOS FINANCEIROS'!H166</f>
        <v>0</v>
      </c>
      <c r="O160" s="30">
        <f>'DADOS FINANCEIROS'!I166</f>
        <v>0</v>
      </c>
      <c r="P160" s="30">
        <f>'DADOS FINANCEIROS'!J166</f>
        <v>0</v>
      </c>
      <c r="Q160" s="30">
        <f>'DADOS FINANCEIROS'!K166</f>
        <v>0</v>
      </c>
      <c r="R160" s="30">
        <f>'DADOS FINANCEIROS'!L166</f>
        <v>0</v>
      </c>
      <c r="S160" s="30">
        <f>'DADOS FINANCEIROS'!M166</f>
        <v>0</v>
      </c>
      <c r="T160" s="30">
        <f>IFERROR('DADOS FINANCEIROS'!N166,"")</f>
        <v>0</v>
      </c>
      <c r="U160" s="30">
        <f>'DADOS FINANCEIROS'!O166</f>
        <v>0</v>
      </c>
      <c r="V160" s="30">
        <f>'DADOS FINANCEIROS'!P166</f>
        <v>0</v>
      </c>
      <c r="W160" s="30">
        <f>'DADOS FINANCEIROS'!Q166</f>
        <v>0</v>
      </c>
      <c r="X160" s="30">
        <f>'DADOS FINANCEIROS'!R166</f>
        <v>0</v>
      </c>
      <c r="Y160" s="30">
        <f>'DADOS FINANCEIROS'!S166</f>
        <v>0</v>
      </c>
      <c r="Z160" s="30">
        <f>'DADOS FINANCEIROS'!T166</f>
        <v>0</v>
      </c>
      <c r="AA160" s="30">
        <f>'DADOS FINANCEIROS'!U166</f>
        <v>0</v>
      </c>
      <c r="AB160" s="44">
        <f>'DADOS FINANCEIROS'!V166</f>
        <v>0</v>
      </c>
      <c r="AC160" s="44" t="str">
        <f>TEXT(Tabela1[[#This Row],[Data de Negociação]],"MMM-AA")</f>
        <v>jan-00</v>
      </c>
      <c r="AD160" s="44" t="str">
        <f>TEXT(Tabela1[[#This Row],[Data de Negociação]],"AAAA")</f>
        <v>1900</v>
      </c>
      <c r="AE160" s="44">
        <f>'DADOS FINANCEIROS'!W166</f>
        <v>0</v>
      </c>
      <c r="AF160" s="44" t="str">
        <f>TEXT(Tabela1[[#This Row],[Data da Entrada/Primeira Parcela]],"MMM-AA")</f>
        <v>jan-00</v>
      </c>
      <c r="AG160" s="44" t="str">
        <f>TEXT(Tabela1[[#This Row],[Data da Entrada/Primeira Parcela]],"AAAA")</f>
        <v>1900</v>
      </c>
      <c r="AH160" s="30">
        <f>'DADOS FINANCEIROS'!X166</f>
        <v>0</v>
      </c>
      <c r="AI160" s="46">
        <f>'DADOS FINANCEIROS'!Y166</f>
        <v>0</v>
      </c>
      <c r="AJ160" s="46">
        <f>'DADOS FINANCEIROS'!Z166</f>
        <v>0</v>
      </c>
      <c r="AK16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0" s="98"/>
    </row>
    <row r="161" spans="1:38" x14ac:dyDescent="0.3">
      <c r="A161" s="30">
        <f>'DADOS FINANCEIROS'!D167</f>
        <v>0</v>
      </c>
      <c r="B161" s="30">
        <f>'DADOS FINANCEIROS'!A167</f>
        <v>0</v>
      </c>
      <c r="C161" s="30">
        <f>'DADOS FINANCEIROS'!B167</f>
        <v>0</v>
      </c>
      <c r="D161" s="30">
        <f>'DADOS FINANCEIROS'!C167</f>
        <v>0</v>
      </c>
      <c r="E161" s="44">
        <f>'DADOS FINANCEIROS'!E167</f>
        <v>0</v>
      </c>
      <c r="F161" s="44" t="str">
        <f>TEXT(Tabela1[[#This Row],[DATA DE EMISSÃO]],"MMM-AA")</f>
        <v>jan-00</v>
      </c>
      <c r="G161" s="44" t="str">
        <f>TEXT(Tabela1[[#This Row],[DATA DE EMISSÃO]],"AAAA")</f>
        <v>1900</v>
      </c>
      <c r="H161" s="44">
        <f>'DADOS FINANCEIROS'!F167</f>
        <v>0</v>
      </c>
      <c r="I161" s="44" t="str">
        <f>TEXT(Tabela1[[#This Row],[VENCIMENTO ORIGINAL]],"MMM-AA")</f>
        <v>jan-00</v>
      </c>
      <c r="J161" s="44" t="str">
        <f>TEXT(Tabela1[[#This Row],[VENCIMENTO ORIGINAL]],"AAAA")</f>
        <v>1900</v>
      </c>
      <c r="K161" s="44">
        <f>'DADOS FINANCEIROS'!G167</f>
        <v>0</v>
      </c>
      <c r="L161" s="44" t="str">
        <f>TEXT(Tabela1[[#This Row],[VENCIMENTO ATUAL]],"MMM-AA")</f>
        <v>jan-00</v>
      </c>
      <c r="M161" s="44" t="str">
        <f>TEXT(Tabela1[[#This Row],[VENCIMENTO ATUAL]],"AAAA")</f>
        <v>1900</v>
      </c>
      <c r="N161" s="46">
        <f>'DADOS FINANCEIROS'!H167</f>
        <v>0</v>
      </c>
      <c r="O161" s="30">
        <f>'DADOS FINANCEIROS'!I167</f>
        <v>0</v>
      </c>
      <c r="P161" s="30">
        <f>'DADOS FINANCEIROS'!J167</f>
        <v>0</v>
      </c>
      <c r="Q161" s="30">
        <f>'DADOS FINANCEIROS'!K167</f>
        <v>0</v>
      </c>
      <c r="R161" s="30">
        <f>'DADOS FINANCEIROS'!L167</f>
        <v>0</v>
      </c>
      <c r="S161" s="30">
        <f>'DADOS FINANCEIROS'!M167</f>
        <v>0</v>
      </c>
      <c r="T161" s="30">
        <f>IFERROR('DADOS FINANCEIROS'!N167,"")</f>
        <v>0</v>
      </c>
      <c r="U161" s="30">
        <f>'DADOS FINANCEIROS'!O167</f>
        <v>0</v>
      </c>
      <c r="V161" s="30">
        <f>'DADOS FINANCEIROS'!P167</f>
        <v>0</v>
      </c>
      <c r="W161" s="30">
        <f>'DADOS FINANCEIROS'!Q167</f>
        <v>0</v>
      </c>
      <c r="X161" s="30">
        <f>'DADOS FINANCEIROS'!R167</f>
        <v>0</v>
      </c>
      <c r="Y161" s="30">
        <f>'DADOS FINANCEIROS'!S167</f>
        <v>0</v>
      </c>
      <c r="Z161" s="30">
        <f>'DADOS FINANCEIROS'!T167</f>
        <v>0</v>
      </c>
      <c r="AA161" s="30">
        <f>'DADOS FINANCEIROS'!U167</f>
        <v>0</v>
      </c>
      <c r="AB161" s="44">
        <f>'DADOS FINANCEIROS'!V167</f>
        <v>0</v>
      </c>
      <c r="AC161" s="44" t="str">
        <f>TEXT(Tabela1[[#This Row],[Data de Negociação]],"MMM-AA")</f>
        <v>jan-00</v>
      </c>
      <c r="AD161" s="44" t="str">
        <f>TEXT(Tabela1[[#This Row],[Data de Negociação]],"AAAA")</f>
        <v>1900</v>
      </c>
      <c r="AE161" s="44">
        <f>'DADOS FINANCEIROS'!W167</f>
        <v>0</v>
      </c>
      <c r="AF161" s="44" t="str">
        <f>TEXT(Tabela1[[#This Row],[Data da Entrada/Primeira Parcela]],"MMM-AA")</f>
        <v>jan-00</v>
      </c>
      <c r="AG161" s="44" t="str">
        <f>TEXT(Tabela1[[#This Row],[Data da Entrada/Primeira Parcela]],"AAAA")</f>
        <v>1900</v>
      </c>
      <c r="AH161" s="30">
        <f>'DADOS FINANCEIROS'!X167</f>
        <v>0</v>
      </c>
      <c r="AI161" s="46">
        <f>'DADOS FINANCEIROS'!Y167</f>
        <v>0</v>
      </c>
      <c r="AJ161" s="46">
        <f>'DADOS FINANCEIROS'!Z167</f>
        <v>0</v>
      </c>
      <c r="AK16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1" s="98"/>
    </row>
    <row r="162" spans="1:38" x14ac:dyDescent="0.3">
      <c r="A162" s="30">
        <f>'DADOS FINANCEIROS'!D168</f>
        <v>0</v>
      </c>
      <c r="B162" s="30">
        <f>'DADOS FINANCEIROS'!A168</f>
        <v>0</v>
      </c>
      <c r="C162" s="30">
        <f>'DADOS FINANCEIROS'!B168</f>
        <v>0</v>
      </c>
      <c r="D162" s="30">
        <f>'DADOS FINANCEIROS'!C168</f>
        <v>0</v>
      </c>
      <c r="E162" s="44">
        <f>'DADOS FINANCEIROS'!E168</f>
        <v>0</v>
      </c>
      <c r="F162" s="44" t="str">
        <f>TEXT(Tabela1[[#This Row],[DATA DE EMISSÃO]],"MMM-AA")</f>
        <v>jan-00</v>
      </c>
      <c r="G162" s="44" t="str">
        <f>TEXT(Tabela1[[#This Row],[DATA DE EMISSÃO]],"AAAA")</f>
        <v>1900</v>
      </c>
      <c r="H162" s="44">
        <f>'DADOS FINANCEIROS'!F168</f>
        <v>0</v>
      </c>
      <c r="I162" s="44" t="str">
        <f>TEXT(Tabela1[[#This Row],[VENCIMENTO ORIGINAL]],"MMM-AA")</f>
        <v>jan-00</v>
      </c>
      <c r="J162" s="44" t="str">
        <f>TEXT(Tabela1[[#This Row],[VENCIMENTO ORIGINAL]],"AAAA")</f>
        <v>1900</v>
      </c>
      <c r="K162" s="44">
        <f>'DADOS FINANCEIROS'!G168</f>
        <v>0</v>
      </c>
      <c r="L162" s="44" t="str">
        <f>TEXT(Tabela1[[#This Row],[VENCIMENTO ATUAL]],"MMM-AA")</f>
        <v>jan-00</v>
      </c>
      <c r="M162" s="44" t="str">
        <f>TEXT(Tabela1[[#This Row],[VENCIMENTO ATUAL]],"AAAA")</f>
        <v>1900</v>
      </c>
      <c r="N162" s="46">
        <f>'DADOS FINANCEIROS'!H168</f>
        <v>0</v>
      </c>
      <c r="O162" s="30">
        <f>'DADOS FINANCEIROS'!I168</f>
        <v>0</v>
      </c>
      <c r="P162" s="30">
        <f>'DADOS FINANCEIROS'!J168</f>
        <v>0</v>
      </c>
      <c r="Q162" s="30">
        <f>'DADOS FINANCEIROS'!K168</f>
        <v>0</v>
      </c>
      <c r="R162" s="30">
        <f>'DADOS FINANCEIROS'!L168</f>
        <v>0</v>
      </c>
      <c r="S162" s="30">
        <f>'DADOS FINANCEIROS'!M168</f>
        <v>0</v>
      </c>
      <c r="T162" s="30">
        <f>IFERROR('DADOS FINANCEIROS'!N168,"")</f>
        <v>0</v>
      </c>
      <c r="U162" s="30">
        <f>'DADOS FINANCEIROS'!O168</f>
        <v>0</v>
      </c>
      <c r="V162" s="30">
        <f>'DADOS FINANCEIROS'!P168</f>
        <v>0</v>
      </c>
      <c r="W162" s="30">
        <f>'DADOS FINANCEIROS'!Q168</f>
        <v>0</v>
      </c>
      <c r="X162" s="30">
        <f>'DADOS FINANCEIROS'!R168</f>
        <v>0</v>
      </c>
      <c r="Y162" s="30">
        <f>'DADOS FINANCEIROS'!S168</f>
        <v>0</v>
      </c>
      <c r="Z162" s="30">
        <f>'DADOS FINANCEIROS'!T168</f>
        <v>0</v>
      </c>
      <c r="AA162" s="30">
        <f>'DADOS FINANCEIROS'!U168</f>
        <v>0</v>
      </c>
      <c r="AB162" s="44">
        <f>'DADOS FINANCEIROS'!V168</f>
        <v>0</v>
      </c>
      <c r="AC162" s="44" t="str">
        <f>TEXT(Tabela1[[#This Row],[Data de Negociação]],"MMM-AA")</f>
        <v>jan-00</v>
      </c>
      <c r="AD162" s="44" t="str">
        <f>TEXT(Tabela1[[#This Row],[Data de Negociação]],"AAAA")</f>
        <v>1900</v>
      </c>
      <c r="AE162" s="44">
        <f>'DADOS FINANCEIROS'!W168</f>
        <v>0</v>
      </c>
      <c r="AF162" s="44" t="str">
        <f>TEXT(Tabela1[[#This Row],[Data da Entrada/Primeira Parcela]],"MMM-AA")</f>
        <v>jan-00</v>
      </c>
      <c r="AG162" s="44" t="str">
        <f>TEXT(Tabela1[[#This Row],[Data da Entrada/Primeira Parcela]],"AAAA")</f>
        <v>1900</v>
      </c>
      <c r="AH162" s="30">
        <f>'DADOS FINANCEIROS'!X168</f>
        <v>0</v>
      </c>
      <c r="AI162" s="46">
        <f>'DADOS FINANCEIROS'!Y168</f>
        <v>0</v>
      </c>
      <c r="AJ162" s="46">
        <f>'DADOS FINANCEIROS'!Z168</f>
        <v>0</v>
      </c>
      <c r="AK16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2" s="98"/>
    </row>
    <row r="163" spans="1:38" x14ac:dyDescent="0.3">
      <c r="A163" s="30">
        <f>'DADOS FINANCEIROS'!D169</f>
        <v>0</v>
      </c>
      <c r="B163" s="30">
        <f>'DADOS FINANCEIROS'!A169</f>
        <v>0</v>
      </c>
      <c r="C163" s="30">
        <f>'DADOS FINANCEIROS'!B169</f>
        <v>0</v>
      </c>
      <c r="D163" s="30">
        <f>'DADOS FINANCEIROS'!C169</f>
        <v>0</v>
      </c>
      <c r="E163" s="44">
        <f>'DADOS FINANCEIROS'!E169</f>
        <v>0</v>
      </c>
      <c r="F163" s="44" t="str">
        <f>TEXT(Tabela1[[#This Row],[DATA DE EMISSÃO]],"MMM-AA")</f>
        <v>jan-00</v>
      </c>
      <c r="G163" s="44" t="str">
        <f>TEXT(Tabela1[[#This Row],[DATA DE EMISSÃO]],"AAAA")</f>
        <v>1900</v>
      </c>
      <c r="H163" s="44">
        <f>'DADOS FINANCEIROS'!F169</f>
        <v>0</v>
      </c>
      <c r="I163" s="44" t="str">
        <f>TEXT(Tabela1[[#This Row],[VENCIMENTO ORIGINAL]],"MMM-AA")</f>
        <v>jan-00</v>
      </c>
      <c r="J163" s="44" t="str">
        <f>TEXT(Tabela1[[#This Row],[VENCIMENTO ORIGINAL]],"AAAA")</f>
        <v>1900</v>
      </c>
      <c r="K163" s="44">
        <f>'DADOS FINANCEIROS'!G169</f>
        <v>0</v>
      </c>
      <c r="L163" s="44" t="str">
        <f>TEXT(Tabela1[[#This Row],[VENCIMENTO ATUAL]],"MMM-AA")</f>
        <v>jan-00</v>
      </c>
      <c r="M163" s="44" t="str">
        <f>TEXT(Tabela1[[#This Row],[VENCIMENTO ATUAL]],"AAAA")</f>
        <v>1900</v>
      </c>
      <c r="N163" s="46">
        <f>'DADOS FINANCEIROS'!H169</f>
        <v>0</v>
      </c>
      <c r="O163" s="30">
        <f>'DADOS FINANCEIROS'!I169</f>
        <v>0</v>
      </c>
      <c r="P163" s="30">
        <f>'DADOS FINANCEIROS'!J169</f>
        <v>0</v>
      </c>
      <c r="Q163" s="30">
        <f>'DADOS FINANCEIROS'!K169</f>
        <v>0</v>
      </c>
      <c r="R163" s="30">
        <f>'DADOS FINANCEIROS'!L169</f>
        <v>0</v>
      </c>
      <c r="S163" s="30">
        <f>'DADOS FINANCEIROS'!M169</f>
        <v>0</v>
      </c>
      <c r="T163" s="30">
        <f>IFERROR('DADOS FINANCEIROS'!N169,"")</f>
        <v>0</v>
      </c>
      <c r="U163" s="30">
        <f>'DADOS FINANCEIROS'!O169</f>
        <v>0</v>
      </c>
      <c r="V163" s="30">
        <f>'DADOS FINANCEIROS'!P169</f>
        <v>0</v>
      </c>
      <c r="W163" s="30">
        <f>'DADOS FINANCEIROS'!Q169</f>
        <v>0</v>
      </c>
      <c r="X163" s="30">
        <f>'DADOS FINANCEIROS'!R169</f>
        <v>0</v>
      </c>
      <c r="Y163" s="30">
        <f>'DADOS FINANCEIROS'!S169</f>
        <v>0</v>
      </c>
      <c r="Z163" s="30">
        <f>'DADOS FINANCEIROS'!T169</f>
        <v>0</v>
      </c>
      <c r="AA163" s="30">
        <f>'DADOS FINANCEIROS'!U169</f>
        <v>0</v>
      </c>
      <c r="AB163" s="44">
        <f>'DADOS FINANCEIROS'!V169</f>
        <v>0</v>
      </c>
      <c r="AC163" s="44" t="str">
        <f>TEXT(Tabela1[[#This Row],[Data de Negociação]],"MMM-AA")</f>
        <v>jan-00</v>
      </c>
      <c r="AD163" s="44" t="str">
        <f>TEXT(Tabela1[[#This Row],[Data de Negociação]],"AAAA")</f>
        <v>1900</v>
      </c>
      <c r="AE163" s="44">
        <f>'DADOS FINANCEIROS'!W169</f>
        <v>0</v>
      </c>
      <c r="AF163" s="44" t="str">
        <f>TEXT(Tabela1[[#This Row],[Data da Entrada/Primeira Parcela]],"MMM-AA")</f>
        <v>jan-00</v>
      </c>
      <c r="AG163" s="44" t="str">
        <f>TEXT(Tabela1[[#This Row],[Data da Entrada/Primeira Parcela]],"AAAA")</f>
        <v>1900</v>
      </c>
      <c r="AH163" s="30">
        <f>'DADOS FINANCEIROS'!X169</f>
        <v>0</v>
      </c>
      <c r="AI163" s="46">
        <f>'DADOS FINANCEIROS'!Y169</f>
        <v>0</v>
      </c>
      <c r="AJ163" s="46">
        <f>'DADOS FINANCEIROS'!Z169</f>
        <v>0</v>
      </c>
      <c r="AK16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3" s="98"/>
    </row>
    <row r="164" spans="1:38" x14ac:dyDescent="0.3">
      <c r="A164" s="30">
        <f>'DADOS FINANCEIROS'!D170</f>
        <v>0</v>
      </c>
      <c r="B164" s="30">
        <f>'DADOS FINANCEIROS'!A170</f>
        <v>0</v>
      </c>
      <c r="C164" s="30">
        <f>'DADOS FINANCEIROS'!B170</f>
        <v>0</v>
      </c>
      <c r="D164" s="30">
        <f>'DADOS FINANCEIROS'!C170</f>
        <v>0</v>
      </c>
      <c r="E164" s="44">
        <f>'DADOS FINANCEIROS'!E170</f>
        <v>0</v>
      </c>
      <c r="F164" s="44" t="str">
        <f>TEXT(Tabela1[[#This Row],[DATA DE EMISSÃO]],"MMM-AA")</f>
        <v>jan-00</v>
      </c>
      <c r="G164" s="44" t="str">
        <f>TEXT(Tabela1[[#This Row],[DATA DE EMISSÃO]],"AAAA")</f>
        <v>1900</v>
      </c>
      <c r="H164" s="44">
        <f>'DADOS FINANCEIROS'!F170</f>
        <v>0</v>
      </c>
      <c r="I164" s="44" t="str">
        <f>TEXT(Tabela1[[#This Row],[VENCIMENTO ORIGINAL]],"MMM-AA")</f>
        <v>jan-00</v>
      </c>
      <c r="J164" s="44" t="str">
        <f>TEXT(Tabela1[[#This Row],[VENCIMENTO ORIGINAL]],"AAAA")</f>
        <v>1900</v>
      </c>
      <c r="K164" s="44">
        <f>'DADOS FINANCEIROS'!G170</f>
        <v>0</v>
      </c>
      <c r="L164" s="44" t="str">
        <f>TEXT(Tabela1[[#This Row],[VENCIMENTO ATUAL]],"MMM-AA")</f>
        <v>jan-00</v>
      </c>
      <c r="M164" s="44" t="str">
        <f>TEXT(Tabela1[[#This Row],[VENCIMENTO ATUAL]],"AAAA")</f>
        <v>1900</v>
      </c>
      <c r="N164" s="46">
        <f>'DADOS FINANCEIROS'!H170</f>
        <v>0</v>
      </c>
      <c r="O164" s="30">
        <f>'DADOS FINANCEIROS'!I170</f>
        <v>0</v>
      </c>
      <c r="P164" s="30">
        <f>'DADOS FINANCEIROS'!J170</f>
        <v>0</v>
      </c>
      <c r="Q164" s="30">
        <f>'DADOS FINANCEIROS'!K170</f>
        <v>0</v>
      </c>
      <c r="R164" s="30">
        <f>'DADOS FINANCEIROS'!L170</f>
        <v>0</v>
      </c>
      <c r="S164" s="30">
        <f>'DADOS FINANCEIROS'!M170</f>
        <v>0</v>
      </c>
      <c r="T164" s="30">
        <f>IFERROR('DADOS FINANCEIROS'!N170,"")</f>
        <v>0</v>
      </c>
      <c r="U164" s="30">
        <f>'DADOS FINANCEIROS'!O170</f>
        <v>0</v>
      </c>
      <c r="V164" s="30">
        <f>'DADOS FINANCEIROS'!P170</f>
        <v>0</v>
      </c>
      <c r="W164" s="30">
        <f>'DADOS FINANCEIROS'!Q170</f>
        <v>0</v>
      </c>
      <c r="X164" s="30">
        <f>'DADOS FINANCEIROS'!R170</f>
        <v>0</v>
      </c>
      <c r="Y164" s="30">
        <f>'DADOS FINANCEIROS'!S170</f>
        <v>0</v>
      </c>
      <c r="Z164" s="30">
        <f>'DADOS FINANCEIROS'!T170</f>
        <v>0</v>
      </c>
      <c r="AA164" s="30">
        <f>'DADOS FINANCEIROS'!U170</f>
        <v>0</v>
      </c>
      <c r="AB164" s="44">
        <f>'DADOS FINANCEIROS'!V170</f>
        <v>0</v>
      </c>
      <c r="AC164" s="44" t="str">
        <f>TEXT(Tabela1[[#This Row],[Data de Negociação]],"MMM-AA")</f>
        <v>jan-00</v>
      </c>
      <c r="AD164" s="44" t="str">
        <f>TEXT(Tabela1[[#This Row],[Data de Negociação]],"AAAA")</f>
        <v>1900</v>
      </c>
      <c r="AE164" s="44">
        <f>'DADOS FINANCEIROS'!W170</f>
        <v>0</v>
      </c>
      <c r="AF164" s="44" t="str">
        <f>TEXT(Tabela1[[#This Row],[Data da Entrada/Primeira Parcela]],"MMM-AA")</f>
        <v>jan-00</v>
      </c>
      <c r="AG164" s="44" t="str">
        <f>TEXT(Tabela1[[#This Row],[Data da Entrada/Primeira Parcela]],"AAAA")</f>
        <v>1900</v>
      </c>
      <c r="AH164" s="30">
        <f>'DADOS FINANCEIROS'!X170</f>
        <v>0</v>
      </c>
      <c r="AI164" s="46">
        <f>'DADOS FINANCEIROS'!Y170</f>
        <v>0</v>
      </c>
      <c r="AJ164" s="46">
        <f>'DADOS FINANCEIROS'!Z170</f>
        <v>0</v>
      </c>
      <c r="AK16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4" s="98"/>
    </row>
    <row r="165" spans="1:38" x14ac:dyDescent="0.3">
      <c r="A165" s="30">
        <f>'DADOS FINANCEIROS'!D171</f>
        <v>0</v>
      </c>
      <c r="B165" s="30">
        <f>'DADOS FINANCEIROS'!A171</f>
        <v>0</v>
      </c>
      <c r="C165" s="30">
        <f>'DADOS FINANCEIROS'!B171</f>
        <v>0</v>
      </c>
      <c r="D165" s="30">
        <f>'DADOS FINANCEIROS'!C171</f>
        <v>0</v>
      </c>
      <c r="E165" s="44">
        <f>'DADOS FINANCEIROS'!E171</f>
        <v>0</v>
      </c>
      <c r="F165" s="44" t="str">
        <f>TEXT(Tabela1[[#This Row],[DATA DE EMISSÃO]],"MMM-AA")</f>
        <v>jan-00</v>
      </c>
      <c r="G165" s="44" t="str">
        <f>TEXT(Tabela1[[#This Row],[DATA DE EMISSÃO]],"AAAA")</f>
        <v>1900</v>
      </c>
      <c r="H165" s="44">
        <f>'DADOS FINANCEIROS'!F171</f>
        <v>0</v>
      </c>
      <c r="I165" s="44" t="str">
        <f>TEXT(Tabela1[[#This Row],[VENCIMENTO ORIGINAL]],"MMM-AA")</f>
        <v>jan-00</v>
      </c>
      <c r="J165" s="44" t="str">
        <f>TEXT(Tabela1[[#This Row],[VENCIMENTO ORIGINAL]],"AAAA")</f>
        <v>1900</v>
      </c>
      <c r="K165" s="44">
        <f>'DADOS FINANCEIROS'!G171</f>
        <v>0</v>
      </c>
      <c r="L165" s="44" t="str">
        <f>TEXT(Tabela1[[#This Row],[VENCIMENTO ATUAL]],"MMM-AA")</f>
        <v>jan-00</v>
      </c>
      <c r="M165" s="44" t="str">
        <f>TEXT(Tabela1[[#This Row],[VENCIMENTO ATUAL]],"AAAA")</f>
        <v>1900</v>
      </c>
      <c r="N165" s="46">
        <f>'DADOS FINANCEIROS'!H171</f>
        <v>0</v>
      </c>
      <c r="O165" s="30">
        <f>'DADOS FINANCEIROS'!I171</f>
        <v>0</v>
      </c>
      <c r="P165" s="30">
        <f>'DADOS FINANCEIROS'!J171</f>
        <v>0</v>
      </c>
      <c r="Q165" s="30">
        <f>'DADOS FINANCEIROS'!K171</f>
        <v>0</v>
      </c>
      <c r="R165" s="30">
        <f>'DADOS FINANCEIROS'!L171</f>
        <v>0</v>
      </c>
      <c r="S165" s="30">
        <f>'DADOS FINANCEIROS'!M171</f>
        <v>0</v>
      </c>
      <c r="T165" s="30">
        <f>IFERROR('DADOS FINANCEIROS'!N171,"")</f>
        <v>0</v>
      </c>
      <c r="U165" s="30">
        <f>'DADOS FINANCEIROS'!O171</f>
        <v>0</v>
      </c>
      <c r="V165" s="30">
        <f>'DADOS FINANCEIROS'!P171</f>
        <v>0</v>
      </c>
      <c r="W165" s="30">
        <f>'DADOS FINANCEIROS'!Q171</f>
        <v>0</v>
      </c>
      <c r="X165" s="30">
        <f>'DADOS FINANCEIROS'!R171</f>
        <v>0</v>
      </c>
      <c r="Y165" s="30">
        <f>'DADOS FINANCEIROS'!S171</f>
        <v>0</v>
      </c>
      <c r="Z165" s="30">
        <f>'DADOS FINANCEIROS'!T171</f>
        <v>0</v>
      </c>
      <c r="AA165" s="30">
        <f>'DADOS FINANCEIROS'!U171</f>
        <v>0</v>
      </c>
      <c r="AB165" s="44">
        <f>'DADOS FINANCEIROS'!V171</f>
        <v>0</v>
      </c>
      <c r="AC165" s="44" t="str">
        <f>TEXT(Tabela1[[#This Row],[Data de Negociação]],"MMM-AA")</f>
        <v>jan-00</v>
      </c>
      <c r="AD165" s="44" t="str">
        <f>TEXT(Tabela1[[#This Row],[Data de Negociação]],"AAAA")</f>
        <v>1900</v>
      </c>
      <c r="AE165" s="44">
        <f>'DADOS FINANCEIROS'!W171</f>
        <v>0</v>
      </c>
      <c r="AF165" s="44" t="str">
        <f>TEXT(Tabela1[[#This Row],[Data da Entrada/Primeira Parcela]],"MMM-AA")</f>
        <v>jan-00</v>
      </c>
      <c r="AG165" s="44" t="str">
        <f>TEXT(Tabela1[[#This Row],[Data da Entrada/Primeira Parcela]],"AAAA")</f>
        <v>1900</v>
      </c>
      <c r="AH165" s="30">
        <f>'DADOS FINANCEIROS'!X171</f>
        <v>0</v>
      </c>
      <c r="AI165" s="46">
        <f>'DADOS FINANCEIROS'!Y171</f>
        <v>0</v>
      </c>
      <c r="AJ165" s="46">
        <f>'DADOS FINANCEIROS'!Z171</f>
        <v>0</v>
      </c>
      <c r="AK16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5" s="98"/>
    </row>
    <row r="166" spans="1:38" x14ac:dyDescent="0.3">
      <c r="A166" s="30">
        <f>'DADOS FINANCEIROS'!D172</f>
        <v>0</v>
      </c>
      <c r="B166" s="30">
        <f>'DADOS FINANCEIROS'!A172</f>
        <v>0</v>
      </c>
      <c r="C166" s="30">
        <f>'DADOS FINANCEIROS'!B172</f>
        <v>0</v>
      </c>
      <c r="D166" s="30">
        <f>'DADOS FINANCEIROS'!C172</f>
        <v>0</v>
      </c>
      <c r="E166" s="44">
        <f>'DADOS FINANCEIROS'!E172</f>
        <v>0</v>
      </c>
      <c r="F166" s="44" t="str">
        <f>TEXT(Tabela1[[#This Row],[DATA DE EMISSÃO]],"MMM-AA")</f>
        <v>jan-00</v>
      </c>
      <c r="G166" s="44" t="str">
        <f>TEXT(Tabela1[[#This Row],[DATA DE EMISSÃO]],"AAAA")</f>
        <v>1900</v>
      </c>
      <c r="H166" s="44">
        <f>'DADOS FINANCEIROS'!F172</f>
        <v>0</v>
      </c>
      <c r="I166" s="44" t="str">
        <f>TEXT(Tabela1[[#This Row],[VENCIMENTO ORIGINAL]],"MMM-AA")</f>
        <v>jan-00</v>
      </c>
      <c r="J166" s="44" t="str">
        <f>TEXT(Tabela1[[#This Row],[VENCIMENTO ORIGINAL]],"AAAA")</f>
        <v>1900</v>
      </c>
      <c r="K166" s="44">
        <f>'DADOS FINANCEIROS'!G172</f>
        <v>0</v>
      </c>
      <c r="L166" s="44" t="str">
        <f>TEXT(Tabela1[[#This Row],[VENCIMENTO ATUAL]],"MMM-AA")</f>
        <v>jan-00</v>
      </c>
      <c r="M166" s="44" t="str">
        <f>TEXT(Tabela1[[#This Row],[VENCIMENTO ATUAL]],"AAAA")</f>
        <v>1900</v>
      </c>
      <c r="N166" s="46">
        <f>'DADOS FINANCEIROS'!H172</f>
        <v>0</v>
      </c>
      <c r="O166" s="30">
        <f>'DADOS FINANCEIROS'!I172</f>
        <v>0</v>
      </c>
      <c r="P166" s="30">
        <f>'DADOS FINANCEIROS'!J172</f>
        <v>0</v>
      </c>
      <c r="Q166" s="30">
        <f>'DADOS FINANCEIROS'!K172</f>
        <v>0</v>
      </c>
      <c r="R166" s="30">
        <f>'DADOS FINANCEIROS'!L172</f>
        <v>0</v>
      </c>
      <c r="S166" s="30">
        <f>'DADOS FINANCEIROS'!M172</f>
        <v>0</v>
      </c>
      <c r="T166" s="30">
        <f>IFERROR('DADOS FINANCEIROS'!N172,"")</f>
        <v>0</v>
      </c>
      <c r="U166" s="30">
        <f>'DADOS FINANCEIROS'!O172</f>
        <v>0</v>
      </c>
      <c r="V166" s="30">
        <f>'DADOS FINANCEIROS'!P172</f>
        <v>0</v>
      </c>
      <c r="W166" s="30">
        <f>'DADOS FINANCEIROS'!Q172</f>
        <v>0</v>
      </c>
      <c r="X166" s="30">
        <f>'DADOS FINANCEIROS'!R172</f>
        <v>0</v>
      </c>
      <c r="Y166" s="30">
        <f>'DADOS FINANCEIROS'!S172</f>
        <v>0</v>
      </c>
      <c r="Z166" s="30">
        <f>'DADOS FINANCEIROS'!T172</f>
        <v>0</v>
      </c>
      <c r="AA166" s="30">
        <f>'DADOS FINANCEIROS'!U172</f>
        <v>0</v>
      </c>
      <c r="AB166" s="44">
        <f>'DADOS FINANCEIROS'!V172</f>
        <v>0</v>
      </c>
      <c r="AC166" s="44" t="str">
        <f>TEXT(Tabela1[[#This Row],[Data de Negociação]],"MMM-AA")</f>
        <v>jan-00</v>
      </c>
      <c r="AD166" s="44" t="str">
        <f>TEXT(Tabela1[[#This Row],[Data de Negociação]],"AAAA")</f>
        <v>1900</v>
      </c>
      <c r="AE166" s="44">
        <f>'DADOS FINANCEIROS'!W172</f>
        <v>0</v>
      </c>
      <c r="AF166" s="44" t="str">
        <f>TEXT(Tabela1[[#This Row],[Data da Entrada/Primeira Parcela]],"MMM-AA")</f>
        <v>jan-00</v>
      </c>
      <c r="AG166" s="44" t="str">
        <f>TEXT(Tabela1[[#This Row],[Data da Entrada/Primeira Parcela]],"AAAA")</f>
        <v>1900</v>
      </c>
      <c r="AH166" s="30">
        <f>'DADOS FINANCEIROS'!X172</f>
        <v>0</v>
      </c>
      <c r="AI166" s="46">
        <f>'DADOS FINANCEIROS'!Y172</f>
        <v>0</v>
      </c>
      <c r="AJ166" s="46">
        <f>'DADOS FINANCEIROS'!Z172</f>
        <v>0</v>
      </c>
      <c r="AK16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6" s="98"/>
    </row>
    <row r="167" spans="1:38" x14ac:dyDescent="0.3">
      <c r="A167" s="30">
        <f>'DADOS FINANCEIROS'!D173</f>
        <v>0</v>
      </c>
      <c r="B167" s="30">
        <f>'DADOS FINANCEIROS'!A173</f>
        <v>0</v>
      </c>
      <c r="C167" s="30">
        <f>'DADOS FINANCEIROS'!B173</f>
        <v>0</v>
      </c>
      <c r="D167" s="30">
        <f>'DADOS FINANCEIROS'!C173</f>
        <v>0</v>
      </c>
      <c r="E167" s="44">
        <f>'DADOS FINANCEIROS'!E173</f>
        <v>0</v>
      </c>
      <c r="F167" s="44" t="str">
        <f>TEXT(Tabela1[[#This Row],[DATA DE EMISSÃO]],"MMM-AA")</f>
        <v>jan-00</v>
      </c>
      <c r="G167" s="44" t="str">
        <f>TEXT(Tabela1[[#This Row],[DATA DE EMISSÃO]],"AAAA")</f>
        <v>1900</v>
      </c>
      <c r="H167" s="44">
        <f>'DADOS FINANCEIROS'!F173</f>
        <v>0</v>
      </c>
      <c r="I167" s="44" t="str">
        <f>TEXT(Tabela1[[#This Row],[VENCIMENTO ORIGINAL]],"MMM-AA")</f>
        <v>jan-00</v>
      </c>
      <c r="J167" s="44" t="str">
        <f>TEXT(Tabela1[[#This Row],[VENCIMENTO ORIGINAL]],"AAAA")</f>
        <v>1900</v>
      </c>
      <c r="K167" s="44">
        <f>'DADOS FINANCEIROS'!G173</f>
        <v>0</v>
      </c>
      <c r="L167" s="44" t="str">
        <f>TEXT(Tabela1[[#This Row],[VENCIMENTO ATUAL]],"MMM-AA")</f>
        <v>jan-00</v>
      </c>
      <c r="M167" s="44" t="str">
        <f>TEXT(Tabela1[[#This Row],[VENCIMENTO ATUAL]],"AAAA")</f>
        <v>1900</v>
      </c>
      <c r="N167" s="46">
        <f>'DADOS FINANCEIROS'!H173</f>
        <v>0</v>
      </c>
      <c r="O167" s="30">
        <f>'DADOS FINANCEIROS'!I173</f>
        <v>0</v>
      </c>
      <c r="P167" s="30">
        <f>'DADOS FINANCEIROS'!J173</f>
        <v>0</v>
      </c>
      <c r="Q167" s="30">
        <f>'DADOS FINANCEIROS'!K173</f>
        <v>0</v>
      </c>
      <c r="R167" s="30">
        <f>'DADOS FINANCEIROS'!L173</f>
        <v>0</v>
      </c>
      <c r="S167" s="30">
        <f>'DADOS FINANCEIROS'!M173</f>
        <v>0</v>
      </c>
      <c r="T167" s="30">
        <f>IFERROR('DADOS FINANCEIROS'!N173,"")</f>
        <v>0</v>
      </c>
      <c r="U167" s="30">
        <f>'DADOS FINANCEIROS'!O173</f>
        <v>0</v>
      </c>
      <c r="V167" s="30">
        <f>'DADOS FINANCEIROS'!P173</f>
        <v>0</v>
      </c>
      <c r="W167" s="30">
        <f>'DADOS FINANCEIROS'!Q173</f>
        <v>0</v>
      </c>
      <c r="X167" s="30">
        <f>'DADOS FINANCEIROS'!R173</f>
        <v>0</v>
      </c>
      <c r="Y167" s="30">
        <f>'DADOS FINANCEIROS'!S173</f>
        <v>0</v>
      </c>
      <c r="Z167" s="30">
        <f>'DADOS FINANCEIROS'!T173</f>
        <v>0</v>
      </c>
      <c r="AA167" s="30">
        <f>'DADOS FINANCEIROS'!U173</f>
        <v>0</v>
      </c>
      <c r="AB167" s="44">
        <f>'DADOS FINANCEIROS'!V173</f>
        <v>0</v>
      </c>
      <c r="AC167" s="44" t="str">
        <f>TEXT(Tabela1[[#This Row],[Data de Negociação]],"MMM-AA")</f>
        <v>jan-00</v>
      </c>
      <c r="AD167" s="44" t="str">
        <f>TEXT(Tabela1[[#This Row],[Data de Negociação]],"AAAA")</f>
        <v>1900</v>
      </c>
      <c r="AE167" s="44">
        <f>'DADOS FINANCEIROS'!W173</f>
        <v>0</v>
      </c>
      <c r="AF167" s="44" t="str">
        <f>TEXT(Tabela1[[#This Row],[Data da Entrada/Primeira Parcela]],"MMM-AA")</f>
        <v>jan-00</v>
      </c>
      <c r="AG167" s="44" t="str">
        <f>TEXT(Tabela1[[#This Row],[Data da Entrada/Primeira Parcela]],"AAAA")</f>
        <v>1900</v>
      </c>
      <c r="AH167" s="30">
        <f>'DADOS FINANCEIROS'!X173</f>
        <v>0</v>
      </c>
      <c r="AI167" s="46">
        <f>'DADOS FINANCEIROS'!Y173</f>
        <v>0</v>
      </c>
      <c r="AJ167" s="46">
        <f>'DADOS FINANCEIROS'!Z173</f>
        <v>0</v>
      </c>
      <c r="AK16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7" s="98"/>
    </row>
    <row r="168" spans="1:38" x14ac:dyDescent="0.3">
      <c r="A168" s="30">
        <f>'DADOS FINANCEIROS'!D174</f>
        <v>0</v>
      </c>
      <c r="B168" s="30">
        <f>'DADOS FINANCEIROS'!A174</f>
        <v>0</v>
      </c>
      <c r="C168" s="30">
        <f>'DADOS FINANCEIROS'!B174</f>
        <v>0</v>
      </c>
      <c r="D168" s="30">
        <f>'DADOS FINANCEIROS'!C174</f>
        <v>0</v>
      </c>
      <c r="E168" s="44">
        <f>'DADOS FINANCEIROS'!E174</f>
        <v>0</v>
      </c>
      <c r="F168" s="44" t="str">
        <f>TEXT(Tabela1[[#This Row],[DATA DE EMISSÃO]],"MMM-AA")</f>
        <v>jan-00</v>
      </c>
      <c r="G168" s="44" t="str">
        <f>TEXT(Tabela1[[#This Row],[DATA DE EMISSÃO]],"AAAA")</f>
        <v>1900</v>
      </c>
      <c r="H168" s="44">
        <f>'DADOS FINANCEIROS'!F174</f>
        <v>0</v>
      </c>
      <c r="I168" s="44" t="str">
        <f>TEXT(Tabela1[[#This Row],[VENCIMENTO ORIGINAL]],"MMM-AA")</f>
        <v>jan-00</v>
      </c>
      <c r="J168" s="44" t="str">
        <f>TEXT(Tabela1[[#This Row],[VENCIMENTO ORIGINAL]],"AAAA")</f>
        <v>1900</v>
      </c>
      <c r="K168" s="44">
        <f>'DADOS FINANCEIROS'!G174</f>
        <v>0</v>
      </c>
      <c r="L168" s="44" t="str">
        <f>TEXT(Tabela1[[#This Row],[VENCIMENTO ATUAL]],"MMM-AA")</f>
        <v>jan-00</v>
      </c>
      <c r="M168" s="44" t="str">
        <f>TEXT(Tabela1[[#This Row],[VENCIMENTO ATUAL]],"AAAA")</f>
        <v>1900</v>
      </c>
      <c r="N168" s="46">
        <f>'DADOS FINANCEIROS'!H174</f>
        <v>0</v>
      </c>
      <c r="O168" s="30">
        <f>'DADOS FINANCEIROS'!I174</f>
        <v>0</v>
      </c>
      <c r="P168" s="30">
        <f>'DADOS FINANCEIROS'!J174</f>
        <v>0</v>
      </c>
      <c r="Q168" s="30">
        <f>'DADOS FINANCEIROS'!K174</f>
        <v>0</v>
      </c>
      <c r="R168" s="30">
        <f>'DADOS FINANCEIROS'!L174</f>
        <v>0</v>
      </c>
      <c r="S168" s="30">
        <f>'DADOS FINANCEIROS'!M174</f>
        <v>0</v>
      </c>
      <c r="T168" s="30">
        <f>IFERROR('DADOS FINANCEIROS'!N174,"")</f>
        <v>0</v>
      </c>
      <c r="U168" s="30">
        <f>'DADOS FINANCEIROS'!O174</f>
        <v>0</v>
      </c>
      <c r="V168" s="30">
        <f>'DADOS FINANCEIROS'!P174</f>
        <v>0</v>
      </c>
      <c r="W168" s="30">
        <f>'DADOS FINANCEIROS'!Q174</f>
        <v>0</v>
      </c>
      <c r="X168" s="30">
        <f>'DADOS FINANCEIROS'!R174</f>
        <v>0</v>
      </c>
      <c r="Y168" s="30">
        <f>'DADOS FINANCEIROS'!S174</f>
        <v>0</v>
      </c>
      <c r="Z168" s="30">
        <f>'DADOS FINANCEIROS'!T174</f>
        <v>0</v>
      </c>
      <c r="AA168" s="30">
        <f>'DADOS FINANCEIROS'!U174</f>
        <v>0</v>
      </c>
      <c r="AB168" s="44">
        <f>'DADOS FINANCEIROS'!V174</f>
        <v>0</v>
      </c>
      <c r="AC168" s="44" t="str">
        <f>TEXT(Tabela1[[#This Row],[Data de Negociação]],"MMM-AA")</f>
        <v>jan-00</v>
      </c>
      <c r="AD168" s="44" t="str">
        <f>TEXT(Tabela1[[#This Row],[Data de Negociação]],"AAAA")</f>
        <v>1900</v>
      </c>
      <c r="AE168" s="44">
        <f>'DADOS FINANCEIROS'!W174</f>
        <v>0</v>
      </c>
      <c r="AF168" s="44" t="str">
        <f>TEXT(Tabela1[[#This Row],[Data da Entrada/Primeira Parcela]],"MMM-AA")</f>
        <v>jan-00</v>
      </c>
      <c r="AG168" s="44" t="str">
        <f>TEXT(Tabela1[[#This Row],[Data da Entrada/Primeira Parcela]],"AAAA")</f>
        <v>1900</v>
      </c>
      <c r="AH168" s="30">
        <f>'DADOS FINANCEIROS'!X174</f>
        <v>0</v>
      </c>
      <c r="AI168" s="46">
        <f>'DADOS FINANCEIROS'!Y174</f>
        <v>0</v>
      </c>
      <c r="AJ168" s="46">
        <f>'DADOS FINANCEIROS'!Z174</f>
        <v>0</v>
      </c>
      <c r="AK16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8" s="98"/>
    </row>
    <row r="169" spans="1:38" x14ac:dyDescent="0.3">
      <c r="A169" s="30">
        <f>'DADOS FINANCEIROS'!D175</f>
        <v>0</v>
      </c>
      <c r="B169" s="30">
        <f>'DADOS FINANCEIROS'!A175</f>
        <v>0</v>
      </c>
      <c r="C169" s="30">
        <f>'DADOS FINANCEIROS'!B175</f>
        <v>0</v>
      </c>
      <c r="D169" s="30">
        <f>'DADOS FINANCEIROS'!C175</f>
        <v>0</v>
      </c>
      <c r="E169" s="44">
        <f>'DADOS FINANCEIROS'!E175</f>
        <v>0</v>
      </c>
      <c r="F169" s="44" t="str">
        <f>TEXT(Tabela1[[#This Row],[DATA DE EMISSÃO]],"MMM-AA")</f>
        <v>jan-00</v>
      </c>
      <c r="G169" s="44" t="str">
        <f>TEXT(Tabela1[[#This Row],[DATA DE EMISSÃO]],"AAAA")</f>
        <v>1900</v>
      </c>
      <c r="H169" s="44">
        <f>'DADOS FINANCEIROS'!F175</f>
        <v>0</v>
      </c>
      <c r="I169" s="44" t="str">
        <f>TEXT(Tabela1[[#This Row],[VENCIMENTO ORIGINAL]],"MMM-AA")</f>
        <v>jan-00</v>
      </c>
      <c r="J169" s="44" t="str">
        <f>TEXT(Tabela1[[#This Row],[VENCIMENTO ORIGINAL]],"AAAA")</f>
        <v>1900</v>
      </c>
      <c r="K169" s="44">
        <f>'DADOS FINANCEIROS'!G175</f>
        <v>0</v>
      </c>
      <c r="L169" s="44" t="str">
        <f>TEXT(Tabela1[[#This Row],[VENCIMENTO ATUAL]],"MMM-AA")</f>
        <v>jan-00</v>
      </c>
      <c r="M169" s="44" t="str">
        <f>TEXT(Tabela1[[#This Row],[VENCIMENTO ATUAL]],"AAAA")</f>
        <v>1900</v>
      </c>
      <c r="N169" s="46">
        <f>'DADOS FINANCEIROS'!H175</f>
        <v>0</v>
      </c>
      <c r="O169" s="30">
        <f>'DADOS FINANCEIROS'!I175</f>
        <v>0</v>
      </c>
      <c r="P169" s="30">
        <f>'DADOS FINANCEIROS'!J175</f>
        <v>0</v>
      </c>
      <c r="Q169" s="30">
        <f>'DADOS FINANCEIROS'!K175</f>
        <v>0</v>
      </c>
      <c r="R169" s="30">
        <f>'DADOS FINANCEIROS'!L175</f>
        <v>0</v>
      </c>
      <c r="S169" s="30">
        <f>'DADOS FINANCEIROS'!M175</f>
        <v>0</v>
      </c>
      <c r="T169" s="30">
        <f>IFERROR('DADOS FINANCEIROS'!N175,"")</f>
        <v>0</v>
      </c>
      <c r="U169" s="30">
        <f>'DADOS FINANCEIROS'!O175</f>
        <v>0</v>
      </c>
      <c r="V169" s="30">
        <f>'DADOS FINANCEIROS'!P175</f>
        <v>0</v>
      </c>
      <c r="W169" s="30">
        <f>'DADOS FINANCEIROS'!Q175</f>
        <v>0</v>
      </c>
      <c r="X169" s="30">
        <f>'DADOS FINANCEIROS'!R175</f>
        <v>0</v>
      </c>
      <c r="Y169" s="30">
        <f>'DADOS FINANCEIROS'!S175</f>
        <v>0</v>
      </c>
      <c r="Z169" s="30">
        <f>'DADOS FINANCEIROS'!T175</f>
        <v>0</v>
      </c>
      <c r="AA169" s="30">
        <f>'DADOS FINANCEIROS'!U175</f>
        <v>0</v>
      </c>
      <c r="AB169" s="44">
        <f>'DADOS FINANCEIROS'!V175</f>
        <v>0</v>
      </c>
      <c r="AC169" s="44" t="str">
        <f>TEXT(Tabela1[[#This Row],[Data de Negociação]],"MMM-AA")</f>
        <v>jan-00</v>
      </c>
      <c r="AD169" s="44" t="str">
        <f>TEXT(Tabela1[[#This Row],[Data de Negociação]],"AAAA")</f>
        <v>1900</v>
      </c>
      <c r="AE169" s="44">
        <f>'DADOS FINANCEIROS'!W175</f>
        <v>0</v>
      </c>
      <c r="AF169" s="44" t="str">
        <f>TEXT(Tabela1[[#This Row],[Data da Entrada/Primeira Parcela]],"MMM-AA")</f>
        <v>jan-00</v>
      </c>
      <c r="AG169" s="44" t="str">
        <f>TEXT(Tabela1[[#This Row],[Data da Entrada/Primeira Parcela]],"AAAA")</f>
        <v>1900</v>
      </c>
      <c r="AH169" s="30">
        <f>'DADOS FINANCEIROS'!X175</f>
        <v>0</v>
      </c>
      <c r="AI169" s="46">
        <f>'DADOS FINANCEIROS'!Y175</f>
        <v>0</v>
      </c>
      <c r="AJ169" s="46">
        <f>'DADOS FINANCEIROS'!Z175</f>
        <v>0</v>
      </c>
      <c r="AK16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69" s="98"/>
    </row>
    <row r="170" spans="1:38" x14ac:dyDescent="0.3">
      <c r="A170" s="30">
        <f>'DADOS FINANCEIROS'!D176</f>
        <v>0</v>
      </c>
      <c r="B170" s="30">
        <f>'DADOS FINANCEIROS'!A176</f>
        <v>0</v>
      </c>
      <c r="C170" s="30">
        <f>'DADOS FINANCEIROS'!B176</f>
        <v>0</v>
      </c>
      <c r="D170" s="30">
        <f>'DADOS FINANCEIROS'!C176</f>
        <v>0</v>
      </c>
      <c r="E170" s="44">
        <f>'DADOS FINANCEIROS'!E176</f>
        <v>0</v>
      </c>
      <c r="F170" s="44" t="str">
        <f>TEXT(Tabela1[[#This Row],[DATA DE EMISSÃO]],"MMM-AA")</f>
        <v>jan-00</v>
      </c>
      <c r="G170" s="44" t="str">
        <f>TEXT(Tabela1[[#This Row],[DATA DE EMISSÃO]],"AAAA")</f>
        <v>1900</v>
      </c>
      <c r="H170" s="44">
        <f>'DADOS FINANCEIROS'!F176</f>
        <v>0</v>
      </c>
      <c r="I170" s="44" t="str">
        <f>TEXT(Tabela1[[#This Row],[VENCIMENTO ORIGINAL]],"MMM-AA")</f>
        <v>jan-00</v>
      </c>
      <c r="J170" s="44" t="str">
        <f>TEXT(Tabela1[[#This Row],[VENCIMENTO ORIGINAL]],"AAAA")</f>
        <v>1900</v>
      </c>
      <c r="K170" s="44">
        <f>'DADOS FINANCEIROS'!G176</f>
        <v>0</v>
      </c>
      <c r="L170" s="44" t="str">
        <f>TEXT(Tabela1[[#This Row],[VENCIMENTO ATUAL]],"MMM-AA")</f>
        <v>jan-00</v>
      </c>
      <c r="M170" s="44" t="str">
        <f>TEXT(Tabela1[[#This Row],[VENCIMENTO ATUAL]],"AAAA")</f>
        <v>1900</v>
      </c>
      <c r="N170" s="46">
        <f>'DADOS FINANCEIROS'!H176</f>
        <v>0</v>
      </c>
      <c r="O170" s="30">
        <f>'DADOS FINANCEIROS'!I176</f>
        <v>0</v>
      </c>
      <c r="P170" s="30">
        <f>'DADOS FINANCEIROS'!J176</f>
        <v>0</v>
      </c>
      <c r="Q170" s="30">
        <f>'DADOS FINANCEIROS'!K176</f>
        <v>0</v>
      </c>
      <c r="R170" s="30">
        <f>'DADOS FINANCEIROS'!L176</f>
        <v>0</v>
      </c>
      <c r="S170" s="30">
        <f>'DADOS FINANCEIROS'!M176</f>
        <v>0</v>
      </c>
      <c r="T170" s="30">
        <f>IFERROR('DADOS FINANCEIROS'!N176,"")</f>
        <v>0</v>
      </c>
      <c r="U170" s="30">
        <f>'DADOS FINANCEIROS'!O176</f>
        <v>0</v>
      </c>
      <c r="V170" s="30">
        <f>'DADOS FINANCEIROS'!P176</f>
        <v>0</v>
      </c>
      <c r="W170" s="30">
        <f>'DADOS FINANCEIROS'!Q176</f>
        <v>0</v>
      </c>
      <c r="X170" s="30">
        <f>'DADOS FINANCEIROS'!R176</f>
        <v>0</v>
      </c>
      <c r="Y170" s="30">
        <f>'DADOS FINANCEIROS'!S176</f>
        <v>0</v>
      </c>
      <c r="Z170" s="30">
        <f>'DADOS FINANCEIROS'!T176</f>
        <v>0</v>
      </c>
      <c r="AA170" s="30">
        <f>'DADOS FINANCEIROS'!U176</f>
        <v>0</v>
      </c>
      <c r="AB170" s="44">
        <f>'DADOS FINANCEIROS'!V176</f>
        <v>0</v>
      </c>
      <c r="AC170" s="44" t="str">
        <f>TEXT(Tabela1[[#This Row],[Data de Negociação]],"MMM-AA")</f>
        <v>jan-00</v>
      </c>
      <c r="AD170" s="44" t="str">
        <f>TEXT(Tabela1[[#This Row],[Data de Negociação]],"AAAA")</f>
        <v>1900</v>
      </c>
      <c r="AE170" s="44">
        <f>'DADOS FINANCEIROS'!W176</f>
        <v>0</v>
      </c>
      <c r="AF170" s="44" t="str">
        <f>TEXT(Tabela1[[#This Row],[Data da Entrada/Primeira Parcela]],"MMM-AA")</f>
        <v>jan-00</v>
      </c>
      <c r="AG170" s="44" t="str">
        <f>TEXT(Tabela1[[#This Row],[Data da Entrada/Primeira Parcela]],"AAAA")</f>
        <v>1900</v>
      </c>
      <c r="AH170" s="30">
        <f>'DADOS FINANCEIROS'!X176</f>
        <v>0</v>
      </c>
      <c r="AI170" s="46">
        <f>'DADOS FINANCEIROS'!Y176</f>
        <v>0</v>
      </c>
      <c r="AJ170" s="46">
        <f>'DADOS FINANCEIROS'!Z176</f>
        <v>0</v>
      </c>
      <c r="AK17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0" s="98"/>
    </row>
    <row r="171" spans="1:38" x14ac:dyDescent="0.3">
      <c r="A171" s="30">
        <f>'DADOS FINANCEIROS'!D177</f>
        <v>0</v>
      </c>
      <c r="B171" s="30">
        <f>'DADOS FINANCEIROS'!A177</f>
        <v>0</v>
      </c>
      <c r="C171" s="30">
        <f>'DADOS FINANCEIROS'!B177</f>
        <v>0</v>
      </c>
      <c r="D171" s="30">
        <f>'DADOS FINANCEIROS'!C177</f>
        <v>0</v>
      </c>
      <c r="E171" s="44">
        <f>'DADOS FINANCEIROS'!E177</f>
        <v>0</v>
      </c>
      <c r="F171" s="44" t="str">
        <f>TEXT(Tabela1[[#This Row],[DATA DE EMISSÃO]],"MMM-AA")</f>
        <v>jan-00</v>
      </c>
      <c r="G171" s="44" t="str">
        <f>TEXT(Tabela1[[#This Row],[DATA DE EMISSÃO]],"AAAA")</f>
        <v>1900</v>
      </c>
      <c r="H171" s="44">
        <f>'DADOS FINANCEIROS'!F177</f>
        <v>0</v>
      </c>
      <c r="I171" s="44" t="str">
        <f>TEXT(Tabela1[[#This Row],[VENCIMENTO ORIGINAL]],"MMM-AA")</f>
        <v>jan-00</v>
      </c>
      <c r="J171" s="44" t="str">
        <f>TEXT(Tabela1[[#This Row],[VENCIMENTO ORIGINAL]],"AAAA")</f>
        <v>1900</v>
      </c>
      <c r="K171" s="44">
        <f>'DADOS FINANCEIROS'!G177</f>
        <v>0</v>
      </c>
      <c r="L171" s="44" t="str">
        <f>TEXT(Tabela1[[#This Row],[VENCIMENTO ATUAL]],"MMM-AA")</f>
        <v>jan-00</v>
      </c>
      <c r="M171" s="44" t="str">
        <f>TEXT(Tabela1[[#This Row],[VENCIMENTO ATUAL]],"AAAA")</f>
        <v>1900</v>
      </c>
      <c r="N171" s="46">
        <f>'DADOS FINANCEIROS'!H177</f>
        <v>0</v>
      </c>
      <c r="O171" s="30">
        <f>'DADOS FINANCEIROS'!I177</f>
        <v>0</v>
      </c>
      <c r="P171" s="30">
        <f>'DADOS FINANCEIROS'!J177</f>
        <v>0</v>
      </c>
      <c r="Q171" s="30">
        <f>'DADOS FINANCEIROS'!K177</f>
        <v>0</v>
      </c>
      <c r="R171" s="30">
        <f>'DADOS FINANCEIROS'!L177</f>
        <v>0</v>
      </c>
      <c r="S171" s="30">
        <f>'DADOS FINANCEIROS'!M177</f>
        <v>0</v>
      </c>
      <c r="T171" s="30">
        <f>IFERROR('DADOS FINANCEIROS'!N177,"")</f>
        <v>0</v>
      </c>
      <c r="U171" s="30">
        <f>'DADOS FINANCEIROS'!O177</f>
        <v>0</v>
      </c>
      <c r="V171" s="30">
        <f>'DADOS FINANCEIROS'!P177</f>
        <v>0</v>
      </c>
      <c r="W171" s="30">
        <f>'DADOS FINANCEIROS'!Q177</f>
        <v>0</v>
      </c>
      <c r="X171" s="30">
        <f>'DADOS FINANCEIROS'!R177</f>
        <v>0</v>
      </c>
      <c r="Y171" s="30">
        <f>'DADOS FINANCEIROS'!S177</f>
        <v>0</v>
      </c>
      <c r="Z171" s="30">
        <f>'DADOS FINANCEIROS'!T177</f>
        <v>0</v>
      </c>
      <c r="AA171" s="30">
        <f>'DADOS FINANCEIROS'!U177</f>
        <v>0</v>
      </c>
      <c r="AB171" s="44">
        <f>'DADOS FINANCEIROS'!V177</f>
        <v>0</v>
      </c>
      <c r="AC171" s="44" t="str">
        <f>TEXT(Tabela1[[#This Row],[Data de Negociação]],"MMM-AA")</f>
        <v>jan-00</v>
      </c>
      <c r="AD171" s="44" t="str">
        <f>TEXT(Tabela1[[#This Row],[Data de Negociação]],"AAAA")</f>
        <v>1900</v>
      </c>
      <c r="AE171" s="44">
        <f>'DADOS FINANCEIROS'!W177</f>
        <v>0</v>
      </c>
      <c r="AF171" s="44" t="str">
        <f>TEXT(Tabela1[[#This Row],[Data da Entrada/Primeira Parcela]],"MMM-AA")</f>
        <v>jan-00</v>
      </c>
      <c r="AG171" s="44" t="str">
        <f>TEXT(Tabela1[[#This Row],[Data da Entrada/Primeira Parcela]],"AAAA")</f>
        <v>1900</v>
      </c>
      <c r="AH171" s="30">
        <f>'DADOS FINANCEIROS'!X177</f>
        <v>0</v>
      </c>
      <c r="AI171" s="46">
        <f>'DADOS FINANCEIROS'!Y177</f>
        <v>0</v>
      </c>
      <c r="AJ171" s="46">
        <f>'DADOS FINANCEIROS'!Z177</f>
        <v>0</v>
      </c>
      <c r="AK17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1" s="98"/>
    </row>
    <row r="172" spans="1:38" x14ac:dyDescent="0.3">
      <c r="A172" s="30">
        <f>'DADOS FINANCEIROS'!D178</f>
        <v>0</v>
      </c>
      <c r="B172" s="30">
        <f>'DADOS FINANCEIROS'!A178</f>
        <v>0</v>
      </c>
      <c r="C172" s="30">
        <f>'DADOS FINANCEIROS'!B178</f>
        <v>0</v>
      </c>
      <c r="D172" s="30">
        <f>'DADOS FINANCEIROS'!C178</f>
        <v>0</v>
      </c>
      <c r="E172" s="44">
        <f>'DADOS FINANCEIROS'!E178</f>
        <v>0</v>
      </c>
      <c r="F172" s="44" t="str">
        <f>TEXT(Tabela1[[#This Row],[DATA DE EMISSÃO]],"MMM-AA")</f>
        <v>jan-00</v>
      </c>
      <c r="G172" s="44" t="str">
        <f>TEXT(Tabela1[[#This Row],[DATA DE EMISSÃO]],"AAAA")</f>
        <v>1900</v>
      </c>
      <c r="H172" s="44">
        <f>'DADOS FINANCEIROS'!F178</f>
        <v>0</v>
      </c>
      <c r="I172" s="44" t="str">
        <f>TEXT(Tabela1[[#This Row],[VENCIMENTO ORIGINAL]],"MMM-AA")</f>
        <v>jan-00</v>
      </c>
      <c r="J172" s="44" t="str">
        <f>TEXT(Tabela1[[#This Row],[VENCIMENTO ORIGINAL]],"AAAA")</f>
        <v>1900</v>
      </c>
      <c r="K172" s="44">
        <f>'DADOS FINANCEIROS'!G178</f>
        <v>0</v>
      </c>
      <c r="L172" s="44" t="str">
        <f>TEXT(Tabela1[[#This Row],[VENCIMENTO ATUAL]],"MMM-AA")</f>
        <v>jan-00</v>
      </c>
      <c r="M172" s="44" t="str">
        <f>TEXT(Tabela1[[#This Row],[VENCIMENTO ATUAL]],"AAAA")</f>
        <v>1900</v>
      </c>
      <c r="N172" s="46">
        <f>'DADOS FINANCEIROS'!H178</f>
        <v>0</v>
      </c>
      <c r="O172" s="30">
        <f>'DADOS FINANCEIROS'!I178</f>
        <v>0</v>
      </c>
      <c r="P172" s="30">
        <f>'DADOS FINANCEIROS'!J178</f>
        <v>0</v>
      </c>
      <c r="Q172" s="30">
        <f>'DADOS FINANCEIROS'!K178</f>
        <v>0</v>
      </c>
      <c r="R172" s="30">
        <f>'DADOS FINANCEIROS'!L178</f>
        <v>0</v>
      </c>
      <c r="S172" s="30">
        <f>'DADOS FINANCEIROS'!M178</f>
        <v>0</v>
      </c>
      <c r="T172" s="30">
        <f>IFERROR('DADOS FINANCEIROS'!N178,"")</f>
        <v>0</v>
      </c>
      <c r="U172" s="30">
        <f>'DADOS FINANCEIROS'!O178</f>
        <v>0</v>
      </c>
      <c r="V172" s="30">
        <f>'DADOS FINANCEIROS'!P178</f>
        <v>0</v>
      </c>
      <c r="W172" s="30">
        <f>'DADOS FINANCEIROS'!Q178</f>
        <v>0</v>
      </c>
      <c r="X172" s="30">
        <f>'DADOS FINANCEIROS'!R178</f>
        <v>0</v>
      </c>
      <c r="Y172" s="30">
        <f>'DADOS FINANCEIROS'!S178</f>
        <v>0</v>
      </c>
      <c r="Z172" s="30">
        <f>'DADOS FINANCEIROS'!T178</f>
        <v>0</v>
      </c>
      <c r="AA172" s="30">
        <f>'DADOS FINANCEIROS'!U178</f>
        <v>0</v>
      </c>
      <c r="AB172" s="44">
        <f>'DADOS FINANCEIROS'!V178</f>
        <v>0</v>
      </c>
      <c r="AC172" s="44" t="str">
        <f>TEXT(Tabela1[[#This Row],[Data de Negociação]],"MMM-AA")</f>
        <v>jan-00</v>
      </c>
      <c r="AD172" s="44" t="str">
        <f>TEXT(Tabela1[[#This Row],[Data de Negociação]],"AAAA")</f>
        <v>1900</v>
      </c>
      <c r="AE172" s="44">
        <f>'DADOS FINANCEIROS'!W178</f>
        <v>0</v>
      </c>
      <c r="AF172" s="44" t="str">
        <f>TEXT(Tabela1[[#This Row],[Data da Entrada/Primeira Parcela]],"MMM-AA")</f>
        <v>jan-00</v>
      </c>
      <c r="AG172" s="44" t="str">
        <f>TEXT(Tabela1[[#This Row],[Data da Entrada/Primeira Parcela]],"AAAA")</f>
        <v>1900</v>
      </c>
      <c r="AH172" s="30">
        <f>'DADOS FINANCEIROS'!X178</f>
        <v>0</v>
      </c>
      <c r="AI172" s="46">
        <f>'DADOS FINANCEIROS'!Y178</f>
        <v>0</v>
      </c>
      <c r="AJ172" s="46">
        <f>'DADOS FINANCEIROS'!Z178</f>
        <v>0</v>
      </c>
      <c r="AK17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2" s="98"/>
    </row>
    <row r="173" spans="1:38" x14ac:dyDescent="0.3">
      <c r="A173" s="30">
        <f>'DADOS FINANCEIROS'!D179</f>
        <v>0</v>
      </c>
      <c r="B173" s="30">
        <f>'DADOS FINANCEIROS'!A179</f>
        <v>0</v>
      </c>
      <c r="C173" s="30">
        <f>'DADOS FINANCEIROS'!B179</f>
        <v>0</v>
      </c>
      <c r="D173" s="30">
        <f>'DADOS FINANCEIROS'!C179</f>
        <v>0</v>
      </c>
      <c r="E173" s="44">
        <f>'DADOS FINANCEIROS'!E179</f>
        <v>0</v>
      </c>
      <c r="F173" s="44" t="str">
        <f>TEXT(Tabela1[[#This Row],[DATA DE EMISSÃO]],"MMM-AA")</f>
        <v>jan-00</v>
      </c>
      <c r="G173" s="44" t="str">
        <f>TEXT(Tabela1[[#This Row],[DATA DE EMISSÃO]],"AAAA")</f>
        <v>1900</v>
      </c>
      <c r="H173" s="44">
        <f>'DADOS FINANCEIROS'!F179</f>
        <v>0</v>
      </c>
      <c r="I173" s="44" t="str">
        <f>TEXT(Tabela1[[#This Row],[VENCIMENTO ORIGINAL]],"MMM-AA")</f>
        <v>jan-00</v>
      </c>
      <c r="J173" s="44" t="str">
        <f>TEXT(Tabela1[[#This Row],[VENCIMENTO ORIGINAL]],"AAAA")</f>
        <v>1900</v>
      </c>
      <c r="K173" s="44">
        <f>'DADOS FINANCEIROS'!G179</f>
        <v>0</v>
      </c>
      <c r="L173" s="44" t="str">
        <f>TEXT(Tabela1[[#This Row],[VENCIMENTO ATUAL]],"MMM-AA")</f>
        <v>jan-00</v>
      </c>
      <c r="M173" s="44" t="str">
        <f>TEXT(Tabela1[[#This Row],[VENCIMENTO ATUAL]],"AAAA")</f>
        <v>1900</v>
      </c>
      <c r="N173" s="46">
        <f>'DADOS FINANCEIROS'!H179</f>
        <v>0</v>
      </c>
      <c r="O173" s="30">
        <f>'DADOS FINANCEIROS'!I179</f>
        <v>0</v>
      </c>
      <c r="P173" s="30">
        <f>'DADOS FINANCEIROS'!J179</f>
        <v>0</v>
      </c>
      <c r="Q173" s="30">
        <f>'DADOS FINANCEIROS'!K179</f>
        <v>0</v>
      </c>
      <c r="R173" s="30">
        <f>'DADOS FINANCEIROS'!L179</f>
        <v>0</v>
      </c>
      <c r="S173" s="30">
        <f>'DADOS FINANCEIROS'!M179</f>
        <v>0</v>
      </c>
      <c r="T173" s="30">
        <f>IFERROR('DADOS FINANCEIROS'!N179,"")</f>
        <v>0</v>
      </c>
      <c r="U173" s="30">
        <f>'DADOS FINANCEIROS'!O179</f>
        <v>0</v>
      </c>
      <c r="V173" s="30">
        <f>'DADOS FINANCEIROS'!P179</f>
        <v>0</v>
      </c>
      <c r="W173" s="30">
        <f>'DADOS FINANCEIROS'!Q179</f>
        <v>0</v>
      </c>
      <c r="X173" s="30">
        <f>'DADOS FINANCEIROS'!R179</f>
        <v>0</v>
      </c>
      <c r="Y173" s="30">
        <f>'DADOS FINANCEIROS'!S179</f>
        <v>0</v>
      </c>
      <c r="Z173" s="30">
        <f>'DADOS FINANCEIROS'!T179</f>
        <v>0</v>
      </c>
      <c r="AA173" s="30">
        <f>'DADOS FINANCEIROS'!U179</f>
        <v>0</v>
      </c>
      <c r="AB173" s="44">
        <f>'DADOS FINANCEIROS'!V179</f>
        <v>0</v>
      </c>
      <c r="AC173" s="44" t="str">
        <f>TEXT(Tabela1[[#This Row],[Data de Negociação]],"MMM-AA")</f>
        <v>jan-00</v>
      </c>
      <c r="AD173" s="44" t="str">
        <f>TEXT(Tabela1[[#This Row],[Data de Negociação]],"AAAA")</f>
        <v>1900</v>
      </c>
      <c r="AE173" s="44">
        <f>'DADOS FINANCEIROS'!W179</f>
        <v>0</v>
      </c>
      <c r="AF173" s="44" t="str">
        <f>TEXT(Tabela1[[#This Row],[Data da Entrada/Primeira Parcela]],"MMM-AA")</f>
        <v>jan-00</v>
      </c>
      <c r="AG173" s="44" t="str">
        <f>TEXT(Tabela1[[#This Row],[Data da Entrada/Primeira Parcela]],"AAAA")</f>
        <v>1900</v>
      </c>
      <c r="AH173" s="30">
        <f>'DADOS FINANCEIROS'!X179</f>
        <v>0</v>
      </c>
      <c r="AI173" s="46">
        <f>'DADOS FINANCEIROS'!Y179</f>
        <v>0</v>
      </c>
      <c r="AJ173" s="46">
        <f>'DADOS FINANCEIROS'!Z179</f>
        <v>0</v>
      </c>
      <c r="AK17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3" s="98"/>
    </row>
    <row r="174" spans="1:38" x14ac:dyDescent="0.3">
      <c r="A174" s="30">
        <f>'DADOS FINANCEIROS'!D180</f>
        <v>0</v>
      </c>
      <c r="B174" s="30">
        <f>'DADOS FINANCEIROS'!A180</f>
        <v>0</v>
      </c>
      <c r="C174" s="30">
        <f>'DADOS FINANCEIROS'!B180</f>
        <v>0</v>
      </c>
      <c r="D174" s="30">
        <f>'DADOS FINANCEIROS'!C180</f>
        <v>0</v>
      </c>
      <c r="E174" s="44">
        <f>'DADOS FINANCEIROS'!E180</f>
        <v>0</v>
      </c>
      <c r="F174" s="44" t="str">
        <f>TEXT(Tabela1[[#This Row],[DATA DE EMISSÃO]],"MMM-AA")</f>
        <v>jan-00</v>
      </c>
      <c r="G174" s="44" t="str">
        <f>TEXT(Tabela1[[#This Row],[DATA DE EMISSÃO]],"AAAA")</f>
        <v>1900</v>
      </c>
      <c r="H174" s="44">
        <f>'DADOS FINANCEIROS'!F180</f>
        <v>0</v>
      </c>
      <c r="I174" s="44" t="str">
        <f>TEXT(Tabela1[[#This Row],[VENCIMENTO ORIGINAL]],"MMM-AA")</f>
        <v>jan-00</v>
      </c>
      <c r="J174" s="44" t="str">
        <f>TEXT(Tabela1[[#This Row],[VENCIMENTO ORIGINAL]],"AAAA")</f>
        <v>1900</v>
      </c>
      <c r="K174" s="44">
        <f>'DADOS FINANCEIROS'!G180</f>
        <v>0</v>
      </c>
      <c r="L174" s="44" t="str">
        <f>TEXT(Tabela1[[#This Row],[VENCIMENTO ATUAL]],"MMM-AA")</f>
        <v>jan-00</v>
      </c>
      <c r="M174" s="44" t="str">
        <f>TEXT(Tabela1[[#This Row],[VENCIMENTO ATUAL]],"AAAA")</f>
        <v>1900</v>
      </c>
      <c r="N174" s="46">
        <f>'DADOS FINANCEIROS'!H180</f>
        <v>0</v>
      </c>
      <c r="O174" s="30">
        <f>'DADOS FINANCEIROS'!I180</f>
        <v>0</v>
      </c>
      <c r="P174" s="30">
        <f>'DADOS FINANCEIROS'!J180</f>
        <v>0</v>
      </c>
      <c r="Q174" s="30">
        <f>'DADOS FINANCEIROS'!K180</f>
        <v>0</v>
      </c>
      <c r="R174" s="30">
        <f>'DADOS FINANCEIROS'!L180</f>
        <v>0</v>
      </c>
      <c r="S174" s="30">
        <f>'DADOS FINANCEIROS'!M180</f>
        <v>0</v>
      </c>
      <c r="T174" s="30">
        <f>IFERROR('DADOS FINANCEIROS'!N180,"")</f>
        <v>0</v>
      </c>
      <c r="U174" s="30">
        <f>'DADOS FINANCEIROS'!O180</f>
        <v>0</v>
      </c>
      <c r="V174" s="30">
        <f>'DADOS FINANCEIROS'!P180</f>
        <v>0</v>
      </c>
      <c r="W174" s="30">
        <f>'DADOS FINANCEIROS'!Q180</f>
        <v>0</v>
      </c>
      <c r="X174" s="30">
        <f>'DADOS FINANCEIROS'!R180</f>
        <v>0</v>
      </c>
      <c r="Y174" s="30">
        <f>'DADOS FINANCEIROS'!S180</f>
        <v>0</v>
      </c>
      <c r="Z174" s="30">
        <f>'DADOS FINANCEIROS'!T180</f>
        <v>0</v>
      </c>
      <c r="AA174" s="30">
        <f>'DADOS FINANCEIROS'!U180</f>
        <v>0</v>
      </c>
      <c r="AB174" s="44">
        <f>'DADOS FINANCEIROS'!V180</f>
        <v>0</v>
      </c>
      <c r="AC174" s="44" t="str">
        <f>TEXT(Tabela1[[#This Row],[Data de Negociação]],"MMM-AA")</f>
        <v>jan-00</v>
      </c>
      <c r="AD174" s="44" t="str">
        <f>TEXT(Tabela1[[#This Row],[Data de Negociação]],"AAAA")</f>
        <v>1900</v>
      </c>
      <c r="AE174" s="44">
        <f>'DADOS FINANCEIROS'!W180</f>
        <v>0</v>
      </c>
      <c r="AF174" s="44" t="str">
        <f>TEXT(Tabela1[[#This Row],[Data da Entrada/Primeira Parcela]],"MMM-AA")</f>
        <v>jan-00</v>
      </c>
      <c r="AG174" s="44" t="str">
        <f>TEXT(Tabela1[[#This Row],[Data da Entrada/Primeira Parcela]],"AAAA")</f>
        <v>1900</v>
      </c>
      <c r="AH174" s="30">
        <f>'DADOS FINANCEIROS'!X180</f>
        <v>0</v>
      </c>
      <c r="AI174" s="46">
        <f>'DADOS FINANCEIROS'!Y180</f>
        <v>0</v>
      </c>
      <c r="AJ174" s="46">
        <f>'DADOS FINANCEIROS'!Z180</f>
        <v>0</v>
      </c>
      <c r="AK17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4" s="98"/>
    </row>
    <row r="175" spans="1:38" x14ac:dyDescent="0.3">
      <c r="A175" s="30">
        <f>'DADOS FINANCEIROS'!D181</f>
        <v>0</v>
      </c>
      <c r="B175" s="30">
        <f>'DADOS FINANCEIROS'!A181</f>
        <v>0</v>
      </c>
      <c r="C175" s="30">
        <f>'DADOS FINANCEIROS'!B181</f>
        <v>0</v>
      </c>
      <c r="D175" s="30">
        <f>'DADOS FINANCEIROS'!C181</f>
        <v>0</v>
      </c>
      <c r="E175" s="44">
        <f>'DADOS FINANCEIROS'!E181</f>
        <v>0</v>
      </c>
      <c r="F175" s="44" t="str">
        <f>TEXT(Tabela1[[#This Row],[DATA DE EMISSÃO]],"MMM-AA")</f>
        <v>jan-00</v>
      </c>
      <c r="G175" s="44" t="str">
        <f>TEXT(Tabela1[[#This Row],[DATA DE EMISSÃO]],"AAAA")</f>
        <v>1900</v>
      </c>
      <c r="H175" s="44">
        <f>'DADOS FINANCEIROS'!F181</f>
        <v>0</v>
      </c>
      <c r="I175" s="44" t="str">
        <f>TEXT(Tabela1[[#This Row],[VENCIMENTO ORIGINAL]],"MMM-AA")</f>
        <v>jan-00</v>
      </c>
      <c r="J175" s="44" t="str">
        <f>TEXT(Tabela1[[#This Row],[VENCIMENTO ORIGINAL]],"AAAA")</f>
        <v>1900</v>
      </c>
      <c r="K175" s="44">
        <f>'DADOS FINANCEIROS'!G181</f>
        <v>0</v>
      </c>
      <c r="L175" s="44" t="str">
        <f>TEXT(Tabela1[[#This Row],[VENCIMENTO ATUAL]],"MMM-AA")</f>
        <v>jan-00</v>
      </c>
      <c r="M175" s="44" t="str">
        <f>TEXT(Tabela1[[#This Row],[VENCIMENTO ATUAL]],"AAAA")</f>
        <v>1900</v>
      </c>
      <c r="N175" s="46">
        <f>'DADOS FINANCEIROS'!H181</f>
        <v>0</v>
      </c>
      <c r="O175" s="30">
        <f>'DADOS FINANCEIROS'!I181</f>
        <v>0</v>
      </c>
      <c r="P175" s="30">
        <f>'DADOS FINANCEIROS'!J181</f>
        <v>0</v>
      </c>
      <c r="Q175" s="30">
        <f>'DADOS FINANCEIROS'!K181</f>
        <v>0</v>
      </c>
      <c r="R175" s="30">
        <f>'DADOS FINANCEIROS'!L181</f>
        <v>0</v>
      </c>
      <c r="S175" s="30">
        <f>'DADOS FINANCEIROS'!M181</f>
        <v>0</v>
      </c>
      <c r="T175" s="30">
        <f>IFERROR('DADOS FINANCEIROS'!N181,"")</f>
        <v>0</v>
      </c>
      <c r="U175" s="30">
        <f>'DADOS FINANCEIROS'!O181</f>
        <v>0</v>
      </c>
      <c r="V175" s="30">
        <f>'DADOS FINANCEIROS'!P181</f>
        <v>0</v>
      </c>
      <c r="W175" s="30">
        <f>'DADOS FINANCEIROS'!Q181</f>
        <v>0</v>
      </c>
      <c r="X175" s="30">
        <f>'DADOS FINANCEIROS'!R181</f>
        <v>0</v>
      </c>
      <c r="Y175" s="30">
        <f>'DADOS FINANCEIROS'!S181</f>
        <v>0</v>
      </c>
      <c r="Z175" s="30">
        <f>'DADOS FINANCEIROS'!T181</f>
        <v>0</v>
      </c>
      <c r="AA175" s="30">
        <f>'DADOS FINANCEIROS'!U181</f>
        <v>0</v>
      </c>
      <c r="AB175" s="44">
        <f>'DADOS FINANCEIROS'!V181</f>
        <v>0</v>
      </c>
      <c r="AC175" s="44" t="str">
        <f>TEXT(Tabela1[[#This Row],[Data de Negociação]],"MMM-AA")</f>
        <v>jan-00</v>
      </c>
      <c r="AD175" s="44" t="str">
        <f>TEXT(Tabela1[[#This Row],[Data de Negociação]],"AAAA")</f>
        <v>1900</v>
      </c>
      <c r="AE175" s="44">
        <f>'DADOS FINANCEIROS'!W181</f>
        <v>0</v>
      </c>
      <c r="AF175" s="44" t="str">
        <f>TEXT(Tabela1[[#This Row],[Data da Entrada/Primeira Parcela]],"MMM-AA")</f>
        <v>jan-00</v>
      </c>
      <c r="AG175" s="44" t="str">
        <f>TEXT(Tabela1[[#This Row],[Data da Entrada/Primeira Parcela]],"AAAA")</f>
        <v>1900</v>
      </c>
      <c r="AH175" s="30">
        <f>'DADOS FINANCEIROS'!X181</f>
        <v>0</v>
      </c>
      <c r="AI175" s="46">
        <f>'DADOS FINANCEIROS'!Y181</f>
        <v>0</v>
      </c>
      <c r="AJ175" s="46">
        <f>'DADOS FINANCEIROS'!Z181</f>
        <v>0</v>
      </c>
      <c r="AK17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5" s="98"/>
    </row>
    <row r="176" spans="1:38" x14ac:dyDescent="0.3">
      <c r="A176" s="30">
        <f>'DADOS FINANCEIROS'!D182</f>
        <v>0</v>
      </c>
      <c r="B176" s="30">
        <f>'DADOS FINANCEIROS'!A182</f>
        <v>0</v>
      </c>
      <c r="C176" s="30">
        <f>'DADOS FINANCEIROS'!B182</f>
        <v>0</v>
      </c>
      <c r="D176" s="30">
        <f>'DADOS FINANCEIROS'!C182</f>
        <v>0</v>
      </c>
      <c r="E176" s="44">
        <f>'DADOS FINANCEIROS'!E182</f>
        <v>0</v>
      </c>
      <c r="F176" s="44" t="str">
        <f>TEXT(Tabela1[[#This Row],[DATA DE EMISSÃO]],"MMM-AA")</f>
        <v>jan-00</v>
      </c>
      <c r="G176" s="44" t="str">
        <f>TEXT(Tabela1[[#This Row],[DATA DE EMISSÃO]],"AAAA")</f>
        <v>1900</v>
      </c>
      <c r="H176" s="44">
        <f>'DADOS FINANCEIROS'!F182</f>
        <v>0</v>
      </c>
      <c r="I176" s="44" t="str">
        <f>TEXT(Tabela1[[#This Row],[VENCIMENTO ORIGINAL]],"MMM-AA")</f>
        <v>jan-00</v>
      </c>
      <c r="J176" s="44" t="str">
        <f>TEXT(Tabela1[[#This Row],[VENCIMENTO ORIGINAL]],"AAAA")</f>
        <v>1900</v>
      </c>
      <c r="K176" s="44">
        <f>'DADOS FINANCEIROS'!G182</f>
        <v>0</v>
      </c>
      <c r="L176" s="44" t="str">
        <f>TEXT(Tabela1[[#This Row],[VENCIMENTO ATUAL]],"MMM-AA")</f>
        <v>jan-00</v>
      </c>
      <c r="M176" s="44" t="str">
        <f>TEXT(Tabela1[[#This Row],[VENCIMENTO ATUAL]],"AAAA")</f>
        <v>1900</v>
      </c>
      <c r="N176" s="46">
        <f>'DADOS FINANCEIROS'!H182</f>
        <v>0</v>
      </c>
      <c r="O176" s="30">
        <f>'DADOS FINANCEIROS'!I182</f>
        <v>0</v>
      </c>
      <c r="P176" s="30">
        <f>'DADOS FINANCEIROS'!J182</f>
        <v>0</v>
      </c>
      <c r="Q176" s="30">
        <f>'DADOS FINANCEIROS'!K182</f>
        <v>0</v>
      </c>
      <c r="R176" s="30">
        <f>'DADOS FINANCEIROS'!L182</f>
        <v>0</v>
      </c>
      <c r="S176" s="30">
        <f>'DADOS FINANCEIROS'!M182</f>
        <v>0</v>
      </c>
      <c r="T176" s="30">
        <f>IFERROR('DADOS FINANCEIROS'!N182,"")</f>
        <v>0</v>
      </c>
      <c r="U176" s="30">
        <f>'DADOS FINANCEIROS'!O182</f>
        <v>0</v>
      </c>
      <c r="V176" s="30">
        <f>'DADOS FINANCEIROS'!P182</f>
        <v>0</v>
      </c>
      <c r="W176" s="30">
        <f>'DADOS FINANCEIROS'!Q182</f>
        <v>0</v>
      </c>
      <c r="X176" s="30">
        <f>'DADOS FINANCEIROS'!R182</f>
        <v>0</v>
      </c>
      <c r="Y176" s="30">
        <f>'DADOS FINANCEIROS'!S182</f>
        <v>0</v>
      </c>
      <c r="Z176" s="30">
        <f>'DADOS FINANCEIROS'!T182</f>
        <v>0</v>
      </c>
      <c r="AA176" s="30">
        <f>'DADOS FINANCEIROS'!U182</f>
        <v>0</v>
      </c>
      <c r="AB176" s="44">
        <f>'DADOS FINANCEIROS'!V182</f>
        <v>0</v>
      </c>
      <c r="AC176" s="44" t="str">
        <f>TEXT(Tabela1[[#This Row],[Data de Negociação]],"MMM-AA")</f>
        <v>jan-00</v>
      </c>
      <c r="AD176" s="44" t="str">
        <f>TEXT(Tabela1[[#This Row],[Data de Negociação]],"AAAA")</f>
        <v>1900</v>
      </c>
      <c r="AE176" s="44">
        <f>'DADOS FINANCEIROS'!W182</f>
        <v>0</v>
      </c>
      <c r="AF176" s="44" t="str">
        <f>TEXT(Tabela1[[#This Row],[Data da Entrada/Primeira Parcela]],"MMM-AA")</f>
        <v>jan-00</v>
      </c>
      <c r="AG176" s="44" t="str">
        <f>TEXT(Tabela1[[#This Row],[Data da Entrada/Primeira Parcela]],"AAAA")</f>
        <v>1900</v>
      </c>
      <c r="AH176" s="30">
        <f>'DADOS FINANCEIROS'!X182</f>
        <v>0</v>
      </c>
      <c r="AI176" s="46">
        <f>'DADOS FINANCEIROS'!Y182</f>
        <v>0</v>
      </c>
      <c r="AJ176" s="46">
        <f>'DADOS FINANCEIROS'!Z182</f>
        <v>0</v>
      </c>
      <c r="AK17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6" s="98"/>
    </row>
    <row r="177" spans="1:38" x14ac:dyDescent="0.3">
      <c r="A177" s="30">
        <f>'DADOS FINANCEIROS'!D183</f>
        <v>0</v>
      </c>
      <c r="B177" s="30">
        <f>'DADOS FINANCEIROS'!A183</f>
        <v>0</v>
      </c>
      <c r="C177" s="30">
        <f>'DADOS FINANCEIROS'!B183</f>
        <v>0</v>
      </c>
      <c r="D177" s="30">
        <f>'DADOS FINANCEIROS'!C183</f>
        <v>0</v>
      </c>
      <c r="E177" s="44">
        <f>'DADOS FINANCEIROS'!E183</f>
        <v>0</v>
      </c>
      <c r="F177" s="44" t="str">
        <f>TEXT(Tabela1[[#This Row],[DATA DE EMISSÃO]],"MMM-AA")</f>
        <v>jan-00</v>
      </c>
      <c r="G177" s="44" t="str">
        <f>TEXT(Tabela1[[#This Row],[DATA DE EMISSÃO]],"AAAA")</f>
        <v>1900</v>
      </c>
      <c r="H177" s="44">
        <f>'DADOS FINANCEIROS'!F183</f>
        <v>0</v>
      </c>
      <c r="I177" s="44" t="str">
        <f>TEXT(Tabela1[[#This Row],[VENCIMENTO ORIGINAL]],"MMM-AA")</f>
        <v>jan-00</v>
      </c>
      <c r="J177" s="44" t="str">
        <f>TEXT(Tabela1[[#This Row],[VENCIMENTO ORIGINAL]],"AAAA")</f>
        <v>1900</v>
      </c>
      <c r="K177" s="44">
        <f>'DADOS FINANCEIROS'!G183</f>
        <v>0</v>
      </c>
      <c r="L177" s="44" t="str">
        <f>TEXT(Tabela1[[#This Row],[VENCIMENTO ATUAL]],"MMM-AA")</f>
        <v>jan-00</v>
      </c>
      <c r="M177" s="44" t="str">
        <f>TEXT(Tabela1[[#This Row],[VENCIMENTO ATUAL]],"AAAA")</f>
        <v>1900</v>
      </c>
      <c r="N177" s="46">
        <f>'DADOS FINANCEIROS'!H183</f>
        <v>0</v>
      </c>
      <c r="O177" s="30">
        <f>'DADOS FINANCEIROS'!I183</f>
        <v>0</v>
      </c>
      <c r="P177" s="30">
        <f>'DADOS FINANCEIROS'!J183</f>
        <v>0</v>
      </c>
      <c r="Q177" s="30">
        <f>'DADOS FINANCEIROS'!K183</f>
        <v>0</v>
      </c>
      <c r="R177" s="30">
        <f>'DADOS FINANCEIROS'!L183</f>
        <v>0</v>
      </c>
      <c r="S177" s="30">
        <f>'DADOS FINANCEIROS'!M183</f>
        <v>0</v>
      </c>
      <c r="T177" s="30">
        <f>IFERROR('DADOS FINANCEIROS'!N183,"")</f>
        <v>0</v>
      </c>
      <c r="U177" s="30">
        <f>'DADOS FINANCEIROS'!O183</f>
        <v>0</v>
      </c>
      <c r="V177" s="30">
        <f>'DADOS FINANCEIROS'!P183</f>
        <v>0</v>
      </c>
      <c r="W177" s="30">
        <f>'DADOS FINANCEIROS'!Q183</f>
        <v>0</v>
      </c>
      <c r="X177" s="30">
        <f>'DADOS FINANCEIROS'!R183</f>
        <v>0</v>
      </c>
      <c r="Y177" s="30">
        <f>'DADOS FINANCEIROS'!S183</f>
        <v>0</v>
      </c>
      <c r="Z177" s="30">
        <f>'DADOS FINANCEIROS'!T183</f>
        <v>0</v>
      </c>
      <c r="AA177" s="30">
        <f>'DADOS FINANCEIROS'!U183</f>
        <v>0</v>
      </c>
      <c r="AB177" s="44">
        <f>'DADOS FINANCEIROS'!V183</f>
        <v>0</v>
      </c>
      <c r="AC177" s="44" t="str">
        <f>TEXT(Tabela1[[#This Row],[Data de Negociação]],"MMM-AA")</f>
        <v>jan-00</v>
      </c>
      <c r="AD177" s="44" t="str">
        <f>TEXT(Tabela1[[#This Row],[Data de Negociação]],"AAAA")</f>
        <v>1900</v>
      </c>
      <c r="AE177" s="44">
        <f>'DADOS FINANCEIROS'!W183</f>
        <v>0</v>
      </c>
      <c r="AF177" s="44" t="str">
        <f>TEXT(Tabela1[[#This Row],[Data da Entrada/Primeira Parcela]],"MMM-AA")</f>
        <v>jan-00</v>
      </c>
      <c r="AG177" s="44" t="str">
        <f>TEXT(Tabela1[[#This Row],[Data da Entrada/Primeira Parcela]],"AAAA")</f>
        <v>1900</v>
      </c>
      <c r="AH177" s="30">
        <f>'DADOS FINANCEIROS'!X183</f>
        <v>0</v>
      </c>
      <c r="AI177" s="46">
        <f>'DADOS FINANCEIROS'!Y183</f>
        <v>0</v>
      </c>
      <c r="AJ177" s="46">
        <f>'DADOS FINANCEIROS'!Z183</f>
        <v>0</v>
      </c>
      <c r="AK17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7" s="98"/>
    </row>
    <row r="178" spans="1:38" x14ac:dyDescent="0.3">
      <c r="A178" s="30">
        <f>'DADOS FINANCEIROS'!D184</f>
        <v>0</v>
      </c>
      <c r="B178" s="30">
        <f>'DADOS FINANCEIROS'!A184</f>
        <v>0</v>
      </c>
      <c r="C178" s="30">
        <f>'DADOS FINANCEIROS'!B184</f>
        <v>0</v>
      </c>
      <c r="D178" s="30">
        <f>'DADOS FINANCEIROS'!C184</f>
        <v>0</v>
      </c>
      <c r="E178" s="44">
        <f>'DADOS FINANCEIROS'!E184</f>
        <v>0</v>
      </c>
      <c r="F178" s="44" t="str">
        <f>TEXT(Tabela1[[#This Row],[DATA DE EMISSÃO]],"MMM-AA")</f>
        <v>jan-00</v>
      </c>
      <c r="G178" s="44" t="str">
        <f>TEXT(Tabela1[[#This Row],[DATA DE EMISSÃO]],"AAAA")</f>
        <v>1900</v>
      </c>
      <c r="H178" s="44">
        <f>'DADOS FINANCEIROS'!F184</f>
        <v>0</v>
      </c>
      <c r="I178" s="44" t="str">
        <f>TEXT(Tabela1[[#This Row],[VENCIMENTO ORIGINAL]],"MMM-AA")</f>
        <v>jan-00</v>
      </c>
      <c r="J178" s="44" t="str">
        <f>TEXT(Tabela1[[#This Row],[VENCIMENTO ORIGINAL]],"AAAA")</f>
        <v>1900</v>
      </c>
      <c r="K178" s="44">
        <f>'DADOS FINANCEIROS'!G184</f>
        <v>0</v>
      </c>
      <c r="L178" s="44" t="str">
        <f>TEXT(Tabela1[[#This Row],[VENCIMENTO ATUAL]],"MMM-AA")</f>
        <v>jan-00</v>
      </c>
      <c r="M178" s="44" t="str">
        <f>TEXT(Tabela1[[#This Row],[VENCIMENTO ATUAL]],"AAAA")</f>
        <v>1900</v>
      </c>
      <c r="N178" s="46">
        <f>'DADOS FINANCEIROS'!H184</f>
        <v>0</v>
      </c>
      <c r="O178" s="30">
        <f>'DADOS FINANCEIROS'!I184</f>
        <v>0</v>
      </c>
      <c r="P178" s="30">
        <f>'DADOS FINANCEIROS'!J184</f>
        <v>0</v>
      </c>
      <c r="Q178" s="30">
        <f>'DADOS FINANCEIROS'!K184</f>
        <v>0</v>
      </c>
      <c r="R178" s="30">
        <f>'DADOS FINANCEIROS'!L184</f>
        <v>0</v>
      </c>
      <c r="S178" s="30">
        <f>'DADOS FINANCEIROS'!M184</f>
        <v>0</v>
      </c>
      <c r="T178" s="30">
        <f>IFERROR('DADOS FINANCEIROS'!N184,"")</f>
        <v>0</v>
      </c>
      <c r="U178" s="30">
        <f>'DADOS FINANCEIROS'!O184</f>
        <v>0</v>
      </c>
      <c r="V178" s="30">
        <f>'DADOS FINANCEIROS'!P184</f>
        <v>0</v>
      </c>
      <c r="W178" s="30">
        <f>'DADOS FINANCEIROS'!Q184</f>
        <v>0</v>
      </c>
      <c r="X178" s="30">
        <f>'DADOS FINANCEIROS'!R184</f>
        <v>0</v>
      </c>
      <c r="Y178" s="30">
        <f>'DADOS FINANCEIROS'!S184</f>
        <v>0</v>
      </c>
      <c r="Z178" s="30">
        <f>'DADOS FINANCEIROS'!T184</f>
        <v>0</v>
      </c>
      <c r="AA178" s="30">
        <f>'DADOS FINANCEIROS'!U184</f>
        <v>0</v>
      </c>
      <c r="AB178" s="44">
        <f>'DADOS FINANCEIROS'!V184</f>
        <v>0</v>
      </c>
      <c r="AC178" s="44" t="str">
        <f>TEXT(Tabela1[[#This Row],[Data de Negociação]],"MMM-AA")</f>
        <v>jan-00</v>
      </c>
      <c r="AD178" s="44" t="str">
        <f>TEXT(Tabela1[[#This Row],[Data de Negociação]],"AAAA")</f>
        <v>1900</v>
      </c>
      <c r="AE178" s="44">
        <f>'DADOS FINANCEIROS'!W184</f>
        <v>0</v>
      </c>
      <c r="AF178" s="44" t="str">
        <f>TEXT(Tabela1[[#This Row],[Data da Entrada/Primeira Parcela]],"MMM-AA")</f>
        <v>jan-00</v>
      </c>
      <c r="AG178" s="44" t="str">
        <f>TEXT(Tabela1[[#This Row],[Data da Entrada/Primeira Parcela]],"AAAA")</f>
        <v>1900</v>
      </c>
      <c r="AH178" s="30">
        <f>'DADOS FINANCEIROS'!X184</f>
        <v>0</v>
      </c>
      <c r="AI178" s="46">
        <f>'DADOS FINANCEIROS'!Y184</f>
        <v>0</v>
      </c>
      <c r="AJ178" s="46">
        <f>'DADOS FINANCEIROS'!Z184</f>
        <v>0</v>
      </c>
      <c r="AK17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8" s="98"/>
    </row>
    <row r="179" spans="1:38" x14ac:dyDescent="0.3">
      <c r="A179" s="30">
        <f>'DADOS FINANCEIROS'!D185</f>
        <v>0</v>
      </c>
      <c r="B179" s="30">
        <f>'DADOS FINANCEIROS'!A185</f>
        <v>0</v>
      </c>
      <c r="C179" s="30">
        <f>'DADOS FINANCEIROS'!B185</f>
        <v>0</v>
      </c>
      <c r="D179" s="30">
        <f>'DADOS FINANCEIROS'!C185</f>
        <v>0</v>
      </c>
      <c r="E179" s="44">
        <f>'DADOS FINANCEIROS'!E185</f>
        <v>0</v>
      </c>
      <c r="F179" s="44" t="str">
        <f>TEXT(Tabela1[[#This Row],[DATA DE EMISSÃO]],"MMM-AA")</f>
        <v>jan-00</v>
      </c>
      <c r="G179" s="44" t="str">
        <f>TEXT(Tabela1[[#This Row],[DATA DE EMISSÃO]],"AAAA")</f>
        <v>1900</v>
      </c>
      <c r="H179" s="44">
        <f>'DADOS FINANCEIROS'!F185</f>
        <v>0</v>
      </c>
      <c r="I179" s="44" t="str">
        <f>TEXT(Tabela1[[#This Row],[VENCIMENTO ORIGINAL]],"MMM-AA")</f>
        <v>jan-00</v>
      </c>
      <c r="J179" s="44" t="str">
        <f>TEXT(Tabela1[[#This Row],[VENCIMENTO ORIGINAL]],"AAAA")</f>
        <v>1900</v>
      </c>
      <c r="K179" s="44">
        <f>'DADOS FINANCEIROS'!G185</f>
        <v>0</v>
      </c>
      <c r="L179" s="44" t="str">
        <f>TEXT(Tabela1[[#This Row],[VENCIMENTO ATUAL]],"MMM-AA")</f>
        <v>jan-00</v>
      </c>
      <c r="M179" s="44" t="str">
        <f>TEXT(Tabela1[[#This Row],[VENCIMENTO ATUAL]],"AAAA")</f>
        <v>1900</v>
      </c>
      <c r="N179" s="46">
        <f>'DADOS FINANCEIROS'!H185</f>
        <v>0</v>
      </c>
      <c r="O179" s="30">
        <f>'DADOS FINANCEIROS'!I185</f>
        <v>0</v>
      </c>
      <c r="P179" s="30">
        <f>'DADOS FINANCEIROS'!J185</f>
        <v>0</v>
      </c>
      <c r="Q179" s="30">
        <f>'DADOS FINANCEIROS'!K185</f>
        <v>0</v>
      </c>
      <c r="R179" s="30">
        <f>'DADOS FINANCEIROS'!L185</f>
        <v>0</v>
      </c>
      <c r="S179" s="30">
        <f>'DADOS FINANCEIROS'!M185</f>
        <v>0</v>
      </c>
      <c r="T179" s="30">
        <f>IFERROR('DADOS FINANCEIROS'!N185,"")</f>
        <v>0</v>
      </c>
      <c r="U179" s="30">
        <f>'DADOS FINANCEIROS'!O185</f>
        <v>0</v>
      </c>
      <c r="V179" s="30">
        <f>'DADOS FINANCEIROS'!P185</f>
        <v>0</v>
      </c>
      <c r="W179" s="30">
        <f>'DADOS FINANCEIROS'!Q185</f>
        <v>0</v>
      </c>
      <c r="X179" s="30">
        <f>'DADOS FINANCEIROS'!R185</f>
        <v>0</v>
      </c>
      <c r="Y179" s="30">
        <f>'DADOS FINANCEIROS'!S185</f>
        <v>0</v>
      </c>
      <c r="Z179" s="30">
        <f>'DADOS FINANCEIROS'!T185</f>
        <v>0</v>
      </c>
      <c r="AA179" s="30">
        <f>'DADOS FINANCEIROS'!U185</f>
        <v>0</v>
      </c>
      <c r="AB179" s="44">
        <f>'DADOS FINANCEIROS'!V185</f>
        <v>0</v>
      </c>
      <c r="AC179" s="44" t="str">
        <f>TEXT(Tabela1[[#This Row],[Data de Negociação]],"MMM-AA")</f>
        <v>jan-00</v>
      </c>
      <c r="AD179" s="44" t="str">
        <f>TEXT(Tabela1[[#This Row],[Data de Negociação]],"AAAA")</f>
        <v>1900</v>
      </c>
      <c r="AE179" s="44">
        <f>'DADOS FINANCEIROS'!W185</f>
        <v>0</v>
      </c>
      <c r="AF179" s="44" t="str">
        <f>TEXT(Tabela1[[#This Row],[Data da Entrada/Primeira Parcela]],"MMM-AA")</f>
        <v>jan-00</v>
      </c>
      <c r="AG179" s="44" t="str">
        <f>TEXT(Tabela1[[#This Row],[Data da Entrada/Primeira Parcela]],"AAAA")</f>
        <v>1900</v>
      </c>
      <c r="AH179" s="30">
        <f>'DADOS FINANCEIROS'!X185</f>
        <v>0</v>
      </c>
      <c r="AI179" s="46">
        <f>'DADOS FINANCEIROS'!Y185</f>
        <v>0</v>
      </c>
      <c r="AJ179" s="46">
        <f>'DADOS FINANCEIROS'!Z185</f>
        <v>0</v>
      </c>
      <c r="AK17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79" s="98"/>
    </row>
    <row r="180" spans="1:38" x14ac:dyDescent="0.3">
      <c r="A180" s="30">
        <f>'DADOS FINANCEIROS'!D186</f>
        <v>0</v>
      </c>
      <c r="B180" s="30">
        <f>'DADOS FINANCEIROS'!A186</f>
        <v>0</v>
      </c>
      <c r="C180" s="30">
        <f>'DADOS FINANCEIROS'!B186</f>
        <v>0</v>
      </c>
      <c r="D180" s="30">
        <f>'DADOS FINANCEIROS'!C186</f>
        <v>0</v>
      </c>
      <c r="E180" s="44">
        <f>'DADOS FINANCEIROS'!E186</f>
        <v>0</v>
      </c>
      <c r="F180" s="44" t="str">
        <f>TEXT(Tabela1[[#This Row],[DATA DE EMISSÃO]],"MMM-AA")</f>
        <v>jan-00</v>
      </c>
      <c r="G180" s="44" t="str">
        <f>TEXT(Tabela1[[#This Row],[DATA DE EMISSÃO]],"AAAA")</f>
        <v>1900</v>
      </c>
      <c r="H180" s="44">
        <f>'DADOS FINANCEIROS'!F186</f>
        <v>0</v>
      </c>
      <c r="I180" s="44" t="str">
        <f>TEXT(Tabela1[[#This Row],[VENCIMENTO ORIGINAL]],"MMM-AA")</f>
        <v>jan-00</v>
      </c>
      <c r="J180" s="44" t="str">
        <f>TEXT(Tabela1[[#This Row],[VENCIMENTO ORIGINAL]],"AAAA")</f>
        <v>1900</v>
      </c>
      <c r="K180" s="44">
        <f>'DADOS FINANCEIROS'!G186</f>
        <v>0</v>
      </c>
      <c r="L180" s="44" t="str">
        <f>TEXT(Tabela1[[#This Row],[VENCIMENTO ATUAL]],"MMM-AA")</f>
        <v>jan-00</v>
      </c>
      <c r="M180" s="44" t="str">
        <f>TEXT(Tabela1[[#This Row],[VENCIMENTO ATUAL]],"AAAA")</f>
        <v>1900</v>
      </c>
      <c r="N180" s="46">
        <f>'DADOS FINANCEIROS'!H186</f>
        <v>0</v>
      </c>
      <c r="O180" s="30">
        <f>'DADOS FINANCEIROS'!I186</f>
        <v>0</v>
      </c>
      <c r="P180" s="30">
        <f>'DADOS FINANCEIROS'!J186</f>
        <v>0</v>
      </c>
      <c r="Q180" s="30">
        <f>'DADOS FINANCEIROS'!K186</f>
        <v>0</v>
      </c>
      <c r="R180" s="30">
        <f>'DADOS FINANCEIROS'!L186</f>
        <v>0</v>
      </c>
      <c r="S180" s="30">
        <f>'DADOS FINANCEIROS'!M186</f>
        <v>0</v>
      </c>
      <c r="T180" s="30">
        <f>IFERROR('DADOS FINANCEIROS'!N186,"")</f>
        <v>0</v>
      </c>
      <c r="U180" s="30">
        <f>'DADOS FINANCEIROS'!O186</f>
        <v>0</v>
      </c>
      <c r="V180" s="30">
        <f>'DADOS FINANCEIROS'!P186</f>
        <v>0</v>
      </c>
      <c r="W180" s="30">
        <f>'DADOS FINANCEIROS'!Q186</f>
        <v>0</v>
      </c>
      <c r="X180" s="30">
        <f>'DADOS FINANCEIROS'!R186</f>
        <v>0</v>
      </c>
      <c r="Y180" s="30">
        <f>'DADOS FINANCEIROS'!S186</f>
        <v>0</v>
      </c>
      <c r="Z180" s="30">
        <f>'DADOS FINANCEIROS'!T186</f>
        <v>0</v>
      </c>
      <c r="AA180" s="30">
        <f>'DADOS FINANCEIROS'!U186</f>
        <v>0</v>
      </c>
      <c r="AB180" s="44">
        <f>'DADOS FINANCEIROS'!V186</f>
        <v>0</v>
      </c>
      <c r="AC180" s="44" t="str">
        <f>TEXT(Tabela1[[#This Row],[Data de Negociação]],"MMM-AA")</f>
        <v>jan-00</v>
      </c>
      <c r="AD180" s="44" t="str">
        <f>TEXT(Tabela1[[#This Row],[Data de Negociação]],"AAAA")</f>
        <v>1900</v>
      </c>
      <c r="AE180" s="44">
        <f>'DADOS FINANCEIROS'!W186</f>
        <v>0</v>
      </c>
      <c r="AF180" s="44" t="str">
        <f>TEXT(Tabela1[[#This Row],[Data da Entrada/Primeira Parcela]],"MMM-AA")</f>
        <v>jan-00</v>
      </c>
      <c r="AG180" s="44" t="str">
        <f>TEXT(Tabela1[[#This Row],[Data da Entrada/Primeira Parcela]],"AAAA")</f>
        <v>1900</v>
      </c>
      <c r="AH180" s="30">
        <f>'DADOS FINANCEIROS'!X186</f>
        <v>0</v>
      </c>
      <c r="AI180" s="46">
        <f>'DADOS FINANCEIROS'!Y186</f>
        <v>0</v>
      </c>
      <c r="AJ180" s="46">
        <f>'DADOS FINANCEIROS'!Z186</f>
        <v>0</v>
      </c>
      <c r="AK18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0" s="98"/>
    </row>
    <row r="181" spans="1:38" x14ac:dyDescent="0.3">
      <c r="A181" s="30">
        <f>'DADOS FINANCEIROS'!D187</f>
        <v>0</v>
      </c>
      <c r="B181" s="30">
        <f>'DADOS FINANCEIROS'!A187</f>
        <v>0</v>
      </c>
      <c r="C181" s="30">
        <f>'DADOS FINANCEIROS'!B187</f>
        <v>0</v>
      </c>
      <c r="D181" s="30">
        <f>'DADOS FINANCEIROS'!C187</f>
        <v>0</v>
      </c>
      <c r="E181" s="44">
        <f>'DADOS FINANCEIROS'!E187</f>
        <v>0</v>
      </c>
      <c r="F181" s="44" t="str">
        <f>TEXT(Tabela1[[#This Row],[DATA DE EMISSÃO]],"MMM-AA")</f>
        <v>jan-00</v>
      </c>
      <c r="G181" s="44" t="str">
        <f>TEXT(Tabela1[[#This Row],[DATA DE EMISSÃO]],"AAAA")</f>
        <v>1900</v>
      </c>
      <c r="H181" s="44">
        <f>'DADOS FINANCEIROS'!F187</f>
        <v>0</v>
      </c>
      <c r="I181" s="44" t="str">
        <f>TEXT(Tabela1[[#This Row],[VENCIMENTO ORIGINAL]],"MMM-AA")</f>
        <v>jan-00</v>
      </c>
      <c r="J181" s="44" t="str">
        <f>TEXT(Tabela1[[#This Row],[VENCIMENTO ORIGINAL]],"AAAA")</f>
        <v>1900</v>
      </c>
      <c r="K181" s="44">
        <f>'DADOS FINANCEIROS'!G187</f>
        <v>0</v>
      </c>
      <c r="L181" s="44" t="str">
        <f>TEXT(Tabela1[[#This Row],[VENCIMENTO ATUAL]],"MMM-AA")</f>
        <v>jan-00</v>
      </c>
      <c r="M181" s="44" t="str">
        <f>TEXT(Tabela1[[#This Row],[VENCIMENTO ATUAL]],"AAAA")</f>
        <v>1900</v>
      </c>
      <c r="N181" s="46">
        <f>'DADOS FINANCEIROS'!H187</f>
        <v>0</v>
      </c>
      <c r="O181" s="30">
        <f>'DADOS FINANCEIROS'!I187</f>
        <v>0</v>
      </c>
      <c r="P181" s="30">
        <f>'DADOS FINANCEIROS'!J187</f>
        <v>0</v>
      </c>
      <c r="Q181" s="30">
        <f>'DADOS FINANCEIROS'!K187</f>
        <v>0</v>
      </c>
      <c r="R181" s="30">
        <f>'DADOS FINANCEIROS'!L187</f>
        <v>0</v>
      </c>
      <c r="S181" s="30">
        <f>'DADOS FINANCEIROS'!M187</f>
        <v>0</v>
      </c>
      <c r="T181" s="30">
        <f>IFERROR('DADOS FINANCEIROS'!N187,"")</f>
        <v>0</v>
      </c>
      <c r="U181" s="30">
        <f>'DADOS FINANCEIROS'!O187</f>
        <v>0</v>
      </c>
      <c r="V181" s="30">
        <f>'DADOS FINANCEIROS'!P187</f>
        <v>0</v>
      </c>
      <c r="W181" s="30">
        <f>'DADOS FINANCEIROS'!Q187</f>
        <v>0</v>
      </c>
      <c r="X181" s="30">
        <f>'DADOS FINANCEIROS'!R187</f>
        <v>0</v>
      </c>
      <c r="Y181" s="30">
        <f>'DADOS FINANCEIROS'!S187</f>
        <v>0</v>
      </c>
      <c r="Z181" s="30">
        <f>'DADOS FINANCEIROS'!T187</f>
        <v>0</v>
      </c>
      <c r="AA181" s="30">
        <f>'DADOS FINANCEIROS'!U187</f>
        <v>0</v>
      </c>
      <c r="AB181" s="44">
        <f>'DADOS FINANCEIROS'!V187</f>
        <v>0</v>
      </c>
      <c r="AC181" s="44" t="str">
        <f>TEXT(Tabela1[[#This Row],[Data de Negociação]],"MMM-AA")</f>
        <v>jan-00</v>
      </c>
      <c r="AD181" s="44" t="str">
        <f>TEXT(Tabela1[[#This Row],[Data de Negociação]],"AAAA")</f>
        <v>1900</v>
      </c>
      <c r="AE181" s="44">
        <f>'DADOS FINANCEIROS'!W187</f>
        <v>0</v>
      </c>
      <c r="AF181" s="44" t="str">
        <f>TEXT(Tabela1[[#This Row],[Data da Entrada/Primeira Parcela]],"MMM-AA")</f>
        <v>jan-00</v>
      </c>
      <c r="AG181" s="44" t="str">
        <f>TEXT(Tabela1[[#This Row],[Data da Entrada/Primeira Parcela]],"AAAA")</f>
        <v>1900</v>
      </c>
      <c r="AH181" s="30">
        <f>'DADOS FINANCEIROS'!X187</f>
        <v>0</v>
      </c>
      <c r="AI181" s="46">
        <f>'DADOS FINANCEIROS'!Y187</f>
        <v>0</v>
      </c>
      <c r="AJ181" s="46">
        <f>'DADOS FINANCEIROS'!Z187</f>
        <v>0</v>
      </c>
      <c r="AK18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1" s="98"/>
    </row>
    <row r="182" spans="1:38" x14ac:dyDescent="0.3">
      <c r="A182" s="30">
        <f>'DADOS FINANCEIROS'!D188</f>
        <v>0</v>
      </c>
      <c r="B182" s="30">
        <f>'DADOS FINANCEIROS'!A188</f>
        <v>0</v>
      </c>
      <c r="C182" s="30">
        <f>'DADOS FINANCEIROS'!B188</f>
        <v>0</v>
      </c>
      <c r="D182" s="30">
        <f>'DADOS FINANCEIROS'!C188</f>
        <v>0</v>
      </c>
      <c r="E182" s="44">
        <f>'DADOS FINANCEIROS'!E188</f>
        <v>0</v>
      </c>
      <c r="F182" s="44" t="str">
        <f>TEXT(Tabela1[[#This Row],[DATA DE EMISSÃO]],"MMM-AA")</f>
        <v>jan-00</v>
      </c>
      <c r="G182" s="44" t="str">
        <f>TEXT(Tabela1[[#This Row],[DATA DE EMISSÃO]],"AAAA")</f>
        <v>1900</v>
      </c>
      <c r="H182" s="44">
        <f>'DADOS FINANCEIROS'!F188</f>
        <v>0</v>
      </c>
      <c r="I182" s="44" t="str">
        <f>TEXT(Tabela1[[#This Row],[VENCIMENTO ORIGINAL]],"MMM-AA")</f>
        <v>jan-00</v>
      </c>
      <c r="J182" s="44" t="str">
        <f>TEXT(Tabela1[[#This Row],[VENCIMENTO ORIGINAL]],"AAAA")</f>
        <v>1900</v>
      </c>
      <c r="K182" s="44">
        <f>'DADOS FINANCEIROS'!G188</f>
        <v>0</v>
      </c>
      <c r="L182" s="44" t="str">
        <f>TEXT(Tabela1[[#This Row],[VENCIMENTO ATUAL]],"MMM-AA")</f>
        <v>jan-00</v>
      </c>
      <c r="M182" s="44" t="str">
        <f>TEXT(Tabela1[[#This Row],[VENCIMENTO ATUAL]],"AAAA")</f>
        <v>1900</v>
      </c>
      <c r="N182" s="46">
        <f>'DADOS FINANCEIROS'!H188</f>
        <v>0</v>
      </c>
      <c r="O182" s="30">
        <f>'DADOS FINANCEIROS'!I188</f>
        <v>0</v>
      </c>
      <c r="P182" s="30">
        <f>'DADOS FINANCEIROS'!J188</f>
        <v>0</v>
      </c>
      <c r="Q182" s="30">
        <f>'DADOS FINANCEIROS'!K188</f>
        <v>0</v>
      </c>
      <c r="R182" s="30">
        <f>'DADOS FINANCEIROS'!L188</f>
        <v>0</v>
      </c>
      <c r="S182" s="30">
        <f>'DADOS FINANCEIROS'!M188</f>
        <v>0</v>
      </c>
      <c r="T182" s="30">
        <f>IFERROR('DADOS FINANCEIROS'!N188,"")</f>
        <v>0</v>
      </c>
      <c r="U182" s="30">
        <f>'DADOS FINANCEIROS'!O188</f>
        <v>0</v>
      </c>
      <c r="V182" s="30">
        <f>'DADOS FINANCEIROS'!P188</f>
        <v>0</v>
      </c>
      <c r="W182" s="30">
        <f>'DADOS FINANCEIROS'!Q188</f>
        <v>0</v>
      </c>
      <c r="X182" s="30">
        <f>'DADOS FINANCEIROS'!R188</f>
        <v>0</v>
      </c>
      <c r="Y182" s="30">
        <f>'DADOS FINANCEIROS'!S188</f>
        <v>0</v>
      </c>
      <c r="Z182" s="30">
        <f>'DADOS FINANCEIROS'!T188</f>
        <v>0</v>
      </c>
      <c r="AA182" s="30">
        <f>'DADOS FINANCEIROS'!U188</f>
        <v>0</v>
      </c>
      <c r="AB182" s="44">
        <f>'DADOS FINANCEIROS'!V188</f>
        <v>0</v>
      </c>
      <c r="AC182" s="44" t="str">
        <f>TEXT(Tabela1[[#This Row],[Data de Negociação]],"MMM-AA")</f>
        <v>jan-00</v>
      </c>
      <c r="AD182" s="44" t="str">
        <f>TEXT(Tabela1[[#This Row],[Data de Negociação]],"AAAA")</f>
        <v>1900</v>
      </c>
      <c r="AE182" s="44">
        <f>'DADOS FINANCEIROS'!W188</f>
        <v>0</v>
      </c>
      <c r="AF182" s="44" t="str">
        <f>TEXT(Tabela1[[#This Row],[Data da Entrada/Primeira Parcela]],"MMM-AA")</f>
        <v>jan-00</v>
      </c>
      <c r="AG182" s="44" t="str">
        <f>TEXT(Tabela1[[#This Row],[Data da Entrada/Primeira Parcela]],"AAAA")</f>
        <v>1900</v>
      </c>
      <c r="AH182" s="30">
        <f>'DADOS FINANCEIROS'!X188</f>
        <v>0</v>
      </c>
      <c r="AI182" s="46">
        <f>'DADOS FINANCEIROS'!Y188</f>
        <v>0</v>
      </c>
      <c r="AJ182" s="46">
        <f>'DADOS FINANCEIROS'!Z188</f>
        <v>0</v>
      </c>
      <c r="AK18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2" s="98"/>
    </row>
    <row r="183" spans="1:38" x14ac:dyDescent="0.3">
      <c r="A183" s="30">
        <f>'DADOS FINANCEIROS'!D189</f>
        <v>0</v>
      </c>
      <c r="B183" s="30">
        <f>'DADOS FINANCEIROS'!A189</f>
        <v>0</v>
      </c>
      <c r="C183" s="30">
        <f>'DADOS FINANCEIROS'!B189</f>
        <v>0</v>
      </c>
      <c r="D183" s="30">
        <f>'DADOS FINANCEIROS'!C189</f>
        <v>0</v>
      </c>
      <c r="E183" s="44">
        <f>'DADOS FINANCEIROS'!E189</f>
        <v>0</v>
      </c>
      <c r="F183" s="44" t="str">
        <f>TEXT(Tabela1[[#This Row],[DATA DE EMISSÃO]],"MMM-AA")</f>
        <v>jan-00</v>
      </c>
      <c r="G183" s="44" t="str">
        <f>TEXT(Tabela1[[#This Row],[DATA DE EMISSÃO]],"AAAA")</f>
        <v>1900</v>
      </c>
      <c r="H183" s="44">
        <f>'DADOS FINANCEIROS'!F189</f>
        <v>0</v>
      </c>
      <c r="I183" s="44" t="str">
        <f>TEXT(Tabela1[[#This Row],[VENCIMENTO ORIGINAL]],"MMM-AA")</f>
        <v>jan-00</v>
      </c>
      <c r="J183" s="44" t="str">
        <f>TEXT(Tabela1[[#This Row],[VENCIMENTO ORIGINAL]],"AAAA")</f>
        <v>1900</v>
      </c>
      <c r="K183" s="44">
        <f>'DADOS FINANCEIROS'!G189</f>
        <v>0</v>
      </c>
      <c r="L183" s="44" t="str">
        <f>TEXT(Tabela1[[#This Row],[VENCIMENTO ATUAL]],"MMM-AA")</f>
        <v>jan-00</v>
      </c>
      <c r="M183" s="44" t="str">
        <f>TEXT(Tabela1[[#This Row],[VENCIMENTO ATUAL]],"AAAA")</f>
        <v>1900</v>
      </c>
      <c r="N183" s="46">
        <f>'DADOS FINANCEIROS'!H189</f>
        <v>0</v>
      </c>
      <c r="O183" s="30">
        <f>'DADOS FINANCEIROS'!I189</f>
        <v>0</v>
      </c>
      <c r="P183" s="30">
        <f>'DADOS FINANCEIROS'!J189</f>
        <v>0</v>
      </c>
      <c r="Q183" s="30">
        <f>'DADOS FINANCEIROS'!K189</f>
        <v>0</v>
      </c>
      <c r="R183" s="30">
        <f>'DADOS FINANCEIROS'!L189</f>
        <v>0</v>
      </c>
      <c r="S183" s="30">
        <f>'DADOS FINANCEIROS'!M189</f>
        <v>0</v>
      </c>
      <c r="T183" s="30">
        <f>IFERROR('DADOS FINANCEIROS'!N189,"")</f>
        <v>0</v>
      </c>
      <c r="U183" s="30">
        <f>'DADOS FINANCEIROS'!O189</f>
        <v>0</v>
      </c>
      <c r="V183" s="30">
        <f>'DADOS FINANCEIROS'!P189</f>
        <v>0</v>
      </c>
      <c r="W183" s="30">
        <f>'DADOS FINANCEIROS'!Q189</f>
        <v>0</v>
      </c>
      <c r="X183" s="30">
        <f>'DADOS FINANCEIROS'!R189</f>
        <v>0</v>
      </c>
      <c r="Y183" s="30">
        <f>'DADOS FINANCEIROS'!S189</f>
        <v>0</v>
      </c>
      <c r="Z183" s="30">
        <f>'DADOS FINANCEIROS'!T189</f>
        <v>0</v>
      </c>
      <c r="AA183" s="30">
        <f>'DADOS FINANCEIROS'!U189</f>
        <v>0</v>
      </c>
      <c r="AB183" s="44">
        <f>'DADOS FINANCEIROS'!V189</f>
        <v>0</v>
      </c>
      <c r="AC183" s="44" t="str">
        <f>TEXT(Tabela1[[#This Row],[Data de Negociação]],"MMM-AA")</f>
        <v>jan-00</v>
      </c>
      <c r="AD183" s="44" t="str">
        <f>TEXT(Tabela1[[#This Row],[Data de Negociação]],"AAAA")</f>
        <v>1900</v>
      </c>
      <c r="AE183" s="44">
        <f>'DADOS FINANCEIROS'!W189</f>
        <v>0</v>
      </c>
      <c r="AF183" s="44" t="str">
        <f>TEXT(Tabela1[[#This Row],[Data da Entrada/Primeira Parcela]],"MMM-AA")</f>
        <v>jan-00</v>
      </c>
      <c r="AG183" s="44" t="str">
        <f>TEXT(Tabela1[[#This Row],[Data da Entrada/Primeira Parcela]],"AAAA")</f>
        <v>1900</v>
      </c>
      <c r="AH183" s="30">
        <f>'DADOS FINANCEIROS'!X189</f>
        <v>0</v>
      </c>
      <c r="AI183" s="46">
        <f>'DADOS FINANCEIROS'!Y189</f>
        <v>0</v>
      </c>
      <c r="AJ183" s="46">
        <f>'DADOS FINANCEIROS'!Z189</f>
        <v>0</v>
      </c>
      <c r="AK18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3" s="98"/>
    </row>
    <row r="184" spans="1:38" x14ac:dyDescent="0.3">
      <c r="A184" s="30">
        <f>'DADOS FINANCEIROS'!D190</f>
        <v>0</v>
      </c>
      <c r="B184" s="30">
        <f>'DADOS FINANCEIROS'!A190</f>
        <v>0</v>
      </c>
      <c r="C184" s="30">
        <f>'DADOS FINANCEIROS'!B190</f>
        <v>0</v>
      </c>
      <c r="D184" s="30">
        <f>'DADOS FINANCEIROS'!C190</f>
        <v>0</v>
      </c>
      <c r="E184" s="44">
        <f>'DADOS FINANCEIROS'!E190</f>
        <v>0</v>
      </c>
      <c r="F184" s="44" t="str">
        <f>TEXT(Tabela1[[#This Row],[DATA DE EMISSÃO]],"MMM-AA")</f>
        <v>jan-00</v>
      </c>
      <c r="G184" s="44" t="str">
        <f>TEXT(Tabela1[[#This Row],[DATA DE EMISSÃO]],"AAAA")</f>
        <v>1900</v>
      </c>
      <c r="H184" s="44">
        <f>'DADOS FINANCEIROS'!F190</f>
        <v>0</v>
      </c>
      <c r="I184" s="44" t="str">
        <f>TEXT(Tabela1[[#This Row],[VENCIMENTO ORIGINAL]],"MMM-AA")</f>
        <v>jan-00</v>
      </c>
      <c r="J184" s="44" t="str">
        <f>TEXT(Tabela1[[#This Row],[VENCIMENTO ORIGINAL]],"AAAA")</f>
        <v>1900</v>
      </c>
      <c r="K184" s="44">
        <f>'DADOS FINANCEIROS'!G190</f>
        <v>0</v>
      </c>
      <c r="L184" s="44" t="str">
        <f>TEXT(Tabela1[[#This Row],[VENCIMENTO ATUAL]],"MMM-AA")</f>
        <v>jan-00</v>
      </c>
      <c r="M184" s="44" t="str">
        <f>TEXT(Tabela1[[#This Row],[VENCIMENTO ATUAL]],"AAAA")</f>
        <v>1900</v>
      </c>
      <c r="N184" s="46">
        <f>'DADOS FINANCEIROS'!H190</f>
        <v>0</v>
      </c>
      <c r="O184" s="30">
        <f>'DADOS FINANCEIROS'!I190</f>
        <v>0</v>
      </c>
      <c r="P184" s="30">
        <f>'DADOS FINANCEIROS'!J190</f>
        <v>0</v>
      </c>
      <c r="Q184" s="30">
        <f>'DADOS FINANCEIROS'!K190</f>
        <v>0</v>
      </c>
      <c r="R184" s="30">
        <f>'DADOS FINANCEIROS'!L190</f>
        <v>0</v>
      </c>
      <c r="S184" s="30">
        <f>'DADOS FINANCEIROS'!M190</f>
        <v>0</v>
      </c>
      <c r="T184" s="30">
        <f>IFERROR('DADOS FINANCEIROS'!N190,"")</f>
        <v>0</v>
      </c>
      <c r="U184" s="30">
        <f>'DADOS FINANCEIROS'!O190</f>
        <v>0</v>
      </c>
      <c r="V184" s="30">
        <f>'DADOS FINANCEIROS'!P190</f>
        <v>0</v>
      </c>
      <c r="W184" s="30">
        <f>'DADOS FINANCEIROS'!Q190</f>
        <v>0</v>
      </c>
      <c r="X184" s="30">
        <f>'DADOS FINANCEIROS'!R190</f>
        <v>0</v>
      </c>
      <c r="Y184" s="30">
        <f>'DADOS FINANCEIROS'!S190</f>
        <v>0</v>
      </c>
      <c r="Z184" s="30">
        <f>'DADOS FINANCEIROS'!T190</f>
        <v>0</v>
      </c>
      <c r="AA184" s="30">
        <f>'DADOS FINANCEIROS'!U190</f>
        <v>0</v>
      </c>
      <c r="AB184" s="44">
        <f>'DADOS FINANCEIROS'!V190</f>
        <v>0</v>
      </c>
      <c r="AC184" s="44" t="str">
        <f>TEXT(Tabela1[[#This Row],[Data de Negociação]],"MMM-AA")</f>
        <v>jan-00</v>
      </c>
      <c r="AD184" s="44" t="str">
        <f>TEXT(Tabela1[[#This Row],[Data de Negociação]],"AAAA")</f>
        <v>1900</v>
      </c>
      <c r="AE184" s="44">
        <f>'DADOS FINANCEIROS'!W190</f>
        <v>0</v>
      </c>
      <c r="AF184" s="44" t="str">
        <f>TEXT(Tabela1[[#This Row],[Data da Entrada/Primeira Parcela]],"MMM-AA")</f>
        <v>jan-00</v>
      </c>
      <c r="AG184" s="44" t="str">
        <f>TEXT(Tabela1[[#This Row],[Data da Entrada/Primeira Parcela]],"AAAA")</f>
        <v>1900</v>
      </c>
      <c r="AH184" s="30">
        <f>'DADOS FINANCEIROS'!X190</f>
        <v>0</v>
      </c>
      <c r="AI184" s="46">
        <f>'DADOS FINANCEIROS'!Y190</f>
        <v>0</v>
      </c>
      <c r="AJ184" s="46">
        <f>'DADOS FINANCEIROS'!Z190</f>
        <v>0</v>
      </c>
      <c r="AK18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4" s="98"/>
    </row>
    <row r="185" spans="1:38" x14ac:dyDescent="0.3">
      <c r="A185" s="30">
        <f>'DADOS FINANCEIROS'!D191</f>
        <v>0</v>
      </c>
      <c r="B185" s="30">
        <f>'DADOS FINANCEIROS'!A191</f>
        <v>0</v>
      </c>
      <c r="C185" s="30">
        <f>'DADOS FINANCEIROS'!B191</f>
        <v>0</v>
      </c>
      <c r="D185" s="30">
        <f>'DADOS FINANCEIROS'!C191</f>
        <v>0</v>
      </c>
      <c r="E185" s="44">
        <f>'DADOS FINANCEIROS'!E191</f>
        <v>0</v>
      </c>
      <c r="F185" s="44" t="str">
        <f>TEXT(Tabela1[[#This Row],[DATA DE EMISSÃO]],"MMM-AA")</f>
        <v>jan-00</v>
      </c>
      <c r="G185" s="44" t="str">
        <f>TEXT(Tabela1[[#This Row],[DATA DE EMISSÃO]],"AAAA")</f>
        <v>1900</v>
      </c>
      <c r="H185" s="44">
        <f>'DADOS FINANCEIROS'!F191</f>
        <v>0</v>
      </c>
      <c r="I185" s="44" t="str">
        <f>TEXT(Tabela1[[#This Row],[VENCIMENTO ORIGINAL]],"MMM-AA")</f>
        <v>jan-00</v>
      </c>
      <c r="J185" s="44" t="str">
        <f>TEXT(Tabela1[[#This Row],[VENCIMENTO ORIGINAL]],"AAAA")</f>
        <v>1900</v>
      </c>
      <c r="K185" s="44">
        <f>'DADOS FINANCEIROS'!G191</f>
        <v>0</v>
      </c>
      <c r="L185" s="44" t="str">
        <f>TEXT(Tabela1[[#This Row],[VENCIMENTO ATUAL]],"MMM-AA")</f>
        <v>jan-00</v>
      </c>
      <c r="M185" s="44" t="str">
        <f>TEXT(Tabela1[[#This Row],[VENCIMENTO ATUAL]],"AAAA")</f>
        <v>1900</v>
      </c>
      <c r="N185" s="46">
        <f>'DADOS FINANCEIROS'!H191</f>
        <v>0</v>
      </c>
      <c r="O185" s="30">
        <f>'DADOS FINANCEIROS'!I191</f>
        <v>0</v>
      </c>
      <c r="P185" s="30">
        <f>'DADOS FINANCEIROS'!J191</f>
        <v>0</v>
      </c>
      <c r="Q185" s="30">
        <f>'DADOS FINANCEIROS'!K191</f>
        <v>0</v>
      </c>
      <c r="R185" s="30">
        <f>'DADOS FINANCEIROS'!L191</f>
        <v>0</v>
      </c>
      <c r="S185" s="30">
        <f>'DADOS FINANCEIROS'!M191</f>
        <v>0</v>
      </c>
      <c r="T185" s="30">
        <f>IFERROR('DADOS FINANCEIROS'!N191,"")</f>
        <v>0</v>
      </c>
      <c r="U185" s="30">
        <f>'DADOS FINANCEIROS'!O191</f>
        <v>0</v>
      </c>
      <c r="V185" s="30">
        <f>'DADOS FINANCEIROS'!P191</f>
        <v>0</v>
      </c>
      <c r="W185" s="30">
        <f>'DADOS FINANCEIROS'!Q191</f>
        <v>0</v>
      </c>
      <c r="X185" s="30">
        <f>'DADOS FINANCEIROS'!R191</f>
        <v>0</v>
      </c>
      <c r="Y185" s="30">
        <f>'DADOS FINANCEIROS'!S191</f>
        <v>0</v>
      </c>
      <c r="Z185" s="30">
        <f>'DADOS FINANCEIROS'!T191</f>
        <v>0</v>
      </c>
      <c r="AA185" s="30">
        <f>'DADOS FINANCEIROS'!U191</f>
        <v>0</v>
      </c>
      <c r="AB185" s="44">
        <f>'DADOS FINANCEIROS'!V191</f>
        <v>0</v>
      </c>
      <c r="AC185" s="44" t="str">
        <f>TEXT(Tabela1[[#This Row],[Data de Negociação]],"MMM-AA")</f>
        <v>jan-00</v>
      </c>
      <c r="AD185" s="44" t="str">
        <f>TEXT(Tabela1[[#This Row],[Data de Negociação]],"AAAA")</f>
        <v>1900</v>
      </c>
      <c r="AE185" s="44">
        <f>'DADOS FINANCEIROS'!W191</f>
        <v>0</v>
      </c>
      <c r="AF185" s="44" t="str">
        <f>TEXT(Tabela1[[#This Row],[Data da Entrada/Primeira Parcela]],"MMM-AA")</f>
        <v>jan-00</v>
      </c>
      <c r="AG185" s="44" t="str">
        <f>TEXT(Tabela1[[#This Row],[Data da Entrada/Primeira Parcela]],"AAAA")</f>
        <v>1900</v>
      </c>
      <c r="AH185" s="30">
        <f>'DADOS FINANCEIROS'!X191</f>
        <v>0</v>
      </c>
      <c r="AI185" s="46">
        <f>'DADOS FINANCEIROS'!Y191</f>
        <v>0</v>
      </c>
      <c r="AJ185" s="46">
        <f>'DADOS FINANCEIROS'!Z191</f>
        <v>0</v>
      </c>
      <c r="AK18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5" s="98"/>
    </row>
    <row r="186" spans="1:38" x14ac:dyDescent="0.3">
      <c r="A186" s="30">
        <f>'DADOS FINANCEIROS'!D192</f>
        <v>0</v>
      </c>
      <c r="B186" s="30">
        <f>'DADOS FINANCEIROS'!A192</f>
        <v>0</v>
      </c>
      <c r="C186" s="30">
        <f>'DADOS FINANCEIROS'!B192</f>
        <v>0</v>
      </c>
      <c r="D186" s="30">
        <f>'DADOS FINANCEIROS'!C192</f>
        <v>0</v>
      </c>
      <c r="E186" s="44">
        <f>'DADOS FINANCEIROS'!E192</f>
        <v>0</v>
      </c>
      <c r="F186" s="44" t="str">
        <f>TEXT(Tabela1[[#This Row],[DATA DE EMISSÃO]],"MMM-AA")</f>
        <v>jan-00</v>
      </c>
      <c r="G186" s="44" t="str">
        <f>TEXT(Tabela1[[#This Row],[DATA DE EMISSÃO]],"AAAA")</f>
        <v>1900</v>
      </c>
      <c r="H186" s="44">
        <f>'DADOS FINANCEIROS'!F192</f>
        <v>0</v>
      </c>
      <c r="I186" s="44" t="str">
        <f>TEXT(Tabela1[[#This Row],[VENCIMENTO ORIGINAL]],"MMM-AA")</f>
        <v>jan-00</v>
      </c>
      <c r="J186" s="44" t="str">
        <f>TEXT(Tabela1[[#This Row],[VENCIMENTO ORIGINAL]],"AAAA")</f>
        <v>1900</v>
      </c>
      <c r="K186" s="44">
        <f>'DADOS FINANCEIROS'!G192</f>
        <v>0</v>
      </c>
      <c r="L186" s="44" t="str">
        <f>TEXT(Tabela1[[#This Row],[VENCIMENTO ATUAL]],"MMM-AA")</f>
        <v>jan-00</v>
      </c>
      <c r="M186" s="44" t="str">
        <f>TEXT(Tabela1[[#This Row],[VENCIMENTO ATUAL]],"AAAA")</f>
        <v>1900</v>
      </c>
      <c r="N186" s="46">
        <f>'DADOS FINANCEIROS'!H192</f>
        <v>0</v>
      </c>
      <c r="O186" s="30">
        <f>'DADOS FINANCEIROS'!I192</f>
        <v>0</v>
      </c>
      <c r="P186" s="30">
        <f>'DADOS FINANCEIROS'!J192</f>
        <v>0</v>
      </c>
      <c r="Q186" s="30">
        <f>'DADOS FINANCEIROS'!K192</f>
        <v>0</v>
      </c>
      <c r="R186" s="30">
        <f>'DADOS FINANCEIROS'!L192</f>
        <v>0</v>
      </c>
      <c r="S186" s="30">
        <f>'DADOS FINANCEIROS'!M192</f>
        <v>0</v>
      </c>
      <c r="T186" s="30">
        <f>IFERROR('DADOS FINANCEIROS'!N192,"")</f>
        <v>0</v>
      </c>
      <c r="U186" s="30">
        <f>'DADOS FINANCEIROS'!O192</f>
        <v>0</v>
      </c>
      <c r="V186" s="30">
        <f>'DADOS FINANCEIROS'!P192</f>
        <v>0</v>
      </c>
      <c r="W186" s="30">
        <f>'DADOS FINANCEIROS'!Q192</f>
        <v>0</v>
      </c>
      <c r="X186" s="30">
        <f>'DADOS FINANCEIROS'!R192</f>
        <v>0</v>
      </c>
      <c r="Y186" s="30">
        <f>'DADOS FINANCEIROS'!S192</f>
        <v>0</v>
      </c>
      <c r="Z186" s="30">
        <f>'DADOS FINANCEIROS'!T192</f>
        <v>0</v>
      </c>
      <c r="AA186" s="30">
        <f>'DADOS FINANCEIROS'!U192</f>
        <v>0</v>
      </c>
      <c r="AB186" s="44">
        <f>'DADOS FINANCEIROS'!V192</f>
        <v>0</v>
      </c>
      <c r="AC186" s="44" t="str">
        <f>TEXT(Tabela1[[#This Row],[Data de Negociação]],"MMM-AA")</f>
        <v>jan-00</v>
      </c>
      <c r="AD186" s="44" t="str">
        <f>TEXT(Tabela1[[#This Row],[Data de Negociação]],"AAAA")</f>
        <v>1900</v>
      </c>
      <c r="AE186" s="44">
        <f>'DADOS FINANCEIROS'!W192</f>
        <v>0</v>
      </c>
      <c r="AF186" s="44" t="str">
        <f>TEXT(Tabela1[[#This Row],[Data da Entrada/Primeira Parcela]],"MMM-AA")</f>
        <v>jan-00</v>
      </c>
      <c r="AG186" s="44" t="str">
        <f>TEXT(Tabela1[[#This Row],[Data da Entrada/Primeira Parcela]],"AAAA")</f>
        <v>1900</v>
      </c>
      <c r="AH186" s="30">
        <f>'DADOS FINANCEIROS'!X192</f>
        <v>0</v>
      </c>
      <c r="AI186" s="46">
        <f>'DADOS FINANCEIROS'!Y192</f>
        <v>0</v>
      </c>
      <c r="AJ186" s="46">
        <f>'DADOS FINANCEIROS'!Z192</f>
        <v>0</v>
      </c>
      <c r="AK18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6" s="98"/>
    </row>
    <row r="187" spans="1:38" x14ac:dyDescent="0.3">
      <c r="A187" s="30">
        <f>'DADOS FINANCEIROS'!D193</f>
        <v>0</v>
      </c>
      <c r="B187" s="30">
        <f>'DADOS FINANCEIROS'!A193</f>
        <v>0</v>
      </c>
      <c r="C187" s="30">
        <f>'DADOS FINANCEIROS'!B193</f>
        <v>0</v>
      </c>
      <c r="D187" s="30">
        <f>'DADOS FINANCEIROS'!C193</f>
        <v>0</v>
      </c>
      <c r="E187" s="44">
        <f>'DADOS FINANCEIROS'!E193</f>
        <v>0</v>
      </c>
      <c r="F187" s="44" t="str">
        <f>TEXT(Tabela1[[#This Row],[DATA DE EMISSÃO]],"MMM-AA")</f>
        <v>jan-00</v>
      </c>
      <c r="G187" s="44" t="str">
        <f>TEXT(Tabela1[[#This Row],[DATA DE EMISSÃO]],"AAAA")</f>
        <v>1900</v>
      </c>
      <c r="H187" s="44">
        <f>'DADOS FINANCEIROS'!F193</f>
        <v>0</v>
      </c>
      <c r="I187" s="44" t="str">
        <f>TEXT(Tabela1[[#This Row],[VENCIMENTO ORIGINAL]],"MMM-AA")</f>
        <v>jan-00</v>
      </c>
      <c r="J187" s="44" t="str">
        <f>TEXT(Tabela1[[#This Row],[VENCIMENTO ORIGINAL]],"AAAA")</f>
        <v>1900</v>
      </c>
      <c r="K187" s="44">
        <f>'DADOS FINANCEIROS'!G193</f>
        <v>0</v>
      </c>
      <c r="L187" s="44" t="str">
        <f>TEXT(Tabela1[[#This Row],[VENCIMENTO ATUAL]],"MMM-AA")</f>
        <v>jan-00</v>
      </c>
      <c r="M187" s="44" t="str">
        <f>TEXT(Tabela1[[#This Row],[VENCIMENTO ATUAL]],"AAAA")</f>
        <v>1900</v>
      </c>
      <c r="N187" s="46">
        <f>'DADOS FINANCEIROS'!H193</f>
        <v>0</v>
      </c>
      <c r="O187" s="30">
        <f>'DADOS FINANCEIROS'!I193</f>
        <v>0</v>
      </c>
      <c r="P187" s="30">
        <f>'DADOS FINANCEIROS'!J193</f>
        <v>0</v>
      </c>
      <c r="Q187" s="30">
        <f>'DADOS FINANCEIROS'!K193</f>
        <v>0</v>
      </c>
      <c r="R187" s="30">
        <f>'DADOS FINANCEIROS'!L193</f>
        <v>0</v>
      </c>
      <c r="S187" s="30">
        <f>'DADOS FINANCEIROS'!M193</f>
        <v>0</v>
      </c>
      <c r="T187" s="30">
        <f>IFERROR('DADOS FINANCEIROS'!N193,"")</f>
        <v>0</v>
      </c>
      <c r="U187" s="30">
        <f>'DADOS FINANCEIROS'!O193</f>
        <v>0</v>
      </c>
      <c r="V187" s="30">
        <f>'DADOS FINANCEIROS'!P193</f>
        <v>0</v>
      </c>
      <c r="W187" s="30">
        <f>'DADOS FINANCEIROS'!Q193</f>
        <v>0</v>
      </c>
      <c r="X187" s="30">
        <f>'DADOS FINANCEIROS'!R193</f>
        <v>0</v>
      </c>
      <c r="Y187" s="30">
        <f>'DADOS FINANCEIROS'!S193</f>
        <v>0</v>
      </c>
      <c r="Z187" s="30">
        <f>'DADOS FINANCEIROS'!T193</f>
        <v>0</v>
      </c>
      <c r="AA187" s="30">
        <f>'DADOS FINANCEIROS'!U193</f>
        <v>0</v>
      </c>
      <c r="AB187" s="44">
        <f>'DADOS FINANCEIROS'!V193</f>
        <v>0</v>
      </c>
      <c r="AC187" s="44" t="str">
        <f>TEXT(Tabela1[[#This Row],[Data de Negociação]],"MMM-AA")</f>
        <v>jan-00</v>
      </c>
      <c r="AD187" s="44" t="str">
        <f>TEXT(Tabela1[[#This Row],[Data de Negociação]],"AAAA")</f>
        <v>1900</v>
      </c>
      <c r="AE187" s="44">
        <f>'DADOS FINANCEIROS'!W193</f>
        <v>0</v>
      </c>
      <c r="AF187" s="44" t="str">
        <f>TEXT(Tabela1[[#This Row],[Data da Entrada/Primeira Parcela]],"MMM-AA")</f>
        <v>jan-00</v>
      </c>
      <c r="AG187" s="44" t="str">
        <f>TEXT(Tabela1[[#This Row],[Data da Entrada/Primeira Parcela]],"AAAA")</f>
        <v>1900</v>
      </c>
      <c r="AH187" s="30">
        <f>'DADOS FINANCEIROS'!X193</f>
        <v>0</v>
      </c>
      <c r="AI187" s="46">
        <f>'DADOS FINANCEIROS'!Y193</f>
        <v>0</v>
      </c>
      <c r="AJ187" s="46">
        <f>'DADOS FINANCEIROS'!Z193</f>
        <v>0</v>
      </c>
      <c r="AK18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7" s="98"/>
    </row>
    <row r="188" spans="1:38" x14ac:dyDescent="0.3">
      <c r="A188" s="30">
        <f>'DADOS FINANCEIROS'!D194</f>
        <v>0</v>
      </c>
      <c r="B188" s="30">
        <f>'DADOS FINANCEIROS'!A194</f>
        <v>0</v>
      </c>
      <c r="C188" s="30">
        <f>'DADOS FINANCEIROS'!B194</f>
        <v>0</v>
      </c>
      <c r="D188" s="30">
        <f>'DADOS FINANCEIROS'!C194</f>
        <v>0</v>
      </c>
      <c r="E188" s="44">
        <f>'DADOS FINANCEIROS'!E194</f>
        <v>0</v>
      </c>
      <c r="F188" s="44" t="str">
        <f>TEXT(Tabela1[[#This Row],[DATA DE EMISSÃO]],"MMM-AA")</f>
        <v>jan-00</v>
      </c>
      <c r="G188" s="44" t="str">
        <f>TEXT(Tabela1[[#This Row],[DATA DE EMISSÃO]],"AAAA")</f>
        <v>1900</v>
      </c>
      <c r="H188" s="44">
        <f>'DADOS FINANCEIROS'!F194</f>
        <v>0</v>
      </c>
      <c r="I188" s="44" t="str">
        <f>TEXT(Tabela1[[#This Row],[VENCIMENTO ORIGINAL]],"MMM-AA")</f>
        <v>jan-00</v>
      </c>
      <c r="J188" s="44" t="str">
        <f>TEXT(Tabela1[[#This Row],[VENCIMENTO ORIGINAL]],"AAAA")</f>
        <v>1900</v>
      </c>
      <c r="K188" s="44">
        <f>'DADOS FINANCEIROS'!G194</f>
        <v>0</v>
      </c>
      <c r="L188" s="44" t="str">
        <f>TEXT(Tabela1[[#This Row],[VENCIMENTO ATUAL]],"MMM-AA")</f>
        <v>jan-00</v>
      </c>
      <c r="M188" s="44" t="str">
        <f>TEXT(Tabela1[[#This Row],[VENCIMENTO ATUAL]],"AAAA")</f>
        <v>1900</v>
      </c>
      <c r="N188" s="46">
        <f>'DADOS FINANCEIROS'!H194</f>
        <v>0</v>
      </c>
      <c r="O188" s="30">
        <f>'DADOS FINANCEIROS'!I194</f>
        <v>0</v>
      </c>
      <c r="P188" s="30">
        <f>'DADOS FINANCEIROS'!J194</f>
        <v>0</v>
      </c>
      <c r="Q188" s="30">
        <f>'DADOS FINANCEIROS'!K194</f>
        <v>0</v>
      </c>
      <c r="R188" s="30">
        <f>'DADOS FINANCEIROS'!L194</f>
        <v>0</v>
      </c>
      <c r="S188" s="30">
        <f>'DADOS FINANCEIROS'!M194</f>
        <v>0</v>
      </c>
      <c r="T188" s="30">
        <f>IFERROR('DADOS FINANCEIROS'!N194,"")</f>
        <v>0</v>
      </c>
      <c r="U188" s="30">
        <f>'DADOS FINANCEIROS'!O194</f>
        <v>0</v>
      </c>
      <c r="V188" s="30">
        <f>'DADOS FINANCEIROS'!P194</f>
        <v>0</v>
      </c>
      <c r="W188" s="30">
        <f>'DADOS FINANCEIROS'!Q194</f>
        <v>0</v>
      </c>
      <c r="X188" s="30">
        <f>'DADOS FINANCEIROS'!R194</f>
        <v>0</v>
      </c>
      <c r="Y188" s="30">
        <f>'DADOS FINANCEIROS'!S194</f>
        <v>0</v>
      </c>
      <c r="Z188" s="30">
        <f>'DADOS FINANCEIROS'!T194</f>
        <v>0</v>
      </c>
      <c r="AA188" s="30">
        <f>'DADOS FINANCEIROS'!U194</f>
        <v>0</v>
      </c>
      <c r="AB188" s="44">
        <f>'DADOS FINANCEIROS'!V194</f>
        <v>0</v>
      </c>
      <c r="AC188" s="44" t="str">
        <f>TEXT(Tabela1[[#This Row],[Data de Negociação]],"MMM-AA")</f>
        <v>jan-00</v>
      </c>
      <c r="AD188" s="44" t="str">
        <f>TEXT(Tabela1[[#This Row],[Data de Negociação]],"AAAA")</f>
        <v>1900</v>
      </c>
      <c r="AE188" s="44">
        <f>'DADOS FINANCEIROS'!W194</f>
        <v>0</v>
      </c>
      <c r="AF188" s="44" t="str">
        <f>TEXT(Tabela1[[#This Row],[Data da Entrada/Primeira Parcela]],"MMM-AA")</f>
        <v>jan-00</v>
      </c>
      <c r="AG188" s="44" t="str">
        <f>TEXT(Tabela1[[#This Row],[Data da Entrada/Primeira Parcela]],"AAAA")</f>
        <v>1900</v>
      </c>
      <c r="AH188" s="30">
        <f>'DADOS FINANCEIROS'!X194</f>
        <v>0</v>
      </c>
      <c r="AI188" s="46">
        <f>'DADOS FINANCEIROS'!Y194</f>
        <v>0</v>
      </c>
      <c r="AJ188" s="46">
        <f>'DADOS FINANCEIROS'!Z194</f>
        <v>0</v>
      </c>
      <c r="AK18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8" s="98"/>
    </row>
    <row r="189" spans="1:38" x14ac:dyDescent="0.3">
      <c r="A189" s="30">
        <f>'DADOS FINANCEIROS'!D195</f>
        <v>0</v>
      </c>
      <c r="B189" s="30">
        <f>'DADOS FINANCEIROS'!A195</f>
        <v>0</v>
      </c>
      <c r="C189" s="30">
        <f>'DADOS FINANCEIROS'!B195</f>
        <v>0</v>
      </c>
      <c r="D189" s="30">
        <f>'DADOS FINANCEIROS'!C195</f>
        <v>0</v>
      </c>
      <c r="E189" s="44">
        <f>'DADOS FINANCEIROS'!E195</f>
        <v>0</v>
      </c>
      <c r="F189" s="44" t="str">
        <f>TEXT(Tabela1[[#This Row],[DATA DE EMISSÃO]],"MMM-AA")</f>
        <v>jan-00</v>
      </c>
      <c r="G189" s="44" t="str">
        <f>TEXT(Tabela1[[#This Row],[DATA DE EMISSÃO]],"AAAA")</f>
        <v>1900</v>
      </c>
      <c r="H189" s="44">
        <f>'DADOS FINANCEIROS'!F195</f>
        <v>0</v>
      </c>
      <c r="I189" s="44" t="str">
        <f>TEXT(Tabela1[[#This Row],[VENCIMENTO ORIGINAL]],"MMM-AA")</f>
        <v>jan-00</v>
      </c>
      <c r="J189" s="44" t="str">
        <f>TEXT(Tabela1[[#This Row],[VENCIMENTO ORIGINAL]],"AAAA")</f>
        <v>1900</v>
      </c>
      <c r="K189" s="44">
        <f>'DADOS FINANCEIROS'!G195</f>
        <v>0</v>
      </c>
      <c r="L189" s="44" t="str">
        <f>TEXT(Tabela1[[#This Row],[VENCIMENTO ATUAL]],"MMM-AA")</f>
        <v>jan-00</v>
      </c>
      <c r="M189" s="44" t="str">
        <f>TEXT(Tabela1[[#This Row],[VENCIMENTO ATUAL]],"AAAA")</f>
        <v>1900</v>
      </c>
      <c r="N189" s="46">
        <f>'DADOS FINANCEIROS'!H195</f>
        <v>0</v>
      </c>
      <c r="O189" s="30">
        <f>'DADOS FINANCEIROS'!I195</f>
        <v>0</v>
      </c>
      <c r="P189" s="30">
        <f>'DADOS FINANCEIROS'!J195</f>
        <v>0</v>
      </c>
      <c r="Q189" s="30">
        <f>'DADOS FINANCEIROS'!K195</f>
        <v>0</v>
      </c>
      <c r="R189" s="30">
        <f>'DADOS FINANCEIROS'!L195</f>
        <v>0</v>
      </c>
      <c r="S189" s="30">
        <f>'DADOS FINANCEIROS'!M195</f>
        <v>0</v>
      </c>
      <c r="T189" s="30">
        <f>IFERROR('DADOS FINANCEIROS'!N195,"")</f>
        <v>0</v>
      </c>
      <c r="U189" s="30">
        <f>'DADOS FINANCEIROS'!O195</f>
        <v>0</v>
      </c>
      <c r="V189" s="30">
        <f>'DADOS FINANCEIROS'!P195</f>
        <v>0</v>
      </c>
      <c r="W189" s="30">
        <f>'DADOS FINANCEIROS'!Q195</f>
        <v>0</v>
      </c>
      <c r="X189" s="30">
        <f>'DADOS FINANCEIROS'!R195</f>
        <v>0</v>
      </c>
      <c r="Y189" s="30">
        <f>'DADOS FINANCEIROS'!S195</f>
        <v>0</v>
      </c>
      <c r="Z189" s="30">
        <f>'DADOS FINANCEIROS'!T195</f>
        <v>0</v>
      </c>
      <c r="AA189" s="30">
        <f>'DADOS FINANCEIROS'!U195</f>
        <v>0</v>
      </c>
      <c r="AB189" s="44">
        <f>'DADOS FINANCEIROS'!V195</f>
        <v>0</v>
      </c>
      <c r="AC189" s="44" t="str">
        <f>TEXT(Tabela1[[#This Row],[Data de Negociação]],"MMM-AA")</f>
        <v>jan-00</v>
      </c>
      <c r="AD189" s="44" t="str">
        <f>TEXT(Tabela1[[#This Row],[Data de Negociação]],"AAAA")</f>
        <v>1900</v>
      </c>
      <c r="AE189" s="44">
        <f>'DADOS FINANCEIROS'!W195</f>
        <v>0</v>
      </c>
      <c r="AF189" s="44" t="str">
        <f>TEXT(Tabela1[[#This Row],[Data da Entrada/Primeira Parcela]],"MMM-AA")</f>
        <v>jan-00</v>
      </c>
      <c r="AG189" s="44" t="str">
        <f>TEXT(Tabela1[[#This Row],[Data da Entrada/Primeira Parcela]],"AAAA")</f>
        <v>1900</v>
      </c>
      <c r="AH189" s="30">
        <f>'DADOS FINANCEIROS'!X195</f>
        <v>0</v>
      </c>
      <c r="AI189" s="46">
        <f>'DADOS FINANCEIROS'!Y195</f>
        <v>0</v>
      </c>
      <c r="AJ189" s="46">
        <f>'DADOS FINANCEIROS'!Z195</f>
        <v>0</v>
      </c>
      <c r="AK18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89" s="98"/>
    </row>
    <row r="190" spans="1:38" x14ac:dyDescent="0.3">
      <c r="A190" s="30">
        <f>'DADOS FINANCEIROS'!D196</f>
        <v>0</v>
      </c>
      <c r="B190" s="30">
        <f>'DADOS FINANCEIROS'!A196</f>
        <v>0</v>
      </c>
      <c r="C190" s="30">
        <f>'DADOS FINANCEIROS'!B196</f>
        <v>0</v>
      </c>
      <c r="D190" s="30">
        <f>'DADOS FINANCEIROS'!C196</f>
        <v>0</v>
      </c>
      <c r="E190" s="44">
        <f>'DADOS FINANCEIROS'!E196</f>
        <v>0</v>
      </c>
      <c r="F190" s="44" t="str">
        <f>TEXT(Tabela1[[#This Row],[DATA DE EMISSÃO]],"MMM-AA")</f>
        <v>jan-00</v>
      </c>
      <c r="G190" s="44" t="str">
        <f>TEXT(Tabela1[[#This Row],[DATA DE EMISSÃO]],"AAAA")</f>
        <v>1900</v>
      </c>
      <c r="H190" s="44">
        <f>'DADOS FINANCEIROS'!F196</f>
        <v>0</v>
      </c>
      <c r="I190" s="44" t="str">
        <f>TEXT(Tabela1[[#This Row],[VENCIMENTO ORIGINAL]],"MMM-AA")</f>
        <v>jan-00</v>
      </c>
      <c r="J190" s="44" t="str">
        <f>TEXT(Tabela1[[#This Row],[VENCIMENTO ORIGINAL]],"AAAA")</f>
        <v>1900</v>
      </c>
      <c r="K190" s="44">
        <f>'DADOS FINANCEIROS'!G196</f>
        <v>0</v>
      </c>
      <c r="L190" s="44" t="str">
        <f>TEXT(Tabela1[[#This Row],[VENCIMENTO ATUAL]],"MMM-AA")</f>
        <v>jan-00</v>
      </c>
      <c r="M190" s="44" t="str">
        <f>TEXT(Tabela1[[#This Row],[VENCIMENTO ATUAL]],"AAAA")</f>
        <v>1900</v>
      </c>
      <c r="N190" s="46">
        <f>'DADOS FINANCEIROS'!H196</f>
        <v>0</v>
      </c>
      <c r="O190" s="30">
        <f>'DADOS FINANCEIROS'!I196</f>
        <v>0</v>
      </c>
      <c r="P190" s="30">
        <f>'DADOS FINANCEIROS'!J196</f>
        <v>0</v>
      </c>
      <c r="Q190" s="30">
        <f>'DADOS FINANCEIROS'!K196</f>
        <v>0</v>
      </c>
      <c r="R190" s="30">
        <f>'DADOS FINANCEIROS'!L196</f>
        <v>0</v>
      </c>
      <c r="S190" s="30">
        <f>'DADOS FINANCEIROS'!M196</f>
        <v>0</v>
      </c>
      <c r="T190" s="30">
        <f>IFERROR('DADOS FINANCEIROS'!N196,"")</f>
        <v>0</v>
      </c>
      <c r="U190" s="30">
        <f>'DADOS FINANCEIROS'!O196</f>
        <v>0</v>
      </c>
      <c r="V190" s="30">
        <f>'DADOS FINANCEIROS'!P196</f>
        <v>0</v>
      </c>
      <c r="W190" s="30">
        <f>'DADOS FINANCEIROS'!Q196</f>
        <v>0</v>
      </c>
      <c r="X190" s="30">
        <f>'DADOS FINANCEIROS'!R196</f>
        <v>0</v>
      </c>
      <c r="Y190" s="30">
        <f>'DADOS FINANCEIROS'!S196</f>
        <v>0</v>
      </c>
      <c r="Z190" s="30">
        <f>'DADOS FINANCEIROS'!T196</f>
        <v>0</v>
      </c>
      <c r="AA190" s="30">
        <f>'DADOS FINANCEIROS'!U196</f>
        <v>0</v>
      </c>
      <c r="AB190" s="44">
        <f>'DADOS FINANCEIROS'!V196</f>
        <v>0</v>
      </c>
      <c r="AC190" s="44" t="str">
        <f>TEXT(Tabela1[[#This Row],[Data de Negociação]],"MMM-AA")</f>
        <v>jan-00</v>
      </c>
      <c r="AD190" s="44" t="str">
        <f>TEXT(Tabela1[[#This Row],[Data de Negociação]],"AAAA")</f>
        <v>1900</v>
      </c>
      <c r="AE190" s="44">
        <f>'DADOS FINANCEIROS'!W196</f>
        <v>0</v>
      </c>
      <c r="AF190" s="44" t="str">
        <f>TEXT(Tabela1[[#This Row],[Data da Entrada/Primeira Parcela]],"MMM-AA")</f>
        <v>jan-00</v>
      </c>
      <c r="AG190" s="44" t="str">
        <f>TEXT(Tabela1[[#This Row],[Data da Entrada/Primeira Parcela]],"AAAA")</f>
        <v>1900</v>
      </c>
      <c r="AH190" s="30">
        <f>'DADOS FINANCEIROS'!X196</f>
        <v>0</v>
      </c>
      <c r="AI190" s="46">
        <f>'DADOS FINANCEIROS'!Y196</f>
        <v>0</v>
      </c>
      <c r="AJ190" s="46">
        <f>'DADOS FINANCEIROS'!Z196</f>
        <v>0</v>
      </c>
      <c r="AK19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0" s="98"/>
    </row>
    <row r="191" spans="1:38" x14ac:dyDescent="0.3">
      <c r="A191" s="30">
        <f>'DADOS FINANCEIROS'!D197</f>
        <v>0</v>
      </c>
      <c r="B191" s="30">
        <f>'DADOS FINANCEIROS'!A197</f>
        <v>0</v>
      </c>
      <c r="C191" s="30">
        <f>'DADOS FINANCEIROS'!B197</f>
        <v>0</v>
      </c>
      <c r="D191" s="30">
        <f>'DADOS FINANCEIROS'!C197</f>
        <v>0</v>
      </c>
      <c r="E191" s="44">
        <f>'DADOS FINANCEIROS'!E197</f>
        <v>0</v>
      </c>
      <c r="F191" s="44" t="str">
        <f>TEXT(Tabela1[[#This Row],[DATA DE EMISSÃO]],"MMM-AA")</f>
        <v>jan-00</v>
      </c>
      <c r="G191" s="44" t="str">
        <f>TEXT(Tabela1[[#This Row],[DATA DE EMISSÃO]],"AAAA")</f>
        <v>1900</v>
      </c>
      <c r="H191" s="44">
        <f>'DADOS FINANCEIROS'!F197</f>
        <v>0</v>
      </c>
      <c r="I191" s="44" t="str">
        <f>TEXT(Tabela1[[#This Row],[VENCIMENTO ORIGINAL]],"MMM-AA")</f>
        <v>jan-00</v>
      </c>
      <c r="J191" s="44" t="str">
        <f>TEXT(Tabela1[[#This Row],[VENCIMENTO ORIGINAL]],"AAAA")</f>
        <v>1900</v>
      </c>
      <c r="K191" s="44">
        <f>'DADOS FINANCEIROS'!G197</f>
        <v>0</v>
      </c>
      <c r="L191" s="44" t="str">
        <f>TEXT(Tabela1[[#This Row],[VENCIMENTO ATUAL]],"MMM-AA")</f>
        <v>jan-00</v>
      </c>
      <c r="M191" s="44" t="str">
        <f>TEXT(Tabela1[[#This Row],[VENCIMENTO ATUAL]],"AAAA")</f>
        <v>1900</v>
      </c>
      <c r="N191" s="46">
        <f>'DADOS FINANCEIROS'!H197</f>
        <v>0</v>
      </c>
      <c r="O191" s="30">
        <f>'DADOS FINANCEIROS'!I197</f>
        <v>0</v>
      </c>
      <c r="P191" s="30">
        <f>'DADOS FINANCEIROS'!J197</f>
        <v>0</v>
      </c>
      <c r="Q191" s="30">
        <f>'DADOS FINANCEIROS'!K197</f>
        <v>0</v>
      </c>
      <c r="R191" s="30">
        <f>'DADOS FINANCEIROS'!L197</f>
        <v>0</v>
      </c>
      <c r="S191" s="30">
        <f>'DADOS FINANCEIROS'!M197</f>
        <v>0</v>
      </c>
      <c r="T191" s="30">
        <f>IFERROR('DADOS FINANCEIROS'!N197,"")</f>
        <v>0</v>
      </c>
      <c r="U191" s="30">
        <f>'DADOS FINANCEIROS'!O197</f>
        <v>0</v>
      </c>
      <c r="V191" s="30">
        <f>'DADOS FINANCEIROS'!P197</f>
        <v>0</v>
      </c>
      <c r="W191" s="30">
        <f>'DADOS FINANCEIROS'!Q197</f>
        <v>0</v>
      </c>
      <c r="X191" s="30">
        <f>'DADOS FINANCEIROS'!R197</f>
        <v>0</v>
      </c>
      <c r="Y191" s="30">
        <f>'DADOS FINANCEIROS'!S197</f>
        <v>0</v>
      </c>
      <c r="Z191" s="30">
        <f>'DADOS FINANCEIROS'!T197</f>
        <v>0</v>
      </c>
      <c r="AA191" s="30">
        <f>'DADOS FINANCEIROS'!U197</f>
        <v>0</v>
      </c>
      <c r="AB191" s="44">
        <f>'DADOS FINANCEIROS'!V197</f>
        <v>0</v>
      </c>
      <c r="AC191" s="44" t="str">
        <f>TEXT(Tabela1[[#This Row],[Data de Negociação]],"MMM-AA")</f>
        <v>jan-00</v>
      </c>
      <c r="AD191" s="44" t="str">
        <f>TEXT(Tabela1[[#This Row],[Data de Negociação]],"AAAA")</f>
        <v>1900</v>
      </c>
      <c r="AE191" s="44">
        <f>'DADOS FINANCEIROS'!W197</f>
        <v>0</v>
      </c>
      <c r="AF191" s="44" t="str">
        <f>TEXT(Tabela1[[#This Row],[Data da Entrada/Primeira Parcela]],"MMM-AA")</f>
        <v>jan-00</v>
      </c>
      <c r="AG191" s="44" t="str">
        <f>TEXT(Tabela1[[#This Row],[Data da Entrada/Primeira Parcela]],"AAAA")</f>
        <v>1900</v>
      </c>
      <c r="AH191" s="30">
        <f>'DADOS FINANCEIROS'!X197</f>
        <v>0</v>
      </c>
      <c r="AI191" s="46">
        <f>'DADOS FINANCEIROS'!Y197</f>
        <v>0</v>
      </c>
      <c r="AJ191" s="46">
        <f>'DADOS FINANCEIROS'!Z197</f>
        <v>0</v>
      </c>
      <c r="AK19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1" s="98"/>
    </row>
    <row r="192" spans="1:38" x14ac:dyDescent="0.3">
      <c r="A192" s="30">
        <f>'DADOS FINANCEIROS'!D198</f>
        <v>0</v>
      </c>
      <c r="B192" s="30">
        <f>'DADOS FINANCEIROS'!A198</f>
        <v>0</v>
      </c>
      <c r="C192" s="30">
        <f>'DADOS FINANCEIROS'!B198</f>
        <v>0</v>
      </c>
      <c r="D192" s="30">
        <f>'DADOS FINANCEIROS'!C198</f>
        <v>0</v>
      </c>
      <c r="E192" s="44">
        <f>'DADOS FINANCEIROS'!E198</f>
        <v>0</v>
      </c>
      <c r="F192" s="44" t="str">
        <f>TEXT(Tabela1[[#This Row],[DATA DE EMISSÃO]],"MMM-AA")</f>
        <v>jan-00</v>
      </c>
      <c r="G192" s="44" t="str">
        <f>TEXT(Tabela1[[#This Row],[DATA DE EMISSÃO]],"AAAA")</f>
        <v>1900</v>
      </c>
      <c r="H192" s="44">
        <f>'DADOS FINANCEIROS'!F198</f>
        <v>0</v>
      </c>
      <c r="I192" s="44" t="str">
        <f>TEXT(Tabela1[[#This Row],[VENCIMENTO ORIGINAL]],"MMM-AA")</f>
        <v>jan-00</v>
      </c>
      <c r="J192" s="44" t="str">
        <f>TEXT(Tabela1[[#This Row],[VENCIMENTO ORIGINAL]],"AAAA")</f>
        <v>1900</v>
      </c>
      <c r="K192" s="44">
        <f>'DADOS FINANCEIROS'!G198</f>
        <v>0</v>
      </c>
      <c r="L192" s="44" t="str">
        <f>TEXT(Tabela1[[#This Row],[VENCIMENTO ATUAL]],"MMM-AA")</f>
        <v>jan-00</v>
      </c>
      <c r="M192" s="44" t="str">
        <f>TEXT(Tabela1[[#This Row],[VENCIMENTO ATUAL]],"AAAA")</f>
        <v>1900</v>
      </c>
      <c r="N192" s="46">
        <f>'DADOS FINANCEIROS'!H198</f>
        <v>0</v>
      </c>
      <c r="O192" s="30">
        <f>'DADOS FINANCEIROS'!I198</f>
        <v>0</v>
      </c>
      <c r="P192" s="30">
        <f>'DADOS FINANCEIROS'!J198</f>
        <v>0</v>
      </c>
      <c r="Q192" s="30">
        <f>'DADOS FINANCEIROS'!K198</f>
        <v>0</v>
      </c>
      <c r="R192" s="30">
        <f>'DADOS FINANCEIROS'!L198</f>
        <v>0</v>
      </c>
      <c r="S192" s="30">
        <f>'DADOS FINANCEIROS'!M198</f>
        <v>0</v>
      </c>
      <c r="T192" s="30">
        <f>IFERROR('DADOS FINANCEIROS'!N198,"")</f>
        <v>0</v>
      </c>
      <c r="U192" s="30">
        <f>'DADOS FINANCEIROS'!O198</f>
        <v>0</v>
      </c>
      <c r="V192" s="30">
        <f>'DADOS FINANCEIROS'!P198</f>
        <v>0</v>
      </c>
      <c r="W192" s="30">
        <f>'DADOS FINANCEIROS'!Q198</f>
        <v>0</v>
      </c>
      <c r="X192" s="30">
        <f>'DADOS FINANCEIROS'!R198</f>
        <v>0</v>
      </c>
      <c r="Y192" s="30">
        <f>'DADOS FINANCEIROS'!S198</f>
        <v>0</v>
      </c>
      <c r="Z192" s="30">
        <f>'DADOS FINANCEIROS'!T198</f>
        <v>0</v>
      </c>
      <c r="AA192" s="30">
        <f>'DADOS FINANCEIROS'!U198</f>
        <v>0</v>
      </c>
      <c r="AB192" s="44">
        <f>'DADOS FINANCEIROS'!V198</f>
        <v>0</v>
      </c>
      <c r="AC192" s="44" t="str">
        <f>TEXT(Tabela1[[#This Row],[Data de Negociação]],"MMM-AA")</f>
        <v>jan-00</v>
      </c>
      <c r="AD192" s="44" t="str">
        <f>TEXT(Tabela1[[#This Row],[Data de Negociação]],"AAAA")</f>
        <v>1900</v>
      </c>
      <c r="AE192" s="44">
        <f>'DADOS FINANCEIROS'!W198</f>
        <v>0</v>
      </c>
      <c r="AF192" s="44" t="str">
        <f>TEXT(Tabela1[[#This Row],[Data da Entrada/Primeira Parcela]],"MMM-AA")</f>
        <v>jan-00</v>
      </c>
      <c r="AG192" s="44" t="str">
        <f>TEXT(Tabela1[[#This Row],[Data da Entrada/Primeira Parcela]],"AAAA")</f>
        <v>1900</v>
      </c>
      <c r="AH192" s="30">
        <f>'DADOS FINANCEIROS'!X198</f>
        <v>0</v>
      </c>
      <c r="AI192" s="46">
        <f>'DADOS FINANCEIROS'!Y198</f>
        <v>0</v>
      </c>
      <c r="AJ192" s="46">
        <f>'DADOS FINANCEIROS'!Z198</f>
        <v>0</v>
      </c>
      <c r="AK19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2" s="98"/>
    </row>
    <row r="193" spans="1:38" x14ac:dyDescent="0.3">
      <c r="A193" s="30">
        <f>'DADOS FINANCEIROS'!D199</f>
        <v>0</v>
      </c>
      <c r="B193" s="30">
        <f>'DADOS FINANCEIROS'!A199</f>
        <v>0</v>
      </c>
      <c r="C193" s="30">
        <f>'DADOS FINANCEIROS'!B199</f>
        <v>0</v>
      </c>
      <c r="D193" s="30">
        <f>'DADOS FINANCEIROS'!C199</f>
        <v>0</v>
      </c>
      <c r="E193" s="44">
        <f>'DADOS FINANCEIROS'!E199</f>
        <v>0</v>
      </c>
      <c r="F193" s="44" t="str">
        <f>TEXT(Tabela1[[#This Row],[DATA DE EMISSÃO]],"MMM-AA")</f>
        <v>jan-00</v>
      </c>
      <c r="G193" s="44" t="str">
        <f>TEXT(Tabela1[[#This Row],[DATA DE EMISSÃO]],"AAAA")</f>
        <v>1900</v>
      </c>
      <c r="H193" s="44">
        <f>'DADOS FINANCEIROS'!F199</f>
        <v>0</v>
      </c>
      <c r="I193" s="44" t="str">
        <f>TEXT(Tabela1[[#This Row],[VENCIMENTO ORIGINAL]],"MMM-AA")</f>
        <v>jan-00</v>
      </c>
      <c r="J193" s="44" t="str">
        <f>TEXT(Tabela1[[#This Row],[VENCIMENTO ORIGINAL]],"AAAA")</f>
        <v>1900</v>
      </c>
      <c r="K193" s="44">
        <f>'DADOS FINANCEIROS'!G199</f>
        <v>0</v>
      </c>
      <c r="L193" s="44" t="str">
        <f>TEXT(Tabela1[[#This Row],[VENCIMENTO ATUAL]],"MMM-AA")</f>
        <v>jan-00</v>
      </c>
      <c r="M193" s="44" t="str">
        <f>TEXT(Tabela1[[#This Row],[VENCIMENTO ATUAL]],"AAAA")</f>
        <v>1900</v>
      </c>
      <c r="N193" s="46">
        <f>'DADOS FINANCEIROS'!H199</f>
        <v>0</v>
      </c>
      <c r="O193" s="30">
        <f>'DADOS FINANCEIROS'!I199</f>
        <v>0</v>
      </c>
      <c r="P193" s="30">
        <f>'DADOS FINANCEIROS'!J199</f>
        <v>0</v>
      </c>
      <c r="Q193" s="30">
        <f>'DADOS FINANCEIROS'!K199</f>
        <v>0</v>
      </c>
      <c r="R193" s="30">
        <f>'DADOS FINANCEIROS'!L199</f>
        <v>0</v>
      </c>
      <c r="S193" s="30">
        <f>'DADOS FINANCEIROS'!M199</f>
        <v>0</v>
      </c>
      <c r="T193" s="30">
        <f>IFERROR('DADOS FINANCEIROS'!N199,"")</f>
        <v>0</v>
      </c>
      <c r="U193" s="30">
        <f>'DADOS FINANCEIROS'!O199</f>
        <v>0</v>
      </c>
      <c r="V193" s="30">
        <f>'DADOS FINANCEIROS'!P199</f>
        <v>0</v>
      </c>
      <c r="W193" s="30">
        <f>'DADOS FINANCEIROS'!Q199</f>
        <v>0</v>
      </c>
      <c r="X193" s="30">
        <f>'DADOS FINANCEIROS'!R199</f>
        <v>0</v>
      </c>
      <c r="Y193" s="30">
        <f>'DADOS FINANCEIROS'!S199</f>
        <v>0</v>
      </c>
      <c r="Z193" s="30">
        <f>'DADOS FINANCEIROS'!T199</f>
        <v>0</v>
      </c>
      <c r="AA193" s="30">
        <f>'DADOS FINANCEIROS'!U199</f>
        <v>0</v>
      </c>
      <c r="AB193" s="44">
        <f>'DADOS FINANCEIROS'!V199</f>
        <v>0</v>
      </c>
      <c r="AC193" s="44" t="str">
        <f>TEXT(Tabela1[[#This Row],[Data de Negociação]],"MMM-AA")</f>
        <v>jan-00</v>
      </c>
      <c r="AD193" s="44" t="str">
        <f>TEXT(Tabela1[[#This Row],[Data de Negociação]],"AAAA")</f>
        <v>1900</v>
      </c>
      <c r="AE193" s="44">
        <f>'DADOS FINANCEIROS'!W199</f>
        <v>0</v>
      </c>
      <c r="AF193" s="44" t="str">
        <f>TEXT(Tabela1[[#This Row],[Data da Entrada/Primeira Parcela]],"MMM-AA")</f>
        <v>jan-00</v>
      </c>
      <c r="AG193" s="44" t="str">
        <f>TEXT(Tabela1[[#This Row],[Data da Entrada/Primeira Parcela]],"AAAA")</f>
        <v>1900</v>
      </c>
      <c r="AH193" s="30">
        <f>'DADOS FINANCEIROS'!X199</f>
        <v>0</v>
      </c>
      <c r="AI193" s="46">
        <f>'DADOS FINANCEIROS'!Y199</f>
        <v>0</v>
      </c>
      <c r="AJ193" s="46">
        <f>'DADOS FINANCEIROS'!Z199</f>
        <v>0</v>
      </c>
      <c r="AK19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3" s="98"/>
    </row>
    <row r="194" spans="1:38" x14ac:dyDescent="0.3">
      <c r="A194" s="30">
        <f>'DADOS FINANCEIROS'!D200</f>
        <v>0</v>
      </c>
      <c r="B194" s="30">
        <f>'DADOS FINANCEIROS'!A200</f>
        <v>0</v>
      </c>
      <c r="C194" s="30">
        <f>'DADOS FINANCEIROS'!B200</f>
        <v>0</v>
      </c>
      <c r="D194" s="30">
        <f>'DADOS FINANCEIROS'!C200</f>
        <v>0</v>
      </c>
      <c r="E194" s="44">
        <f>'DADOS FINANCEIROS'!E200</f>
        <v>0</v>
      </c>
      <c r="F194" s="44" t="str">
        <f>TEXT(Tabela1[[#This Row],[DATA DE EMISSÃO]],"MMM-AA")</f>
        <v>jan-00</v>
      </c>
      <c r="G194" s="44" t="str">
        <f>TEXT(Tabela1[[#This Row],[DATA DE EMISSÃO]],"AAAA")</f>
        <v>1900</v>
      </c>
      <c r="H194" s="44">
        <f>'DADOS FINANCEIROS'!F200</f>
        <v>0</v>
      </c>
      <c r="I194" s="44" t="str">
        <f>TEXT(Tabela1[[#This Row],[VENCIMENTO ORIGINAL]],"MMM-AA")</f>
        <v>jan-00</v>
      </c>
      <c r="J194" s="44" t="str">
        <f>TEXT(Tabela1[[#This Row],[VENCIMENTO ORIGINAL]],"AAAA")</f>
        <v>1900</v>
      </c>
      <c r="K194" s="44">
        <f>'DADOS FINANCEIROS'!G200</f>
        <v>0</v>
      </c>
      <c r="L194" s="44" t="str">
        <f>TEXT(Tabela1[[#This Row],[VENCIMENTO ATUAL]],"MMM-AA")</f>
        <v>jan-00</v>
      </c>
      <c r="M194" s="44" t="str">
        <f>TEXT(Tabela1[[#This Row],[VENCIMENTO ATUAL]],"AAAA")</f>
        <v>1900</v>
      </c>
      <c r="N194" s="46">
        <f>'DADOS FINANCEIROS'!H200</f>
        <v>0</v>
      </c>
      <c r="O194" s="30">
        <f>'DADOS FINANCEIROS'!I200</f>
        <v>0</v>
      </c>
      <c r="P194" s="30">
        <f>'DADOS FINANCEIROS'!J200</f>
        <v>0</v>
      </c>
      <c r="Q194" s="30">
        <f>'DADOS FINANCEIROS'!K200</f>
        <v>0</v>
      </c>
      <c r="R194" s="30">
        <f>'DADOS FINANCEIROS'!L200</f>
        <v>0</v>
      </c>
      <c r="S194" s="30">
        <f>'DADOS FINANCEIROS'!M200</f>
        <v>0</v>
      </c>
      <c r="T194" s="30">
        <f>IFERROR('DADOS FINANCEIROS'!N200,"")</f>
        <v>0</v>
      </c>
      <c r="U194" s="30">
        <f>'DADOS FINANCEIROS'!O200</f>
        <v>0</v>
      </c>
      <c r="V194" s="30">
        <f>'DADOS FINANCEIROS'!P200</f>
        <v>0</v>
      </c>
      <c r="W194" s="30">
        <f>'DADOS FINANCEIROS'!Q200</f>
        <v>0</v>
      </c>
      <c r="X194" s="30">
        <f>'DADOS FINANCEIROS'!R200</f>
        <v>0</v>
      </c>
      <c r="Y194" s="30">
        <f>'DADOS FINANCEIROS'!S200</f>
        <v>0</v>
      </c>
      <c r="Z194" s="30">
        <f>'DADOS FINANCEIROS'!T200</f>
        <v>0</v>
      </c>
      <c r="AA194" s="30">
        <f>'DADOS FINANCEIROS'!U200</f>
        <v>0</v>
      </c>
      <c r="AB194" s="44">
        <f>'DADOS FINANCEIROS'!V200</f>
        <v>0</v>
      </c>
      <c r="AC194" s="44" t="str">
        <f>TEXT(Tabela1[[#This Row],[Data de Negociação]],"MMM-AA")</f>
        <v>jan-00</v>
      </c>
      <c r="AD194" s="44" t="str">
        <f>TEXT(Tabela1[[#This Row],[Data de Negociação]],"AAAA")</f>
        <v>1900</v>
      </c>
      <c r="AE194" s="44">
        <f>'DADOS FINANCEIROS'!W200</f>
        <v>0</v>
      </c>
      <c r="AF194" s="44" t="str">
        <f>TEXT(Tabela1[[#This Row],[Data da Entrada/Primeira Parcela]],"MMM-AA")</f>
        <v>jan-00</v>
      </c>
      <c r="AG194" s="44" t="str">
        <f>TEXT(Tabela1[[#This Row],[Data da Entrada/Primeira Parcela]],"AAAA")</f>
        <v>1900</v>
      </c>
      <c r="AH194" s="30">
        <f>'DADOS FINANCEIROS'!X200</f>
        <v>0</v>
      </c>
      <c r="AI194" s="46">
        <f>'DADOS FINANCEIROS'!Y200</f>
        <v>0</v>
      </c>
      <c r="AJ194" s="46">
        <f>'DADOS FINANCEIROS'!Z200</f>
        <v>0</v>
      </c>
      <c r="AK19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4" s="98"/>
    </row>
    <row r="195" spans="1:38" x14ac:dyDescent="0.3">
      <c r="A195" s="30">
        <f>'DADOS FINANCEIROS'!D201</f>
        <v>0</v>
      </c>
      <c r="B195" s="30">
        <f>'DADOS FINANCEIROS'!A201</f>
        <v>0</v>
      </c>
      <c r="C195" s="30">
        <f>'DADOS FINANCEIROS'!B201</f>
        <v>0</v>
      </c>
      <c r="D195" s="30">
        <f>'DADOS FINANCEIROS'!C201</f>
        <v>0</v>
      </c>
      <c r="E195" s="44">
        <f>'DADOS FINANCEIROS'!E201</f>
        <v>0</v>
      </c>
      <c r="F195" s="44" t="str">
        <f>TEXT(Tabela1[[#This Row],[DATA DE EMISSÃO]],"MMM-AA")</f>
        <v>jan-00</v>
      </c>
      <c r="G195" s="44" t="str">
        <f>TEXT(Tabela1[[#This Row],[DATA DE EMISSÃO]],"AAAA")</f>
        <v>1900</v>
      </c>
      <c r="H195" s="44">
        <f>'DADOS FINANCEIROS'!F201</f>
        <v>0</v>
      </c>
      <c r="I195" s="44" t="str">
        <f>TEXT(Tabela1[[#This Row],[VENCIMENTO ORIGINAL]],"MMM-AA")</f>
        <v>jan-00</v>
      </c>
      <c r="J195" s="44" t="str">
        <f>TEXT(Tabela1[[#This Row],[VENCIMENTO ORIGINAL]],"AAAA")</f>
        <v>1900</v>
      </c>
      <c r="K195" s="44">
        <f>'DADOS FINANCEIROS'!G201</f>
        <v>0</v>
      </c>
      <c r="L195" s="44" t="str">
        <f>TEXT(Tabela1[[#This Row],[VENCIMENTO ATUAL]],"MMM-AA")</f>
        <v>jan-00</v>
      </c>
      <c r="M195" s="44" t="str">
        <f>TEXT(Tabela1[[#This Row],[VENCIMENTO ATUAL]],"AAAA")</f>
        <v>1900</v>
      </c>
      <c r="N195" s="46">
        <f>'DADOS FINANCEIROS'!H201</f>
        <v>0</v>
      </c>
      <c r="O195" s="30">
        <f>'DADOS FINANCEIROS'!I201</f>
        <v>0</v>
      </c>
      <c r="P195" s="30">
        <f>'DADOS FINANCEIROS'!J201</f>
        <v>0</v>
      </c>
      <c r="Q195" s="30">
        <f>'DADOS FINANCEIROS'!K201</f>
        <v>0</v>
      </c>
      <c r="R195" s="30">
        <f>'DADOS FINANCEIROS'!L201</f>
        <v>0</v>
      </c>
      <c r="S195" s="30">
        <f>'DADOS FINANCEIROS'!M201</f>
        <v>0</v>
      </c>
      <c r="T195" s="30">
        <f>IFERROR('DADOS FINANCEIROS'!N201,"")</f>
        <v>0</v>
      </c>
      <c r="U195" s="30">
        <f>'DADOS FINANCEIROS'!O201</f>
        <v>0</v>
      </c>
      <c r="V195" s="30">
        <f>'DADOS FINANCEIROS'!P201</f>
        <v>0</v>
      </c>
      <c r="W195" s="30">
        <f>'DADOS FINANCEIROS'!Q201</f>
        <v>0</v>
      </c>
      <c r="X195" s="30">
        <f>'DADOS FINANCEIROS'!R201</f>
        <v>0</v>
      </c>
      <c r="Y195" s="30">
        <f>'DADOS FINANCEIROS'!S201</f>
        <v>0</v>
      </c>
      <c r="Z195" s="30">
        <f>'DADOS FINANCEIROS'!T201</f>
        <v>0</v>
      </c>
      <c r="AA195" s="30">
        <f>'DADOS FINANCEIROS'!U201</f>
        <v>0</v>
      </c>
      <c r="AB195" s="44">
        <f>'DADOS FINANCEIROS'!V201</f>
        <v>0</v>
      </c>
      <c r="AC195" s="44" t="str">
        <f>TEXT(Tabela1[[#This Row],[Data de Negociação]],"MMM-AA")</f>
        <v>jan-00</v>
      </c>
      <c r="AD195" s="44" t="str">
        <f>TEXT(Tabela1[[#This Row],[Data de Negociação]],"AAAA")</f>
        <v>1900</v>
      </c>
      <c r="AE195" s="44">
        <f>'DADOS FINANCEIROS'!W201</f>
        <v>0</v>
      </c>
      <c r="AF195" s="44" t="str">
        <f>TEXT(Tabela1[[#This Row],[Data da Entrada/Primeira Parcela]],"MMM-AA")</f>
        <v>jan-00</v>
      </c>
      <c r="AG195" s="44" t="str">
        <f>TEXT(Tabela1[[#This Row],[Data da Entrada/Primeira Parcela]],"AAAA")</f>
        <v>1900</v>
      </c>
      <c r="AH195" s="30">
        <f>'DADOS FINANCEIROS'!X201</f>
        <v>0</v>
      </c>
      <c r="AI195" s="46">
        <f>'DADOS FINANCEIROS'!Y201</f>
        <v>0</v>
      </c>
      <c r="AJ195" s="46">
        <f>'DADOS FINANCEIROS'!Z201</f>
        <v>0</v>
      </c>
      <c r="AK19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5" s="98"/>
    </row>
    <row r="196" spans="1:38" x14ac:dyDescent="0.3">
      <c r="A196" s="30">
        <f>'DADOS FINANCEIROS'!D202</f>
        <v>0</v>
      </c>
      <c r="B196" s="30">
        <f>'DADOS FINANCEIROS'!A202</f>
        <v>0</v>
      </c>
      <c r="C196" s="30">
        <f>'DADOS FINANCEIROS'!B202</f>
        <v>0</v>
      </c>
      <c r="D196" s="30">
        <f>'DADOS FINANCEIROS'!C202</f>
        <v>0</v>
      </c>
      <c r="E196" s="44">
        <f>'DADOS FINANCEIROS'!E202</f>
        <v>0</v>
      </c>
      <c r="F196" s="44" t="str">
        <f>TEXT(Tabela1[[#This Row],[DATA DE EMISSÃO]],"MMM-AA")</f>
        <v>jan-00</v>
      </c>
      <c r="G196" s="44" t="str">
        <f>TEXT(Tabela1[[#This Row],[DATA DE EMISSÃO]],"AAAA")</f>
        <v>1900</v>
      </c>
      <c r="H196" s="44">
        <f>'DADOS FINANCEIROS'!F202</f>
        <v>0</v>
      </c>
      <c r="I196" s="44" t="str">
        <f>TEXT(Tabela1[[#This Row],[VENCIMENTO ORIGINAL]],"MMM-AA")</f>
        <v>jan-00</v>
      </c>
      <c r="J196" s="44" t="str">
        <f>TEXT(Tabela1[[#This Row],[VENCIMENTO ORIGINAL]],"AAAA")</f>
        <v>1900</v>
      </c>
      <c r="K196" s="44">
        <f>'DADOS FINANCEIROS'!G202</f>
        <v>0</v>
      </c>
      <c r="L196" s="44" t="str">
        <f>TEXT(Tabela1[[#This Row],[VENCIMENTO ATUAL]],"MMM-AA")</f>
        <v>jan-00</v>
      </c>
      <c r="M196" s="44" t="str">
        <f>TEXT(Tabela1[[#This Row],[VENCIMENTO ATUAL]],"AAAA")</f>
        <v>1900</v>
      </c>
      <c r="N196" s="46">
        <f>'DADOS FINANCEIROS'!H202</f>
        <v>0</v>
      </c>
      <c r="O196" s="30">
        <f>'DADOS FINANCEIROS'!I202</f>
        <v>0</v>
      </c>
      <c r="P196" s="30">
        <f>'DADOS FINANCEIROS'!J202</f>
        <v>0</v>
      </c>
      <c r="Q196" s="30">
        <f>'DADOS FINANCEIROS'!K202</f>
        <v>0</v>
      </c>
      <c r="R196" s="30">
        <f>'DADOS FINANCEIROS'!L202</f>
        <v>0</v>
      </c>
      <c r="S196" s="30">
        <f>'DADOS FINANCEIROS'!M202</f>
        <v>0</v>
      </c>
      <c r="T196" s="30">
        <f>IFERROR('DADOS FINANCEIROS'!N202,"")</f>
        <v>0</v>
      </c>
      <c r="U196" s="30">
        <f>'DADOS FINANCEIROS'!O202</f>
        <v>0</v>
      </c>
      <c r="V196" s="30">
        <f>'DADOS FINANCEIROS'!P202</f>
        <v>0</v>
      </c>
      <c r="W196" s="30">
        <f>'DADOS FINANCEIROS'!Q202</f>
        <v>0</v>
      </c>
      <c r="X196" s="30">
        <f>'DADOS FINANCEIROS'!R202</f>
        <v>0</v>
      </c>
      <c r="Y196" s="30">
        <f>'DADOS FINANCEIROS'!S202</f>
        <v>0</v>
      </c>
      <c r="Z196" s="30">
        <f>'DADOS FINANCEIROS'!T202</f>
        <v>0</v>
      </c>
      <c r="AA196" s="30">
        <f>'DADOS FINANCEIROS'!U202</f>
        <v>0</v>
      </c>
      <c r="AB196" s="44">
        <f>'DADOS FINANCEIROS'!V202</f>
        <v>0</v>
      </c>
      <c r="AC196" s="44" t="str">
        <f>TEXT(Tabela1[[#This Row],[Data de Negociação]],"MMM-AA")</f>
        <v>jan-00</v>
      </c>
      <c r="AD196" s="44" t="str">
        <f>TEXT(Tabela1[[#This Row],[Data de Negociação]],"AAAA")</f>
        <v>1900</v>
      </c>
      <c r="AE196" s="44">
        <f>'DADOS FINANCEIROS'!W202</f>
        <v>0</v>
      </c>
      <c r="AF196" s="44" t="str">
        <f>TEXT(Tabela1[[#This Row],[Data da Entrada/Primeira Parcela]],"MMM-AA")</f>
        <v>jan-00</v>
      </c>
      <c r="AG196" s="44" t="str">
        <f>TEXT(Tabela1[[#This Row],[Data da Entrada/Primeira Parcela]],"AAAA")</f>
        <v>1900</v>
      </c>
      <c r="AH196" s="30">
        <f>'DADOS FINANCEIROS'!X202</f>
        <v>0</v>
      </c>
      <c r="AI196" s="46">
        <f>'DADOS FINANCEIROS'!Y202</f>
        <v>0</v>
      </c>
      <c r="AJ196" s="46">
        <f>'DADOS FINANCEIROS'!Z202</f>
        <v>0</v>
      </c>
      <c r="AK19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6" s="98"/>
    </row>
    <row r="197" spans="1:38" x14ac:dyDescent="0.3">
      <c r="A197" s="30">
        <f>'DADOS FINANCEIROS'!D203</f>
        <v>0</v>
      </c>
      <c r="B197" s="30">
        <f>'DADOS FINANCEIROS'!A203</f>
        <v>0</v>
      </c>
      <c r="C197" s="30">
        <f>'DADOS FINANCEIROS'!B203</f>
        <v>0</v>
      </c>
      <c r="D197" s="30">
        <f>'DADOS FINANCEIROS'!C203</f>
        <v>0</v>
      </c>
      <c r="E197" s="44">
        <f>'DADOS FINANCEIROS'!E203</f>
        <v>0</v>
      </c>
      <c r="F197" s="44" t="str">
        <f>TEXT(Tabela1[[#This Row],[DATA DE EMISSÃO]],"MMM-AA")</f>
        <v>jan-00</v>
      </c>
      <c r="G197" s="44" t="str">
        <f>TEXT(Tabela1[[#This Row],[DATA DE EMISSÃO]],"AAAA")</f>
        <v>1900</v>
      </c>
      <c r="H197" s="44">
        <f>'DADOS FINANCEIROS'!F203</f>
        <v>0</v>
      </c>
      <c r="I197" s="44" t="str">
        <f>TEXT(Tabela1[[#This Row],[VENCIMENTO ORIGINAL]],"MMM-AA")</f>
        <v>jan-00</v>
      </c>
      <c r="J197" s="44" t="str">
        <f>TEXT(Tabela1[[#This Row],[VENCIMENTO ORIGINAL]],"AAAA")</f>
        <v>1900</v>
      </c>
      <c r="K197" s="44">
        <f>'DADOS FINANCEIROS'!G203</f>
        <v>0</v>
      </c>
      <c r="L197" s="44" t="str">
        <f>TEXT(Tabela1[[#This Row],[VENCIMENTO ATUAL]],"MMM-AA")</f>
        <v>jan-00</v>
      </c>
      <c r="M197" s="44" t="str">
        <f>TEXT(Tabela1[[#This Row],[VENCIMENTO ATUAL]],"AAAA")</f>
        <v>1900</v>
      </c>
      <c r="N197" s="46">
        <f>'DADOS FINANCEIROS'!H203</f>
        <v>0</v>
      </c>
      <c r="O197" s="30">
        <f>'DADOS FINANCEIROS'!I203</f>
        <v>0</v>
      </c>
      <c r="P197" s="30">
        <f>'DADOS FINANCEIROS'!J203</f>
        <v>0</v>
      </c>
      <c r="Q197" s="30">
        <f>'DADOS FINANCEIROS'!K203</f>
        <v>0</v>
      </c>
      <c r="R197" s="30">
        <f>'DADOS FINANCEIROS'!L203</f>
        <v>0</v>
      </c>
      <c r="S197" s="30">
        <f>'DADOS FINANCEIROS'!M203</f>
        <v>0</v>
      </c>
      <c r="T197" s="30">
        <f>IFERROR('DADOS FINANCEIROS'!N203,"")</f>
        <v>0</v>
      </c>
      <c r="U197" s="30">
        <f>'DADOS FINANCEIROS'!O203</f>
        <v>0</v>
      </c>
      <c r="V197" s="30">
        <f>'DADOS FINANCEIROS'!P203</f>
        <v>0</v>
      </c>
      <c r="W197" s="30">
        <f>'DADOS FINANCEIROS'!Q203</f>
        <v>0</v>
      </c>
      <c r="X197" s="30">
        <f>'DADOS FINANCEIROS'!R203</f>
        <v>0</v>
      </c>
      <c r="Y197" s="30">
        <f>'DADOS FINANCEIROS'!S203</f>
        <v>0</v>
      </c>
      <c r="Z197" s="30">
        <f>'DADOS FINANCEIROS'!T203</f>
        <v>0</v>
      </c>
      <c r="AA197" s="30">
        <f>'DADOS FINANCEIROS'!U203</f>
        <v>0</v>
      </c>
      <c r="AB197" s="44">
        <f>'DADOS FINANCEIROS'!V203</f>
        <v>0</v>
      </c>
      <c r="AC197" s="44" t="str">
        <f>TEXT(Tabela1[[#This Row],[Data de Negociação]],"MMM-AA")</f>
        <v>jan-00</v>
      </c>
      <c r="AD197" s="44" t="str">
        <f>TEXT(Tabela1[[#This Row],[Data de Negociação]],"AAAA")</f>
        <v>1900</v>
      </c>
      <c r="AE197" s="44">
        <f>'DADOS FINANCEIROS'!W203</f>
        <v>0</v>
      </c>
      <c r="AF197" s="44" t="str">
        <f>TEXT(Tabela1[[#This Row],[Data da Entrada/Primeira Parcela]],"MMM-AA")</f>
        <v>jan-00</v>
      </c>
      <c r="AG197" s="44" t="str">
        <f>TEXT(Tabela1[[#This Row],[Data da Entrada/Primeira Parcela]],"AAAA")</f>
        <v>1900</v>
      </c>
      <c r="AH197" s="30">
        <f>'DADOS FINANCEIROS'!X203</f>
        <v>0</v>
      </c>
      <c r="AI197" s="46">
        <f>'DADOS FINANCEIROS'!Y203</f>
        <v>0</v>
      </c>
      <c r="AJ197" s="46">
        <f>'DADOS FINANCEIROS'!Z203</f>
        <v>0</v>
      </c>
      <c r="AK19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7" s="98"/>
    </row>
    <row r="198" spans="1:38" x14ac:dyDescent="0.3">
      <c r="A198" s="30">
        <f>'DADOS FINANCEIROS'!D204</f>
        <v>0</v>
      </c>
      <c r="B198" s="30">
        <f>'DADOS FINANCEIROS'!A204</f>
        <v>0</v>
      </c>
      <c r="C198" s="30">
        <f>'DADOS FINANCEIROS'!B204</f>
        <v>0</v>
      </c>
      <c r="D198" s="30">
        <f>'DADOS FINANCEIROS'!C204</f>
        <v>0</v>
      </c>
      <c r="E198" s="44">
        <f>'DADOS FINANCEIROS'!E204</f>
        <v>0</v>
      </c>
      <c r="F198" s="44" t="str">
        <f>TEXT(Tabela1[[#This Row],[DATA DE EMISSÃO]],"MMM-AA")</f>
        <v>jan-00</v>
      </c>
      <c r="G198" s="44" t="str">
        <f>TEXT(Tabela1[[#This Row],[DATA DE EMISSÃO]],"AAAA")</f>
        <v>1900</v>
      </c>
      <c r="H198" s="44">
        <f>'DADOS FINANCEIROS'!F204</f>
        <v>0</v>
      </c>
      <c r="I198" s="44" t="str">
        <f>TEXT(Tabela1[[#This Row],[VENCIMENTO ORIGINAL]],"MMM-AA")</f>
        <v>jan-00</v>
      </c>
      <c r="J198" s="44" t="str">
        <f>TEXT(Tabela1[[#This Row],[VENCIMENTO ORIGINAL]],"AAAA")</f>
        <v>1900</v>
      </c>
      <c r="K198" s="44">
        <f>'DADOS FINANCEIROS'!G204</f>
        <v>0</v>
      </c>
      <c r="L198" s="44" t="str">
        <f>TEXT(Tabela1[[#This Row],[VENCIMENTO ATUAL]],"MMM-AA")</f>
        <v>jan-00</v>
      </c>
      <c r="M198" s="44" t="str">
        <f>TEXT(Tabela1[[#This Row],[VENCIMENTO ATUAL]],"AAAA")</f>
        <v>1900</v>
      </c>
      <c r="N198" s="46">
        <f>'DADOS FINANCEIROS'!H204</f>
        <v>0</v>
      </c>
      <c r="O198" s="30">
        <f>'DADOS FINANCEIROS'!I204</f>
        <v>0</v>
      </c>
      <c r="P198" s="30">
        <f>'DADOS FINANCEIROS'!J204</f>
        <v>0</v>
      </c>
      <c r="Q198" s="30">
        <f>'DADOS FINANCEIROS'!K204</f>
        <v>0</v>
      </c>
      <c r="R198" s="30">
        <f>'DADOS FINANCEIROS'!L204</f>
        <v>0</v>
      </c>
      <c r="S198" s="30">
        <f>'DADOS FINANCEIROS'!M204</f>
        <v>0</v>
      </c>
      <c r="T198" s="30">
        <f>IFERROR('DADOS FINANCEIROS'!N204,"")</f>
        <v>0</v>
      </c>
      <c r="U198" s="30">
        <f>'DADOS FINANCEIROS'!O204</f>
        <v>0</v>
      </c>
      <c r="V198" s="30">
        <f>'DADOS FINANCEIROS'!P204</f>
        <v>0</v>
      </c>
      <c r="W198" s="30">
        <f>'DADOS FINANCEIROS'!Q204</f>
        <v>0</v>
      </c>
      <c r="X198" s="30">
        <f>'DADOS FINANCEIROS'!R204</f>
        <v>0</v>
      </c>
      <c r="Y198" s="30">
        <f>'DADOS FINANCEIROS'!S204</f>
        <v>0</v>
      </c>
      <c r="Z198" s="30">
        <f>'DADOS FINANCEIROS'!T204</f>
        <v>0</v>
      </c>
      <c r="AA198" s="30">
        <f>'DADOS FINANCEIROS'!U204</f>
        <v>0</v>
      </c>
      <c r="AB198" s="44">
        <f>'DADOS FINANCEIROS'!V204</f>
        <v>0</v>
      </c>
      <c r="AC198" s="44" t="str">
        <f>TEXT(Tabela1[[#This Row],[Data de Negociação]],"MMM-AA")</f>
        <v>jan-00</v>
      </c>
      <c r="AD198" s="44" t="str">
        <f>TEXT(Tabela1[[#This Row],[Data de Negociação]],"AAAA")</f>
        <v>1900</v>
      </c>
      <c r="AE198" s="44">
        <f>'DADOS FINANCEIROS'!W204</f>
        <v>0</v>
      </c>
      <c r="AF198" s="44" t="str">
        <f>TEXT(Tabela1[[#This Row],[Data da Entrada/Primeira Parcela]],"MMM-AA")</f>
        <v>jan-00</v>
      </c>
      <c r="AG198" s="44" t="str">
        <f>TEXT(Tabela1[[#This Row],[Data da Entrada/Primeira Parcela]],"AAAA")</f>
        <v>1900</v>
      </c>
      <c r="AH198" s="30">
        <f>'DADOS FINANCEIROS'!X204</f>
        <v>0</v>
      </c>
      <c r="AI198" s="46">
        <f>'DADOS FINANCEIROS'!Y204</f>
        <v>0</v>
      </c>
      <c r="AJ198" s="46">
        <f>'DADOS FINANCEIROS'!Z204</f>
        <v>0</v>
      </c>
      <c r="AK19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8" s="98"/>
    </row>
    <row r="199" spans="1:38" x14ac:dyDescent="0.3">
      <c r="A199" s="30">
        <f>'DADOS FINANCEIROS'!D205</f>
        <v>0</v>
      </c>
      <c r="B199" s="30">
        <f>'DADOS FINANCEIROS'!A205</f>
        <v>0</v>
      </c>
      <c r="C199" s="30">
        <f>'DADOS FINANCEIROS'!B205</f>
        <v>0</v>
      </c>
      <c r="D199" s="30">
        <f>'DADOS FINANCEIROS'!C205</f>
        <v>0</v>
      </c>
      <c r="E199" s="44">
        <f>'DADOS FINANCEIROS'!E205</f>
        <v>0</v>
      </c>
      <c r="F199" s="44" t="str">
        <f>TEXT(Tabela1[[#This Row],[DATA DE EMISSÃO]],"MMM-AA")</f>
        <v>jan-00</v>
      </c>
      <c r="G199" s="44" t="str">
        <f>TEXT(Tabela1[[#This Row],[DATA DE EMISSÃO]],"AAAA")</f>
        <v>1900</v>
      </c>
      <c r="H199" s="44">
        <f>'DADOS FINANCEIROS'!F205</f>
        <v>0</v>
      </c>
      <c r="I199" s="44" t="str">
        <f>TEXT(Tabela1[[#This Row],[VENCIMENTO ORIGINAL]],"MMM-AA")</f>
        <v>jan-00</v>
      </c>
      <c r="J199" s="44" t="str">
        <f>TEXT(Tabela1[[#This Row],[VENCIMENTO ORIGINAL]],"AAAA")</f>
        <v>1900</v>
      </c>
      <c r="K199" s="44">
        <f>'DADOS FINANCEIROS'!G205</f>
        <v>0</v>
      </c>
      <c r="L199" s="44" t="str">
        <f>TEXT(Tabela1[[#This Row],[VENCIMENTO ATUAL]],"MMM-AA")</f>
        <v>jan-00</v>
      </c>
      <c r="M199" s="44" t="str">
        <f>TEXT(Tabela1[[#This Row],[VENCIMENTO ATUAL]],"AAAA")</f>
        <v>1900</v>
      </c>
      <c r="N199" s="46">
        <f>'DADOS FINANCEIROS'!H205</f>
        <v>0</v>
      </c>
      <c r="O199" s="30">
        <f>'DADOS FINANCEIROS'!I205</f>
        <v>0</v>
      </c>
      <c r="P199" s="30">
        <f>'DADOS FINANCEIROS'!J205</f>
        <v>0</v>
      </c>
      <c r="Q199" s="30">
        <f>'DADOS FINANCEIROS'!K205</f>
        <v>0</v>
      </c>
      <c r="R199" s="30">
        <f>'DADOS FINANCEIROS'!L205</f>
        <v>0</v>
      </c>
      <c r="S199" s="30">
        <f>'DADOS FINANCEIROS'!M205</f>
        <v>0</v>
      </c>
      <c r="T199" s="30">
        <f>IFERROR('DADOS FINANCEIROS'!N205,"")</f>
        <v>0</v>
      </c>
      <c r="U199" s="30">
        <f>'DADOS FINANCEIROS'!O205</f>
        <v>0</v>
      </c>
      <c r="V199" s="30">
        <f>'DADOS FINANCEIROS'!P205</f>
        <v>0</v>
      </c>
      <c r="W199" s="30">
        <f>'DADOS FINANCEIROS'!Q205</f>
        <v>0</v>
      </c>
      <c r="X199" s="30">
        <f>'DADOS FINANCEIROS'!R205</f>
        <v>0</v>
      </c>
      <c r="Y199" s="30">
        <f>'DADOS FINANCEIROS'!S205</f>
        <v>0</v>
      </c>
      <c r="Z199" s="30">
        <f>'DADOS FINANCEIROS'!T205</f>
        <v>0</v>
      </c>
      <c r="AA199" s="30">
        <f>'DADOS FINANCEIROS'!U205</f>
        <v>0</v>
      </c>
      <c r="AB199" s="44">
        <f>'DADOS FINANCEIROS'!V205</f>
        <v>0</v>
      </c>
      <c r="AC199" s="44" t="str">
        <f>TEXT(Tabela1[[#This Row],[Data de Negociação]],"MMM-AA")</f>
        <v>jan-00</v>
      </c>
      <c r="AD199" s="44" t="str">
        <f>TEXT(Tabela1[[#This Row],[Data de Negociação]],"AAAA")</f>
        <v>1900</v>
      </c>
      <c r="AE199" s="44">
        <f>'DADOS FINANCEIROS'!W205</f>
        <v>0</v>
      </c>
      <c r="AF199" s="44" t="str">
        <f>TEXT(Tabela1[[#This Row],[Data da Entrada/Primeira Parcela]],"MMM-AA")</f>
        <v>jan-00</v>
      </c>
      <c r="AG199" s="44" t="str">
        <f>TEXT(Tabela1[[#This Row],[Data da Entrada/Primeira Parcela]],"AAAA")</f>
        <v>1900</v>
      </c>
      <c r="AH199" s="30">
        <f>'DADOS FINANCEIROS'!X205</f>
        <v>0</v>
      </c>
      <c r="AI199" s="46">
        <f>'DADOS FINANCEIROS'!Y205</f>
        <v>0</v>
      </c>
      <c r="AJ199" s="46">
        <f>'DADOS FINANCEIROS'!Z205</f>
        <v>0</v>
      </c>
      <c r="AK19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199" s="98"/>
    </row>
    <row r="200" spans="1:38" x14ac:dyDescent="0.3">
      <c r="A200" s="30">
        <f>'DADOS FINANCEIROS'!D206</f>
        <v>0</v>
      </c>
      <c r="B200" s="30">
        <f>'DADOS FINANCEIROS'!A206</f>
        <v>0</v>
      </c>
      <c r="C200" s="30">
        <f>'DADOS FINANCEIROS'!B206</f>
        <v>0</v>
      </c>
      <c r="D200" s="30">
        <f>'DADOS FINANCEIROS'!C206</f>
        <v>0</v>
      </c>
      <c r="E200" s="44">
        <f>'DADOS FINANCEIROS'!E206</f>
        <v>0</v>
      </c>
      <c r="F200" s="44" t="str">
        <f>TEXT(Tabela1[[#This Row],[DATA DE EMISSÃO]],"MMM-AA")</f>
        <v>jan-00</v>
      </c>
      <c r="G200" s="44" t="str">
        <f>TEXT(Tabela1[[#This Row],[DATA DE EMISSÃO]],"AAAA")</f>
        <v>1900</v>
      </c>
      <c r="H200" s="44">
        <f>'DADOS FINANCEIROS'!F206</f>
        <v>0</v>
      </c>
      <c r="I200" s="44" t="str">
        <f>TEXT(Tabela1[[#This Row],[VENCIMENTO ORIGINAL]],"MMM-AA")</f>
        <v>jan-00</v>
      </c>
      <c r="J200" s="44" t="str">
        <f>TEXT(Tabela1[[#This Row],[VENCIMENTO ORIGINAL]],"AAAA")</f>
        <v>1900</v>
      </c>
      <c r="K200" s="44">
        <f>'DADOS FINANCEIROS'!G206</f>
        <v>0</v>
      </c>
      <c r="L200" s="44" t="str">
        <f>TEXT(Tabela1[[#This Row],[VENCIMENTO ATUAL]],"MMM-AA")</f>
        <v>jan-00</v>
      </c>
      <c r="M200" s="44" t="str">
        <f>TEXT(Tabela1[[#This Row],[VENCIMENTO ATUAL]],"AAAA")</f>
        <v>1900</v>
      </c>
      <c r="N200" s="46">
        <f>'DADOS FINANCEIROS'!H206</f>
        <v>0</v>
      </c>
      <c r="O200" s="30">
        <f>'DADOS FINANCEIROS'!I206</f>
        <v>0</v>
      </c>
      <c r="P200" s="30">
        <f>'DADOS FINANCEIROS'!J206</f>
        <v>0</v>
      </c>
      <c r="Q200" s="30">
        <f>'DADOS FINANCEIROS'!K206</f>
        <v>0</v>
      </c>
      <c r="R200" s="30">
        <f>'DADOS FINANCEIROS'!L206</f>
        <v>0</v>
      </c>
      <c r="S200" s="30">
        <f>'DADOS FINANCEIROS'!M206</f>
        <v>0</v>
      </c>
      <c r="T200" s="30">
        <f>IFERROR('DADOS FINANCEIROS'!N206,"")</f>
        <v>0</v>
      </c>
      <c r="U200" s="30">
        <f>'DADOS FINANCEIROS'!O206</f>
        <v>0</v>
      </c>
      <c r="V200" s="30">
        <f>'DADOS FINANCEIROS'!P206</f>
        <v>0</v>
      </c>
      <c r="W200" s="30">
        <f>'DADOS FINANCEIROS'!Q206</f>
        <v>0</v>
      </c>
      <c r="X200" s="30">
        <f>'DADOS FINANCEIROS'!R206</f>
        <v>0</v>
      </c>
      <c r="Y200" s="30">
        <f>'DADOS FINANCEIROS'!S206</f>
        <v>0</v>
      </c>
      <c r="Z200" s="30">
        <f>'DADOS FINANCEIROS'!T206</f>
        <v>0</v>
      </c>
      <c r="AA200" s="30">
        <f>'DADOS FINANCEIROS'!U206</f>
        <v>0</v>
      </c>
      <c r="AB200" s="44">
        <f>'DADOS FINANCEIROS'!V206</f>
        <v>0</v>
      </c>
      <c r="AC200" s="44" t="str">
        <f>TEXT(Tabela1[[#This Row],[Data de Negociação]],"MMM-AA")</f>
        <v>jan-00</v>
      </c>
      <c r="AD200" s="44" t="str">
        <f>TEXT(Tabela1[[#This Row],[Data de Negociação]],"AAAA")</f>
        <v>1900</v>
      </c>
      <c r="AE200" s="44">
        <f>'DADOS FINANCEIROS'!W206</f>
        <v>0</v>
      </c>
      <c r="AF200" s="44" t="str">
        <f>TEXT(Tabela1[[#This Row],[Data da Entrada/Primeira Parcela]],"MMM-AA")</f>
        <v>jan-00</v>
      </c>
      <c r="AG200" s="44" t="str">
        <f>TEXT(Tabela1[[#This Row],[Data da Entrada/Primeira Parcela]],"AAAA")</f>
        <v>1900</v>
      </c>
      <c r="AH200" s="30">
        <f>'DADOS FINANCEIROS'!X206</f>
        <v>0</v>
      </c>
      <c r="AI200" s="46">
        <f>'DADOS FINANCEIROS'!Y206</f>
        <v>0</v>
      </c>
      <c r="AJ200" s="46">
        <f>'DADOS FINANCEIROS'!Z206</f>
        <v>0</v>
      </c>
      <c r="AK20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0" s="98"/>
    </row>
    <row r="201" spans="1:38" x14ac:dyDescent="0.3">
      <c r="A201" s="30">
        <f>'DADOS FINANCEIROS'!D207</f>
        <v>0</v>
      </c>
      <c r="B201" s="30">
        <f>'DADOS FINANCEIROS'!A207</f>
        <v>0</v>
      </c>
      <c r="C201" s="30">
        <f>'DADOS FINANCEIROS'!B207</f>
        <v>0</v>
      </c>
      <c r="D201" s="30">
        <f>'DADOS FINANCEIROS'!C207</f>
        <v>0</v>
      </c>
      <c r="E201" s="44">
        <f>'DADOS FINANCEIROS'!E207</f>
        <v>0</v>
      </c>
      <c r="F201" s="44" t="str">
        <f>TEXT(Tabela1[[#This Row],[DATA DE EMISSÃO]],"MMM-AA")</f>
        <v>jan-00</v>
      </c>
      <c r="G201" s="44" t="str">
        <f>TEXT(Tabela1[[#This Row],[DATA DE EMISSÃO]],"AAAA")</f>
        <v>1900</v>
      </c>
      <c r="H201" s="44">
        <f>'DADOS FINANCEIROS'!F207</f>
        <v>0</v>
      </c>
      <c r="I201" s="44" t="str">
        <f>TEXT(Tabela1[[#This Row],[VENCIMENTO ORIGINAL]],"MMM-AA")</f>
        <v>jan-00</v>
      </c>
      <c r="J201" s="44" t="str">
        <f>TEXT(Tabela1[[#This Row],[VENCIMENTO ORIGINAL]],"AAAA")</f>
        <v>1900</v>
      </c>
      <c r="K201" s="44">
        <f>'DADOS FINANCEIROS'!G207</f>
        <v>0</v>
      </c>
      <c r="L201" s="44" t="str">
        <f>TEXT(Tabela1[[#This Row],[VENCIMENTO ATUAL]],"MMM-AA")</f>
        <v>jan-00</v>
      </c>
      <c r="M201" s="44" t="str">
        <f>TEXT(Tabela1[[#This Row],[VENCIMENTO ATUAL]],"AAAA")</f>
        <v>1900</v>
      </c>
      <c r="N201" s="46">
        <f>'DADOS FINANCEIROS'!H207</f>
        <v>0</v>
      </c>
      <c r="O201" s="30">
        <f>'DADOS FINANCEIROS'!I207</f>
        <v>0</v>
      </c>
      <c r="P201" s="30">
        <f>'DADOS FINANCEIROS'!J207</f>
        <v>0</v>
      </c>
      <c r="Q201" s="30">
        <f>'DADOS FINANCEIROS'!K207</f>
        <v>0</v>
      </c>
      <c r="R201" s="30">
        <f>'DADOS FINANCEIROS'!L207</f>
        <v>0</v>
      </c>
      <c r="S201" s="30">
        <f>'DADOS FINANCEIROS'!M207</f>
        <v>0</v>
      </c>
      <c r="T201" s="30">
        <f>IFERROR('DADOS FINANCEIROS'!N207,"")</f>
        <v>0</v>
      </c>
      <c r="U201" s="30">
        <f>'DADOS FINANCEIROS'!O207</f>
        <v>0</v>
      </c>
      <c r="V201" s="30">
        <f>'DADOS FINANCEIROS'!P207</f>
        <v>0</v>
      </c>
      <c r="W201" s="30">
        <f>'DADOS FINANCEIROS'!Q207</f>
        <v>0</v>
      </c>
      <c r="X201" s="30">
        <f>'DADOS FINANCEIROS'!R207</f>
        <v>0</v>
      </c>
      <c r="Y201" s="30">
        <f>'DADOS FINANCEIROS'!S207</f>
        <v>0</v>
      </c>
      <c r="Z201" s="30">
        <f>'DADOS FINANCEIROS'!T207</f>
        <v>0</v>
      </c>
      <c r="AA201" s="30">
        <f>'DADOS FINANCEIROS'!U207</f>
        <v>0</v>
      </c>
      <c r="AB201" s="44">
        <f>'DADOS FINANCEIROS'!V207</f>
        <v>0</v>
      </c>
      <c r="AC201" s="44" t="str">
        <f>TEXT(Tabela1[[#This Row],[Data de Negociação]],"MMM-AA")</f>
        <v>jan-00</v>
      </c>
      <c r="AD201" s="44" t="str">
        <f>TEXT(Tabela1[[#This Row],[Data de Negociação]],"AAAA")</f>
        <v>1900</v>
      </c>
      <c r="AE201" s="44">
        <f>'DADOS FINANCEIROS'!W207</f>
        <v>0</v>
      </c>
      <c r="AF201" s="44" t="str">
        <f>TEXT(Tabela1[[#This Row],[Data da Entrada/Primeira Parcela]],"MMM-AA")</f>
        <v>jan-00</v>
      </c>
      <c r="AG201" s="44" t="str">
        <f>TEXT(Tabela1[[#This Row],[Data da Entrada/Primeira Parcela]],"AAAA")</f>
        <v>1900</v>
      </c>
      <c r="AH201" s="30">
        <f>'DADOS FINANCEIROS'!X207</f>
        <v>0</v>
      </c>
      <c r="AI201" s="46">
        <f>'DADOS FINANCEIROS'!Y207</f>
        <v>0</v>
      </c>
      <c r="AJ201" s="46">
        <f>'DADOS FINANCEIROS'!Z207</f>
        <v>0</v>
      </c>
      <c r="AK20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1" s="98"/>
    </row>
    <row r="202" spans="1:38" x14ac:dyDescent="0.3">
      <c r="A202" s="30">
        <f>'DADOS FINANCEIROS'!D208</f>
        <v>0</v>
      </c>
      <c r="B202" s="30">
        <f>'DADOS FINANCEIROS'!A208</f>
        <v>0</v>
      </c>
      <c r="C202" s="30">
        <f>'DADOS FINANCEIROS'!B208</f>
        <v>0</v>
      </c>
      <c r="D202" s="30">
        <f>'DADOS FINANCEIROS'!C208</f>
        <v>0</v>
      </c>
      <c r="E202" s="44">
        <f>'DADOS FINANCEIROS'!E208</f>
        <v>0</v>
      </c>
      <c r="F202" s="44" t="str">
        <f>TEXT(Tabela1[[#This Row],[DATA DE EMISSÃO]],"MMM-AA")</f>
        <v>jan-00</v>
      </c>
      <c r="G202" s="44" t="str">
        <f>TEXT(Tabela1[[#This Row],[DATA DE EMISSÃO]],"AAAA")</f>
        <v>1900</v>
      </c>
      <c r="H202" s="44">
        <f>'DADOS FINANCEIROS'!F208</f>
        <v>0</v>
      </c>
      <c r="I202" s="44" t="str">
        <f>TEXT(Tabela1[[#This Row],[VENCIMENTO ORIGINAL]],"MMM-AA")</f>
        <v>jan-00</v>
      </c>
      <c r="J202" s="44" t="str">
        <f>TEXT(Tabela1[[#This Row],[VENCIMENTO ORIGINAL]],"AAAA")</f>
        <v>1900</v>
      </c>
      <c r="K202" s="44">
        <f>'DADOS FINANCEIROS'!G208</f>
        <v>0</v>
      </c>
      <c r="L202" s="44" t="str">
        <f>TEXT(Tabela1[[#This Row],[VENCIMENTO ATUAL]],"MMM-AA")</f>
        <v>jan-00</v>
      </c>
      <c r="M202" s="44" t="str">
        <f>TEXT(Tabela1[[#This Row],[VENCIMENTO ATUAL]],"AAAA")</f>
        <v>1900</v>
      </c>
      <c r="N202" s="46">
        <f>'DADOS FINANCEIROS'!H208</f>
        <v>0</v>
      </c>
      <c r="O202" s="30">
        <f>'DADOS FINANCEIROS'!I208</f>
        <v>0</v>
      </c>
      <c r="P202" s="30">
        <f>'DADOS FINANCEIROS'!J208</f>
        <v>0</v>
      </c>
      <c r="Q202" s="30">
        <f>'DADOS FINANCEIROS'!K208</f>
        <v>0</v>
      </c>
      <c r="R202" s="30">
        <f>'DADOS FINANCEIROS'!L208</f>
        <v>0</v>
      </c>
      <c r="S202" s="30">
        <f>'DADOS FINANCEIROS'!M208</f>
        <v>0</v>
      </c>
      <c r="T202" s="30">
        <f>IFERROR('DADOS FINANCEIROS'!N208,"")</f>
        <v>0</v>
      </c>
      <c r="U202" s="30">
        <f>'DADOS FINANCEIROS'!O208</f>
        <v>0</v>
      </c>
      <c r="V202" s="30">
        <f>'DADOS FINANCEIROS'!P208</f>
        <v>0</v>
      </c>
      <c r="W202" s="30">
        <f>'DADOS FINANCEIROS'!Q208</f>
        <v>0</v>
      </c>
      <c r="X202" s="30">
        <f>'DADOS FINANCEIROS'!R208</f>
        <v>0</v>
      </c>
      <c r="Y202" s="30">
        <f>'DADOS FINANCEIROS'!S208</f>
        <v>0</v>
      </c>
      <c r="Z202" s="30">
        <f>'DADOS FINANCEIROS'!T208</f>
        <v>0</v>
      </c>
      <c r="AA202" s="30">
        <f>'DADOS FINANCEIROS'!U208</f>
        <v>0</v>
      </c>
      <c r="AB202" s="44">
        <f>'DADOS FINANCEIROS'!V208</f>
        <v>0</v>
      </c>
      <c r="AC202" s="44" t="str">
        <f>TEXT(Tabela1[[#This Row],[Data de Negociação]],"MMM-AA")</f>
        <v>jan-00</v>
      </c>
      <c r="AD202" s="44" t="str">
        <f>TEXT(Tabela1[[#This Row],[Data de Negociação]],"AAAA")</f>
        <v>1900</v>
      </c>
      <c r="AE202" s="44">
        <f>'DADOS FINANCEIROS'!W208</f>
        <v>0</v>
      </c>
      <c r="AF202" s="44" t="str">
        <f>TEXT(Tabela1[[#This Row],[Data da Entrada/Primeira Parcela]],"MMM-AA")</f>
        <v>jan-00</v>
      </c>
      <c r="AG202" s="44" t="str">
        <f>TEXT(Tabela1[[#This Row],[Data da Entrada/Primeira Parcela]],"AAAA")</f>
        <v>1900</v>
      </c>
      <c r="AH202" s="30">
        <f>'DADOS FINANCEIROS'!X208</f>
        <v>0</v>
      </c>
      <c r="AI202" s="46">
        <f>'DADOS FINANCEIROS'!Y208</f>
        <v>0</v>
      </c>
      <c r="AJ202" s="46">
        <f>'DADOS FINANCEIROS'!Z208</f>
        <v>0</v>
      </c>
      <c r="AK20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2" s="98"/>
    </row>
    <row r="203" spans="1:38" x14ac:dyDescent="0.3">
      <c r="A203" s="30">
        <f>'DADOS FINANCEIROS'!D209</f>
        <v>0</v>
      </c>
      <c r="B203" s="30">
        <f>'DADOS FINANCEIROS'!A209</f>
        <v>0</v>
      </c>
      <c r="C203" s="30">
        <f>'DADOS FINANCEIROS'!B209</f>
        <v>0</v>
      </c>
      <c r="D203" s="30">
        <f>'DADOS FINANCEIROS'!C209</f>
        <v>0</v>
      </c>
      <c r="E203" s="44">
        <f>'DADOS FINANCEIROS'!E209</f>
        <v>0</v>
      </c>
      <c r="F203" s="44" t="str">
        <f>TEXT(Tabela1[[#This Row],[DATA DE EMISSÃO]],"MMM-AA")</f>
        <v>jan-00</v>
      </c>
      <c r="G203" s="44" t="str">
        <f>TEXT(Tabela1[[#This Row],[DATA DE EMISSÃO]],"AAAA")</f>
        <v>1900</v>
      </c>
      <c r="H203" s="44">
        <f>'DADOS FINANCEIROS'!F209</f>
        <v>0</v>
      </c>
      <c r="I203" s="44" t="str">
        <f>TEXT(Tabela1[[#This Row],[VENCIMENTO ORIGINAL]],"MMM-AA")</f>
        <v>jan-00</v>
      </c>
      <c r="J203" s="44" t="str">
        <f>TEXT(Tabela1[[#This Row],[VENCIMENTO ORIGINAL]],"AAAA")</f>
        <v>1900</v>
      </c>
      <c r="K203" s="44">
        <f>'DADOS FINANCEIROS'!G209</f>
        <v>0</v>
      </c>
      <c r="L203" s="44" t="str">
        <f>TEXT(Tabela1[[#This Row],[VENCIMENTO ATUAL]],"MMM-AA")</f>
        <v>jan-00</v>
      </c>
      <c r="M203" s="44" t="str">
        <f>TEXT(Tabela1[[#This Row],[VENCIMENTO ATUAL]],"AAAA")</f>
        <v>1900</v>
      </c>
      <c r="N203" s="46">
        <f>'DADOS FINANCEIROS'!H209</f>
        <v>0</v>
      </c>
      <c r="O203" s="30">
        <f>'DADOS FINANCEIROS'!I209</f>
        <v>0</v>
      </c>
      <c r="P203" s="30">
        <f>'DADOS FINANCEIROS'!J209</f>
        <v>0</v>
      </c>
      <c r="Q203" s="30">
        <f>'DADOS FINANCEIROS'!K209</f>
        <v>0</v>
      </c>
      <c r="R203" s="30">
        <f>'DADOS FINANCEIROS'!L209</f>
        <v>0</v>
      </c>
      <c r="S203" s="30">
        <f>'DADOS FINANCEIROS'!M209</f>
        <v>0</v>
      </c>
      <c r="T203" s="30">
        <f>IFERROR('DADOS FINANCEIROS'!N209,"")</f>
        <v>0</v>
      </c>
      <c r="U203" s="30">
        <f>'DADOS FINANCEIROS'!O209</f>
        <v>0</v>
      </c>
      <c r="V203" s="30">
        <f>'DADOS FINANCEIROS'!P209</f>
        <v>0</v>
      </c>
      <c r="W203" s="30">
        <f>'DADOS FINANCEIROS'!Q209</f>
        <v>0</v>
      </c>
      <c r="X203" s="30">
        <f>'DADOS FINANCEIROS'!R209</f>
        <v>0</v>
      </c>
      <c r="Y203" s="30">
        <f>'DADOS FINANCEIROS'!S209</f>
        <v>0</v>
      </c>
      <c r="Z203" s="30">
        <f>'DADOS FINANCEIROS'!T209</f>
        <v>0</v>
      </c>
      <c r="AA203" s="30">
        <f>'DADOS FINANCEIROS'!U209</f>
        <v>0</v>
      </c>
      <c r="AB203" s="44">
        <f>'DADOS FINANCEIROS'!V209</f>
        <v>0</v>
      </c>
      <c r="AC203" s="44" t="str">
        <f>TEXT(Tabela1[[#This Row],[Data de Negociação]],"MMM-AA")</f>
        <v>jan-00</v>
      </c>
      <c r="AD203" s="44" t="str">
        <f>TEXT(Tabela1[[#This Row],[Data de Negociação]],"AAAA")</f>
        <v>1900</v>
      </c>
      <c r="AE203" s="44">
        <f>'DADOS FINANCEIROS'!W209</f>
        <v>0</v>
      </c>
      <c r="AF203" s="44" t="str">
        <f>TEXT(Tabela1[[#This Row],[Data da Entrada/Primeira Parcela]],"MMM-AA")</f>
        <v>jan-00</v>
      </c>
      <c r="AG203" s="44" t="str">
        <f>TEXT(Tabela1[[#This Row],[Data da Entrada/Primeira Parcela]],"AAAA")</f>
        <v>1900</v>
      </c>
      <c r="AH203" s="30">
        <f>'DADOS FINANCEIROS'!X209</f>
        <v>0</v>
      </c>
      <c r="AI203" s="46">
        <f>'DADOS FINANCEIROS'!Y209</f>
        <v>0</v>
      </c>
      <c r="AJ203" s="46">
        <f>'DADOS FINANCEIROS'!Z209</f>
        <v>0</v>
      </c>
      <c r="AK20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3" s="98"/>
    </row>
    <row r="204" spans="1:38" x14ac:dyDescent="0.3">
      <c r="A204" s="30">
        <f>'DADOS FINANCEIROS'!D210</f>
        <v>0</v>
      </c>
      <c r="B204" s="30">
        <f>'DADOS FINANCEIROS'!A210</f>
        <v>0</v>
      </c>
      <c r="C204" s="30">
        <f>'DADOS FINANCEIROS'!B210</f>
        <v>0</v>
      </c>
      <c r="D204" s="30">
        <f>'DADOS FINANCEIROS'!C210</f>
        <v>0</v>
      </c>
      <c r="E204" s="44">
        <f>'DADOS FINANCEIROS'!E210</f>
        <v>0</v>
      </c>
      <c r="F204" s="44" t="str">
        <f>TEXT(Tabela1[[#This Row],[DATA DE EMISSÃO]],"MMM-AA")</f>
        <v>jan-00</v>
      </c>
      <c r="G204" s="44" t="str">
        <f>TEXT(Tabela1[[#This Row],[DATA DE EMISSÃO]],"AAAA")</f>
        <v>1900</v>
      </c>
      <c r="H204" s="44">
        <f>'DADOS FINANCEIROS'!F210</f>
        <v>0</v>
      </c>
      <c r="I204" s="44" t="str">
        <f>TEXT(Tabela1[[#This Row],[VENCIMENTO ORIGINAL]],"MMM-AA")</f>
        <v>jan-00</v>
      </c>
      <c r="J204" s="44" t="str">
        <f>TEXT(Tabela1[[#This Row],[VENCIMENTO ORIGINAL]],"AAAA")</f>
        <v>1900</v>
      </c>
      <c r="K204" s="44">
        <f>'DADOS FINANCEIROS'!G210</f>
        <v>0</v>
      </c>
      <c r="L204" s="44" t="str">
        <f>TEXT(Tabela1[[#This Row],[VENCIMENTO ATUAL]],"MMM-AA")</f>
        <v>jan-00</v>
      </c>
      <c r="M204" s="44" t="str">
        <f>TEXT(Tabela1[[#This Row],[VENCIMENTO ATUAL]],"AAAA")</f>
        <v>1900</v>
      </c>
      <c r="N204" s="46">
        <f>'DADOS FINANCEIROS'!H210</f>
        <v>0</v>
      </c>
      <c r="O204" s="30">
        <f>'DADOS FINANCEIROS'!I210</f>
        <v>0</v>
      </c>
      <c r="P204" s="30">
        <f>'DADOS FINANCEIROS'!J210</f>
        <v>0</v>
      </c>
      <c r="Q204" s="30">
        <f>'DADOS FINANCEIROS'!K210</f>
        <v>0</v>
      </c>
      <c r="R204" s="30">
        <f>'DADOS FINANCEIROS'!L210</f>
        <v>0</v>
      </c>
      <c r="S204" s="30">
        <f>'DADOS FINANCEIROS'!M210</f>
        <v>0</v>
      </c>
      <c r="T204" s="30">
        <f>IFERROR('DADOS FINANCEIROS'!N210,"")</f>
        <v>0</v>
      </c>
      <c r="U204" s="30">
        <f>'DADOS FINANCEIROS'!O210</f>
        <v>0</v>
      </c>
      <c r="V204" s="30">
        <f>'DADOS FINANCEIROS'!P210</f>
        <v>0</v>
      </c>
      <c r="W204" s="30">
        <f>'DADOS FINANCEIROS'!Q210</f>
        <v>0</v>
      </c>
      <c r="X204" s="30">
        <f>'DADOS FINANCEIROS'!R210</f>
        <v>0</v>
      </c>
      <c r="Y204" s="30">
        <f>'DADOS FINANCEIROS'!S210</f>
        <v>0</v>
      </c>
      <c r="Z204" s="30">
        <f>'DADOS FINANCEIROS'!T210</f>
        <v>0</v>
      </c>
      <c r="AA204" s="30">
        <f>'DADOS FINANCEIROS'!U210</f>
        <v>0</v>
      </c>
      <c r="AB204" s="44">
        <f>'DADOS FINANCEIROS'!V210</f>
        <v>0</v>
      </c>
      <c r="AC204" s="44" t="str">
        <f>TEXT(Tabela1[[#This Row],[Data de Negociação]],"MMM-AA")</f>
        <v>jan-00</v>
      </c>
      <c r="AD204" s="44" t="str">
        <f>TEXT(Tabela1[[#This Row],[Data de Negociação]],"AAAA")</f>
        <v>1900</v>
      </c>
      <c r="AE204" s="44">
        <f>'DADOS FINANCEIROS'!W210</f>
        <v>0</v>
      </c>
      <c r="AF204" s="44" t="str">
        <f>TEXT(Tabela1[[#This Row],[Data da Entrada/Primeira Parcela]],"MMM-AA")</f>
        <v>jan-00</v>
      </c>
      <c r="AG204" s="44" t="str">
        <f>TEXT(Tabela1[[#This Row],[Data da Entrada/Primeira Parcela]],"AAAA")</f>
        <v>1900</v>
      </c>
      <c r="AH204" s="30">
        <f>'DADOS FINANCEIROS'!X210</f>
        <v>0</v>
      </c>
      <c r="AI204" s="46">
        <f>'DADOS FINANCEIROS'!Y210</f>
        <v>0</v>
      </c>
      <c r="AJ204" s="46">
        <f>'DADOS FINANCEIROS'!Z210</f>
        <v>0</v>
      </c>
      <c r="AK20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4" s="98"/>
    </row>
    <row r="205" spans="1:38" x14ac:dyDescent="0.3">
      <c r="A205" s="30">
        <f>'DADOS FINANCEIROS'!D211</f>
        <v>0</v>
      </c>
      <c r="B205" s="30">
        <f>'DADOS FINANCEIROS'!A211</f>
        <v>0</v>
      </c>
      <c r="C205" s="30">
        <f>'DADOS FINANCEIROS'!B211</f>
        <v>0</v>
      </c>
      <c r="D205" s="30">
        <f>'DADOS FINANCEIROS'!C211</f>
        <v>0</v>
      </c>
      <c r="E205" s="44">
        <f>'DADOS FINANCEIROS'!E211</f>
        <v>0</v>
      </c>
      <c r="F205" s="44" t="str">
        <f>TEXT(Tabela1[[#This Row],[DATA DE EMISSÃO]],"MMM-AA")</f>
        <v>jan-00</v>
      </c>
      <c r="G205" s="44" t="str">
        <f>TEXT(Tabela1[[#This Row],[DATA DE EMISSÃO]],"AAAA")</f>
        <v>1900</v>
      </c>
      <c r="H205" s="44">
        <f>'DADOS FINANCEIROS'!F211</f>
        <v>0</v>
      </c>
      <c r="I205" s="44" t="str">
        <f>TEXT(Tabela1[[#This Row],[VENCIMENTO ORIGINAL]],"MMM-AA")</f>
        <v>jan-00</v>
      </c>
      <c r="J205" s="44" t="str">
        <f>TEXT(Tabela1[[#This Row],[VENCIMENTO ORIGINAL]],"AAAA")</f>
        <v>1900</v>
      </c>
      <c r="K205" s="44">
        <f>'DADOS FINANCEIROS'!G211</f>
        <v>0</v>
      </c>
      <c r="L205" s="44" t="str">
        <f>TEXT(Tabela1[[#This Row],[VENCIMENTO ATUAL]],"MMM-AA")</f>
        <v>jan-00</v>
      </c>
      <c r="M205" s="44" t="str">
        <f>TEXT(Tabela1[[#This Row],[VENCIMENTO ATUAL]],"AAAA")</f>
        <v>1900</v>
      </c>
      <c r="N205" s="46">
        <f>'DADOS FINANCEIROS'!H211</f>
        <v>0</v>
      </c>
      <c r="O205" s="30">
        <f>'DADOS FINANCEIROS'!I211</f>
        <v>0</v>
      </c>
      <c r="P205" s="30">
        <f>'DADOS FINANCEIROS'!J211</f>
        <v>0</v>
      </c>
      <c r="Q205" s="30">
        <f>'DADOS FINANCEIROS'!K211</f>
        <v>0</v>
      </c>
      <c r="R205" s="30">
        <f>'DADOS FINANCEIROS'!L211</f>
        <v>0</v>
      </c>
      <c r="S205" s="30">
        <f>'DADOS FINANCEIROS'!M211</f>
        <v>0</v>
      </c>
      <c r="T205" s="30">
        <f>IFERROR('DADOS FINANCEIROS'!N211,"")</f>
        <v>0</v>
      </c>
      <c r="U205" s="30">
        <f>'DADOS FINANCEIROS'!O211</f>
        <v>0</v>
      </c>
      <c r="V205" s="30">
        <f>'DADOS FINANCEIROS'!P211</f>
        <v>0</v>
      </c>
      <c r="W205" s="30">
        <f>'DADOS FINANCEIROS'!Q211</f>
        <v>0</v>
      </c>
      <c r="X205" s="30">
        <f>'DADOS FINANCEIROS'!R211</f>
        <v>0</v>
      </c>
      <c r="Y205" s="30">
        <f>'DADOS FINANCEIROS'!S211</f>
        <v>0</v>
      </c>
      <c r="Z205" s="30">
        <f>'DADOS FINANCEIROS'!T211</f>
        <v>0</v>
      </c>
      <c r="AA205" s="30">
        <f>'DADOS FINANCEIROS'!U211</f>
        <v>0</v>
      </c>
      <c r="AB205" s="44">
        <f>'DADOS FINANCEIROS'!V211</f>
        <v>0</v>
      </c>
      <c r="AC205" s="44" t="str">
        <f>TEXT(Tabela1[[#This Row],[Data de Negociação]],"MMM-AA")</f>
        <v>jan-00</v>
      </c>
      <c r="AD205" s="44" t="str">
        <f>TEXT(Tabela1[[#This Row],[Data de Negociação]],"AAAA")</f>
        <v>1900</v>
      </c>
      <c r="AE205" s="44">
        <f>'DADOS FINANCEIROS'!W211</f>
        <v>0</v>
      </c>
      <c r="AF205" s="44" t="str">
        <f>TEXT(Tabela1[[#This Row],[Data da Entrada/Primeira Parcela]],"MMM-AA")</f>
        <v>jan-00</v>
      </c>
      <c r="AG205" s="44" t="str">
        <f>TEXT(Tabela1[[#This Row],[Data da Entrada/Primeira Parcela]],"AAAA")</f>
        <v>1900</v>
      </c>
      <c r="AH205" s="30">
        <f>'DADOS FINANCEIROS'!X211</f>
        <v>0</v>
      </c>
      <c r="AI205" s="46">
        <f>'DADOS FINANCEIROS'!Y211</f>
        <v>0</v>
      </c>
      <c r="AJ205" s="46">
        <f>'DADOS FINANCEIROS'!Z211</f>
        <v>0</v>
      </c>
      <c r="AK20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5" s="98"/>
    </row>
    <row r="206" spans="1:38" x14ac:dyDescent="0.3">
      <c r="A206" s="30">
        <f>'DADOS FINANCEIROS'!D212</f>
        <v>0</v>
      </c>
      <c r="B206" s="30">
        <f>'DADOS FINANCEIROS'!A212</f>
        <v>0</v>
      </c>
      <c r="C206" s="30">
        <f>'DADOS FINANCEIROS'!B212</f>
        <v>0</v>
      </c>
      <c r="D206" s="30">
        <f>'DADOS FINANCEIROS'!C212</f>
        <v>0</v>
      </c>
      <c r="E206" s="44">
        <f>'DADOS FINANCEIROS'!E212</f>
        <v>0</v>
      </c>
      <c r="F206" s="44" t="str">
        <f>TEXT(Tabela1[[#This Row],[DATA DE EMISSÃO]],"MMM-AA")</f>
        <v>jan-00</v>
      </c>
      <c r="G206" s="44" t="str">
        <f>TEXT(Tabela1[[#This Row],[DATA DE EMISSÃO]],"AAAA")</f>
        <v>1900</v>
      </c>
      <c r="H206" s="44">
        <f>'DADOS FINANCEIROS'!F212</f>
        <v>0</v>
      </c>
      <c r="I206" s="44" t="str">
        <f>TEXT(Tabela1[[#This Row],[VENCIMENTO ORIGINAL]],"MMM-AA")</f>
        <v>jan-00</v>
      </c>
      <c r="J206" s="44" t="str">
        <f>TEXT(Tabela1[[#This Row],[VENCIMENTO ORIGINAL]],"AAAA")</f>
        <v>1900</v>
      </c>
      <c r="K206" s="44">
        <f>'DADOS FINANCEIROS'!G212</f>
        <v>0</v>
      </c>
      <c r="L206" s="44" t="str">
        <f>TEXT(Tabela1[[#This Row],[VENCIMENTO ATUAL]],"MMM-AA")</f>
        <v>jan-00</v>
      </c>
      <c r="M206" s="44" t="str">
        <f>TEXT(Tabela1[[#This Row],[VENCIMENTO ATUAL]],"AAAA")</f>
        <v>1900</v>
      </c>
      <c r="N206" s="46">
        <f>'DADOS FINANCEIROS'!H212</f>
        <v>0</v>
      </c>
      <c r="O206" s="30">
        <f>'DADOS FINANCEIROS'!I212</f>
        <v>0</v>
      </c>
      <c r="P206" s="30">
        <f>'DADOS FINANCEIROS'!J212</f>
        <v>0</v>
      </c>
      <c r="Q206" s="30">
        <f>'DADOS FINANCEIROS'!K212</f>
        <v>0</v>
      </c>
      <c r="R206" s="30">
        <f>'DADOS FINANCEIROS'!L212</f>
        <v>0</v>
      </c>
      <c r="S206" s="30">
        <f>'DADOS FINANCEIROS'!M212</f>
        <v>0</v>
      </c>
      <c r="T206" s="30">
        <f>IFERROR('DADOS FINANCEIROS'!N212,"")</f>
        <v>0</v>
      </c>
      <c r="U206" s="30">
        <f>'DADOS FINANCEIROS'!O212</f>
        <v>0</v>
      </c>
      <c r="V206" s="30">
        <f>'DADOS FINANCEIROS'!P212</f>
        <v>0</v>
      </c>
      <c r="W206" s="30">
        <f>'DADOS FINANCEIROS'!Q212</f>
        <v>0</v>
      </c>
      <c r="X206" s="30">
        <f>'DADOS FINANCEIROS'!R212</f>
        <v>0</v>
      </c>
      <c r="Y206" s="30">
        <f>'DADOS FINANCEIROS'!S212</f>
        <v>0</v>
      </c>
      <c r="Z206" s="30">
        <f>'DADOS FINANCEIROS'!T212</f>
        <v>0</v>
      </c>
      <c r="AA206" s="30">
        <f>'DADOS FINANCEIROS'!U212</f>
        <v>0</v>
      </c>
      <c r="AB206" s="44">
        <f>'DADOS FINANCEIROS'!V212</f>
        <v>0</v>
      </c>
      <c r="AC206" s="44" t="str">
        <f>TEXT(Tabela1[[#This Row],[Data de Negociação]],"MMM-AA")</f>
        <v>jan-00</v>
      </c>
      <c r="AD206" s="44" t="str">
        <f>TEXT(Tabela1[[#This Row],[Data de Negociação]],"AAAA")</f>
        <v>1900</v>
      </c>
      <c r="AE206" s="44">
        <f>'DADOS FINANCEIROS'!W212</f>
        <v>0</v>
      </c>
      <c r="AF206" s="44" t="str">
        <f>TEXT(Tabela1[[#This Row],[Data da Entrada/Primeira Parcela]],"MMM-AA")</f>
        <v>jan-00</v>
      </c>
      <c r="AG206" s="44" t="str">
        <f>TEXT(Tabela1[[#This Row],[Data da Entrada/Primeira Parcela]],"AAAA")</f>
        <v>1900</v>
      </c>
      <c r="AH206" s="30">
        <f>'DADOS FINANCEIROS'!X212</f>
        <v>0</v>
      </c>
      <c r="AI206" s="46">
        <f>'DADOS FINANCEIROS'!Y212</f>
        <v>0</v>
      </c>
      <c r="AJ206" s="46">
        <f>'DADOS FINANCEIROS'!Z212</f>
        <v>0</v>
      </c>
      <c r="AK20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6" s="98"/>
    </row>
    <row r="207" spans="1:38" x14ac:dyDescent="0.3">
      <c r="A207" s="30">
        <f>'DADOS FINANCEIROS'!D213</f>
        <v>0</v>
      </c>
      <c r="B207" s="30">
        <f>'DADOS FINANCEIROS'!A213</f>
        <v>0</v>
      </c>
      <c r="C207" s="30">
        <f>'DADOS FINANCEIROS'!B213</f>
        <v>0</v>
      </c>
      <c r="D207" s="30">
        <f>'DADOS FINANCEIROS'!C213</f>
        <v>0</v>
      </c>
      <c r="E207" s="44">
        <f>'DADOS FINANCEIROS'!E213</f>
        <v>0</v>
      </c>
      <c r="F207" s="44" t="str">
        <f>TEXT(Tabela1[[#This Row],[DATA DE EMISSÃO]],"MMM-AA")</f>
        <v>jan-00</v>
      </c>
      <c r="G207" s="44" t="str">
        <f>TEXT(Tabela1[[#This Row],[DATA DE EMISSÃO]],"AAAA")</f>
        <v>1900</v>
      </c>
      <c r="H207" s="44">
        <f>'DADOS FINANCEIROS'!F213</f>
        <v>0</v>
      </c>
      <c r="I207" s="44" t="str">
        <f>TEXT(Tabela1[[#This Row],[VENCIMENTO ORIGINAL]],"MMM-AA")</f>
        <v>jan-00</v>
      </c>
      <c r="J207" s="44" t="str">
        <f>TEXT(Tabela1[[#This Row],[VENCIMENTO ORIGINAL]],"AAAA")</f>
        <v>1900</v>
      </c>
      <c r="K207" s="44">
        <f>'DADOS FINANCEIROS'!G213</f>
        <v>0</v>
      </c>
      <c r="L207" s="44" t="str">
        <f>TEXT(Tabela1[[#This Row],[VENCIMENTO ATUAL]],"MMM-AA")</f>
        <v>jan-00</v>
      </c>
      <c r="M207" s="44" t="str">
        <f>TEXT(Tabela1[[#This Row],[VENCIMENTO ATUAL]],"AAAA")</f>
        <v>1900</v>
      </c>
      <c r="N207" s="46">
        <f>'DADOS FINANCEIROS'!H213</f>
        <v>0</v>
      </c>
      <c r="O207" s="30">
        <f>'DADOS FINANCEIROS'!I213</f>
        <v>0</v>
      </c>
      <c r="P207" s="30">
        <f>'DADOS FINANCEIROS'!J213</f>
        <v>0</v>
      </c>
      <c r="Q207" s="30">
        <f>'DADOS FINANCEIROS'!K213</f>
        <v>0</v>
      </c>
      <c r="R207" s="30">
        <f>'DADOS FINANCEIROS'!L213</f>
        <v>0</v>
      </c>
      <c r="S207" s="30">
        <f>'DADOS FINANCEIROS'!M213</f>
        <v>0</v>
      </c>
      <c r="T207" s="30">
        <f>IFERROR('DADOS FINANCEIROS'!N213,"")</f>
        <v>0</v>
      </c>
      <c r="U207" s="30">
        <f>'DADOS FINANCEIROS'!O213</f>
        <v>0</v>
      </c>
      <c r="V207" s="30">
        <f>'DADOS FINANCEIROS'!P213</f>
        <v>0</v>
      </c>
      <c r="W207" s="30">
        <f>'DADOS FINANCEIROS'!Q213</f>
        <v>0</v>
      </c>
      <c r="X207" s="30">
        <f>'DADOS FINANCEIROS'!R213</f>
        <v>0</v>
      </c>
      <c r="Y207" s="30">
        <f>'DADOS FINANCEIROS'!S213</f>
        <v>0</v>
      </c>
      <c r="Z207" s="30">
        <f>'DADOS FINANCEIROS'!T213</f>
        <v>0</v>
      </c>
      <c r="AA207" s="30">
        <f>'DADOS FINANCEIROS'!U213</f>
        <v>0</v>
      </c>
      <c r="AB207" s="44">
        <f>'DADOS FINANCEIROS'!V213</f>
        <v>0</v>
      </c>
      <c r="AC207" s="44" t="str">
        <f>TEXT(Tabela1[[#This Row],[Data de Negociação]],"MMM-AA")</f>
        <v>jan-00</v>
      </c>
      <c r="AD207" s="44" t="str">
        <f>TEXT(Tabela1[[#This Row],[Data de Negociação]],"AAAA")</f>
        <v>1900</v>
      </c>
      <c r="AE207" s="44">
        <f>'DADOS FINANCEIROS'!W213</f>
        <v>0</v>
      </c>
      <c r="AF207" s="44" t="str">
        <f>TEXT(Tabela1[[#This Row],[Data da Entrada/Primeira Parcela]],"MMM-AA")</f>
        <v>jan-00</v>
      </c>
      <c r="AG207" s="44" t="str">
        <f>TEXT(Tabela1[[#This Row],[Data da Entrada/Primeira Parcela]],"AAAA")</f>
        <v>1900</v>
      </c>
      <c r="AH207" s="30">
        <f>'DADOS FINANCEIROS'!X213</f>
        <v>0</v>
      </c>
      <c r="AI207" s="46">
        <f>'DADOS FINANCEIROS'!Y213</f>
        <v>0</v>
      </c>
      <c r="AJ207" s="46">
        <f>'DADOS FINANCEIROS'!Z213</f>
        <v>0</v>
      </c>
      <c r="AK20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7" s="98"/>
    </row>
    <row r="208" spans="1:38" x14ac:dyDescent="0.3">
      <c r="A208" s="30">
        <f>'DADOS FINANCEIROS'!D214</f>
        <v>0</v>
      </c>
      <c r="B208" s="30">
        <f>'DADOS FINANCEIROS'!A214</f>
        <v>0</v>
      </c>
      <c r="C208" s="30">
        <f>'DADOS FINANCEIROS'!B214</f>
        <v>0</v>
      </c>
      <c r="D208" s="30">
        <f>'DADOS FINANCEIROS'!C214</f>
        <v>0</v>
      </c>
      <c r="E208" s="44">
        <f>'DADOS FINANCEIROS'!E214</f>
        <v>0</v>
      </c>
      <c r="F208" s="44" t="str">
        <f>TEXT(Tabela1[[#This Row],[DATA DE EMISSÃO]],"MMM-AA")</f>
        <v>jan-00</v>
      </c>
      <c r="G208" s="44" t="str">
        <f>TEXT(Tabela1[[#This Row],[DATA DE EMISSÃO]],"AAAA")</f>
        <v>1900</v>
      </c>
      <c r="H208" s="44">
        <f>'DADOS FINANCEIROS'!F214</f>
        <v>0</v>
      </c>
      <c r="I208" s="44" t="str">
        <f>TEXT(Tabela1[[#This Row],[VENCIMENTO ORIGINAL]],"MMM-AA")</f>
        <v>jan-00</v>
      </c>
      <c r="J208" s="44" t="str">
        <f>TEXT(Tabela1[[#This Row],[VENCIMENTO ORIGINAL]],"AAAA")</f>
        <v>1900</v>
      </c>
      <c r="K208" s="44">
        <f>'DADOS FINANCEIROS'!G214</f>
        <v>0</v>
      </c>
      <c r="L208" s="44" t="str">
        <f>TEXT(Tabela1[[#This Row],[VENCIMENTO ATUAL]],"MMM-AA")</f>
        <v>jan-00</v>
      </c>
      <c r="M208" s="44" t="str">
        <f>TEXT(Tabela1[[#This Row],[VENCIMENTO ATUAL]],"AAAA")</f>
        <v>1900</v>
      </c>
      <c r="N208" s="46">
        <f>'DADOS FINANCEIROS'!H214</f>
        <v>0</v>
      </c>
      <c r="O208" s="30">
        <f>'DADOS FINANCEIROS'!I214</f>
        <v>0</v>
      </c>
      <c r="P208" s="30">
        <f>'DADOS FINANCEIROS'!J214</f>
        <v>0</v>
      </c>
      <c r="Q208" s="30">
        <f>'DADOS FINANCEIROS'!K214</f>
        <v>0</v>
      </c>
      <c r="R208" s="30">
        <f>'DADOS FINANCEIROS'!L214</f>
        <v>0</v>
      </c>
      <c r="S208" s="30">
        <f>'DADOS FINANCEIROS'!M214</f>
        <v>0</v>
      </c>
      <c r="T208" s="30">
        <f>IFERROR('DADOS FINANCEIROS'!N214,"")</f>
        <v>0</v>
      </c>
      <c r="U208" s="30">
        <f>'DADOS FINANCEIROS'!O214</f>
        <v>0</v>
      </c>
      <c r="V208" s="30">
        <f>'DADOS FINANCEIROS'!P214</f>
        <v>0</v>
      </c>
      <c r="W208" s="30">
        <f>'DADOS FINANCEIROS'!Q214</f>
        <v>0</v>
      </c>
      <c r="X208" s="30">
        <f>'DADOS FINANCEIROS'!R214</f>
        <v>0</v>
      </c>
      <c r="Y208" s="30">
        <f>'DADOS FINANCEIROS'!S214</f>
        <v>0</v>
      </c>
      <c r="Z208" s="30">
        <f>'DADOS FINANCEIROS'!T214</f>
        <v>0</v>
      </c>
      <c r="AA208" s="30">
        <f>'DADOS FINANCEIROS'!U214</f>
        <v>0</v>
      </c>
      <c r="AB208" s="44">
        <f>'DADOS FINANCEIROS'!V214</f>
        <v>0</v>
      </c>
      <c r="AC208" s="44" t="str">
        <f>TEXT(Tabela1[[#This Row],[Data de Negociação]],"MMM-AA")</f>
        <v>jan-00</v>
      </c>
      <c r="AD208" s="44" t="str">
        <f>TEXT(Tabela1[[#This Row],[Data de Negociação]],"AAAA")</f>
        <v>1900</v>
      </c>
      <c r="AE208" s="44">
        <f>'DADOS FINANCEIROS'!W214</f>
        <v>0</v>
      </c>
      <c r="AF208" s="44" t="str">
        <f>TEXT(Tabela1[[#This Row],[Data da Entrada/Primeira Parcela]],"MMM-AA")</f>
        <v>jan-00</v>
      </c>
      <c r="AG208" s="44" t="str">
        <f>TEXT(Tabela1[[#This Row],[Data da Entrada/Primeira Parcela]],"AAAA")</f>
        <v>1900</v>
      </c>
      <c r="AH208" s="30">
        <f>'DADOS FINANCEIROS'!X214</f>
        <v>0</v>
      </c>
      <c r="AI208" s="46">
        <f>'DADOS FINANCEIROS'!Y214</f>
        <v>0</v>
      </c>
      <c r="AJ208" s="46">
        <f>'DADOS FINANCEIROS'!Z214</f>
        <v>0</v>
      </c>
      <c r="AK20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8" s="98"/>
    </row>
    <row r="209" spans="1:38" x14ac:dyDescent="0.3">
      <c r="A209" s="30">
        <f>'DADOS FINANCEIROS'!D215</f>
        <v>0</v>
      </c>
      <c r="B209" s="30">
        <f>'DADOS FINANCEIROS'!A215</f>
        <v>0</v>
      </c>
      <c r="C209" s="30">
        <f>'DADOS FINANCEIROS'!B215</f>
        <v>0</v>
      </c>
      <c r="D209" s="30">
        <f>'DADOS FINANCEIROS'!C215</f>
        <v>0</v>
      </c>
      <c r="E209" s="44">
        <f>'DADOS FINANCEIROS'!E215</f>
        <v>0</v>
      </c>
      <c r="F209" s="44" t="str">
        <f>TEXT(Tabela1[[#This Row],[DATA DE EMISSÃO]],"MMM-AA")</f>
        <v>jan-00</v>
      </c>
      <c r="G209" s="44" t="str">
        <f>TEXT(Tabela1[[#This Row],[DATA DE EMISSÃO]],"AAAA")</f>
        <v>1900</v>
      </c>
      <c r="H209" s="44">
        <f>'DADOS FINANCEIROS'!F215</f>
        <v>0</v>
      </c>
      <c r="I209" s="44" t="str">
        <f>TEXT(Tabela1[[#This Row],[VENCIMENTO ORIGINAL]],"MMM-AA")</f>
        <v>jan-00</v>
      </c>
      <c r="J209" s="44" t="str">
        <f>TEXT(Tabela1[[#This Row],[VENCIMENTO ORIGINAL]],"AAAA")</f>
        <v>1900</v>
      </c>
      <c r="K209" s="44">
        <f>'DADOS FINANCEIROS'!G215</f>
        <v>0</v>
      </c>
      <c r="L209" s="44" t="str">
        <f>TEXT(Tabela1[[#This Row],[VENCIMENTO ATUAL]],"MMM-AA")</f>
        <v>jan-00</v>
      </c>
      <c r="M209" s="44" t="str">
        <f>TEXT(Tabela1[[#This Row],[VENCIMENTO ATUAL]],"AAAA")</f>
        <v>1900</v>
      </c>
      <c r="N209" s="46">
        <f>'DADOS FINANCEIROS'!H215</f>
        <v>0</v>
      </c>
      <c r="O209" s="30">
        <f>'DADOS FINANCEIROS'!I215</f>
        <v>0</v>
      </c>
      <c r="P209" s="30">
        <f>'DADOS FINANCEIROS'!J215</f>
        <v>0</v>
      </c>
      <c r="Q209" s="30">
        <f>'DADOS FINANCEIROS'!K215</f>
        <v>0</v>
      </c>
      <c r="R209" s="30">
        <f>'DADOS FINANCEIROS'!L215</f>
        <v>0</v>
      </c>
      <c r="S209" s="30">
        <f>'DADOS FINANCEIROS'!M215</f>
        <v>0</v>
      </c>
      <c r="T209" s="30">
        <f>IFERROR('DADOS FINANCEIROS'!N215,"")</f>
        <v>0</v>
      </c>
      <c r="U209" s="30">
        <f>'DADOS FINANCEIROS'!O215</f>
        <v>0</v>
      </c>
      <c r="V209" s="30">
        <f>'DADOS FINANCEIROS'!P215</f>
        <v>0</v>
      </c>
      <c r="W209" s="30">
        <f>'DADOS FINANCEIROS'!Q215</f>
        <v>0</v>
      </c>
      <c r="X209" s="30">
        <f>'DADOS FINANCEIROS'!R215</f>
        <v>0</v>
      </c>
      <c r="Y209" s="30">
        <f>'DADOS FINANCEIROS'!S215</f>
        <v>0</v>
      </c>
      <c r="Z209" s="30">
        <f>'DADOS FINANCEIROS'!T215</f>
        <v>0</v>
      </c>
      <c r="AA209" s="30">
        <f>'DADOS FINANCEIROS'!U215</f>
        <v>0</v>
      </c>
      <c r="AB209" s="44">
        <f>'DADOS FINANCEIROS'!V215</f>
        <v>0</v>
      </c>
      <c r="AC209" s="44" t="str">
        <f>TEXT(Tabela1[[#This Row],[Data de Negociação]],"MMM-AA")</f>
        <v>jan-00</v>
      </c>
      <c r="AD209" s="44" t="str">
        <f>TEXT(Tabela1[[#This Row],[Data de Negociação]],"AAAA")</f>
        <v>1900</v>
      </c>
      <c r="AE209" s="44">
        <f>'DADOS FINANCEIROS'!W215</f>
        <v>0</v>
      </c>
      <c r="AF209" s="44" t="str">
        <f>TEXT(Tabela1[[#This Row],[Data da Entrada/Primeira Parcela]],"MMM-AA")</f>
        <v>jan-00</v>
      </c>
      <c r="AG209" s="44" t="str">
        <f>TEXT(Tabela1[[#This Row],[Data da Entrada/Primeira Parcela]],"AAAA")</f>
        <v>1900</v>
      </c>
      <c r="AH209" s="30">
        <f>'DADOS FINANCEIROS'!X215</f>
        <v>0</v>
      </c>
      <c r="AI209" s="46">
        <f>'DADOS FINANCEIROS'!Y215</f>
        <v>0</v>
      </c>
      <c r="AJ209" s="46">
        <f>'DADOS FINANCEIROS'!Z215</f>
        <v>0</v>
      </c>
      <c r="AK20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09" s="98"/>
    </row>
    <row r="210" spans="1:38" x14ac:dyDescent="0.3">
      <c r="A210" s="30">
        <f>'DADOS FINANCEIROS'!D216</f>
        <v>0</v>
      </c>
      <c r="B210" s="30">
        <f>'DADOS FINANCEIROS'!A216</f>
        <v>0</v>
      </c>
      <c r="C210" s="30">
        <f>'DADOS FINANCEIROS'!B216</f>
        <v>0</v>
      </c>
      <c r="D210" s="30">
        <f>'DADOS FINANCEIROS'!C216</f>
        <v>0</v>
      </c>
      <c r="E210" s="44">
        <f>'DADOS FINANCEIROS'!E216</f>
        <v>0</v>
      </c>
      <c r="F210" s="44" t="str">
        <f>TEXT(Tabela1[[#This Row],[DATA DE EMISSÃO]],"MMM-AA")</f>
        <v>jan-00</v>
      </c>
      <c r="G210" s="44" t="str">
        <f>TEXT(Tabela1[[#This Row],[DATA DE EMISSÃO]],"AAAA")</f>
        <v>1900</v>
      </c>
      <c r="H210" s="44">
        <f>'DADOS FINANCEIROS'!F216</f>
        <v>0</v>
      </c>
      <c r="I210" s="44" t="str">
        <f>TEXT(Tabela1[[#This Row],[VENCIMENTO ORIGINAL]],"MMM-AA")</f>
        <v>jan-00</v>
      </c>
      <c r="J210" s="44" t="str">
        <f>TEXT(Tabela1[[#This Row],[VENCIMENTO ORIGINAL]],"AAAA")</f>
        <v>1900</v>
      </c>
      <c r="K210" s="44">
        <f>'DADOS FINANCEIROS'!G216</f>
        <v>0</v>
      </c>
      <c r="L210" s="44" t="str">
        <f>TEXT(Tabela1[[#This Row],[VENCIMENTO ATUAL]],"MMM-AA")</f>
        <v>jan-00</v>
      </c>
      <c r="M210" s="44" t="str">
        <f>TEXT(Tabela1[[#This Row],[VENCIMENTO ATUAL]],"AAAA")</f>
        <v>1900</v>
      </c>
      <c r="N210" s="46">
        <f>'DADOS FINANCEIROS'!H216</f>
        <v>0</v>
      </c>
      <c r="O210" s="30">
        <f>'DADOS FINANCEIROS'!I216</f>
        <v>0</v>
      </c>
      <c r="P210" s="30">
        <f>'DADOS FINANCEIROS'!J216</f>
        <v>0</v>
      </c>
      <c r="Q210" s="30">
        <f>'DADOS FINANCEIROS'!K216</f>
        <v>0</v>
      </c>
      <c r="R210" s="30">
        <f>'DADOS FINANCEIROS'!L216</f>
        <v>0</v>
      </c>
      <c r="S210" s="30">
        <f>'DADOS FINANCEIROS'!M216</f>
        <v>0</v>
      </c>
      <c r="T210" s="30">
        <f>IFERROR('DADOS FINANCEIROS'!N216,"")</f>
        <v>0</v>
      </c>
      <c r="U210" s="30">
        <f>'DADOS FINANCEIROS'!O216</f>
        <v>0</v>
      </c>
      <c r="V210" s="30">
        <f>'DADOS FINANCEIROS'!P216</f>
        <v>0</v>
      </c>
      <c r="W210" s="30">
        <f>'DADOS FINANCEIROS'!Q216</f>
        <v>0</v>
      </c>
      <c r="X210" s="30">
        <f>'DADOS FINANCEIROS'!R216</f>
        <v>0</v>
      </c>
      <c r="Y210" s="30">
        <f>'DADOS FINANCEIROS'!S216</f>
        <v>0</v>
      </c>
      <c r="Z210" s="30">
        <f>'DADOS FINANCEIROS'!T216</f>
        <v>0</v>
      </c>
      <c r="AA210" s="30">
        <f>'DADOS FINANCEIROS'!U216</f>
        <v>0</v>
      </c>
      <c r="AB210" s="44">
        <f>'DADOS FINANCEIROS'!V216</f>
        <v>0</v>
      </c>
      <c r="AC210" s="44" t="str">
        <f>TEXT(Tabela1[[#This Row],[Data de Negociação]],"MMM-AA")</f>
        <v>jan-00</v>
      </c>
      <c r="AD210" s="44" t="str">
        <f>TEXT(Tabela1[[#This Row],[Data de Negociação]],"AAAA")</f>
        <v>1900</v>
      </c>
      <c r="AE210" s="44">
        <f>'DADOS FINANCEIROS'!W216</f>
        <v>0</v>
      </c>
      <c r="AF210" s="44" t="str">
        <f>TEXT(Tabela1[[#This Row],[Data da Entrada/Primeira Parcela]],"MMM-AA")</f>
        <v>jan-00</v>
      </c>
      <c r="AG210" s="44" t="str">
        <f>TEXT(Tabela1[[#This Row],[Data da Entrada/Primeira Parcela]],"AAAA")</f>
        <v>1900</v>
      </c>
      <c r="AH210" s="30">
        <f>'DADOS FINANCEIROS'!X216</f>
        <v>0</v>
      </c>
      <c r="AI210" s="46">
        <f>'DADOS FINANCEIROS'!Y216</f>
        <v>0</v>
      </c>
      <c r="AJ210" s="46">
        <f>'DADOS FINANCEIROS'!Z216</f>
        <v>0</v>
      </c>
      <c r="AK21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0" s="98"/>
    </row>
    <row r="211" spans="1:38" x14ac:dyDescent="0.3">
      <c r="A211" s="30">
        <f>'DADOS FINANCEIROS'!D217</f>
        <v>0</v>
      </c>
      <c r="B211" s="30">
        <f>'DADOS FINANCEIROS'!A217</f>
        <v>0</v>
      </c>
      <c r="C211" s="30">
        <f>'DADOS FINANCEIROS'!B217</f>
        <v>0</v>
      </c>
      <c r="D211" s="30">
        <f>'DADOS FINANCEIROS'!C217</f>
        <v>0</v>
      </c>
      <c r="E211" s="44">
        <f>'DADOS FINANCEIROS'!E217</f>
        <v>0</v>
      </c>
      <c r="F211" s="44" t="str">
        <f>TEXT(Tabela1[[#This Row],[DATA DE EMISSÃO]],"MMM-AA")</f>
        <v>jan-00</v>
      </c>
      <c r="G211" s="44" t="str">
        <f>TEXT(Tabela1[[#This Row],[DATA DE EMISSÃO]],"AAAA")</f>
        <v>1900</v>
      </c>
      <c r="H211" s="44">
        <f>'DADOS FINANCEIROS'!F217</f>
        <v>0</v>
      </c>
      <c r="I211" s="44" t="str">
        <f>TEXT(Tabela1[[#This Row],[VENCIMENTO ORIGINAL]],"MMM-AA")</f>
        <v>jan-00</v>
      </c>
      <c r="J211" s="44" t="str">
        <f>TEXT(Tabela1[[#This Row],[VENCIMENTO ORIGINAL]],"AAAA")</f>
        <v>1900</v>
      </c>
      <c r="K211" s="44">
        <f>'DADOS FINANCEIROS'!G217</f>
        <v>0</v>
      </c>
      <c r="L211" s="44" t="str">
        <f>TEXT(Tabela1[[#This Row],[VENCIMENTO ATUAL]],"MMM-AA")</f>
        <v>jan-00</v>
      </c>
      <c r="M211" s="44" t="str">
        <f>TEXT(Tabela1[[#This Row],[VENCIMENTO ATUAL]],"AAAA")</f>
        <v>1900</v>
      </c>
      <c r="N211" s="46">
        <f>'DADOS FINANCEIROS'!H217</f>
        <v>0</v>
      </c>
      <c r="O211" s="30">
        <f>'DADOS FINANCEIROS'!I217</f>
        <v>0</v>
      </c>
      <c r="P211" s="30">
        <f>'DADOS FINANCEIROS'!J217</f>
        <v>0</v>
      </c>
      <c r="Q211" s="30">
        <f>'DADOS FINANCEIROS'!K217</f>
        <v>0</v>
      </c>
      <c r="R211" s="30">
        <f>'DADOS FINANCEIROS'!L217</f>
        <v>0</v>
      </c>
      <c r="S211" s="30">
        <f>'DADOS FINANCEIROS'!M217</f>
        <v>0</v>
      </c>
      <c r="T211" s="30">
        <f>IFERROR('DADOS FINANCEIROS'!N217,"")</f>
        <v>0</v>
      </c>
      <c r="U211" s="30">
        <f>'DADOS FINANCEIROS'!O217</f>
        <v>0</v>
      </c>
      <c r="V211" s="30">
        <f>'DADOS FINANCEIROS'!P217</f>
        <v>0</v>
      </c>
      <c r="W211" s="30">
        <f>'DADOS FINANCEIROS'!Q217</f>
        <v>0</v>
      </c>
      <c r="X211" s="30">
        <f>'DADOS FINANCEIROS'!R217</f>
        <v>0</v>
      </c>
      <c r="Y211" s="30">
        <f>'DADOS FINANCEIROS'!S217</f>
        <v>0</v>
      </c>
      <c r="Z211" s="30">
        <f>'DADOS FINANCEIROS'!T217</f>
        <v>0</v>
      </c>
      <c r="AA211" s="30">
        <f>'DADOS FINANCEIROS'!U217</f>
        <v>0</v>
      </c>
      <c r="AB211" s="44">
        <f>'DADOS FINANCEIROS'!V217</f>
        <v>0</v>
      </c>
      <c r="AC211" s="44" t="str">
        <f>TEXT(Tabela1[[#This Row],[Data de Negociação]],"MMM-AA")</f>
        <v>jan-00</v>
      </c>
      <c r="AD211" s="44" t="str">
        <f>TEXT(Tabela1[[#This Row],[Data de Negociação]],"AAAA")</f>
        <v>1900</v>
      </c>
      <c r="AE211" s="44">
        <f>'DADOS FINANCEIROS'!W217</f>
        <v>0</v>
      </c>
      <c r="AF211" s="44" t="str">
        <f>TEXT(Tabela1[[#This Row],[Data da Entrada/Primeira Parcela]],"MMM-AA")</f>
        <v>jan-00</v>
      </c>
      <c r="AG211" s="44" t="str">
        <f>TEXT(Tabela1[[#This Row],[Data da Entrada/Primeira Parcela]],"AAAA")</f>
        <v>1900</v>
      </c>
      <c r="AH211" s="30">
        <f>'DADOS FINANCEIROS'!X217</f>
        <v>0</v>
      </c>
      <c r="AI211" s="46">
        <f>'DADOS FINANCEIROS'!Y217</f>
        <v>0</v>
      </c>
      <c r="AJ211" s="46">
        <f>'DADOS FINANCEIROS'!Z217</f>
        <v>0</v>
      </c>
      <c r="AK21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1" s="98"/>
    </row>
    <row r="212" spans="1:38" x14ac:dyDescent="0.3">
      <c r="A212" s="30">
        <f>'DADOS FINANCEIROS'!D218</f>
        <v>0</v>
      </c>
      <c r="B212" s="30">
        <f>'DADOS FINANCEIROS'!A218</f>
        <v>0</v>
      </c>
      <c r="C212" s="30">
        <f>'DADOS FINANCEIROS'!B218</f>
        <v>0</v>
      </c>
      <c r="D212" s="30">
        <f>'DADOS FINANCEIROS'!C218</f>
        <v>0</v>
      </c>
      <c r="E212" s="44">
        <f>'DADOS FINANCEIROS'!E218</f>
        <v>0</v>
      </c>
      <c r="F212" s="44" t="str">
        <f>TEXT(Tabela1[[#This Row],[DATA DE EMISSÃO]],"MMM-AA")</f>
        <v>jan-00</v>
      </c>
      <c r="G212" s="44" t="str">
        <f>TEXT(Tabela1[[#This Row],[DATA DE EMISSÃO]],"AAAA")</f>
        <v>1900</v>
      </c>
      <c r="H212" s="44">
        <f>'DADOS FINANCEIROS'!F218</f>
        <v>0</v>
      </c>
      <c r="I212" s="44" t="str">
        <f>TEXT(Tabela1[[#This Row],[VENCIMENTO ORIGINAL]],"MMM-AA")</f>
        <v>jan-00</v>
      </c>
      <c r="J212" s="44" t="str">
        <f>TEXT(Tabela1[[#This Row],[VENCIMENTO ORIGINAL]],"AAAA")</f>
        <v>1900</v>
      </c>
      <c r="K212" s="44">
        <f>'DADOS FINANCEIROS'!G218</f>
        <v>0</v>
      </c>
      <c r="L212" s="44" t="str">
        <f>TEXT(Tabela1[[#This Row],[VENCIMENTO ATUAL]],"MMM-AA")</f>
        <v>jan-00</v>
      </c>
      <c r="M212" s="44" t="str">
        <f>TEXT(Tabela1[[#This Row],[VENCIMENTO ATUAL]],"AAAA")</f>
        <v>1900</v>
      </c>
      <c r="N212" s="46">
        <f>'DADOS FINANCEIROS'!H218</f>
        <v>0</v>
      </c>
      <c r="O212" s="30">
        <f>'DADOS FINANCEIROS'!I218</f>
        <v>0</v>
      </c>
      <c r="P212" s="30">
        <f>'DADOS FINANCEIROS'!J218</f>
        <v>0</v>
      </c>
      <c r="Q212" s="30">
        <f>'DADOS FINANCEIROS'!K218</f>
        <v>0</v>
      </c>
      <c r="R212" s="30">
        <f>'DADOS FINANCEIROS'!L218</f>
        <v>0</v>
      </c>
      <c r="S212" s="30">
        <f>'DADOS FINANCEIROS'!M218</f>
        <v>0</v>
      </c>
      <c r="T212" s="30">
        <f>IFERROR('DADOS FINANCEIROS'!N218,"")</f>
        <v>0</v>
      </c>
      <c r="U212" s="30">
        <f>'DADOS FINANCEIROS'!O218</f>
        <v>0</v>
      </c>
      <c r="V212" s="30">
        <f>'DADOS FINANCEIROS'!P218</f>
        <v>0</v>
      </c>
      <c r="W212" s="30">
        <f>'DADOS FINANCEIROS'!Q218</f>
        <v>0</v>
      </c>
      <c r="X212" s="30">
        <f>'DADOS FINANCEIROS'!R218</f>
        <v>0</v>
      </c>
      <c r="Y212" s="30">
        <f>'DADOS FINANCEIROS'!S218</f>
        <v>0</v>
      </c>
      <c r="Z212" s="30">
        <f>'DADOS FINANCEIROS'!T218</f>
        <v>0</v>
      </c>
      <c r="AA212" s="30">
        <f>'DADOS FINANCEIROS'!U218</f>
        <v>0</v>
      </c>
      <c r="AB212" s="44">
        <f>'DADOS FINANCEIROS'!V218</f>
        <v>0</v>
      </c>
      <c r="AC212" s="44" t="str">
        <f>TEXT(Tabela1[[#This Row],[Data de Negociação]],"MMM-AA")</f>
        <v>jan-00</v>
      </c>
      <c r="AD212" s="44" t="str">
        <f>TEXT(Tabela1[[#This Row],[Data de Negociação]],"AAAA")</f>
        <v>1900</v>
      </c>
      <c r="AE212" s="44">
        <f>'DADOS FINANCEIROS'!W218</f>
        <v>0</v>
      </c>
      <c r="AF212" s="44" t="str">
        <f>TEXT(Tabela1[[#This Row],[Data da Entrada/Primeira Parcela]],"MMM-AA")</f>
        <v>jan-00</v>
      </c>
      <c r="AG212" s="44" t="str">
        <f>TEXT(Tabela1[[#This Row],[Data da Entrada/Primeira Parcela]],"AAAA")</f>
        <v>1900</v>
      </c>
      <c r="AH212" s="30">
        <f>'DADOS FINANCEIROS'!X218</f>
        <v>0</v>
      </c>
      <c r="AI212" s="46">
        <f>'DADOS FINANCEIROS'!Y218</f>
        <v>0</v>
      </c>
      <c r="AJ212" s="46">
        <f>'DADOS FINANCEIROS'!Z218</f>
        <v>0</v>
      </c>
      <c r="AK21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2" s="98"/>
    </row>
    <row r="213" spans="1:38" x14ac:dyDescent="0.3">
      <c r="A213" s="30">
        <f>'DADOS FINANCEIROS'!D219</f>
        <v>0</v>
      </c>
      <c r="B213" s="30">
        <f>'DADOS FINANCEIROS'!A219</f>
        <v>0</v>
      </c>
      <c r="C213" s="30">
        <f>'DADOS FINANCEIROS'!B219</f>
        <v>0</v>
      </c>
      <c r="D213" s="30">
        <f>'DADOS FINANCEIROS'!C219</f>
        <v>0</v>
      </c>
      <c r="E213" s="44">
        <f>'DADOS FINANCEIROS'!E219</f>
        <v>0</v>
      </c>
      <c r="F213" s="44" t="str">
        <f>TEXT(Tabela1[[#This Row],[DATA DE EMISSÃO]],"MMM-AA")</f>
        <v>jan-00</v>
      </c>
      <c r="G213" s="44" t="str">
        <f>TEXT(Tabela1[[#This Row],[DATA DE EMISSÃO]],"AAAA")</f>
        <v>1900</v>
      </c>
      <c r="H213" s="44">
        <f>'DADOS FINANCEIROS'!F219</f>
        <v>0</v>
      </c>
      <c r="I213" s="44" t="str">
        <f>TEXT(Tabela1[[#This Row],[VENCIMENTO ORIGINAL]],"MMM-AA")</f>
        <v>jan-00</v>
      </c>
      <c r="J213" s="44" t="str">
        <f>TEXT(Tabela1[[#This Row],[VENCIMENTO ORIGINAL]],"AAAA")</f>
        <v>1900</v>
      </c>
      <c r="K213" s="44">
        <f>'DADOS FINANCEIROS'!G219</f>
        <v>0</v>
      </c>
      <c r="L213" s="44" t="str">
        <f>TEXT(Tabela1[[#This Row],[VENCIMENTO ATUAL]],"MMM-AA")</f>
        <v>jan-00</v>
      </c>
      <c r="M213" s="44" t="str">
        <f>TEXT(Tabela1[[#This Row],[VENCIMENTO ATUAL]],"AAAA")</f>
        <v>1900</v>
      </c>
      <c r="N213" s="46">
        <f>'DADOS FINANCEIROS'!H219</f>
        <v>0</v>
      </c>
      <c r="O213" s="30">
        <f>'DADOS FINANCEIROS'!I219</f>
        <v>0</v>
      </c>
      <c r="P213" s="30">
        <f>'DADOS FINANCEIROS'!J219</f>
        <v>0</v>
      </c>
      <c r="Q213" s="30">
        <f>'DADOS FINANCEIROS'!K219</f>
        <v>0</v>
      </c>
      <c r="R213" s="30">
        <f>'DADOS FINANCEIROS'!L219</f>
        <v>0</v>
      </c>
      <c r="S213" s="30">
        <f>'DADOS FINANCEIROS'!M219</f>
        <v>0</v>
      </c>
      <c r="T213" s="30">
        <f>IFERROR('DADOS FINANCEIROS'!N219,"")</f>
        <v>0</v>
      </c>
      <c r="U213" s="30">
        <f>'DADOS FINANCEIROS'!O219</f>
        <v>0</v>
      </c>
      <c r="V213" s="30">
        <f>'DADOS FINANCEIROS'!P219</f>
        <v>0</v>
      </c>
      <c r="W213" s="30">
        <f>'DADOS FINANCEIROS'!Q219</f>
        <v>0</v>
      </c>
      <c r="X213" s="30">
        <f>'DADOS FINANCEIROS'!R219</f>
        <v>0</v>
      </c>
      <c r="Y213" s="30">
        <f>'DADOS FINANCEIROS'!S219</f>
        <v>0</v>
      </c>
      <c r="Z213" s="30">
        <f>'DADOS FINANCEIROS'!T219</f>
        <v>0</v>
      </c>
      <c r="AA213" s="30">
        <f>'DADOS FINANCEIROS'!U219</f>
        <v>0</v>
      </c>
      <c r="AB213" s="44">
        <f>'DADOS FINANCEIROS'!V219</f>
        <v>0</v>
      </c>
      <c r="AC213" s="44" t="str">
        <f>TEXT(Tabela1[[#This Row],[Data de Negociação]],"MMM-AA")</f>
        <v>jan-00</v>
      </c>
      <c r="AD213" s="44" t="str">
        <f>TEXT(Tabela1[[#This Row],[Data de Negociação]],"AAAA")</f>
        <v>1900</v>
      </c>
      <c r="AE213" s="44">
        <f>'DADOS FINANCEIROS'!W219</f>
        <v>0</v>
      </c>
      <c r="AF213" s="44" t="str">
        <f>TEXT(Tabela1[[#This Row],[Data da Entrada/Primeira Parcela]],"MMM-AA")</f>
        <v>jan-00</v>
      </c>
      <c r="AG213" s="44" t="str">
        <f>TEXT(Tabela1[[#This Row],[Data da Entrada/Primeira Parcela]],"AAAA")</f>
        <v>1900</v>
      </c>
      <c r="AH213" s="30">
        <f>'DADOS FINANCEIROS'!X219</f>
        <v>0</v>
      </c>
      <c r="AI213" s="46">
        <f>'DADOS FINANCEIROS'!Y219</f>
        <v>0</v>
      </c>
      <c r="AJ213" s="46">
        <f>'DADOS FINANCEIROS'!Z219</f>
        <v>0</v>
      </c>
      <c r="AK21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3" s="98"/>
    </row>
    <row r="214" spans="1:38" x14ac:dyDescent="0.3">
      <c r="A214" s="30">
        <f>'DADOS FINANCEIROS'!D220</f>
        <v>0</v>
      </c>
      <c r="B214" s="30">
        <f>'DADOS FINANCEIROS'!A220</f>
        <v>0</v>
      </c>
      <c r="C214" s="30">
        <f>'DADOS FINANCEIROS'!B220</f>
        <v>0</v>
      </c>
      <c r="D214" s="30">
        <f>'DADOS FINANCEIROS'!C220</f>
        <v>0</v>
      </c>
      <c r="E214" s="44">
        <f>'DADOS FINANCEIROS'!E220</f>
        <v>0</v>
      </c>
      <c r="F214" s="44" t="str">
        <f>TEXT(Tabela1[[#This Row],[DATA DE EMISSÃO]],"MMM-AA")</f>
        <v>jan-00</v>
      </c>
      <c r="G214" s="44" t="str">
        <f>TEXT(Tabela1[[#This Row],[DATA DE EMISSÃO]],"AAAA")</f>
        <v>1900</v>
      </c>
      <c r="H214" s="44">
        <f>'DADOS FINANCEIROS'!F220</f>
        <v>0</v>
      </c>
      <c r="I214" s="44" t="str">
        <f>TEXT(Tabela1[[#This Row],[VENCIMENTO ORIGINAL]],"MMM-AA")</f>
        <v>jan-00</v>
      </c>
      <c r="J214" s="44" t="str">
        <f>TEXT(Tabela1[[#This Row],[VENCIMENTO ORIGINAL]],"AAAA")</f>
        <v>1900</v>
      </c>
      <c r="K214" s="44">
        <f>'DADOS FINANCEIROS'!G220</f>
        <v>0</v>
      </c>
      <c r="L214" s="44" t="str">
        <f>TEXT(Tabela1[[#This Row],[VENCIMENTO ATUAL]],"MMM-AA")</f>
        <v>jan-00</v>
      </c>
      <c r="M214" s="44" t="str">
        <f>TEXT(Tabela1[[#This Row],[VENCIMENTO ATUAL]],"AAAA")</f>
        <v>1900</v>
      </c>
      <c r="N214" s="46">
        <f>'DADOS FINANCEIROS'!H220</f>
        <v>0</v>
      </c>
      <c r="O214" s="30">
        <f>'DADOS FINANCEIROS'!I220</f>
        <v>0</v>
      </c>
      <c r="P214" s="30">
        <f>'DADOS FINANCEIROS'!J220</f>
        <v>0</v>
      </c>
      <c r="Q214" s="30">
        <f>'DADOS FINANCEIROS'!K220</f>
        <v>0</v>
      </c>
      <c r="R214" s="30">
        <f>'DADOS FINANCEIROS'!L220</f>
        <v>0</v>
      </c>
      <c r="S214" s="30">
        <f>'DADOS FINANCEIROS'!M220</f>
        <v>0</v>
      </c>
      <c r="T214" s="30">
        <f>IFERROR('DADOS FINANCEIROS'!N220,"")</f>
        <v>0</v>
      </c>
      <c r="U214" s="30">
        <f>'DADOS FINANCEIROS'!O220</f>
        <v>0</v>
      </c>
      <c r="V214" s="30">
        <f>'DADOS FINANCEIROS'!P220</f>
        <v>0</v>
      </c>
      <c r="W214" s="30">
        <f>'DADOS FINANCEIROS'!Q220</f>
        <v>0</v>
      </c>
      <c r="X214" s="30">
        <f>'DADOS FINANCEIROS'!R220</f>
        <v>0</v>
      </c>
      <c r="Y214" s="30">
        <f>'DADOS FINANCEIROS'!S220</f>
        <v>0</v>
      </c>
      <c r="Z214" s="30">
        <f>'DADOS FINANCEIROS'!T220</f>
        <v>0</v>
      </c>
      <c r="AA214" s="30">
        <f>'DADOS FINANCEIROS'!U220</f>
        <v>0</v>
      </c>
      <c r="AB214" s="44">
        <f>'DADOS FINANCEIROS'!V220</f>
        <v>0</v>
      </c>
      <c r="AC214" s="44" t="str">
        <f>TEXT(Tabela1[[#This Row],[Data de Negociação]],"MMM-AA")</f>
        <v>jan-00</v>
      </c>
      <c r="AD214" s="44" t="str">
        <f>TEXT(Tabela1[[#This Row],[Data de Negociação]],"AAAA")</f>
        <v>1900</v>
      </c>
      <c r="AE214" s="44">
        <f>'DADOS FINANCEIROS'!W220</f>
        <v>0</v>
      </c>
      <c r="AF214" s="44" t="str">
        <f>TEXT(Tabela1[[#This Row],[Data da Entrada/Primeira Parcela]],"MMM-AA")</f>
        <v>jan-00</v>
      </c>
      <c r="AG214" s="44" t="str">
        <f>TEXT(Tabela1[[#This Row],[Data da Entrada/Primeira Parcela]],"AAAA")</f>
        <v>1900</v>
      </c>
      <c r="AH214" s="30">
        <f>'DADOS FINANCEIROS'!X220</f>
        <v>0</v>
      </c>
      <c r="AI214" s="46">
        <f>'DADOS FINANCEIROS'!Y220</f>
        <v>0</v>
      </c>
      <c r="AJ214" s="46">
        <f>'DADOS FINANCEIROS'!Z220</f>
        <v>0</v>
      </c>
      <c r="AK21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4" s="98"/>
    </row>
    <row r="215" spans="1:38" x14ac:dyDescent="0.3">
      <c r="A215" s="30">
        <f>'DADOS FINANCEIROS'!D221</f>
        <v>0</v>
      </c>
      <c r="B215" s="30">
        <f>'DADOS FINANCEIROS'!A221</f>
        <v>0</v>
      </c>
      <c r="C215" s="30">
        <f>'DADOS FINANCEIROS'!B221</f>
        <v>0</v>
      </c>
      <c r="D215" s="30">
        <f>'DADOS FINANCEIROS'!C221</f>
        <v>0</v>
      </c>
      <c r="E215" s="44">
        <f>'DADOS FINANCEIROS'!E221</f>
        <v>0</v>
      </c>
      <c r="F215" s="44" t="str">
        <f>TEXT(Tabela1[[#This Row],[DATA DE EMISSÃO]],"MMM-AA")</f>
        <v>jan-00</v>
      </c>
      <c r="G215" s="44" t="str">
        <f>TEXT(Tabela1[[#This Row],[DATA DE EMISSÃO]],"AAAA")</f>
        <v>1900</v>
      </c>
      <c r="H215" s="44">
        <f>'DADOS FINANCEIROS'!F221</f>
        <v>0</v>
      </c>
      <c r="I215" s="44" t="str">
        <f>TEXT(Tabela1[[#This Row],[VENCIMENTO ORIGINAL]],"MMM-AA")</f>
        <v>jan-00</v>
      </c>
      <c r="J215" s="44" t="str">
        <f>TEXT(Tabela1[[#This Row],[VENCIMENTO ORIGINAL]],"AAAA")</f>
        <v>1900</v>
      </c>
      <c r="K215" s="44">
        <f>'DADOS FINANCEIROS'!G221</f>
        <v>0</v>
      </c>
      <c r="L215" s="44" t="str">
        <f>TEXT(Tabela1[[#This Row],[VENCIMENTO ATUAL]],"MMM-AA")</f>
        <v>jan-00</v>
      </c>
      <c r="M215" s="44" t="str">
        <f>TEXT(Tabela1[[#This Row],[VENCIMENTO ATUAL]],"AAAA")</f>
        <v>1900</v>
      </c>
      <c r="N215" s="46">
        <f>'DADOS FINANCEIROS'!H221</f>
        <v>0</v>
      </c>
      <c r="O215" s="30">
        <f>'DADOS FINANCEIROS'!I221</f>
        <v>0</v>
      </c>
      <c r="P215" s="30">
        <f>'DADOS FINANCEIROS'!J221</f>
        <v>0</v>
      </c>
      <c r="Q215" s="30">
        <f>'DADOS FINANCEIROS'!K221</f>
        <v>0</v>
      </c>
      <c r="R215" s="30">
        <f>'DADOS FINANCEIROS'!L221</f>
        <v>0</v>
      </c>
      <c r="S215" s="30">
        <f>'DADOS FINANCEIROS'!M221</f>
        <v>0</v>
      </c>
      <c r="T215" s="30">
        <f>IFERROR('DADOS FINANCEIROS'!N221,"")</f>
        <v>0</v>
      </c>
      <c r="U215" s="30">
        <f>'DADOS FINANCEIROS'!O221</f>
        <v>0</v>
      </c>
      <c r="V215" s="30">
        <f>'DADOS FINANCEIROS'!P221</f>
        <v>0</v>
      </c>
      <c r="W215" s="30">
        <f>'DADOS FINANCEIROS'!Q221</f>
        <v>0</v>
      </c>
      <c r="X215" s="30">
        <f>'DADOS FINANCEIROS'!R221</f>
        <v>0</v>
      </c>
      <c r="Y215" s="30">
        <f>'DADOS FINANCEIROS'!S221</f>
        <v>0</v>
      </c>
      <c r="Z215" s="30">
        <f>'DADOS FINANCEIROS'!T221</f>
        <v>0</v>
      </c>
      <c r="AA215" s="30">
        <f>'DADOS FINANCEIROS'!U221</f>
        <v>0</v>
      </c>
      <c r="AB215" s="44">
        <f>'DADOS FINANCEIROS'!V221</f>
        <v>0</v>
      </c>
      <c r="AC215" s="44" t="str">
        <f>TEXT(Tabela1[[#This Row],[Data de Negociação]],"MMM-AA")</f>
        <v>jan-00</v>
      </c>
      <c r="AD215" s="44" t="str">
        <f>TEXT(Tabela1[[#This Row],[Data de Negociação]],"AAAA")</f>
        <v>1900</v>
      </c>
      <c r="AE215" s="44">
        <f>'DADOS FINANCEIROS'!W221</f>
        <v>0</v>
      </c>
      <c r="AF215" s="44" t="str">
        <f>TEXT(Tabela1[[#This Row],[Data da Entrada/Primeira Parcela]],"MMM-AA")</f>
        <v>jan-00</v>
      </c>
      <c r="AG215" s="44" t="str">
        <f>TEXT(Tabela1[[#This Row],[Data da Entrada/Primeira Parcela]],"AAAA")</f>
        <v>1900</v>
      </c>
      <c r="AH215" s="30">
        <f>'DADOS FINANCEIROS'!X221</f>
        <v>0</v>
      </c>
      <c r="AI215" s="46">
        <f>'DADOS FINANCEIROS'!Y221</f>
        <v>0</v>
      </c>
      <c r="AJ215" s="46">
        <f>'DADOS FINANCEIROS'!Z221</f>
        <v>0</v>
      </c>
      <c r="AK21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5" s="98"/>
    </row>
    <row r="216" spans="1:38" x14ac:dyDescent="0.3">
      <c r="A216" s="30">
        <f>'DADOS FINANCEIROS'!D222</f>
        <v>0</v>
      </c>
      <c r="B216" s="30">
        <f>'DADOS FINANCEIROS'!A222</f>
        <v>0</v>
      </c>
      <c r="C216" s="30">
        <f>'DADOS FINANCEIROS'!B222</f>
        <v>0</v>
      </c>
      <c r="D216" s="30">
        <f>'DADOS FINANCEIROS'!C222</f>
        <v>0</v>
      </c>
      <c r="E216" s="44">
        <f>'DADOS FINANCEIROS'!E222</f>
        <v>0</v>
      </c>
      <c r="F216" s="44" t="str">
        <f>TEXT(Tabela1[[#This Row],[DATA DE EMISSÃO]],"MMM-AA")</f>
        <v>jan-00</v>
      </c>
      <c r="G216" s="44" t="str">
        <f>TEXT(Tabela1[[#This Row],[DATA DE EMISSÃO]],"AAAA")</f>
        <v>1900</v>
      </c>
      <c r="H216" s="44">
        <f>'DADOS FINANCEIROS'!F222</f>
        <v>0</v>
      </c>
      <c r="I216" s="44" t="str">
        <f>TEXT(Tabela1[[#This Row],[VENCIMENTO ORIGINAL]],"MMM-AA")</f>
        <v>jan-00</v>
      </c>
      <c r="J216" s="44" t="str">
        <f>TEXT(Tabela1[[#This Row],[VENCIMENTO ORIGINAL]],"AAAA")</f>
        <v>1900</v>
      </c>
      <c r="K216" s="44">
        <f>'DADOS FINANCEIROS'!G222</f>
        <v>0</v>
      </c>
      <c r="L216" s="44" t="str">
        <f>TEXT(Tabela1[[#This Row],[VENCIMENTO ATUAL]],"MMM-AA")</f>
        <v>jan-00</v>
      </c>
      <c r="M216" s="44" t="str">
        <f>TEXT(Tabela1[[#This Row],[VENCIMENTO ATUAL]],"AAAA")</f>
        <v>1900</v>
      </c>
      <c r="N216" s="46">
        <f>'DADOS FINANCEIROS'!H222</f>
        <v>0</v>
      </c>
      <c r="O216" s="30">
        <f>'DADOS FINANCEIROS'!I222</f>
        <v>0</v>
      </c>
      <c r="P216" s="30">
        <f>'DADOS FINANCEIROS'!J222</f>
        <v>0</v>
      </c>
      <c r="Q216" s="30">
        <f>'DADOS FINANCEIROS'!K222</f>
        <v>0</v>
      </c>
      <c r="R216" s="30">
        <f>'DADOS FINANCEIROS'!L222</f>
        <v>0</v>
      </c>
      <c r="S216" s="30">
        <f>'DADOS FINANCEIROS'!M222</f>
        <v>0</v>
      </c>
      <c r="T216" s="30">
        <f>IFERROR('DADOS FINANCEIROS'!N222,"")</f>
        <v>0</v>
      </c>
      <c r="U216" s="30">
        <f>'DADOS FINANCEIROS'!O222</f>
        <v>0</v>
      </c>
      <c r="V216" s="30">
        <f>'DADOS FINANCEIROS'!P222</f>
        <v>0</v>
      </c>
      <c r="W216" s="30">
        <f>'DADOS FINANCEIROS'!Q222</f>
        <v>0</v>
      </c>
      <c r="X216" s="30">
        <f>'DADOS FINANCEIROS'!R222</f>
        <v>0</v>
      </c>
      <c r="Y216" s="30">
        <f>'DADOS FINANCEIROS'!S222</f>
        <v>0</v>
      </c>
      <c r="Z216" s="30">
        <f>'DADOS FINANCEIROS'!T222</f>
        <v>0</v>
      </c>
      <c r="AA216" s="30">
        <f>'DADOS FINANCEIROS'!U222</f>
        <v>0</v>
      </c>
      <c r="AB216" s="44">
        <f>'DADOS FINANCEIROS'!V222</f>
        <v>0</v>
      </c>
      <c r="AC216" s="44" t="str">
        <f>TEXT(Tabela1[[#This Row],[Data de Negociação]],"MMM-AA")</f>
        <v>jan-00</v>
      </c>
      <c r="AD216" s="44" t="str">
        <f>TEXT(Tabela1[[#This Row],[Data de Negociação]],"AAAA")</f>
        <v>1900</v>
      </c>
      <c r="AE216" s="44">
        <f>'DADOS FINANCEIROS'!W222</f>
        <v>0</v>
      </c>
      <c r="AF216" s="44" t="str">
        <f>TEXT(Tabela1[[#This Row],[Data da Entrada/Primeira Parcela]],"MMM-AA")</f>
        <v>jan-00</v>
      </c>
      <c r="AG216" s="44" t="str">
        <f>TEXT(Tabela1[[#This Row],[Data da Entrada/Primeira Parcela]],"AAAA")</f>
        <v>1900</v>
      </c>
      <c r="AH216" s="30">
        <f>'DADOS FINANCEIROS'!X222</f>
        <v>0</v>
      </c>
      <c r="AI216" s="46">
        <f>'DADOS FINANCEIROS'!Y222</f>
        <v>0</v>
      </c>
      <c r="AJ216" s="46">
        <f>'DADOS FINANCEIROS'!Z222</f>
        <v>0</v>
      </c>
      <c r="AK21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6" s="98"/>
    </row>
    <row r="217" spans="1:38" x14ac:dyDescent="0.3">
      <c r="A217" s="30">
        <f>'DADOS FINANCEIROS'!D223</f>
        <v>0</v>
      </c>
      <c r="B217" s="30">
        <f>'DADOS FINANCEIROS'!A223</f>
        <v>0</v>
      </c>
      <c r="C217" s="30">
        <f>'DADOS FINANCEIROS'!B223</f>
        <v>0</v>
      </c>
      <c r="D217" s="30">
        <f>'DADOS FINANCEIROS'!C223</f>
        <v>0</v>
      </c>
      <c r="E217" s="44">
        <f>'DADOS FINANCEIROS'!E223</f>
        <v>0</v>
      </c>
      <c r="F217" s="44" t="str">
        <f>TEXT(Tabela1[[#This Row],[DATA DE EMISSÃO]],"MMM-AA")</f>
        <v>jan-00</v>
      </c>
      <c r="G217" s="44" t="str">
        <f>TEXT(Tabela1[[#This Row],[DATA DE EMISSÃO]],"AAAA")</f>
        <v>1900</v>
      </c>
      <c r="H217" s="44">
        <f>'DADOS FINANCEIROS'!F223</f>
        <v>0</v>
      </c>
      <c r="I217" s="44" t="str">
        <f>TEXT(Tabela1[[#This Row],[VENCIMENTO ORIGINAL]],"MMM-AA")</f>
        <v>jan-00</v>
      </c>
      <c r="J217" s="44" t="str">
        <f>TEXT(Tabela1[[#This Row],[VENCIMENTO ORIGINAL]],"AAAA")</f>
        <v>1900</v>
      </c>
      <c r="K217" s="44">
        <f>'DADOS FINANCEIROS'!G223</f>
        <v>0</v>
      </c>
      <c r="L217" s="44" t="str">
        <f>TEXT(Tabela1[[#This Row],[VENCIMENTO ATUAL]],"MMM-AA")</f>
        <v>jan-00</v>
      </c>
      <c r="M217" s="44" t="str">
        <f>TEXT(Tabela1[[#This Row],[VENCIMENTO ATUAL]],"AAAA")</f>
        <v>1900</v>
      </c>
      <c r="N217" s="46">
        <f>'DADOS FINANCEIROS'!H223</f>
        <v>0</v>
      </c>
      <c r="O217" s="30">
        <f>'DADOS FINANCEIROS'!I223</f>
        <v>0</v>
      </c>
      <c r="P217" s="30">
        <f>'DADOS FINANCEIROS'!J223</f>
        <v>0</v>
      </c>
      <c r="Q217" s="30">
        <f>'DADOS FINANCEIROS'!K223</f>
        <v>0</v>
      </c>
      <c r="R217" s="30">
        <f>'DADOS FINANCEIROS'!L223</f>
        <v>0</v>
      </c>
      <c r="S217" s="30">
        <f>'DADOS FINANCEIROS'!M223</f>
        <v>0</v>
      </c>
      <c r="T217" s="30">
        <f>IFERROR('DADOS FINANCEIROS'!N223,"")</f>
        <v>0</v>
      </c>
      <c r="U217" s="30">
        <f>'DADOS FINANCEIROS'!O223</f>
        <v>0</v>
      </c>
      <c r="V217" s="30">
        <f>'DADOS FINANCEIROS'!P223</f>
        <v>0</v>
      </c>
      <c r="W217" s="30">
        <f>'DADOS FINANCEIROS'!Q223</f>
        <v>0</v>
      </c>
      <c r="X217" s="30">
        <f>'DADOS FINANCEIROS'!R223</f>
        <v>0</v>
      </c>
      <c r="Y217" s="30">
        <f>'DADOS FINANCEIROS'!S223</f>
        <v>0</v>
      </c>
      <c r="Z217" s="30">
        <f>'DADOS FINANCEIROS'!T223</f>
        <v>0</v>
      </c>
      <c r="AA217" s="30">
        <f>'DADOS FINANCEIROS'!U223</f>
        <v>0</v>
      </c>
      <c r="AB217" s="44">
        <f>'DADOS FINANCEIROS'!V223</f>
        <v>0</v>
      </c>
      <c r="AC217" s="44" t="str">
        <f>TEXT(Tabela1[[#This Row],[Data de Negociação]],"MMM-AA")</f>
        <v>jan-00</v>
      </c>
      <c r="AD217" s="44" t="str">
        <f>TEXT(Tabela1[[#This Row],[Data de Negociação]],"AAAA")</f>
        <v>1900</v>
      </c>
      <c r="AE217" s="44">
        <f>'DADOS FINANCEIROS'!W223</f>
        <v>0</v>
      </c>
      <c r="AF217" s="44" t="str">
        <f>TEXT(Tabela1[[#This Row],[Data da Entrada/Primeira Parcela]],"MMM-AA")</f>
        <v>jan-00</v>
      </c>
      <c r="AG217" s="44" t="str">
        <f>TEXT(Tabela1[[#This Row],[Data da Entrada/Primeira Parcela]],"AAAA")</f>
        <v>1900</v>
      </c>
      <c r="AH217" s="30">
        <f>'DADOS FINANCEIROS'!X223</f>
        <v>0</v>
      </c>
      <c r="AI217" s="46">
        <f>'DADOS FINANCEIROS'!Y223</f>
        <v>0</v>
      </c>
      <c r="AJ217" s="46">
        <f>'DADOS FINANCEIROS'!Z223</f>
        <v>0</v>
      </c>
      <c r="AK21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7" s="98"/>
    </row>
    <row r="218" spans="1:38" x14ac:dyDescent="0.3">
      <c r="A218" s="30">
        <f>'DADOS FINANCEIROS'!D224</f>
        <v>0</v>
      </c>
      <c r="B218" s="30">
        <f>'DADOS FINANCEIROS'!A224</f>
        <v>0</v>
      </c>
      <c r="C218" s="30">
        <f>'DADOS FINANCEIROS'!B224</f>
        <v>0</v>
      </c>
      <c r="D218" s="30">
        <f>'DADOS FINANCEIROS'!C224</f>
        <v>0</v>
      </c>
      <c r="E218" s="44">
        <f>'DADOS FINANCEIROS'!E224</f>
        <v>0</v>
      </c>
      <c r="F218" s="44" t="str">
        <f>TEXT(Tabela1[[#This Row],[DATA DE EMISSÃO]],"MMM-AA")</f>
        <v>jan-00</v>
      </c>
      <c r="G218" s="44" t="str">
        <f>TEXT(Tabela1[[#This Row],[DATA DE EMISSÃO]],"AAAA")</f>
        <v>1900</v>
      </c>
      <c r="H218" s="44">
        <f>'DADOS FINANCEIROS'!F224</f>
        <v>0</v>
      </c>
      <c r="I218" s="44" t="str">
        <f>TEXT(Tabela1[[#This Row],[VENCIMENTO ORIGINAL]],"MMM-AA")</f>
        <v>jan-00</v>
      </c>
      <c r="J218" s="44" t="str">
        <f>TEXT(Tabela1[[#This Row],[VENCIMENTO ORIGINAL]],"AAAA")</f>
        <v>1900</v>
      </c>
      <c r="K218" s="44">
        <f>'DADOS FINANCEIROS'!G224</f>
        <v>0</v>
      </c>
      <c r="L218" s="44" t="str">
        <f>TEXT(Tabela1[[#This Row],[VENCIMENTO ATUAL]],"MMM-AA")</f>
        <v>jan-00</v>
      </c>
      <c r="M218" s="44" t="str">
        <f>TEXT(Tabela1[[#This Row],[VENCIMENTO ATUAL]],"AAAA")</f>
        <v>1900</v>
      </c>
      <c r="N218" s="46">
        <f>'DADOS FINANCEIROS'!H224</f>
        <v>0</v>
      </c>
      <c r="O218" s="30">
        <f>'DADOS FINANCEIROS'!I224</f>
        <v>0</v>
      </c>
      <c r="P218" s="30">
        <f>'DADOS FINANCEIROS'!J224</f>
        <v>0</v>
      </c>
      <c r="Q218" s="30">
        <f>'DADOS FINANCEIROS'!K224</f>
        <v>0</v>
      </c>
      <c r="R218" s="30">
        <f>'DADOS FINANCEIROS'!L224</f>
        <v>0</v>
      </c>
      <c r="S218" s="30">
        <f>'DADOS FINANCEIROS'!M224</f>
        <v>0</v>
      </c>
      <c r="T218" s="30">
        <f>IFERROR('DADOS FINANCEIROS'!N224,"")</f>
        <v>0</v>
      </c>
      <c r="U218" s="30">
        <f>'DADOS FINANCEIROS'!O224</f>
        <v>0</v>
      </c>
      <c r="V218" s="30">
        <f>'DADOS FINANCEIROS'!P224</f>
        <v>0</v>
      </c>
      <c r="W218" s="30">
        <f>'DADOS FINANCEIROS'!Q224</f>
        <v>0</v>
      </c>
      <c r="X218" s="30">
        <f>'DADOS FINANCEIROS'!R224</f>
        <v>0</v>
      </c>
      <c r="Y218" s="30">
        <f>'DADOS FINANCEIROS'!S224</f>
        <v>0</v>
      </c>
      <c r="Z218" s="30">
        <f>'DADOS FINANCEIROS'!T224</f>
        <v>0</v>
      </c>
      <c r="AA218" s="30">
        <f>'DADOS FINANCEIROS'!U224</f>
        <v>0</v>
      </c>
      <c r="AB218" s="44">
        <f>'DADOS FINANCEIROS'!V224</f>
        <v>0</v>
      </c>
      <c r="AC218" s="44" t="str">
        <f>TEXT(Tabela1[[#This Row],[Data de Negociação]],"MMM-AA")</f>
        <v>jan-00</v>
      </c>
      <c r="AD218" s="44" t="str">
        <f>TEXT(Tabela1[[#This Row],[Data de Negociação]],"AAAA")</f>
        <v>1900</v>
      </c>
      <c r="AE218" s="44">
        <f>'DADOS FINANCEIROS'!W224</f>
        <v>0</v>
      </c>
      <c r="AF218" s="44" t="str">
        <f>TEXT(Tabela1[[#This Row],[Data da Entrada/Primeira Parcela]],"MMM-AA")</f>
        <v>jan-00</v>
      </c>
      <c r="AG218" s="44" t="str">
        <f>TEXT(Tabela1[[#This Row],[Data da Entrada/Primeira Parcela]],"AAAA")</f>
        <v>1900</v>
      </c>
      <c r="AH218" s="30">
        <f>'DADOS FINANCEIROS'!X224</f>
        <v>0</v>
      </c>
      <c r="AI218" s="46">
        <f>'DADOS FINANCEIROS'!Y224</f>
        <v>0</v>
      </c>
      <c r="AJ218" s="46">
        <f>'DADOS FINANCEIROS'!Z224</f>
        <v>0</v>
      </c>
      <c r="AK21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8" s="98"/>
    </row>
    <row r="219" spans="1:38" x14ac:dyDescent="0.3">
      <c r="A219" s="30">
        <f>'DADOS FINANCEIROS'!D225</f>
        <v>0</v>
      </c>
      <c r="B219" s="30">
        <f>'DADOS FINANCEIROS'!A225</f>
        <v>0</v>
      </c>
      <c r="C219" s="30">
        <f>'DADOS FINANCEIROS'!B225</f>
        <v>0</v>
      </c>
      <c r="D219" s="30">
        <f>'DADOS FINANCEIROS'!C225</f>
        <v>0</v>
      </c>
      <c r="E219" s="44">
        <f>'DADOS FINANCEIROS'!E225</f>
        <v>0</v>
      </c>
      <c r="F219" s="44" t="str">
        <f>TEXT(Tabela1[[#This Row],[DATA DE EMISSÃO]],"MMM-AA")</f>
        <v>jan-00</v>
      </c>
      <c r="G219" s="44" t="str">
        <f>TEXT(Tabela1[[#This Row],[DATA DE EMISSÃO]],"AAAA")</f>
        <v>1900</v>
      </c>
      <c r="H219" s="44">
        <f>'DADOS FINANCEIROS'!F225</f>
        <v>0</v>
      </c>
      <c r="I219" s="44" t="str">
        <f>TEXT(Tabela1[[#This Row],[VENCIMENTO ORIGINAL]],"MMM-AA")</f>
        <v>jan-00</v>
      </c>
      <c r="J219" s="44" t="str">
        <f>TEXT(Tabela1[[#This Row],[VENCIMENTO ORIGINAL]],"AAAA")</f>
        <v>1900</v>
      </c>
      <c r="K219" s="44">
        <f>'DADOS FINANCEIROS'!G225</f>
        <v>0</v>
      </c>
      <c r="L219" s="44" t="str">
        <f>TEXT(Tabela1[[#This Row],[VENCIMENTO ATUAL]],"MMM-AA")</f>
        <v>jan-00</v>
      </c>
      <c r="M219" s="44" t="str">
        <f>TEXT(Tabela1[[#This Row],[VENCIMENTO ATUAL]],"AAAA")</f>
        <v>1900</v>
      </c>
      <c r="N219" s="46">
        <f>'DADOS FINANCEIROS'!H225</f>
        <v>0</v>
      </c>
      <c r="O219" s="30">
        <f>'DADOS FINANCEIROS'!I225</f>
        <v>0</v>
      </c>
      <c r="P219" s="30">
        <f>'DADOS FINANCEIROS'!J225</f>
        <v>0</v>
      </c>
      <c r="Q219" s="30">
        <f>'DADOS FINANCEIROS'!K225</f>
        <v>0</v>
      </c>
      <c r="R219" s="30">
        <f>'DADOS FINANCEIROS'!L225</f>
        <v>0</v>
      </c>
      <c r="S219" s="30">
        <f>'DADOS FINANCEIROS'!M225</f>
        <v>0</v>
      </c>
      <c r="T219" s="30">
        <f>IFERROR('DADOS FINANCEIROS'!N225,"")</f>
        <v>0</v>
      </c>
      <c r="U219" s="30">
        <f>'DADOS FINANCEIROS'!O225</f>
        <v>0</v>
      </c>
      <c r="V219" s="30">
        <f>'DADOS FINANCEIROS'!P225</f>
        <v>0</v>
      </c>
      <c r="W219" s="30">
        <f>'DADOS FINANCEIROS'!Q225</f>
        <v>0</v>
      </c>
      <c r="X219" s="30">
        <f>'DADOS FINANCEIROS'!R225</f>
        <v>0</v>
      </c>
      <c r="Y219" s="30">
        <f>'DADOS FINANCEIROS'!S225</f>
        <v>0</v>
      </c>
      <c r="Z219" s="30">
        <f>'DADOS FINANCEIROS'!T225</f>
        <v>0</v>
      </c>
      <c r="AA219" s="30">
        <f>'DADOS FINANCEIROS'!U225</f>
        <v>0</v>
      </c>
      <c r="AB219" s="44">
        <f>'DADOS FINANCEIROS'!V225</f>
        <v>0</v>
      </c>
      <c r="AC219" s="44" t="str">
        <f>TEXT(Tabela1[[#This Row],[Data de Negociação]],"MMM-AA")</f>
        <v>jan-00</v>
      </c>
      <c r="AD219" s="44" t="str">
        <f>TEXT(Tabela1[[#This Row],[Data de Negociação]],"AAAA")</f>
        <v>1900</v>
      </c>
      <c r="AE219" s="44">
        <f>'DADOS FINANCEIROS'!W225</f>
        <v>0</v>
      </c>
      <c r="AF219" s="44" t="str">
        <f>TEXT(Tabela1[[#This Row],[Data da Entrada/Primeira Parcela]],"MMM-AA")</f>
        <v>jan-00</v>
      </c>
      <c r="AG219" s="44" t="str">
        <f>TEXT(Tabela1[[#This Row],[Data da Entrada/Primeira Parcela]],"AAAA")</f>
        <v>1900</v>
      </c>
      <c r="AH219" s="30">
        <f>'DADOS FINANCEIROS'!X225</f>
        <v>0</v>
      </c>
      <c r="AI219" s="46">
        <f>'DADOS FINANCEIROS'!Y225</f>
        <v>0</v>
      </c>
      <c r="AJ219" s="46">
        <f>'DADOS FINANCEIROS'!Z225</f>
        <v>0</v>
      </c>
      <c r="AK21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19" s="98"/>
    </row>
    <row r="220" spans="1:38" x14ac:dyDescent="0.3">
      <c r="A220" s="30">
        <f>'DADOS FINANCEIROS'!D226</f>
        <v>0</v>
      </c>
      <c r="B220" s="30">
        <f>'DADOS FINANCEIROS'!A226</f>
        <v>0</v>
      </c>
      <c r="C220" s="30">
        <f>'DADOS FINANCEIROS'!B226</f>
        <v>0</v>
      </c>
      <c r="D220" s="30">
        <f>'DADOS FINANCEIROS'!C226</f>
        <v>0</v>
      </c>
      <c r="E220" s="44">
        <f>'DADOS FINANCEIROS'!E226</f>
        <v>0</v>
      </c>
      <c r="F220" s="44" t="str">
        <f>TEXT(Tabela1[[#This Row],[DATA DE EMISSÃO]],"MMM-AA")</f>
        <v>jan-00</v>
      </c>
      <c r="G220" s="44" t="str">
        <f>TEXT(Tabela1[[#This Row],[DATA DE EMISSÃO]],"AAAA")</f>
        <v>1900</v>
      </c>
      <c r="H220" s="44">
        <f>'DADOS FINANCEIROS'!F226</f>
        <v>0</v>
      </c>
      <c r="I220" s="44" t="str">
        <f>TEXT(Tabela1[[#This Row],[VENCIMENTO ORIGINAL]],"MMM-AA")</f>
        <v>jan-00</v>
      </c>
      <c r="J220" s="44" t="str">
        <f>TEXT(Tabela1[[#This Row],[VENCIMENTO ORIGINAL]],"AAAA")</f>
        <v>1900</v>
      </c>
      <c r="K220" s="44">
        <f>'DADOS FINANCEIROS'!G226</f>
        <v>0</v>
      </c>
      <c r="L220" s="44" t="str">
        <f>TEXT(Tabela1[[#This Row],[VENCIMENTO ATUAL]],"MMM-AA")</f>
        <v>jan-00</v>
      </c>
      <c r="M220" s="44" t="str">
        <f>TEXT(Tabela1[[#This Row],[VENCIMENTO ATUAL]],"AAAA")</f>
        <v>1900</v>
      </c>
      <c r="N220" s="46">
        <f>'DADOS FINANCEIROS'!H226</f>
        <v>0</v>
      </c>
      <c r="O220" s="30">
        <f>'DADOS FINANCEIROS'!I226</f>
        <v>0</v>
      </c>
      <c r="P220" s="30">
        <f>'DADOS FINANCEIROS'!J226</f>
        <v>0</v>
      </c>
      <c r="Q220" s="30">
        <f>'DADOS FINANCEIROS'!K226</f>
        <v>0</v>
      </c>
      <c r="R220" s="30">
        <f>'DADOS FINANCEIROS'!L226</f>
        <v>0</v>
      </c>
      <c r="S220" s="30">
        <f>'DADOS FINANCEIROS'!M226</f>
        <v>0</v>
      </c>
      <c r="T220" s="30">
        <f>IFERROR('DADOS FINANCEIROS'!N226,"")</f>
        <v>0</v>
      </c>
      <c r="U220" s="30">
        <f>'DADOS FINANCEIROS'!O226</f>
        <v>0</v>
      </c>
      <c r="V220" s="30">
        <f>'DADOS FINANCEIROS'!P226</f>
        <v>0</v>
      </c>
      <c r="W220" s="30">
        <f>'DADOS FINANCEIROS'!Q226</f>
        <v>0</v>
      </c>
      <c r="X220" s="30">
        <f>'DADOS FINANCEIROS'!R226</f>
        <v>0</v>
      </c>
      <c r="Y220" s="30">
        <f>'DADOS FINANCEIROS'!S226</f>
        <v>0</v>
      </c>
      <c r="Z220" s="30">
        <f>'DADOS FINANCEIROS'!T226</f>
        <v>0</v>
      </c>
      <c r="AA220" s="30">
        <f>'DADOS FINANCEIROS'!U226</f>
        <v>0</v>
      </c>
      <c r="AB220" s="44">
        <f>'DADOS FINANCEIROS'!V226</f>
        <v>0</v>
      </c>
      <c r="AC220" s="44" t="str">
        <f>TEXT(Tabela1[[#This Row],[Data de Negociação]],"MMM-AA")</f>
        <v>jan-00</v>
      </c>
      <c r="AD220" s="44" t="str">
        <f>TEXT(Tabela1[[#This Row],[Data de Negociação]],"AAAA")</f>
        <v>1900</v>
      </c>
      <c r="AE220" s="44">
        <f>'DADOS FINANCEIROS'!W226</f>
        <v>0</v>
      </c>
      <c r="AF220" s="44" t="str">
        <f>TEXT(Tabela1[[#This Row],[Data da Entrada/Primeira Parcela]],"MMM-AA")</f>
        <v>jan-00</v>
      </c>
      <c r="AG220" s="44" t="str">
        <f>TEXT(Tabela1[[#This Row],[Data da Entrada/Primeira Parcela]],"AAAA")</f>
        <v>1900</v>
      </c>
      <c r="AH220" s="30">
        <f>'DADOS FINANCEIROS'!X226</f>
        <v>0</v>
      </c>
      <c r="AI220" s="46">
        <f>'DADOS FINANCEIROS'!Y226</f>
        <v>0</v>
      </c>
      <c r="AJ220" s="46">
        <f>'DADOS FINANCEIROS'!Z226</f>
        <v>0</v>
      </c>
      <c r="AK22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0" s="98"/>
    </row>
    <row r="221" spans="1:38" x14ac:dyDescent="0.3">
      <c r="A221" s="30">
        <f>'DADOS FINANCEIROS'!D227</f>
        <v>0</v>
      </c>
      <c r="B221" s="30">
        <f>'DADOS FINANCEIROS'!A227</f>
        <v>0</v>
      </c>
      <c r="C221" s="30">
        <f>'DADOS FINANCEIROS'!B227</f>
        <v>0</v>
      </c>
      <c r="D221" s="30">
        <f>'DADOS FINANCEIROS'!C227</f>
        <v>0</v>
      </c>
      <c r="E221" s="44">
        <f>'DADOS FINANCEIROS'!E227</f>
        <v>0</v>
      </c>
      <c r="F221" s="44" t="str">
        <f>TEXT(Tabela1[[#This Row],[DATA DE EMISSÃO]],"MMM-AA")</f>
        <v>jan-00</v>
      </c>
      <c r="G221" s="44" t="str">
        <f>TEXT(Tabela1[[#This Row],[DATA DE EMISSÃO]],"AAAA")</f>
        <v>1900</v>
      </c>
      <c r="H221" s="44">
        <f>'DADOS FINANCEIROS'!F227</f>
        <v>0</v>
      </c>
      <c r="I221" s="44" t="str">
        <f>TEXT(Tabela1[[#This Row],[VENCIMENTO ORIGINAL]],"MMM-AA")</f>
        <v>jan-00</v>
      </c>
      <c r="J221" s="44" t="str">
        <f>TEXT(Tabela1[[#This Row],[VENCIMENTO ORIGINAL]],"AAAA")</f>
        <v>1900</v>
      </c>
      <c r="K221" s="44">
        <f>'DADOS FINANCEIROS'!G227</f>
        <v>0</v>
      </c>
      <c r="L221" s="44" t="str">
        <f>TEXT(Tabela1[[#This Row],[VENCIMENTO ATUAL]],"MMM-AA")</f>
        <v>jan-00</v>
      </c>
      <c r="M221" s="44" t="str">
        <f>TEXT(Tabela1[[#This Row],[VENCIMENTO ATUAL]],"AAAA")</f>
        <v>1900</v>
      </c>
      <c r="N221" s="46">
        <f>'DADOS FINANCEIROS'!H227</f>
        <v>0</v>
      </c>
      <c r="O221" s="30">
        <f>'DADOS FINANCEIROS'!I227</f>
        <v>0</v>
      </c>
      <c r="P221" s="30">
        <f>'DADOS FINANCEIROS'!J227</f>
        <v>0</v>
      </c>
      <c r="Q221" s="30">
        <f>'DADOS FINANCEIROS'!K227</f>
        <v>0</v>
      </c>
      <c r="R221" s="30">
        <f>'DADOS FINANCEIROS'!L227</f>
        <v>0</v>
      </c>
      <c r="S221" s="30">
        <f>'DADOS FINANCEIROS'!M227</f>
        <v>0</v>
      </c>
      <c r="T221" s="30">
        <f>IFERROR('DADOS FINANCEIROS'!N227,"")</f>
        <v>0</v>
      </c>
      <c r="U221" s="30">
        <f>'DADOS FINANCEIROS'!O227</f>
        <v>0</v>
      </c>
      <c r="V221" s="30">
        <f>'DADOS FINANCEIROS'!P227</f>
        <v>0</v>
      </c>
      <c r="W221" s="30">
        <f>'DADOS FINANCEIROS'!Q227</f>
        <v>0</v>
      </c>
      <c r="X221" s="30">
        <f>'DADOS FINANCEIROS'!R227</f>
        <v>0</v>
      </c>
      <c r="Y221" s="30">
        <f>'DADOS FINANCEIROS'!S227</f>
        <v>0</v>
      </c>
      <c r="Z221" s="30">
        <f>'DADOS FINANCEIROS'!T227</f>
        <v>0</v>
      </c>
      <c r="AA221" s="30">
        <f>'DADOS FINANCEIROS'!U227</f>
        <v>0</v>
      </c>
      <c r="AB221" s="44">
        <f>'DADOS FINANCEIROS'!V227</f>
        <v>0</v>
      </c>
      <c r="AC221" s="44" t="str">
        <f>TEXT(Tabela1[[#This Row],[Data de Negociação]],"MMM-AA")</f>
        <v>jan-00</v>
      </c>
      <c r="AD221" s="44" t="str">
        <f>TEXT(Tabela1[[#This Row],[Data de Negociação]],"AAAA")</f>
        <v>1900</v>
      </c>
      <c r="AE221" s="44">
        <f>'DADOS FINANCEIROS'!W227</f>
        <v>0</v>
      </c>
      <c r="AF221" s="44" t="str">
        <f>TEXT(Tabela1[[#This Row],[Data da Entrada/Primeira Parcela]],"MMM-AA")</f>
        <v>jan-00</v>
      </c>
      <c r="AG221" s="44" t="str">
        <f>TEXT(Tabela1[[#This Row],[Data da Entrada/Primeira Parcela]],"AAAA")</f>
        <v>1900</v>
      </c>
      <c r="AH221" s="30">
        <f>'DADOS FINANCEIROS'!X227</f>
        <v>0</v>
      </c>
      <c r="AI221" s="46">
        <f>'DADOS FINANCEIROS'!Y227</f>
        <v>0</v>
      </c>
      <c r="AJ221" s="46">
        <f>'DADOS FINANCEIROS'!Z227</f>
        <v>0</v>
      </c>
      <c r="AK22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1" s="98"/>
    </row>
    <row r="222" spans="1:38" x14ac:dyDescent="0.3">
      <c r="A222" s="30">
        <f>'DADOS FINANCEIROS'!D228</f>
        <v>0</v>
      </c>
      <c r="B222" s="30">
        <f>'DADOS FINANCEIROS'!A228</f>
        <v>0</v>
      </c>
      <c r="C222" s="30">
        <f>'DADOS FINANCEIROS'!B228</f>
        <v>0</v>
      </c>
      <c r="D222" s="30">
        <f>'DADOS FINANCEIROS'!C228</f>
        <v>0</v>
      </c>
      <c r="E222" s="44">
        <f>'DADOS FINANCEIROS'!E228</f>
        <v>0</v>
      </c>
      <c r="F222" s="44" t="str">
        <f>TEXT(Tabela1[[#This Row],[DATA DE EMISSÃO]],"MMM-AA")</f>
        <v>jan-00</v>
      </c>
      <c r="G222" s="44" t="str">
        <f>TEXT(Tabela1[[#This Row],[DATA DE EMISSÃO]],"AAAA")</f>
        <v>1900</v>
      </c>
      <c r="H222" s="44">
        <f>'DADOS FINANCEIROS'!F228</f>
        <v>0</v>
      </c>
      <c r="I222" s="44" t="str">
        <f>TEXT(Tabela1[[#This Row],[VENCIMENTO ORIGINAL]],"MMM-AA")</f>
        <v>jan-00</v>
      </c>
      <c r="J222" s="44" t="str">
        <f>TEXT(Tabela1[[#This Row],[VENCIMENTO ORIGINAL]],"AAAA")</f>
        <v>1900</v>
      </c>
      <c r="K222" s="44">
        <f>'DADOS FINANCEIROS'!G228</f>
        <v>0</v>
      </c>
      <c r="L222" s="44" t="str">
        <f>TEXT(Tabela1[[#This Row],[VENCIMENTO ATUAL]],"MMM-AA")</f>
        <v>jan-00</v>
      </c>
      <c r="M222" s="44" t="str">
        <f>TEXT(Tabela1[[#This Row],[VENCIMENTO ATUAL]],"AAAA")</f>
        <v>1900</v>
      </c>
      <c r="N222" s="46">
        <f>'DADOS FINANCEIROS'!H228</f>
        <v>0</v>
      </c>
      <c r="O222" s="30">
        <f>'DADOS FINANCEIROS'!I228</f>
        <v>0</v>
      </c>
      <c r="P222" s="30">
        <f>'DADOS FINANCEIROS'!J228</f>
        <v>0</v>
      </c>
      <c r="Q222" s="30">
        <f>'DADOS FINANCEIROS'!K228</f>
        <v>0</v>
      </c>
      <c r="R222" s="30">
        <f>'DADOS FINANCEIROS'!L228</f>
        <v>0</v>
      </c>
      <c r="S222" s="30">
        <f>'DADOS FINANCEIROS'!M228</f>
        <v>0</v>
      </c>
      <c r="T222" s="30">
        <f>IFERROR('DADOS FINANCEIROS'!N228,"")</f>
        <v>0</v>
      </c>
      <c r="U222" s="30">
        <f>'DADOS FINANCEIROS'!O228</f>
        <v>0</v>
      </c>
      <c r="V222" s="30">
        <f>'DADOS FINANCEIROS'!P228</f>
        <v>0</v>
      </c>
      <c r="W222" s="30">
        <f>'DADOS FINANCEIROS'!Q228</f>
        <v>0</v>
      </c>
      <c r="X222" s="30">
        <f>'DADOS FINANCEIROS'!R228</f>
        <v>0</v>
      </c>
      <c r="Y222" s="30">
        <f>'DADOS FINANCEIROS'!S228</f>
        <v>0</v>
      </c>
      <c r="Z222" s="30">
        <f>'DADOS FINANCEIROS'!T228</f>
        <v>0</v>
      </c>
      <c r="AA222" s="30">
        <f>'DADOS FINANCEIROS'!U228</f>
        <v>0</v>
      </c>
      <c r="AB222" s="44">
        <f>'DADOS FINANCEIROS'!V228</f>
        <v>0</v>
      </c>
      <c r="AC222" s="44" t="str">
        <f>TEXT(Tabela1[[#This Row],[Data de Negociação]],"MMM-AA")</f>
        <v>jan-00</v>
      </c>
      <c r="AD222" s="44" t="str">
        <f>TEXT(Tabela1[[#This Row],[Data de Negociação]],"AAAA")</f>
        <v>1900</v>
      </c>
      <c r="AE222" s="44">
        <f>'DADOS FINANCEIROS'!W228</f>
        <v>0</v>
      </c>
      <c r="AF222" s="44" t="str">
        <f>TEXT(Tabela1[[#This Row],[Data da Entrada/Primeira Parcela]],"MMM-AA")</f>
        <v>jan-00</v>
      </c>
      <c r="AG222" s="44" t="str">
        <f>TEXT(Tabela1[[#This Row],[Data da Entrada/Primeira Parcela]],"AAAA")</f>
        <v>1900</v>
      </c>
      <c r="AH222" s="30">
        <f>'DADOS FINANCEIROS'!X228</f>
        <v>0</v>
      </c>
      <c r="AI222" s="46">
        <f>'DADOS FINANCEIROS'!Y228</f>
        <v>0</v>
      </c>
      <c r="AJ222" s="46">
        <f>'DADOS FINANCEIROS'!Z228</f>
        <v>0</v>
      </c>
      <c r="AK22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2" s="98"/>
    </row>
    <row r="223" spans="1:38" x14ac:dyDescent="0.3">
      <c r="A223" s="30">
        <f>'DADOS FINANCEIROS'!D229</f>
        <v>0</v>
      </c>
      <c r="B223" s="30">
        <f>'DADOS FINANCEIROS'!A229</f>
        <v>0</v>
      </c>
      <c r="C223" s="30">
        <f>'DADOS FINANCEIROS'!B229</f>
        <v>0</v>
      </c>
      <c r="D223" s="30">
        <f>'DADOS FINANCEIROS'!C229</f>
        <v>0</v>
      </c>
      <c r="E223" s="44">
        <f>'DADOS FINANCEIROS'!E229</f>
        <v>0</v>
      </c>
      <c r="F223" s="44" t="str">
        <f>TEXT(Tabela1[[#This Row],[DATA DE EMISSÃO]],"MMM-AA")</f>
        <v>jan-00</v>
      </c>
      <c r="G223" s="44" t="str">
        <f>TEXT(Tabela1[[#This Row],[DATA DE EMISSÃO]],"AAAA")</f>
        <v>1900</v>
      </c>
      <c r="H223" s="44">
        <f>'DADOS FINANCEIROS'!F229</f>
        <v>0</v>
      </c>
      <c r="I223" s="44" t="str">
        <f>TEXT(Tabela1[[#This Row],[VENCIMENTO ORIGINAL]],"MMM-AA")</f>
        <v>jan-00</v>
      </c>
      <c r="J223" s="44" t="str">
        <f>TEXT(Tabela1[[#This Row],[VENCIMENTO ORIGINAL]],"AAAA")</f>
        <v>1900</v>
      </c>
      <c r="K223" s="44">
        <f>'DADOS FINANCEIROS'!G229</f>
        <v>0</v>
      </c>
      <c r="L223" s="44" t="str">
        <f>TEXT(Tabela1[[#This Row],[VENCIMENTO ATUAL]],"MMM-AA")</f>
        <v>jan-00</v>
      </c>
      <c r="M223" s="44" t="str">
        <f>TEXT(Tabela1[[#This Row],[VENCIMENTO ATUAL]],"AAAA")</f>
        <v>1900</v>
      </c>
      <c r="N223" s="46">
        <f>'DADOS FINANCEIROS'!H229</f>
        <v>0</v>
      </c>
      <c r="O223" s="30">
        <f>'DADOS FINANCEIROS'!I229</f>
        <v>0</v>
      </c>
      <c r="P223" s="30">
        <f>'DADOS FINANCEIROS'!J229</f>
        <v>0</v>
      </c>
      <c r="Q223" s="30">
        <f>'DADOS FINANCEIROS'!K229</f>
        <v>0</v>
      </c>
      <c r="R223" s="30">
        <f>'DADOS FINANCEIROS'!L229</f>
        <v>0</v>
      </c>
      <c r="S223" s="30">
        <f>'DADOS FINANCEIROS'!M229</f>
        <v>0</v>
      </c>
      <c r="T223" s="30">
        <f>IFERROR('DADOS FINANCEIROS'!N229,"")</f>
        <v>0</v>
      </c>
      <c r="U223" s="30">
        <f>'DADOS FINANCEIROS'!O229</f>
        <v>0</v>
      </c>
      <c r="V223" s="30">
        <f>'DADOS FINANCEIROS'!P229</f>
        <v>0</v>
      </c>
      <c r="W223" s="30">
        <f>'DADOS FINANCEIROS'!Q229</f>
        <v>0</v>
      </c>
      <c r="X223" s="30">
        <f>'DADOS FINANCEIROS'!R229</f>
        <v>0</v>
      </c>
      <c r="Y223" s="30">
        <f>'DADOS FINANCEIROS'!S229</f>
        <v>0</v>
      </c>
      <c r="Z223" s="30">
        <f>'DADOS FINANCEIROS'!T229</f>
        <v>0</v>
      </c>
      <c r="AA223" s="30">
        <f>'DADOS FINANCEIROS'!U229</f>
        <v>0</v>
      </c>
      <c r="AB223" s="44">
        <f>'DADOS FINANCEIROS'!V229</f>
        <v>0</v>
      </c>
      <c r="AC223" s="44" t="str">
        <f>TEXT(Tabela1[[#This Row],[Data de Negociação]],"MMM-AA")</f>
        <v>jan-00</v>
      </c>
      <c r="AD223" s="44" t="str">
        <f>TEXT(Tabela1[[#This Row],[Data de Negociação]],"AAAA")</f>
        <v>1900</v>
      </c>
      <c r="AE223" s="44">
        <f>'DADOS FINANCEIROS'!W229</f>
        <v>0</v>
      </c>
      <c r="AF223" s="44" t="str">
        <f>TEXT(Tabela1[[#This Row],[Data da Entrada/Primeira Parcela]],"MMM-AA")</f>
        <v>jan-00</v>
      </c>
      <c r="AG223" s="44" t="str">
        <f>TEXT(Tabela1[[#This Row],[Data da Entrada/Primeira Parcela]],"AAAA")</f>
        <v>1900</v>
      </c>
      <c r="AH223" s="30">
        <f>'DADOS FINANCEIROS'!X229</f>
        <v>0</v>
      </c>
      <c r="AI223" s="46">
        <f>'DADOS FINANCEIROS'!Y229</f>
        <v>0</v>
      </c>
      <c r="AJ223" s="46">
        <f>'DADOS FINANCEIROS'!Z229</f>
        <v>0</v>
      </c>
      <c r="AK22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3" s="98"/>
    </row>
    <row r="224" spans="1:38" x14ac:dyDescent="0.3">
      <c r="A224" s="30">
        <f>'DADOS FINANCEIROS'!D230</f>
        <v>0</v>
      </c>
      <c r="B224" s="30">
        <f>'DADOS FINANCEIROS'!A230</f>
        <v>0</v>
      </c>
      <c r="C224" s="30">
        <f>'DADOS FINANCEIROS'!B230</f>
        <v>0</v>
      </c>
      <c r="D224" s="30">
        <f>'DADOS FINANCEIROS'!C230</f>
        <v>0</v>
      </c>
      <c r="E224" s="44">
        <f>'DADOS FINANCEIROS'!E230</f>
        <v>0</v>
      </c>
      <c r="F224" s="44" t="str">
        <f>TEXT(Tabela1[[#This Row],[DATA DE EMISSÃO]],"MMM-AA")</f>
        <v>jan-00</v>
      </c>
      <c r="G224" s="44" t="str">
        <f>TEXT(Tabela1[[#This Row],[DATA DE EMISSÃO]],"AAAA")</f>
        <v>1900</v>
      </c>
      <c r="H224" s="44">
        <f>'DADOS FINANCEIROS'!F230</f>
        <v>0</v>
      </c>
      <c r="I224" s="44" t="str">
        <f>TEXT(Tabela1[[#This Row],[VENCIMENTO ORIGINAL]],"MMM-AA")</f>
        <v>jan-00</v>
      </c>
      <c r="J224" s="44" t="str">
        <f>TEXT(Tabela1[[#This Row],[VENCIMENTO ORIGINAL]],"AAAA")</f>
        <v>1900</v>
      </c>
      <c r="K224" s="44">
        <f>'DADOS FINANCEIROS'!G230</f>
        <v>0</v>
      </c>
      <c r="L224" s="44" t="str">
        <f>TEXT(Tabela1[[#This Row],[VENCIMENTO ATUAL]],"MMM-AA")</f>
        <v>jan-00</v>
      </c>
      <c r="M224" s="44" t="str">
        <f>TEXT(Tabela1[[#This Row],[VENCIMENTO ATUAL]],"AAAA")</f>
        <v>1900</v>
      </c>
      <c r="N224" s="46">
        <f>'DADOS FINANCEIROS'!H230</f>
        <v>0</v>
      </c>
      <c r="O224" s="30">
        <f>'DADOS FINANCEIROS'!I230</f>
        <v>0</v>
      </c>
      <c r="P224" s="30">
        <f>'DADOS FINANCEIROS'!J230</f>
        <v>0</v>
      </c>
      <c r="Q224" s="30">
        <f>'DADOS FINANCEIROS'!K230</f>
        <v>0</v>
      </c>
      <c r="R224" s="30">
        <f>'DADOS FINANCEIROS'!L230</f>
        <v>0</v>
      </c>
      <c r="S224" s="30">
        <f>'DADOS FINANCEIROS'!M230</f>
        <v>0</v>
      </c>
      <c r="T224" s="30">
        <f>IFERROR('DADOS FINANCEIROS'!N230,"")</f>
        <v>0</v>
      </c>
      <c r="U224" s="30">
        <f>'DADOS FINANCEIROS'!O230</f>
        <v>0</v>
      </c>
      <c r="V224" s="30">
        <f>'DADOS FINANCEIROS'!P230</f>
        <v>0</v>
      </c>
      <c r="W224" s="30">
        <f>'DADOS FINANCEIROS'!Q230</f>
        <v>0</v>
      </c>
      <c r="X224" s="30">
        <f>'DADOS FINANCEIROS'!R230</f>
        <v>0</v>
      </c>
      <c r="Y224" s="30">
        <f>'DADOS FINANCEIROS'!S230</f>
        <v>0</v>
      </c>
      <c r="Z224" s="30">
        <f>'DADOS FINANCEIROS'!T230</f>
        <v>0</v>
      </c>
      <c r="AA224" s="30">
        <f>'DADOS FINANCEIROS'!U230</f>
        <v>0</v>
      </c>
      <c r="AB224" s="44">
        <f>'DADOS FINANCEIROS'!V230</f>
        <v>0</v>
      </c>
      <c r="AC224" s="44" t="str">
        <f>TEXT(Tabela1[[#This Row],[Data de Negociação]],"MMM-AA")</f>
        <v>jan-00</v>
      </c>
      <c r="AD224" s="44" t="str">
        <f>TEXT(Tabela1[[#This Row],[Data de Negociação]],"AAAA")</f>
        <v>1900</v>
      </c>
      <c r="AE224" s="44">
        <f>'DADOS FINANCEIROS'!W230</f>
        <v>0</v>
      </c>
      <c r="AF224" s="44" t="str">
        <f>TEXT(Tabela1[[#This Row],[Data da Entrada/Primeira Parcela]],"MMM-AA")</f>
        <v>jan-00</v>
      </c>
      <c r="AG224" s="44" t="str">
        <f>TEXT(Tabela1[[#This Row],[Data da Entrada/Primeira Parcela]],"AAAA")</f>
        <v>1900</v>
      </c>
      <c r="AH224" s="30">
        <f>'DADOS FINANCEIROS'!X230</f>
        <v>0</v>
      </c>
      <c r="AI224" s="46">
        <f>'DADOS FINANCEIROS'!Y230</f>
        <v>0</v>
      </c>
      <c r="AJ224" s="46">
        <f>'DADOS FINANCEIROS'!Z230</f>
        <v>0</v>
      </c>
      <c r="AK22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4" s="98"/>
    </row>
    <row r="225" spans="1:38" x14ac:dyDescent="0.3">
      <c r="A225" s="30">
        <f>'DADOS FINANCEIROS'!D231</f>
        <v>0</v>
      </c>
      <c r="B225" s="30">
        <f>'DADOS FINANCEIROS'!A231</f>
        <v>0</v>
      </c>
      <c r="C225" s="30">
        <f>'DADOS FINANCEIROS'!B231</f>
        <v>0</v>
      </c>
      <c r="D225" s="30">
        <f>'DADOS FINANCEIROS'!C231</f>
        <v>0</v>
      </c>
      <c r="E225" s="44">
        <f>'DADOS FINANCEIROS'!E231</f>
        <v>0</v>
      </c>
      <c r="F225" s="44" t="str">
        <f>TEXT(Tabela1[[#This Row],[DATA DE EMISSÃO]],"MMM-AA")</f>
        <v>jan-00</v>
      </c>
      <c r="G225" s="44" t="str">
        <f>TEXT(Tabela1[[#This Row],[DATA DE EMISSÃO]],"AAAA")</f>
        <v>1900</v>
      </c>
      <c r="H225" s="44">
        <f>'DADOS FINANCEIROS'!F231</f>
        <v>0</v>
      </c>
      <c r="I225" s="44" t="str">
        <f>TEXT(Tabela1[[#This Row],[VENCIMENTO ORIGINAL]],"MMM-AA")</f>
        <v>jan-00</v>
      </c>
      <c r="J225" s="44" t="str">
        <f>TEXT(Tabela1[[#This Row],[VENCIMENTO ORIGINAL]],"AAAA")</f>
        <v>1900</v>
      </c>
      <c r="K225" s="44">
        <f>'DADOS FINANCEIROS'!G231</f>
        <v>0</v>
      </c>
      <c r="L225" s="44" t="str">
        <f>TEXT(Tabela1[[#This Row],[VENCIMENTO ATUAL]],"MMM-AA")</f>
        <v>jan-00</v>
      </c>
      <c r="M225" s="44" t="str">
        <f>TEXT(Tabela1[[#This Row],[VENCIMENTO ATUAL]],"AAAA")</f>
        <v>1900</v>
      </c>
      <c r="N225" s="46">
        <f>'DADOS FINANCEIROS'!H231</f>
        <v>0</v>
      </c>
      <c r="O225" s="30">
        <f>'DADOS FINANCEIROS'!I231</f>
        <v>0</v>
      </c>
      <c r="P225" s="30">
        <f>'DADOS FINANCEIROS'!J231</f>
        <v>0</v>
      </c>
      <c r="Q225" s="30">
        <f>'DADOS FINANCEIROS'!K231</f>
        <v>0</v>
      </c>
      <c r="R225" s="30">
        <f>'DADOS FINANCEIROS'!L231</f>
        <v>0</v>
      </c>
      <c r="S225" s="30">
        <f>'DADOS FINANCEIROS'!M231</f>
        <v>0</v>
      </c>
      <c r="T225" s="30">
        <f>IFERROR('DADOS FINANCEIROS'!N231,"")</f>
        <v>0</v>
      </c>
      <c r="U225" s="30">
        <f>'DADOS FINANCEIROS'!O231</f>
        <v>0</v>
      </c>
      <c r="V225" s="30">
        <f>'DADOS FINANCEIROS'!P231</f>
        <v>0</v>
      </c>
      <c r="W225" s="30">
        <f>'DADOS FINANCEIROS'!Q231</f>
        <v>0</v>
      </c>
      <c r="X225" s="30">
        <f>'DADOS FINANCEIROS'!R231</f>
        <v>0</v>
      </c>
      <c r="Y225" s="30">
        <f>'DADOS FINANCEIROS'!S231</f>
        <v>0</v>
      </c>
      <c r="Z225" s="30">
        <f>'DADOS FINANCEIROS'!T231</f>
        <v>0</v>
      </c>
      <c r="AA225" s="30">
        <f>'DADOS FINANCEIROS'!U231</f>
        <v>0</v>
      </c>
      <c r="AB225" s="44">
        <f>'DADOS FINANCEIROS'!V231</f>
        <v>0</v>
      </c>
      <c r="AC225" s="44" t="str">
        <f>TEXT(Tabela1[[#This Row],[Data de Negociação]],"MMM-AA")</f>
        <v>jan-00</v>
      </c>
      <c r="AD225" s="44" t="str">
        <f>TEXT(Tabela1[[#This Row],[Data de Negociação]],"AAAA")</f>
        <v>1900</v>
      </c>
      <c r="AE225" s="44">
        <f>'DADOS FINANCEIROS'!W231</f>
        <v>0</v>
      </c>
      <c r="AF225" s="44" t="str">
        <f>TEXT(Tabela1[[#This Row],[Data da Entrada/Primeira Parcela]],"MMM-AA")</f>
        <v>jan-00</v>
      </c>
      <c r="AG225" s="44" t="str">
        <f>TEXT(Tabela1[[#This Row],[Data da Entrada/Primeira Parcela]],"AAAA")</f>
        <v>1900</v>
      </c>
      <c r="AH225" s="30">
        <f>'DADOS FINANCEIROS'!X231</f>
        <v>0</v>
      </c>
      <c r="AI225" s="46">
        <f>'DADOS FINANCEIROS'!Y231</f>
        <v>0</v>
      </c>
      <c r="AJ225" s="46">
        <f>'DADOS FINANCEIROS'!Z231</f>
        <v>0</v>
      </c>
      <c r="AK22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5" s="98"/>
    </row>
    <row r="226" spans="1:38" x14ac:dyDescent="0.3">
      <c r="A226" s="30">
        <f>'DADOS FINANCEIROS'!D232</f>
        <v>0</v>
      </c>
      <c r="B226" s="30">
        <f>'DADOS FINANCEIROS'!A232</f>
        <v>0</v>
      </c>
      <c r="C226" s="30">
        <f>'DADOS FINANCEIROS'!B232</f>
        <v>0</v>
      </c>
      <c r="D226" s="30">
        <f>'DADOS FINANCEIROS'!C232</f>
        <v>0</v>
      </c>
      <c r="E226" s="44">
        <f>'DADOS FINANCEIROS'!E232</f>
        <v>0</v>
      </c>
      <c r="F226" s="44" t="str">
        <f>TEXT(Tabela1[[#This Row],[DATA DE EMISSÃO]],"MMM-AA")</f>
        <v>jan-00</v>
      </c>
      <c r="G226" s="44" t="str">
        <f>TEXT(Tabela1[[#This Row],[DATA DE EMISSÃO]],"AAAA")</f>
        <v>1900</v>
      </c>
      <c r="H226" s="44">
        <f>'DADOS FINANCEIROS'!F232</f>
        <v>0</v>
      </c>
      <c r="I226" s="44" t="str">
        <f>TEXT(Tabela1[[#This Row],[VENCIMENTO ORIGINAL]],"MMM-AA")</f>
        <v>jan-00</v>
      </c>
      <c r="J226" s="44" t="str">
        <f>TEXT(Tabela1[[#This Row],[VENCIMENTO ORIGINAL]],"AAAA")</f>
        <v>1900</v>
      </c>
      <c r="K226" s="44">
        <f>'DADOS FINANCEIROS'!G232</f>
        <v>0</v>
      </c>
      <c r="L226" s="44" t="str">
        <f>TEXT(Tabela1[[#This Row],[VENCIMENTO ATUAL]],"MMM-AA")</f>
        <v>jan-00</v>
      </c>
      <c r="M226" s="44" t="str">
        <f>TEXT(Tabela1[[#This Row],[VENCIMENTO ATUAL]],"AAAA")</f>
        <v>1900</v>
      </c>
      <c r="N226" s="46">
        <f>'DADOS FINANCEIROS'!H232</f>
        <v>0</v>
      </c>
      <c r="O226" s="30">
        <f>'DADOS FINANCEIROS'!I232</f>
        <v>0</v>
      </c>
      <c r="P226" s="30">
        <f>'DADOS FINANCEIROS'!J232</f>
        <v>0</v>
      </c>
      <c r="Q226" s="30">
        <f>'DADOS FINANCEIROS'!K232</f>
        <v>0</v>
      </c>
      <c r="R226" s="30">
        <f>'DADOS FINANCEIROS'!L232</f>
        <v>0</v>
      </c>
      <c r="S226" s="30">
        <f>'DADOS FINANCEIROS'!M232</f>
        <v>0</v>
      </c>
      <c r="T226" s="30">
        <f>IFERROR('DADOS FINANCEIROS'!N232,"")</f>
        <v>0</v>
      </c>
      <c r="U226" s="30">
        <f>'DADOS FINANCEIROS'!O232</f>
        <v>0</v>
      </c>
      <c r="V226" s="30">
        <f>'DADOS FINANCEIROS'!P232</f>
        <v>0</v>
      </c>
      <c r="W226" s="30">
        <f>'DADOS FINANCEIROS'!Q232</f>
        <v>0</v>
      </c>
      <c r="X226" s="30">
        <f>'DADOS FINANCEIROS'!R232</f>
        <v>0</v>
      </c>
      <c r="Y226" s="30">
        <f>'DADOS FINANCEIROS'!S232</f>
        <v>0</v>
      </c>
      <c r="Z226" s="30">
        <f>'DADOS FINANCEIROS'!T232</f>
        <v>0</v>
      </c>
      <c r="AA226" s="30">
        <f>'DADOS FINANCEIROS'!U232</f>
        <v>0</v>
      </c>
      <c r="AB226" s="44">
        <f>'DADOS FINANCEIROS'!V232</f>
        <v>0</v>
      </c>
      <c r="AC226" s="44" t="str">
        <f>TEXT(Tabela1[[#This Row],[Data de Negociação]],"MMM-AA")</f>
        <v>jan-00</v>
      </c>
      <c r="AD226" s="44" t="str">
        <f>TEXT(Tabela1[[#This Row],[Data de Negociação]],"AAAA")</f>
        <v>1900</v>
      </c>
      <c r="AE226" s="44">
        <f>'DADOS FINANCEIROS'!W232</f>
        <v>0</v>
      </c>
      <c r="AF226" s="44" t="str">
        <f>TEXT(Tabela1[[#This Row],[Data da Entrada/Primeira Parcela]],"MMM-AA")</f>
        <v>jan-00</v>
      </c>
      <c r="AG226" s="44" t="str">
        <f>TEXT(Tabela1[[#This Row],[Data da Entrada/Primeira Parcela]],"AAAA")</f>
        <v>1900</v>
      </c>
      <c r="AH226" s="30">
        <f>'DADOS FINANCEIROS'!X232</f>
        <v>0</v>
      </c>
      <c r="AI226" s="46">
        <f>'DADOS FINANCEIROS'!Y232</f>
        <v>0</v>
      </c>
      <c r="AJ226" s="46">
        <f>'DADOS FINANCEIROS'!Z232</f>
        <v>0</v>
      </c>
      <c r="AK22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6" s="98"/>
    </row>
    <row r="227" spans="1:38" x14ac:dyDescent="0.3">
      <c r="A227" s="30">
        <f>'DADOS FINANCEIROS'!D233</f>
        <v>0</v>
      </c>
      <c r="B227" s="30">
        <f>'DADOS FINANCEIROS'!A233</f>
        <v>0</v>
      </c>
      <c r="C227" s="30">
        <f>'DADOS FINANCEIROS'!B233</f>
        <v>0</v>
      </c>
      <c r="D227" s="30">
        <f>'DADOS FINANCEIROS'!C233</f>
        <v>0</v>
      </c>
      <c r="E227" s="44">
        <f>'DADOS FINANCEIROS'!E233</f>
        <v>0</v>
      </c>
      <c r="F227" s="44" t="str">
        <f>TEXT(Tabela1[[#This Row],[DATA DE EMISSÃO]],"MMM-AA")</f>
        <v>jan-00</v>
      </c>
      <c r="G227" s="44" t="str">
        <f>TEXT(Tabela1[[#This Row],[DATA DE EMISSÃO]],"AAAA")</f>
        <v>1900</v>
      </c>
      <c r="H227" s="44">
        <f>'DADOS FINANCEIROS'!F233</f>
        <v>0</v>
      </c>
      <c r="I227" s="44" t="str">
        <f>TEXT(Tabela1[[#This Row],[VENCIMENTO ORIGINAL]],"MMM-AA")</f>
        <v>jan-00</v>
      </c>
      <c r="J227" s="44" t="str">
        <f>TEXT(Tabela1[[#This Row],[VENCIMENTO ORIGINAL]],"AAAA")</f>
        <v>1900</v>
      </c>
      <c r="K227" s="44">
        <f>'DADOS FINANCEIROS'!G233</f>
        <v>0</v>
      </c>
      <c r="L227" s="44" t="str">
        <f>TEXT(Tabela1[[#This Row],[VENCIMENTO ATUAL]],"MMM-AA")</f>
        <v>jan-00</v>
      </c>
      <c r="M227" s="44" t="str">
        <f>TEXT(Tabela1[[#This Row],[VENCIMENTO ATUAL]],"AAAA")</f>
        <v>1900</v>
      </c>
      <c r="N227" s="46">
        <f>'DADOS FINANCEIROS'!H233</f>
        <v>0</v>
      </c>
      <c r="O227" s="30">
        <f>'DADOS FINANCEIROS'!I233</f>
        <v>0</v>
      </c>
      <c r="P227" s="30">
        <f>'DADOS FINANCEIROS'!J233</f>
        <v>0</v>
      </c>
      <c r="Q227" s="30">
        <f>'DADOS FINANCEIROS'!K233</f>
        <v>0</v>
      </c>
      <c r="R227" s="30">
        <f>'DADOS FINANCEIROS'!L233</f>
        <v>0</v>
      </c>
      <c r="S227" s="30">
        <f>'DADOS FINANCEIROS'!M233</f>
        <v>0</v>
      </c>
      <c r="T227" s="30">
        <f>IFERROR('DADOS FINANCEIROS'!N233,"")</f>
        <v>0</v>
      </c>
      <c r="U227" s="30">
        <f>'DADOS FINANCEIROS'!O233</f>
        <v>0</v>
      </c>
      <c r="V227" s="30">
        <f>'DADOS FINANCEIROS'!P233</f>
        <v>0</v>
      </c>
      <c r="W227" s="30">
        <f>'DADOS FINANCEIROS'!Q233</f>
        <v>0</v>
      </c>
      <c r="X227" s="30">
        <f>'DADOS FINANCEIROS'!R233</f>
        <v>0</v>
      </c>
      <c r="Y227" s="30">
        <f>'DADOS FINANCEIROS'!S233</f>
        <v>0</v>
      </c>
      <c r="Z227" s="30">
        <f>'DADOS FINANCEIROS'!T233</f>
        <v>0</v>
      </c>
      <c r="AA227" s="30">
        <f>'DADOS FINANCEIROS'!U233</f>
        <v>0</v>
      </c>
      <c r="AB227" s="44">
        <f>'DADOS FINANCEIROS'!V233</f>
        <v>0</v>
      </c>
      <c r="AC227" s="44" t="str">
        <f>TEXT(Tabela1[[#This Row],[Data de Negociação]],"MMM-AA")</f>
        <v>jan-00</v>
      </c>
      <c r="AD227" s="44" t="str">
        <f>TEXT(Tabela1[[#This Row],[Data de Negociação]],"AAAA")</f>
        <v>1900</v>
      </c>
      <c r="AE227" s="44">
        <f>'DADOS FINANCEIROS'!W233</f>
        <v>0</v>
      </c>
      <c r="AF227" s="44" t="str">
        <f>TEXT(Tabela1[[#This Row],[Data da Entrada/Primeira Parcela]],"MMM-AA")</f>
        <v>jan-00</v>
      </c>
      <c r="AG227" s="44" t="str">
        <f>TEXT(Tabela1[[#This Row],[Data da Entrada/Primeira Parcela]],"AAAA")</f>
        <v>1900</v>
      </c>
      <c r="AH227" s="30">
        <f>'DADOS FINANCEIROS'!X233</f>
        <v>0</v>
      </c>
      <c r="AI227" s="46">
        <f>'DADOS FINANCEIROS'!Y233</f>
        <v>0</v>
      </c>
      <c r="AJ227" s="46">
        <f>'DADOS FINANCEIROS'!Z233</f>
        <v>0</v>
      </c>
      <c r="AK22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7" s="98"/>
    </row>
    <row r="228" spans="1:38" x14ac:dyDescent="0.3">
      <c r="A228" s="30">
        <f>'DADOS FINANCEIROS'!D234</f>
        <v>0</v>
      </c>
      <c r="B228" s="30">
        <f>'DADOS FINANCEIROS'!A234</f>
        <v>0</v>
      </c>
      <c r="C228" s="30">
        <f>'DADOS FINANCEIROS'!B234</f>
        <v>0</v>
      </c>
      <c r="D228" s="30">
        <f>'DADOS FINANCEIROS'!C234</f>
        <v>0</v>
      </c>
      <c r="E228" s="44">
        <f>'DADOS FINANCEIROS'!E234</f>
        <v>0</v>
      </c>
      <c r="F228" s="44" t="str">
        <f>TEXT(Tabela1[[#This Row],[DATA DE EMISSÃO]],"MMM-AA")</f>
        <v>jan-00</v>
      </c>
      <c r="G228" s="44" t="str">
        <f>TEXT(Tabela1[[#This Row],[DATA DE EMISSÃO]],"AAAA")</f>
        <v>1900</v>
      </c>
      <c r="H228" s="44">
        <f>'DADOS FINANCEIROS'!F234</f>
        <v>0</v>
      </c>
      <c r="I228" s="44" t="str">
        <f>TEXT(Tabela1[[#This Row],[VENCIMENTO ORIGINAL]],"MMM-AA")</f>
        <v>jan-00</v>
      </c>
      <c r="J228" s="44" t="str">
        <f>TEXT(Tabela1[[#This Row],[VENCIMENTO ORIGINAL]],"AAAA")</f>
        <v>1900</v>
      </c>
      <c r="K228" s="44">
        <f>'DADOS FINANCEIROS'!G234</f>
        <v>0</v>
      </c>
      <c r="L228" s="44" t="str">
        <f>TEXT(Tabela1[[#This Row],[VENCIMENTO ATUAL]],"MMM-AA")</f>
        <v>jan-00</v>
      </c>
      <c r="M228" s="44" t="str">
        <f>TEXT(Tabela1[[#This Row],[VENCIMENTO ATUAL]],"AAAA")</f>
        <v>1900</v>
      </c>
      <c r="N228" s="46">
        <f>'DADOS FINANCEIROS'!H234</f>
        <v>0</v>
      </c>
      <c r="O228" s="30">
        <f>'DADOS FINANCEIROS'!I234</f>
        <v>0</v>
      </c>
      <c r="P228" s="30">
        <f>'DADOS FINANCEIROS'!J234</f>
        <v>0</v>
      </c>
      <c r="Q228" s="30">
        <f>'DADOS FINANCEIROS'!K234</f>
        <v>0</v>
      </c>
      <c r="R228" s="30">
        <f>'DADOS FINANCEIROS'!L234</f>
        <v>0</v>
      </c>
      <c r="S228" s="30">
        <f>'DADOS FINANCEIROS'!M234</f>
        <v>0</v>
      </c>
      <c r="T228" s="30">
        <f>IFERROR('DADOS FINANCEIROS'!N234,"")</f>
        <v>0</v>
      </c>
      <c r="U228" s="30">
        <f>'DADOS FINANCEIROS'!O234</f>
        <v>0</v>
      </c>
      <c r="V228" s="30">
        <f>'DADOS FINANCEIROS'!P234</f>
        <v>0</v>
      </c>
      <c r="W228" s="30">
        <f>'DADOS FINANCEIROS'!Q234</f>
        <v>0</v>
      </c>
      <c r="X228" s="30">
        <f>'DADOS FINANCEIROS'!R234</f>
        <v>0</v>
      </c>
      <c r="Y228" s="30">
        <f>'DADOS FINANCEIROS'!S234</f>
        <v>0</v>
      </c>
      <c r="Z228" s="30">
        <f>'DADOS FINANCEIROS'!T234</f>
        <v>0</v>
      </c>
      <c r="AA228" s="30">
        <f>'DADOS FINANCEIROS'!U234</f>
        <v>0</v>
      </c>
      <c r="AB228" s="44">
        <f>'DADOS FINANCEIROS'!V234</f>
        <v>0</v>
      </c>
      <c r="AC228" s="44" t="str">
        <f>TEXT(Tabela1[[#This Row],[Data de Negociação]],"MMM-AA")</f>
        <v>jan-00</v>
      </c>
      <c r="AD228" s="44" t="str">
        <f>TEXT(Tabela1[[#This Row],[Data de Negociação]],"AAAA")</f>
        <v>1900</v>
      </c>
      <c r="AE228" s="44">
        <f>'DADOS FINANCEIROS'!W234</f>
        <v>0</v>
      </c>
      <c r="AF228" s="44" t="str">
        <f>TEXT(Tabela1[[#This Row],[Data da Entrada/Primeira Parcela]],"MMM-AA")</f>
        <v>jan-00</v>
      </c>
      <c r="AG228" s="44" t="str">
        <f>TEXT(Tabela1[[#This Row],[Data da Entrada/Primeira Parcela]],"AAAA")</f>
        <v>1900</v>
      </c>
      <c r="AH228" s="30">
        <f>'DADOS FINANCEIROS'!X234</f>
        <v>0</v>
      </c>
      <c r="AI228" s="46">
        <f>'DADOS FINANCEIROS'!Y234</f>
        <v>0</v>
      </c>
      <c r="AJ228" s="46">
        <f>'DADOS FINANCEIROS'!Z234</f>
        <v>0</v>
      </c>
      <c r="AK22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8" s="98"/>
    </row>
    <row r="229" spans="1:38" x14ac:dyDescent="0.3">
      <c r="A229" s="30">
        <f>'DADOS FINANCEIROS'!D235</f>
        <v>0</v>
      </c>
      <c r="B229" s="30">
        <f>'DADOS FINANCEIROS'!A235</f>
        <v>0</v>
      </c>
      <c r="C229" s="30">
        <f>'DADOS FINANCEIROS'!B235</f>
        <v>0</v>
      </c>
      <c r="D229" s="30">
        <f>'DADOS FINANCEIROS'!C235</f>
        <v>0</v>
      </c>
      <c r="E229" s="44">
        <f>'DADOS FINANCEIROS'!E235</f>
        <v>0</v>
      </c>
      <c r="F229" s="44" t="str">
        <f>TEXT(Tabela1[[#This Row],[DATA DE EMISSÃO]],"MMM-AA")</f>
        <v>jan-00</v>
      </c>
      <c r="G229" s="44" t="str">
        <f>TEXT(Tabela1[[#This Row],[DATA DE EMISSÃO]],"AAAA")</f>
        <v>1900</v>
      </c>
      <c r="H229" s="44">
        <f>'DADOS FINANCEIROS'!F235</f>
        <v>0</v>
      </c>
      <c r="I229" s="44" t="str">
        <f>TEXT(Tabela1[[#This Row],[VENCIMENTO ORIGINAL]],"MMM-AA")</f>
        <v>jan-00</v>
      </c>
      <c r="J229" s="44" t="str">
        <f>TEXT(Tabela1[[#This Row],[VENCIMENTO ORIGINAL]],"AAAA")</f>
        <v>1900</v>
      </c>
      <c r="K229" s="44">
        <f>'DADOS FINANCEIROS'!G235</f>
        <v>0</v>
      </c>
      <c r="L229" s="44" t="str">
        <f>TEXT(Tabela1[[#This Row],[VENCIMENTO ATUAL]],"MMM-AA")</f>
        <v>jan-00</v>
      </c>
      <c r="M229" s="44" t="str">
        <f>TEXT(Tabela1[[#This Row],[VENCIMENTO ATUAL]],"AAAA")</f>
        <v>1900</v>
      </c>
      <c r="N229" s="46">
        <f>'DADOS FINANCEIROS'!H235</f>
        <v>0</v>
      </c>
      <c r="O229" s="30">
        <f>'DADOS FINANCEIROS'!I235</f>
        <v>0</v>
      </c>
      <c r="P229" s="30">
        <f>'DADOS FINANCEIROS'!J235</f>
        <v>0</v>
      </c>
      <c r="Q229" s="30">
        <f>'DADOS FINANCEIROS'!K235</f>
        <v>0</v>
      </c>
      <c r="R229" s="30">
        <f>'DADOS FINANCEIROS'!L235</f>
        <v>0</v>
      </c>
      <c r="S229" s="30">
        <f>'DADOS FINANCEIROS'!M235</f>
        <v>0</v>
      </c>
      <c r="T229" s="30">
        <f>IFERROR('DADOS FINANCEIROS'!N235,"")</f>
        <v>0</v>
      </c>
      <c r="U229" s="30">
        <f>'DADOS FINANCEIROS'!O235</f>
        <v>0</v>
      </c>
      <c r="V229" s="30">
        <f>'DADOS FINANCEIROS'!P235</f>
        <v>0</v>
      </c>
      <c r="W229" s="30">
        <f>'DADOS FINANCEIROS'!Q235</f>
        <v>0</v>
      </c>
      <c r="X229" s="30">
        <f>'DADOS FINANCEIROS'!R235</f>
        <v>0</v>
      </c>
      <c r="Y229" s="30">
        <f>'DADOS FINANCEIROS'!S235</f>
        <v>0</v>
      </c>
      <c r="Z229" s="30">
        <f>'DADOS FINANCEIROS'!T235</f>
        <v>0</v>
      </c>
      <c r="AA229" s="30">
        <f>'DADOS FINANCEIROS'!U235</f>
        <v>0</v>
      </c>
      <c r="AB229" s="44">
        <f>'DADOS FINANCEIROS'!V235</f>
        <v>0</v>
      </c>
      <c r="AC229" s="44" t="str">
        <f>TEXT(Tabela1[[#This Row],[Data de Negociação]],"MMM-AA")</f>
        <v>jan-00</v>
      </c>
      <c r="AD229" s="44" t="str">
        <f>TEXT(Tabela1[[#This Row],[Data de Negociação]],"AAAA")</f>
        <v>1900</v>
      </c>
      <c r="AE229" s="44">
        <f>'DADOS FINANCEIROS'!W235</f>
        <v>0</v>
      </c>
      <c r="AF229" s="44" t="str">
        <f>TEXT(Tabela1[[#This Row],[Data da Entrada/Primeira Parcela]],"MMM-AA")</f>
        <v>jan-00</v>
      </c>
      <c r="AG229" s="44" t="str">
        <f>TEXT(Tabela1[[#This Row],[Data da Entrada/Primeira Parcela]],"AAAA")</f>
        <v>1900</v>
      </c>
      <c r="AH229" s="30">
        <f>'DADOS FINANCEIROS'!X235</f>
        <v>0</v>
      </c>
      <c r="AI229" s="46">
        <f>'DADOS FINANCEIROS'!Y235</f>
        <v>0</v>
      </c>
      <c r="AJ229" s="46">
        <f>'DADOS FINANCEIROS'!Z235</f>
        <v>0</v>
      </c>
      <c r="AK22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29" s="98"/>
    </row>
    <row r="230" spans="1:38" x14ac:dyDescent="0.3">
      <c r="A230" s="30">
        <f>'DADOS FINANCEIROS'!D236</f>
        <v>0</v>
      </c>
      <c r="B230" s="30">
        <f>'DADOS FINANCEIROS'!A236</f>
        <v>0</v>
      </c>
      <c r="C230" s="30">
        <f>'DADOS FINANCEIROS'!B236</f>
        <v>0</v>
      </c>
      <c r="D230" s="30">
        <f>'DADOS FINANCEIROS'!C236</f>
        <v>0</v>
      </c>
      <c r="E230" s="44">
        <f>'DADOS FINANCEIROS'!E236</f>
        <v>0</v>
      </c>
      <c r="F230" s="44" t="str">
        <f>TEXT(Tabela1[[#This Row],[DATA DE EMISSÃO]],"MMM-AA")</f>
        <v>jan-00</v>
      </c>
      <c r="G230" s="44" t="str">
        <f>TEXT(Tabela1[[#This Row],[DATA DE EMISSÃO]],"AAAA")</f>
        <v>1900</v>
      </c>
      <c r="H230" s="44">
        <f>'DADOS FINANCEIROS'!F236</f>
        <v>0</v>
      </c>
      <c r="I230" s="44" t="str">
        <f>TEXT(Tabela1[[#This Row],[VENCIMENTO ORIGINAL]],"MMM-AA")</f>
        <v>jan-00</v>
      </c>
      <c r="J230" s="44" t="str">
        <f>TEXT(Tabela1[[#This Row],[VENCIMENTO ORIGINAL]],"AAAA")</f>
        <v>1900</v>
      </c>
      <c r="K230" s="44">
        <f>'DADOS FINANCEIROS'!G236</f>
        <v>0</v>
      </c>
      <c r="L230" s="44" t="str">
        <f>TEXT(Tabela1[[#This Row],[VENCIMENTO ATUAL]],"MMM-AA")</f>
        <v>jan-00</v>
      </c>
      <c r="M230" s="44" t="str">
        <f>TEXT(Tabela1[[#This Row],[VENCIMENTO ATUAL]],"AAAA")</f>
        <v>1900</v>
      </c>
      <c r="N230" s="46">
        <f>'DADOS FINANCEIROS'!H236</f>
        <v>0</v>
      </c>
      <c r="O230" s="30">
        <f>'DADOS FINANCEIROS'!I236</f>
        <v>0</v>
      </c>
      <c r="P230" s="30">
        <f>'DADOS FINANCEIROS'!J236</f>
        <v>0</v>
      </c>
      <c r="Q230" s="30">
        <f>'DADOS FINANCEIROS'!K236</f>
        <v>0</v>
      </c>
      <c r="R230" s="30">
        <f>'DADOS FINANCEIROS'!L236</f>
        <v>0</v>
      </c>
      <c r="S230" s="30">
        <f>'DADOS FINANCEIROS'!M236</f>
        <v>0</v>
      </c>
      <c r="T230" s="30">
        <f>IFERROR('DADOS FINANCEIROS'!N236,"")</f>
        <v>0</v>
      </c>
      <c r="U230" s="30">
        <f>'DADOS FINANCEIROS'!O236</f>
        <v>0</v>
      </c>
      <c r="V230" s="30">
        <f>'DADOS FINANCEIROS'!P236</f>
        <v>0</v>
      </c>
      <c r="W230" s="30">
        <f>'DADOS FINANCEIROS'!Q236</f>
        <v>0</v>
      </c>
      <c r="X230" s="30">
        <f>'DADOS FINANCEIROS'!R236</f>
        <v>0</v>
      </c>
      <c r="Y230" s="30">
        <f>'DADOS FINANCEIROS'!S236</f>
        <v>0</v>
      </c>
      <c r="Z230" s="30">
        <f>'DADOS FINANCEIROS'!T236</f>
        <v>0</v>
      </c>
      <c r="AA230" s="30">
        <f>'DADOS FINANCEIROS'!U236</f>
        <v>0</v>
      </c>
      <c r="AB230" s="44">
        <f>'DADOS FINANCEIROS'!V236</f>
        <v>0</v>
      </c>
      <c r="AC230" s="44" t="str">
        <f>TEXT(Tabela1[[#This Row],[Data de Negociação]],"MMM-AA")</f>
        <v>jan-00</v>
      </c>
      <c r="AD230" s="44" t="str">
        <f>TEXT(Tabela1[[#This Row],[Data de Negociação]],"AAAA")</f>
        <v>1900</v>
      </c>
      <c r="AE230" s="44">
        <f>'DADOS FINANCEIROS'!W236</f>
        <v>0</v>
      </c>
      <c r="AF230" s="44" t="str">
        <f>TEXT(Tabela1[[#This Row],[Data da Entrada/Primeira Parcela]],"MMM-AA")</f>
        <v>jan-00</v>
      </c>
      <c r="AG230" s="44" t="str">
        <f>TEXT(Tabela1[[#This Row],[Data da Entrada/Primeira Parcela]],"AAAA")</f>
        <v>1900</v>
      </c>
      <c r="AH230" s="30">
        <f>'DADOS FINANCEIROS'!X236</f>
        <v>0</v>
      </c>
      <c r="AI230" s="46">
        <f>'DADOS FINANCEIROS'!Y236</f>
        <v>0</v>
      </c>
      <c r="AJ230" s="46">
        <f>'DADOS FINANCEIROS'!Z236</f>
        <v>0</v>
      </c>
      <c r="AK230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0" s="98"/>
    </row>
    <row r="231" spans="1:38" x14ac:dyDescent="0.3">
      <c r="A231" s="30">
        <f>'DADOS FINANCEIROS'!D237</f>
        <v>0</v>
      </c>
      <c r="B231" s="30">
        <f>'DADOS FINANCEIROS'!A237</f>
        <v>0</v>
      </c>
      <c r="C231" s="30">
        <f>'DADOS FINANCEIROS'!B237</f>
        <v>0</v>
      </c>
      <c r="D231" s="30">
        <f>'DADOS FINANCEIROS'!C237</f>
        <v>0</v>
      </c>
      <c r="E231" s="44">
        <f>'DADOS FINANCEIROS'!E237</f>
        <v>0</v>
      </c>
      <c r="F231" s="44" t="str">
        <f>TEXT(Tabela1[[#This Row],[DATA DE EMISSÃO]],"MMM-AA")</f>
        <v>jan-00</v>
      </c>
      <c r="G231" s="44" t="str">
        <f>TEXT(Tabela1[[#This Row],[DATA DE EMISSÃO]],"AAAA")</f>
        <v>1900</v>
      </c>
      <c r="H231" s="44">
        <f>'DADOS FINANCEIROS'!F237</f>
        <v>0</v>
      </c>
      <c r="I231" s="44" t="str">
        <f>TEXT(Tabela1[[#This Row],[VENCIMENTO ORIGINAL]],"MMM-AA")</f>
        <v>jan-00</v>
      </c>
      <c r="J231" s="44" t="str">
        <f>TEXT(Tabela1[[#This Row],[VENCIMENTO ORIGINAL]],"AAAA")</f>
        <v>1900</v>
      </c>
      <c r="K231" s="44">
        <f>'DADOS FINANCEIROS'!G237</f>
        <v>0</v>
      </c>
      <c r="L231" s="44" t="str">
        <f>TEXT(Tabela1[[#This Row],[VENCIMENTO ATUAL]],"MMM-AA")</f>
        <v>jan-00</v>
      </c>
      <c r="M231" s="44" t="str">
        <f>TEXT(Tabela1[[#This Row],[VENCIMENTO ATUAL]],"AAAA")</f>
        <v>1900</v>
      </c>
      <c r="N231" s="46">
        <f>'DADOS FINANCEIROS'!H237</f>
        <v>0</v>
      </c>
      <c r="O231" s="30">
        <f>'DADOS FINANCEIROS'!I237</f>
        <v>0</v>
      </c>
      <c r="P231" s="30">
        <f>'DADOS FINANCEIROS'!J237</f>
        <v>0</v>
      </c>
      <c r="Q231" s="30">
        <f>'DADOS FINANCEIROS'!K237</f>
        <v>0</v>
      </c>
      <c r="R231" s="30">
        <f>'DADOS FINANCEIROS'!L237</f>
        <v>0</v>
      </c>
      <c r="S231" s="30">
        <f>'DADOS FINANCEIROS'!M237</f>
        <v>0</v>
      </c>
      <c r="T231" s="30">
        <f>IFERROR('DADOS FINANCEIROS'!N237,"")</f>
        <v>0</v>
      </c>
      <c r="U231" s="30">
        <f>'DADOS FINANCEIROS'!O237</f>
        <v>0</v>
      </c>
      <c r="V231" s="30">
        <f>'DADOS FINANCEIROS'!P237</f>
        <v>0</v>
      </c>
      <c r="W231" s="30">
        <f>'DADOS FINANCEIROS'!Q237</f>
        <v>0</v>
      </c>
      <c r="X231" s="30">
        <f>'DADOS FINANCEIROS'!R237</f>
        <v>0</v>
      </c>
      <c r="Y231" s="30">
        <f>'DADOS FINANCEIROS'!S237</f>
        <v>0</v>
      </c>
      <c r="Z231" s="30">
        <f>'DADOS FINANCEIROS'!T237</f>
        <v>0</v>
      </c>
      <c r="AA231" s="30">
        <f>'DADOS FINANCEIROS'!U237</f>
        <v>0</v>
      </c>
      <c r="AB231" s="44">
        <f>'DADOS FINANCEIROS'!V237</f>
        <v>0</v>
      </c>
      <c r="AC231" s="44" t="str">
        <f>TEXT(Tabela1[[#This Row],[Data de Negociação]],"MMM-AA")</f>
        <v>jan-00</v>
      </c>
      <c r="AD231" s="44" t="str">
        <f>TEXT(Tabela1[[#This Row],[Data de Negociação]],"AAAA")</f>
        <v>1900</v>
      </c>
      <c r="AE231" s="44">
        <f>'DADOS FINANCEIROS'!W237</f>
        <v>0</v>
      </c>
      <c r="AF231" s="44" t="str">
        <f>TEXT(Tabela1[[#This Row],[Data da Entrada/Primeira Parcela]],"MMM-AA")</f>
        <v>jan-00</v>
      </c>
      <c r="AG231" s="44" t="str">
        <f>TEXT(Tabela1[[#This Row],[Data da Entrada/Primeira Parcela]],"AAAA")</f>
        <v>1900</v>
      </c>
      <c r="AH231" s="30">
        <f>'DADOS FINANCEIROS'!X237</f>
        <v>0</v>
      </c>
      <c r="AI231" s="46">
        <f>'DADOS FINANCEIROS'!Y237</f>
        <v>0</v>
      </c>
      <c r="AJ231" s="46">
        <f>'DADOS FINANCEIROS'!Z237</f>
        <v>0</v>
      </c>
      <c r="AK231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1" s="98"/>
    </row>
    <row r="232" spans="1:38" x14ac:dyDescent="0.3">
      <c r="A232" s="30">
        <f>'DADOS FINANCEIROS'!D238</f>
        <v>0</v>
      </c>
      <c r="B232" s="30">
        <f>'DADOS FINANCEIROS'!A238</f>
        <v>0</v>
      </c>
      <c r="C232" s="30">
        <f>'DADOS FINANCEIROS'!B238</f>
        <v>0</v>
      </c>
      <c r="D232" s="30">
        <f>'DADOS FINANCEIROS'!C238</f>
        <v>0</v>
      </c>
      <c r="E232" s="44">
        <f>'DADOS FINANCEIROS'!E238</f>
        <v>0</v>
      </c>
      <c r="F232" s="44" t="str">
        <f>TEXT(Tabela1[[#This Row],[DATA DE EMISSÃO]],"MMM-AA")</f>
        <v>jan-00</v>
      </c>
      <c r="G232" s="44" t="str">
        <f>TEXT(Tabela1[[#This Row],[DATA DE EMISSÃO]],"AAAA")</f>
        <v>1900</v>
      </c>
      <c r="H232" s="44">
        <f>'DADOS FINANCEIROS'!F238</f>
        <v>0</v>
      </c>
      <c r="I232" s="44" t="str">
        <f>TEXT(Tabela1[[#This Row],[VENCIMENTO ORIGINAL]],"MMM-AA")</f>
        <v>jan-00</v>
      </c>
      <c r="J232" s="44" t="str">
        <f>TEXT(Tabela1[[#This Row],[VENCIMENTO ORIGINAL]],"AAAA")</f>
        <v>1900</v>
      </c>
      <c r="K232" s="44">
        <f>'DADOS FINANCEIROS'!G238</f>
        <v>0</v>
      </c>
      <c r="L232" s="44" t="str">
        <f>TEXT(Tabela1[[#This Row],[VENCIMENTO ATUAL]],"MMM-AA")</f>
        <v>jan-00</v>
      </c>
      <c r="M232" s="44" t="str">
        <f>TEXT(Tabela1[[#This Row],[VENCIMENTO ATUAL]],"AAAA")</f>
        <v>1900</v>
      </c>
      <c r="N232" s="46">
        <f>'DADOS FINANCEIROS'!H238</f>
        <v>0</v>
      </c>
      <c r="O232" s="30">
        <f>'DADOS FINANCEIROS'!I238</f>
        <v>0</v>
      </c>
      <c r="P232" s="30">
        <f>'DADOS FINANCEIROS'!J238</f>
        <v>0</v>
      </c>
      <c r="Q232" s="30">
        <f>'DADOS FINANCEIROS'!K238</f>
        <v>0</v>
      </c>
      <c r="R232" s="30">
        <f>'DADOS FINANCEIROS'!L238</f>
        <v>0</v>
      </c>
      <c r="S232" s="30">
        <f>'DADOS FINANCEIROS'!M238</f>
        <v>0</v>
      </c>
      <c r="T232" s="30">
        <f>IFERROR('DADOS FINANCEIROS'!N238,"")</f>
        <v>0</v>
      </c>
      <c r="U232" s="30">
        <f>'DADOS FINANCEIROS'!O238</f>
        <v>0</v>
      </c>
      <c r="V232" s="30">
        <f>'DADOS FINANCEIROS'!P238</f>
        <v>0</v>
      </c>
      <c r="W232" s="30">
        <f>'DADOS FINANCEIROS'!Q238</f>
        <v>0</v>
      </c>
      <c r="X232" s="30">
        <f>'DADOS FINANCEIROS'!R238</f>
        <v>0</v>
      </c>
      <c r="Y232" s="30">
        <f>'DADOS FINANCEIROS'!S238</f>
        <v>0</v>
      </c>
      <c r="Z232" s="30">
        <f>'DADOS FINANCEIROS'!T238</f>
        <v>0</v>
      </c>
      <c r="AA232" s="30">
        <f>'DADOS FINANCEIROS'!U238</f>
        <v>0</v>
      </c>
      <c r="AB232" s="44">
        <f>'DADOS FINANCEIROS'!V238</f>
        <v>0</v>
      </c>
      <c r="AC232" s="44" t="str">
        <f>TEXT(Tabela1[[#This Row],[Data de Negociação]],"MMM-AA")</f>
        <v>jan-00</v>
      </c>
      <c r="AD232" s="44" t="str">
        <f>TEXT(Tabela1[[#This Row],[Data de Negociação]],"AAAA")</f>
        <v>1900</v>
      </c>
      <c r="AE232" s="44">
        <f>'DADOS FINANCEIROS'!W238</f>
        <v>0</v>
      </c>
      <c r="AF232" s="44" t="str">
        <f>TEXT(Tabela1[[#This Row],[Data da Entrada/Primeira Parcela]],"MMM-AA")</f>
        <v>jan-00</v>
      </c>
      <c r="AG232" s="44" t="str">
        <f>TEXT(Tabela1[[#This Row],[Data da Entrada/Primeira Parcela]],"AAAA")</f>
        <v>1900</v>
      </c>
      <c r="AH232" s="30">
        <f>'DADOS FINANCEIROS'!X238</f>
        <v>0</v>
      </c>
      <c r="AI232" s="46">
        <f>'DADOS FINANCEIROS'!Y238</f>
        <v>0</v>
      </c>
      <c r="AJ232" s="46">
        <f>'DADOS FINANCEIROS'!Z238</f>
        <v>0</v>
      </c>
      <c r="AK232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2" s="98"/>
    </row>
    <row r="233" spans="1:38" x14ac:dyDescent="0.3">
      <c r="A233" s="30">
        <f>'DADOS FINANCEIROS'!D239</f>
        <v>0</v>
      </c>
      <c r="B233" s="30">
        <f>'DADOS FINANCEIROS'!A239</f>
        <v>0</v>
      </c>
      <c r="C233" s="30">
        <f>'DADOS FINANCEIROS'!B239</f>
        <v>0</v>
      </c>
      <c r="D233" s="30">
        <f>'DADOS FINANCEIROS'!C239</f>
        <v>0</v>
      </c>
      <c r="E233" s="44">
        <f>'DADOS FINANCEIROS'!E239</f>
        <v>0</v>
      </c>
      <c r="F233" s="44" t="str">
        <f>TEXT(Tabela1[[#This Row],[DATA DE EMISSÃO]],"MMM-AA")</f>
        <v>jan-00</v>
      </c>
      <c r="G233" s="44" t="str">
        <f>TEXT(Tabela1[[#This Row],[DATA DE EMISSÃO]],"AAAA")</f>
        <v>1900</v>
      </c>
      <c r="H233" s="44">
        <f>'DADOS FINANCEIROS'!F239</f>
        <v>0</v>
      </c>
      <c r="I233" s="44" t="str">
        <f>TEXT(Tabela1[[#This Row],[VENCIMENTO ORIGINAL]],"MMM-AA")</f>
        <v>jan-00</v>
      </c>
      <c r="J233" s="44" t="str">
        <f>TEXT(Tabela1[[#This Row],[VENCIMENTO ORIGINAL]],"AAAA")</f>
        <v>1900</v>
      </c>
      <c r="K233" s="44">
        <f>'DADOS FINANCEIROS'!G239</f>
        <v>0</v>
      </c>
      <c r="L233" s="44" t="str">
        <f>TEXT(Tabela1[[#This Row],[VENCIMENTO ATUAL]],"MMM-AA")</f>
        <v>jan-00</v>
      </c>
      <c r="M233" s="44" t="str">
        <f>TEXT(Tabela1[[#This Row],[VENCIMENTO ATUAL]],"AAAA")</f>
        <v>1900</v>
      </c>
      <c r="N233" s="46">
        <f>'DADOS FINANCEIROS'!H239</f>
        <v>0</v>
      </c>
      <c r="O233" s="30">
        <f>'DADOS FINANCEIROS'!I239</f>
        <v>0</v>
      </c>
      <c r="P233" s="30">
        <f>'DADOS FINANCEIROS'!J239</f>
        <v>0</v>
      </c>
      <c r="Q233" s="30">
        <f>'DADOS FINANCEIROS'!K239</f>
        <v>0</v>
      </c>
      <c r="R233" s="30">
        <f>'DADOS FINANCEIROS'!L239</f>
        <v>0</v>
      </c>
      <c r="S233" s="30">
        <f>'DADOS FINANCEIROS'!M239</f>
        <v>0</v>
      </c>
      <c r="T233" s="30">
        <f>IFERROR('DADOS FINANCEIROS'!N239,"")</f>
        <v>0</v>
      </c>
      <c r="U233" s="30">
        <f>'DADOS FINANCEIROS'!O239</f>
        <v>0</v>
      </c>
      <c r="V233" s="30">
        <f>'DADOS FINANCEIROS'!P239</f>
        <v>0</v>
      </c>
      <c r="W233" s="30">
        <f>'DADOS FINANCEIROS'!Q239</f>
        <v>0</v>
      </c>
      <c r="X233" s="30">
        <f>'DADOS FINANCEIROS'!R239</f>
        <v>0</v>
      </c>
      <c r="Y233" s="30">
        <f>'DADOS FINANCEIROS'!S239</f>
        <v>0</v>
      </c>
      <c r="Z233" s="30">
        <f>'DADOS FINANCEIROS'!T239</f>
        <v>0</v>
      </c>
      <c r="AA233" s="30">
        <f>'DADOS FINANCEIROS'!U239</f>
        <v>0</v>
      </c>
      <c r="AB233" s="44">
        <f>'DADOS FINANCEIROS'!V239</f>
        <v>0</v>
      </c>
      <c r="AC233" s="44" t="str">
        <f>TEXT(Tabela1[[#This Row],[Data de Negociação]],"MMM-AA")</f>
        <v>jan-00</v>
      </c>
      <c r="AD233" s="44" t="str">
        <f>TEXT(Tabela1[[#This Row],[Data de Negociação]],"AAAA")</f>
        <v>1900</v>
      </c>
      <c r="AE233" s="44">
        <f>'DADOS FINANCEIROS'!W239</f>
        <v>0</v>
      </c>
      <c r="AF233" s="44" t="str">
        <f>TEXT(Tabela1[[#This Row],[Data da Entrada/Primeira Parcela]],"MMM-AA")</f>
        <v>jan-00</v>
      </c>
      <c r="AG233" s="44" t="str">
        <f>TEXT(Tabela1[[#This Row],[Data da Entrada/Primeira Parcela]],"AAAA")</f>
        <v>1900</v>
      </c>
      <c r="AH233" s="30">
        <f>'DADOS FINANCEIROS'!X239</f>
        <v>0</v>
      </c>
      <c r="AI233" s="46">
        <f>'DADOS FINANCEIROS'!Y239</f>
        <v>0</v>
      </c>
      <c r="AJ233" s="46">
        <f>'DADOS FINANCEIROS'!Z239</f>
        <v>0</v>
      </c>
      <c r="AK233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3" s="98"/>
    </row>
    <row r="234" spans="1:38" x14ac:dyDescent="0.3">
      <c r="A234" s="30">
        <f>'DADOS FINANCEIROS'!D240</f>
        <v>0</v>
      </c>
      <c r="B234" s="30">
        <f>'DADOS FINANCEIROS'!A240</f>
        <v>0</v>
      </c>
      <c r="C234" s="30">
        <f>'DADOS FINANCEIROS'!B240</f>
        <v>0</v>
      </c>
      <c r="D234" s="30">
        <f>'DADOS FINANCEIROS'!C240</f>
        <v>0</v>
      </c>
      <c r="E234" s="44">
        <f>'DADOS FINANCEIROS'!E240</f>
        <v>0</v>
      </c>
      <c r="F234" s="44" t="str">
        <f>TEXT(Tabela1[[#This Row],[DATA DE EMISSÃO]],"MMM-AA")</f>
        <v>jan-00</v>
      </c>
      <c r="G234" s="44" t="str">
        <f>TEXT(Tabela1[[#This Row],[DATA DE EMISSÃO]],"AAAA")</f>
        <v>1900</v>
      </c>
      <c r="H234" s="44">
        <f>'DADOS FINANCEIROS'!F240</f>
        <v>0</v>
      </c>
      <c r="I234" s="44" t="str">
        <f>TEXT(Tabela1[[#This Row],[VENCIMENTO ORIGINAL]],"MMM-AA")</f>
        <v>jan-00</v>
      </c>
      <c r="J234" s="44" t="str">
        <f>TEXT(Tabela1[[#This Row],[VENCIMENTO ORIGINAL]],"AAAA")</f>
        <v>1900</v>
      </c>
      <c r="K234" s="44">
        <f>'DADOS FINANCEIROS'!G240</f>
        <v>0</v>
      </c>
      <c r="L234" s="44" t="str">
        <f>TEXT(Tabela1[[#This Row],[VENCIMENTO ATUAL]],"MMM-AA")</f>
        <v>jan-00</v>
      </c>
      <c r="M234" s="44" t="str">
        <f>TEXT(Tabela1[[#This Row],[VENCIMENTO ATUAL]],"AAAA")</f>
        <v>1900</v>
      </c>
      <c r="N234" s="46">
        <f>'DADOS FINANCEIROS'!H240</f>
        <v>0</v>
      </c>
      <c r="O234" s="30">
        <f>'DADOS FINANCEIROS'!I240</f>
        <v>0</v>
      </c>
      <c r="P234" s="30">
        <f>'DADOS FINANCEIROS'!J240</f>
        <v>0</v>
      </c>
      <c r="Q234" s="30">
        <f>'DADOS FINANCEIROS'!K240</f>
        <v>0</v>
      </c>
      <c r="R234" s="30">
        <f>'DADOS FINANCEIROS'!L240</f>
        <v>0</v>
      </c>
      <c r="S234" s="30">
        <f>'DADOS FINANCEIROS'!M240</f>
        <v>0</v>
      </c>
      <c r="T234" s="30">
        <f>IFERROR('DADOS FINANCEIROS'!N240,"")</f>
        <v>0</v>
      </c>
      <c r="U234" s="30">
        <f>'DADOS FINANCEIROS'!O240</f>
        <v>0</v>
      </c>
      <c r="V234" s="30">
        <f>'DADOS FINANCEIROS'!P240</f>
        <v>0</v>
      </c>
      <c r="W234" s="30">
        <f>'DADOS FINANCEIROS'!Q240</f>
        <v>0</v>
      </c>
      <c r="X234" s="30">
        <f>'DADOS FINANCEIROS'!R240</f>
        <v>0</v>
      </c>
      <c r="Y234" s="30">
        <f>'DADOS FINANCEIROS'!S240</f>
        <v>0</v>
      </c>
      <c r="Z234" s="30">
        <f>'DADOS FINANCEIROS'!T240</f>
        <v>0</v>
      </c>
      <c r="AA234" s="30">
        <f>'DADOS FINANCEIROS'!U240</f>
        <v>0</v>
      </c>
      <c r="AB234" s="44">
        <f>'DADOS FINANCEIROS'!V240</f>
        <v>0</v>
      </c>
      <c r="AC234" s="44" t="str">
        <f>TEXT(Tabela1[[#This Row],[Data de Negociação]],"MMM-AA")</f>
        <v>jan-00</v>
      </c>
      <c r="AD234" s="44" t="str">
        <f>TEXT(Tabela1[[#This Row],[Data de Negociação]],"AAAA")</f>
        <v>1900</v>
      </c>
      <c r="AE234" s="44">
        <f>'DADOS FINANCEIROS'!W240</f>
        <v>0</v>
      </c>
      <c r="AF234" s="44" t="str">
        <f>TEXT(Tabela1[[#This Row],[Data da Entrada/Primeira Parcela]],"MMM-AA")</f>
        <v>jan-00</v>
      </c>
      <c r="AG234" s="44" t="str">
        <f>TEXT(Tabela1[[#This Row],[Data da Entrada/Primeira Parcela]],"AAAA")</f>
        <v>1900</v>
      </c>
      <c r="AH234" s="30">
        <f>'DADOS FINANCEIROS'!X240</f>
        <v>0</v>
      </c>
      <c r="AI234" s="46">
        <f>'DADOS FINANCEIROS'!Y240</f>
        <v>0</v>
      </c>
      <c r="AJ234" s="46">
        <f>'DADOS FINANCEIROS'!Z240</f>
        <v>0</v>
      </c>
      <c r="AK234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4" s="98"/>
    </row>
    <row r="235" spans="1:38" x14ac:dyDescent="0.3">
      <c r="A235" s="30">
        <f>'DADOS FINANCEIROS'!D241</f>
        <v>0</v>
      </c>
      <c r="B235" s="30">
        <f>'DADOS FINANCEIROS'!A241</f>
        <v>0</v>
      </c>
      <c r="C235" s="30">
        <f>'DADOS FINANCEIROS'!B241</f>
        <v>0</v>
      </c>
      <c r="D235" s="30">
        <f>'DADOS FINANCEIROS'!C241</f>
        <v>0</v>
      </c>
      <c r="E235" s="44">
        <f>'DADOS FINANCEIROS'!E241</f>
        <v>0</v>
      </c>
      <c r="F235" s="44" t="str">
        <f>TEXT(Tabela1[[#This Row],[DATA DE EMISSÃO]],"MMM-AA")</f>
        <v>jan-00</v>
      </c>
      <c r="G235" s="44" t="str">
        <f>TEXT(Tabela1[[#This Row],[DATA DE EMISSÃO]],"AAAA")</f>
        <v>1900</v>
      </c>
      <c r="H235" s="44">
        <f>'DADOS FINANCEIROS'!F241</f>
        <v>0</v>
      </c>
      <c r="I235" s="44" t="str">
        <f>TEXT(Tabela1[[#This Row],[VENCIMENTO ORIGINAL]],"MMM-AA")</f>
        <v>jan-00</v>
      </c>
      <c r="J235" s="44" t="str">
        <f>TEXT(Tabela1[[#This Row],[VENCIMENTO ORIGINAL]],"AAAA")</f>
        <v>1900</v>
      </c>
      <c r="K235" s="44">
        <f>'DADOS FINANCEIROS'!G241</f>
        <v>0</v>
      </c>
      <c r="L235" s="44" t="str">
        <f>TEXT(Tabela1[[#This Row],[VENCIMENTO ATUAL]],"MMM-AA")</f>
        <v>jan-00</v>
      </c>
      <c r="M235" s="44" t="str">
        <f>TEXT(Tabela1[[#This Row],[VENCIMENTO ATUAL]],"AAAA")</f>
        <v>1900</v>
      </c>
      <c r="N235" s="46">
        <f>'DADOS FINANCEIROS'!H241</f>
        <v>0</v>
      </c>
      <c r="O235" s="30">
        <f>'DADOS FINANCEIROS'!I241</f>
        <v>0</v>
      </c>
      <c r="P235" s="30">
        <f>'DADOS FINANCEIROS'!J241</f>
        <v>0</v>
      </c>
      <c r="Q235" s="30">
        <f>'DADOS FINANCEIROS'!K241</f>
        <v>0</v>
      </c>
      <c r="R235" s="30">
        <f>'DADOS FINANCEIROS'!L241</f>
        <v>0</v>
      </c>
      <c r="S235" s="30">
        <f>'DADOS FINANCEIROS'!M241</f>
        <v>0</v>
      </c>
      <c r="T235" s="30">
        <f>IFERROR('DADOS FINANCEIROS'!N241,"")</f>
        <v>0</v>
      </c>
      <c r="U235" s="30">
        <f>'DADOS FINANCEIROS'!O241</f>
        <v>0</v>
      </c>
      <c r="V235" s="30">
        <f>'DADOS FINANCEIROS'!P241</f>
        <v>0</v>
      </c>
      <c r="W235" s="30">
        <f>'DADOS FINANCEIROS'!Q241</f>
        <v>0</v>
      </c>
      <c r="X235" s="30">
        <f>'DADOS FINANCEIROS'!R241</f>
        <v>0</v>
      </c>
      <c r="Y235" s="30">
        <f>'DADOS FINANCEIROS'!S241</f>
        <v>0</v>
      </c>
      <c r="Z235" s="30">
        <f>'DADOS FINANCEIROS'!T241</f>
        <v>0</v>
      </c>
      <c r="AA235" s="30">
        <f>'DADOS FINANCEIROS'!U241</f>
        <v>0</v>
      </c>
      <c r="AB235" s="44">
        <f>'DADOS FINANCEIROS'!V241</f>
        <v>0</v>
      </c>
      <c r="AC235" s="44" t="str">
        <f>TEXT(Tabela1[[#This Row],[Data de Negociação]],"MMM-AA")</f>
        <v>jan-00</v>
      </c>
      <c r="AD235" s="44" t="str">
        <f>TEXT(Tabela1[[#This Row],[Data de Negociação]],"AAAA")</f>
        <v>1900</v>
      </c>
      <c r="AE235" s="44">
        <f>'DADOS FINANCEIROS'!W241</f>
        <v>0</v>
      </c>
      <c r="AF235" s="44" t="str">
        <f>TEXT(Tabela1[[#This Row],[Data da Entrada/Primeira Parcela]],"MMM-AA")</f>
        <v>jan-00</v>
      </c>
      <c r="AG235" s="44" t="str">
        <f>TEXT(Tabela1[[#This Row],[Data da Entrada/Primeira Parcela]],"AAAA")</f>
        <v>1900</v>
      </c>
      <c r="AH235" s="30">
        <f>'DADOS FINANCEIROS'!X241</f>
        <v>0</v>
      </c>
      <c r="AI235" s="46">
        <f>'DADOS FINANCEIROS'!Y241</f>
        <v>0</v>
      </c>
      <c r="AJ235" s="46">
        <f>'DADOS FINANCEIROS'!Z241</f>
        <v>0</v>
      </c>
      <c r="AK235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5" s="98"/>
    </row>
    <row r="236" spans="1:38" x14ac:dyDescent="0.3">
      <c r="A236" s="30">
        <f>'DADOS FINANCEIROS'!D242</f>
        <v>0</v>
      </c>
      <c r="B236" s="30">
        <f>'DADOS FINANCEIROS'!A242</f>
        <v>0</v>
      </c>
      <c r="C236" s="30">
        <f>'DADOS FINANCEIROS'!B242</f>
        <v>0</v>
      </c>
      <c r="D236" s="30">
        <f>'DADOS FINANCEIROS'!C242</f>
        <v>0</v>
      </c>
      <c r="E236" s="44">
        <f>'DADOS FINANCEIROS'!E242</f>
        <v>0</v>
      </c>
      <c r="F236" s="44" t="str">
        <f>TEXT(Tabela1[[#This Row],[DATA DE EMISSÃO]],"MMM-AA")</f>
        <v>jan-00</v>
      </c>
      <c r="G236" s="44" t="str">
        <f>TEXT(Tabela1[[#This Row],[DATA DE EMISSÃO]],"AAAA")</f>
        <v>1900</v>
      </c>
      <c r="H236" s="44">
        <f>'DADOS FINANCEIROS'!F242</f>
        <v>0</v>
      </c>
      <c r="I236" s="44" t="str">
        <f>TEXT(Tabela1[[#This Row],[VENCIMENTO ORIGINAL]],"MMM-AA")</f>
        <v>jan-00</v>
      </c>
      <c r="J236" s="44" t="str">
        <f>TEXT(Tabela1[[#This Row],[VENCIMENTO ORIGINAL]],"AAAA")</f>
        <v>1900</v>
      </c>
      <c r="K236" s="44">
        <f>'DADOS FINANCEIROS'!G242</f>
        <v>0</v>
      </c>
      <c r="L236" s="44" t="str">
        <f>TEXT(Tabela1[[#This Row],[VENCIMENTO ATUAL]],"MMM-AA")</f>
        <v>jan-00</v>
      </c>
      <c r="M236" s="44" t="str">
        <f>TEXT(Tabela1[[#This Row],[VENCIMENTO ATUAL]],"AAAA")</f>
        <v>1900</v>
      </c>
      <c r="N236" s="46">
        <f>'DADOS FINANCEIROS'!H242</f>
        <v>0</v>
      </c>
      <c r="O236" s="30">
        <f>'DADOS FINANCEIROS'!I242</f>
        <v>0</v>
      </c>
      <c r="P236" s="30">
        <f>'DADOS FINANCEIROS'!J242</f>
        <v>0</v>
      </c>
      <c r="Q236" s="30">
        <f>'DADOS FINANCEIROS'!K242</f>
        <v>0</v>
      </c>
      <c r="R236" s="30">
        <f>'DADOS FINANCEIROS'!L242</f>
        <v>0</v>
      </c>
      <c r="S236" s="30">
        <f>'DADOS FINANCEIROS'!M242</f>
        <v>0</v>
      </c>
      <c r="T236" s="30">
        <f>IFERROR('DADOS FINANCEIROS'!N242,"")</f>
        <v>0</v>
      </c>
      <c r="U236" s="30">
        <f>'DADOS FINANCEIROS'!O242</f>
        <v>0</v>
      </c>
      <c r="V236" s="30">
        <f>'DADOS FINANCEIROS'!P242</f>
        <v>0</v>
      </c>
      <c r="W236" s="30">
        <f>'DADOS FINANCEIROS'!Q242</f>
        <v>0</v>
      </c>
      <c r="X236" s="30">
        <f>'DADOS FINANCEIROS'!R242</f>
        <v>0</v>
      </c>
      <c r="Y236" s="30">
        <f>'DADOS FINANCEIROS'!S242</f>
        <v>0</v>
      </c>
      <c r="Z236" s="30">
        <f>'DADOS FINANCEIROS'!T242</f>
        <v>0</v>
      </c>
      <c r="AA236" s="30">
        <f>'DADOS FINANCEIROS'!U242</f>
        <v>0</v>
      </c>
      <c r="AB236" s="44">
        <f>'DADOS FINANCEIROS'!V242</f>
        <v>0</v>
      </c>
      <c r="AC236" s="44" t="str">
        <f>TEXT(Tabela1[[#This Row],[Data de Negociação]],"MMM-AA")</f>
        <v>jan-00</v>
      </c>
      <c r="AD236" s="44" t="str">
        <f>TEXT(Tabela1[[#This Row],[Data de Negociação]],"AAAA")</f>
        <v>1900</v>
      </c>
      <c r="AE236" s="44">
        <f>'DADOS FINANCEIROS'!W242</f>
        <v>0</v>
      </c>
      <c r="AF236" s="44" t="str">
        <f>TEXT(Tabela1[[#This Row],[Data da Entrada/Primeira Parcela]],"MMM-AA")</f>
        <v>jan-00</v>
      </c>
      <c r="AG236" s="44" t="str">
        <f>TEXT(Tabela1[[#This Row],[Data da Entrada/Primeira Parcela]],"AAAA")</f>
        <v>1900</v>
      </c>
      <c r="AH236" s="30">
        <f>'DADOS FINANCEIROS'!X242</f>
        <v>0</v>
      </c>
      <c r="AI236" s="46">
        <f>'DADOS FINANCEIROS'!Y242</f>
        <v>0</v>
      </c>
      <c r="AJ236" s="46">
        <f>'DADOS FINANCEIROS'!Z242</f>
        <v>0</v>
      </c>
      <c r="AK236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6" s="98"/>
    </row>
    <row r="237" spans="1:38" x14ac:dyDescent="0.3">
      <c r="A237" s="30">
        <f>'DADOS FINANCEIROS'!D243</f>
        <v>0</v>
      </c>
      <c r="B237" s="30">
        <f>'DADOS FINANCEIROS'!A243</f>
        <v>0</v>
      </c>
      <c r="C237" s="30">
        <f>'DADOS FINANCEIROS'!B243</f>
        <v>0</v>
      </c>
      <c r="D237" s="30">
        <f>'DADOS FINANCEIROS'!C243</f>
        <v>0</v>
      </c>
      <c r="E237" s="44">
        <f>'DADOS FINANCEIROS'!E243</f>
        <v>0</v>
      </c>
      <c r="F237" s="44" t="str">
        <f>TEXT(Tabela1[[#This Row],[DATA DE EMISSÃO]],"MMM-AA")</f>
        <v>jan-00</v>
      </c>
      <c r="G237" s="44" t="str">
        <f>TEXT(Tabela1[[#This Row],[DATA DE EMISSÃO]],"AAAA")</f>
        <v>1900</v>
      </c>
      <c r="H237" s="44">
        <f>'DADOS FINANCEIROS'!F243</f>
        <v>0</v>
      </c>
      <c r="I237" s="44" t="str">
        <f>TEXT(Tabela1[[#This Row],[VENCIMENTO ORIGINAL]],"MMM-AA")</f>
        <v>jan-00</v>
      </c>
      <c r="J237" s="44" t="str">
        <f>TEXT(Tabela1[[#This Row],[VENCIMENTO ORIGINAL]],"AAAA")</f>
        <v>1900</v>
      </c>
      <c r="K237" s="44">
        <f>'DADOS FINANCEIROS'!G243</f>
        <v>0</v>
      </c>
      <c r="L237" s="44" t="str">
        <f>TEXT(Tabela1[[#This Row],[VENCIMENTO ATUAL]],"MMM-AA")</f>
        <v>jan-00</v>
      </c>
      <c r="M237" s="44" t="str">
        <f>TEXT(Tabela1[[#This Row],[VENCIMENTO ATUAL]],"AAAA")</f>
        <v>1900</v>
      </c>
      <c r="N237" s="46">
        <f>'DADOS FINANCEIROS'!H243</f>
        <v>0</v>
      </c>
      <c r="O237" s="30">
        <f>'DADOS FINANCEIROS'!I243</f>
        <v>0</v>
      </c>
      <c r="P237" s="30">
        <f>'DADOS FINANCEIROS'!J243</f>
        <v>0</v>
      </c>
      <c r="Q237" s="30">
        <f>'DADOS FINANCEIROS'!K243</f>
        <v>0</v>
      </c>
      <c r="R237" s="30">
        <f>'DADOS FINANCEIROS'!L243</f>
        <v>0</v>
      </c>
      <c r="S237" s="30">
        <f>'DADOS FINANCEIROS'!M243</f>
        <v>0</v>
      </c>
      <c r="T237" s="30">
        <f>IFERROR('DADOS FINANCEIROS'!N243,"")</f>
        <v>0</v>
      </c>
      <c r="U237" s="30">
        <f>'DADOS FINANCEIROS'!O243</f>
        <v>0</v>
      </c>
      <c r="V237" s="30">
        <f>'DADOS FINANCEIROS'!P243</f>
        <v>0</v>
      </c>
      <c r="W237" s="30">
        <f>'DADOS FINANCEIROS'!Q243</f>
        <v>0</v>
      </c>
      <c r="X237" s="30">
        <f>'DADOS FINANCEIROS'!R243</f>
        <v>0</v>
      </c>
      <c r="Y237" s="30">
        <f>'DADOS FINANCEIROS'!S243</f>
        <v>0</v>
      </c>
      <c r="Z237" s="30">
        <f>'DADOS FINANCEIROS'!T243</f>
        <v>0</v>
      </c>
      <c r="AA237" s="30">
        <f>'DADOS FINANCEIROS'!U243</f>
        <v>0</v>
      </c>
      <c r="AB237" s="44">
        <f>'DADOS FINANCEIROS'!V243</f>
        <v>0</v>
      </c>
      <c r="AC237" s="44" t="str">
        <f>TEXT(Tabela1[[#This Row],[Data de Negociação]],"MMM-AA")</f>
        <v>jan-00</v>
      </c>
      <c r="AD237" s="44" t="str">
        <f>TEXT(Tabela1[[#This Row],[Data de Negociação]],"AAAA")</f>
        <v>1900</v>
      </c>
      <c r="AE237" s="44">
        <f>'DADOS FINANCEIROS'!W243</f>
        <v>0</v>
      </c>
      <c r="AF237" s="44" t="str">
        <f>TEXT(Tabela1[[#This Row],[Data da Entrada/Primeira Parcela]],"MMM-AA")</f>
        <v>jan-00</v>
      </c>
      <c r="AG237" s="44" t="str">
        <f>TEXT(Tabela1[[#This Row],[Data da Entrada/Primeira Parcela]],"AAAA")</f>
        <v>1900</v>
      </c>
      <c r="AH237" s="30">
        <f>'DADOS FINANCEIROS'!X243</f>
        <v>0</v>
      </c>
      <c r="AI237" s="46">
        <f>'DADOS FINANCEIROS'!Y243</f>
        <v>0</v>
      </c>
      <c r="AJ237" s="46">
        <f>'DADOS FINANCEIROS'!Z243</f>
        <v>0</v>
      </c>
      <c r="AK237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7" s="98"/>
    </row>
    <row r="238" spans="1:38" x14ac:dyDescent="0.3">
      <c r="A238" s="30">
        <f>'DADOS FINANCEIROS'!D244</f>
        <v>0</v>
      </c>
      <c r="B238" s="30">
        <f>'DADOS FINANCEIROS'!A244</f>
        <v>0</v>
      </c>
      <c r="C238" s="30">
        <f>'DADOS FINANCEIROS'!B244</f>
        <v>0</v>
      </c>
      <c r="D238" s="30">
        <f>'DADOS FINANCEIROS'!C244</f>
        <v>0</v>
      </c>
      <c r="E238" s="44">
        <f>'DADOS FINANCEIROS'!E244</f>
        <v>0</v>
      </c>
      <c r="F238" s="44" t="str">
        <f>TEXT(Tabela1[[#This Row],[DATA DE EMISSÃO]],"MMM-AA")</f>
        <v>jan-00</v>
      </c>
      <c r="G238" s="44" t="str">
        <f>TEXT(Tabela1[[#This Row],[DATA DE EMISSÃO]],"AAAA")</f>
        <v>1900</v>
      </c>
      <c r="H238" s="44">
        <f>'DADOS FINANCEIROS'!F244</f>
        <v>0</v>
      </c>
      <c r="I238" s="44" t="str">
        <f>TEXT(Tabela1[[#This Row],[VENCIMENTO ORIGINAL]],"MMM-AA")</f>
        <v>jan-00</v>
      </c>
      <c r="J238" s="44" t="str">
        <f>TEXT(Tabela1[[#This Row],[VENCIMENTO ORIGINAL]],"AAAA")</f>
        <v>1900</v>
      </c>
      <c r="K238" s="44">
        <f>'DADOS FINANCEIROS'!G244</f>
        <v>0</v>
      </c>
      <c r="L238" s="44" t="str">
        <f>TEXT(Tabela1[[#This Row],[VENCIMENTO ATUAL]],"MMM-AA")</f>
        <v>jan-00</v>
      </c>
      <c r="M238" s="44" t="str">
        <f>TEXT(Tabela1[[#This Row],[VENCIMENTO ATUAL]],"AAAA")</f>
        <v>1900</v>
      </c>
      <c r="N238" s="46">
        <f>'DADOS FINANCEIROS'!H244</f>
        <v>0</v>
      </c>
      <c r="O238" s="30">
        <f>'DADOS FINANCEIROS'!I244</f>
        <v>0</v>
      </c>
      <c r="P238" s="30">
        <f>'DADOS FINANCEIROS'!J244</f>
        <v>0</v>
      </c>
      <c r="Q238" s="30">
        <f>'DADOS FINANCEIROS'!K244</f>
        <v>0</v>
      </c>
      <c r="R238" s="30">
        <f>'DADOS FINANCEIROS'!L244</f>
        <v>0</v>
      </c>
      <c r="S238" s="30">
        <f>'DADOS FINANCEIROS'!M244</f>
        <v>0</v>
      </c>
      <c r="T238" s="30">
        <f>IFERROR('DADOS FINANCEIROS'!N244,"")</f>
        <v>0</v>
      </c>
      <c r="U238" s="30">
        <f>'DADOS FINANCEIROS'!O244</f>
        <v>0</v>
      </c>
      <c r="V238" s="30">
        <f>'DADOS FINANCEIROS'!P244</f>
        <v>0</v>
      </c>
      <c r="W238" s="30">
        <f>'DADOS FINANCEIROS'!Q244</f>
        <v>0</v>
      </c>
      <c r="X238" s="30">
        <f>'DADOS FINANCEIROS'!R244</f>
        <v>0</v>
      </c>
      <c r="Y238" s="30">
        <f>'DADOS FINANCEIROS'!S244</f>
        <v>0</v>
      </c>
      <c r="Z238" s="30">
        <f>'DADOS FINANCEIROS'!T244</f>
        <v>0</v>
      </c>
      <c r="AA238" s="30">
        <f>'DADOS FINANCEIROS'!U244</f>
        <v>0</v>
      </c>
      <c r="AB238" s="44">
        <f>'DADOS FINANCEIROS'!V244</f>
        <v>0</v>
      </c>
      <c r="AC238" s="44" t="str">
        <f>TEXT(Tabela1[[#This Row],[Data de Negociação]],"MMM-AA")</f>
        <v>jan-00</v>
      </c>
      <c r="AD238" s="44" t="str">
        <f>TEXT(Tabela1[[#This Row],[Data de Negociação]],"AAAA")</f>
        <v>1900</v>
      </c>
      <c r="AE238" s="44">
        <f>'DADOS FINANCEIROS'!W244</f>
        <v>0</v>
      </c>
      <c r="AF238" s="44" t="str">
        <f>TEXT(Tabela1[[#This Row],[Data da Entrada/Primeira Parcela]],"MMM-AA")</f>
        <v>jan-00</v>
      </c>
      <c r="AG238" s="44" t="str">
        <f>TEXT(Tabela1[[#This Row],[Data da Entrada/Primeira Parcela]],"AAAA")</f>
        <v>1900</v>
      </c>
      <c r="AH238" s="30">
        <f>'DADOS FINANCEIROS'!X244</f>
        <v>0</v>
      </c>
      <c r="AI238" s="46">
        <f>'DADOS FINANCEIROS'!Y244</f>
        <v>0</v>
      </c>
      <c r="AJ238" s="46">
        <f>'DADOS FINANCEIROS'!Z244</f>
        <v>0</v>
      </c>
      <c r="AK238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8" s="98"/>
    </row>
    <row r="239" spans="1:38" x14ac:dyDescent="0.3">
      <c r="A239" s="30">
        <f>'DADOS FINANCEIROS'!D245</f>
        <v>0</v>
      </c>
      <c r="B239" s="30">
        <f>'DADOS FINANCEIROS'!A245</f>
        <v>0</v>
      </c>
      <c r="C239" s="30">
        <f>'DADOS FINANCEIROS'!B245</f>
        <v>0</v>
      </c>
      <c r="D239" s="30">
        <f>'DADOS FINANCEIROS'!C245</f>
        <v>0</v>
      </c>
      <c r="E239" s="44">
        <f>'DADOS FINANCEIROS'!E245</f>
        <v>0</v>
      </c>
      <c r="F239" s="44" t="str">
        <f>TEXT(Tabela1[[#This Row],[DATA DE EMISSÃO]],"MMM-AA")</f>
        <v>jan-00</v>
      </c>
      <c r="G239" s="44" t="str">
        <f>TEXT(Tabela1[[#This Row],[DATA DE EMISSÃO]],"AAAA")</f>
        <v>1900</v>
      </c>
      <c r="H239" s="44">
        <f>'DADOS FINANCEIROS'!F245</f>
        <v>0</v>
      </c>
      <c r="I239" s="44" t="str">
        <f>TEXT(Tabela1[[#This Row],[VENCIMENTO ORIGINAL]],"MMM-AA")</f>
        <v>jan-00</v>
      </c>
      <c r="J239" s="44" t="str">
        <f>TEXT(Tabela1[[#This Row],[VENCIMENTO ORIGINAL]],"AAAA")</f>
        <v>1900</v>
      </c>
      <c r="K239" s="44">
        <f>'DADOS FINANCEIROS'!G245</f>
        <v>0</v>
      </c>
      <c r="L239" s="44" t="str">
        <f>TEXT(Tabela1[[#This Row],[VENCIMENTO ATUAL]],"MMM-AA")</f>
        <v>jan-00</v>
      </c>
      <c r="M239" s="44" t="str">
        <f>TEXT(Tabela1[[#This Row],[VENCIMENTO ATUAL]],"AAAA")</f>
        <v>1900</v>
      </c>
      <c r="N239" s="46">
        <f>'DADOS FINANCEIROS'!H245</f>
        <v>0</v>
      </c>
      <c r="O239" s="30">
        <f>'DADOS FINANCEIROS'!I245</f>
        <v>0</v>
      </c>
      <c r="P239" s="30">
        <f>'DADOS FINANCEIROS'!J245</f>
        <v>0</v>
      </c>
      <c r="Q239" s="30">
        <f>'DADOS FINANCEIROS'!K245</f>
        <v>0</v>
      </c>
      <c r="R239" s="30">
        <f>'DADOS FINANCEIROS'!L245</f>
        <v>0</v>
      </c>
      <c r="S239" s="30">
        <f>'DADOS FINANCEIROS'!M245</f>
        <v>0</v>
      </c>
      <c r="T239" s="30">
        <f>IFERROR('DADOS FINANCEIROS'!N245,"")</f>
        <v>0</v>
      </c>
      <c r="U239" s="30">
        <f>'DADOS FINANCEIROS'!O245</f>
        <v>0</v>
      </c>
      <c r="V239" s="30">
        <f>'DADOS FINANCEIROS'!P245</f>
        <v>0</v>
      </c>
      <c r="W239" s="30">
        <f>'DADOS FINANCEIROS'!Q245</f>
        <v>0</v>
      </c>
      <c r="X239" s="30">
        <f>'DADOS FINANCEIROS'!R245</f>
        <v>0</v>
      </c>
      <c r="Y239" s="30">
        <f>'DADOS FINANCEIROS'!S245</f>
        <v>0</v>
      </c>
      <c r="Z239" s="30">
        <f>'DADOS FINANCEIROS'!T245</f>
        <v>0</v>
      </c>
      <c r="AA239" s="30">
        <f>'DADOS FINANCEIROS'!U245</f>
        <v>0</v>
      </c>
      <c r="AB239" s="44">
        <f>'DADOS FINANCEIROS'!V245</f>
        <v>0</v>
      </c>
      <c r="AC239" s="44" t="str">
        <f>TEXT(Tabela1[[#This Row],[Data de Negociação]],"MMM-AA")</f>
        <v>jan-00</v>
      </c>
      <c r="AD239" s="44" t="str">
        <f>TEXT(Tabela1[[#This Row],[Data de Negociação]],"AAAA")</f>
        <v>1900</v>
      </c>
      <c r="AE239" s="44">
        <f>'DADOS FINANCEIROS'!W245</f>
        <v>0</v>
      </c>
      <c r="AF239" s="44" t="str">
        <f>TEXT(Tabela1[[#This Row],[Data da Entrada/Primeira Parcela]],"MMM-AA")</f>
        <v>jan-00</v>
      </c>
      <c r="AG239" s="44" t="str">
        <f>TEXT(Tabela1[[#This Row],[Data da Entrada/Primeira Parcela]],"AAAA")</f>
        <v>1900</v>
      </c>
      <c r="AH239" s="30">
        <f>'DADOS FINANCEIROS'!X245</f>
        <v>0</v>
      </c>
      <c r="AI239" s="46">
        <f>'DADOS FINANCEIROS'!Y245</f>
        <v>0</v>
      </c>
      <c r="AJ239" s="46">
        <f>'DADOS FINANCEIROS'!Z245</f>
        <v>0</v>
      </c>
      <c r="AK239" s="98" t="str">
        <f>IF(Tabela1[[#This Row],[DOC./NF]]=0,"",IF(Tabela1[[#This Row],[Dias em Atraso]]&lt;=30,"Cobrança Amigável",IF(Tabela1[[#This Row],[Dias em Atraso]]&lt;=60,"Cobrança Ativa",IF(Tabela1[[#This Row],[Dias em Atraso]]&lt;=90,"Cobrança Extrajudicial","Cobrança Judicial"))))</f>
        <v/>
      </c>
      <c r="AL239" s="9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39A1-81DE-45CA-9842-59325EF3D15A}">
  <dimension ref="A1:E34"/>
  <sheetViews>
    <sheetView showGridLines="0" view="pageBreakPreview" topLeftCell="A3" zoomScale="60" zoomScaleNormal="100" workbookViewId="0">
      <selection activeCell="D35" sqref="D35"/>
    </sheetView>
  </sheetViews>
  <sheetFormatPr defaultRowHeight="14.4" x14ac:dyDescent="0.3"/>
  <cols>
    <col min="1" max="1" width="29" style="105" bestFit="1" customWidth="1"/>
    <col min="2" max="2" width="30.109375" style="109" bestFit="1" customWidth="1"/>
    <col min="3" max="3" width="27" style="105" bestFit="1" customWidth="1"/>
    <col min="4" max="4" width="27.109375" style="109" bestFit="1" customWidth="1"/>
    <col min="5" max="5" width="21.5546875" style="4" bestFit="1" customWidth="1"/>
    <col min="6" max="16384" width="8.88671875" style="4"/>
  </cols>
  <sheetData>
    <row r="1" spans="1:5" ht="19.95" customHeight="1" x14ac:dyDescent="0.3">
      <c r="A1" s="173" t="s">
        <v>179</v>
      </c>
      <c r="B1" s="173"/>
      <c r="C1" s="173"/>
      <c r="D1" s="173"/>
      <c r="E1" s="173"/>
    </row>
    <row r="3" spans="1:5" s="105" customFormat="1" ht="19.95" customHeight="1" x14ac:dyDescent="0.3">
      <c r="A3" s="127" t="s">
        <v>168</v>
      </c>
      <c r="B3" s="117" t="s">
        <v>172</v>
      </c>
      <c r="C3" s="121" t="s">
        <v>173</v>
      </c>
      <c r="D3" s="122" t="s">
        <v>174</v>
      </c>
      <c r="E3" s="119" t="s">
        <v>184</v>
      </c>
    </row>
    <row r="4" spans="1:5" x14ac:dyDescent="0.3">
      <c r="A4" s="106">
        <v>45292</v>
      </c>
      <c r="B4" s="107">
        <v>500000</v>
      </c>
      <c r="C4" s="107">
        <f ca="1">IF(SUMIF('ANÁLISE DE DADOS'!F:F,A4,'ANÁLISE DE DADOS'!N:N)=0,"",SUMIF('ANÁLISE DE DADOS'!F:F,A4,'ANÁLISE DE DADOS'!AJ:AJ))</f>
        <v>0</v>
      </c>
      <c r="D4" s="108">
        <f ca="1">IF(SUMIF('ANÁLISE DE DADOS'!F:F,A4,'ANÁLISE DE DADOS'!N:N)=0,"",SUMIF('ANÁLISE DE DADOS'!F:F,A4,'ANÁLISE DE DADOS'!AI:AI))</f>
        <v>1400</v>
      </c>
      <c r="E4" s="118">
        <f ca="1">IFERROR(D4/B4,"")</f>
        <v>2.8E-3</v>
      </c>
    </row>
    <row r="5" spans="1:5" x14ac:dyDescent="0.3">
      <c r="A5" s="106">
        <v>45323</v>
      </c>
      <c r="B5" s="107">
        <v>250000</v>
      </c>
      <c r="C5" s="107">
        <f ca="1">IF(SUMIF('ANÁLISE DE DADOS'!F:F,A5,'ANÁLISE DE DADOS'!N:N)=0,"",SUMIF('ANÁLISE DE DADOS'!F:F,A5,'ANÁLISE DE DADOS'!AJ:AJ))</f>
        <v>2000</v>
      </c>
      <c r="D5" s="108">
        <f ca="1">IF(SUMIF('ANÁLISE DE DADOS'!F:F,A5,'ANÁLISE DE DADOS'!N:N)=0,"",SUMIF('ANÁLISE DE DADOS'!F:F,A5,'ANÁLISE DE DADOS'!AI:AI))</f>
        <v>0</v>
      </c>
      <c r="E5" s="118">
        <f t="shared" ref="E5:E27" ca="1" si="0">IFERROR(D5/B5,"")</f>
        <v>0</v>
      </c>
    </row>
    <row r="6" spans="1:5" x14ac:dyDescent="0.3">
      <c r="A6" s="106">
        <v>45352</v>
      </c>
      <c r="B6" s="107">
        <v>750000</v>
      </c>
      <c r="C6" s="107" t="str">
        <f>IF(SUMIF('ANÁLISE DE DADOS'!F:F,A6,'ANÁLISE DE DADOS'!N:N)=0,"",SUMIF('ANÁLISE DE DADOS'!F:F,A6,'ANÁLISE DE DADOS'!AJ:AJ))</f>
        <v/>
      </c>
      <c r="D6" s="108" t="str">
        <f>IF(SUMIF('ANÁLISE DE DADOS'!F:F,A6,'ANÁLISE DE DADOS'!N:N)=0,"",SUMIF('ANÁLISE DE DADOS'!F:F,A6,'ANÁLISE DE DADOS'!AI:AI))</f>
        <v/>
      </c>
      <c r="E6" s="118" t="str">
        <f t="shared" si="0"/>
        <v/>
      </c>
    </row>
    <row r="7" spans="1:5" x14ac:dyDescent="0.3">
      <c r="A7" s="106">
        <v>45383</v>
      </c>
      <c r="B7" s="107">
        <v>1000000</v>
      </c>
      <c r="C7" s="107" t="str">
        <f>IF(SUMIF('ANÁLISE DE DADOS'!F:F,A7,'ANÁLISE DE DADOS'!N:N)=0,"",SUMIF('ANÁLISE DE DADOS'!F:F,A7,'ANÁLISE DE DADOS'!AJ:AJ))</f>
        <v/>
      </c>
      <c r="D7" s="108" t="str">
        <f>IF(SUMIF('ANÁLISE DE DADOS'!F:F,A7,'ANÁLISE DE DADOS'!N:N)=0,"",SUMIF('ANÁLISE DE DADOS'!F:F,A7,'ANÁLISE DE DADOS'!AI:AI))</f>
        <v/>
      </c>
      <c r="E7" s="118" t="str">
        <f t="shared" si="0"/>
        <v/>
      </c>
    </row>
    <row r="8" spans="1:5" x14ac:dyDescent="0.3">
      <c r="A8" s="106">
        <v>45413</v>
      </c>
      <c r="B8" s="107">
        <v>500000</v>
      </c>
      <c r="C8" s="107" t="str">
        <f>IF(SUMIF('ANÁLISE DE DADOS'!F:F,A8,'ANÁLISE DE DADOS'!N:N)=0,"",SUMIF('ANÁLISE DE DADOS'!F:F,A8,'ANÁLISE DE DADOS'!AJ:AJ))</f>
        <v/>
      </c>
      <c r="D8" s="108" t="str">
        <f>IF(SUMIF('ANÁLISE DE DADOS'!F:F,A8,'ANÁLISE DE DADOS'!N:N)=0,"",SUMIF('ANÁLISE DE DADOS'!F:F,A8,'ANÁLISE DE DADOS'!AI:AI))</f>
        <v/>
      </c>
      <c r="E8" s="118" t="str">
        <f t="shared" si="0"/>
        <v/>
      </c>
    </row>
    <row r="9" spans="1:5" x14ac:dyDescent="0.3">
      <c r="A9" s="106">
        <v>45444</v>
      </c>
      <c r="B9" s="107">
        <v>250000</v>
      </c>
      <c r="C9" s="107" t="str">
        <f>IF(SUMIF('ANÁLISE DE DADOS'!F:F,A9,'ANÁLISE DE DADOS'!N:N)=0,"",SUMIF('ANÁLISE DE DADOS'!F:F,A9,'ANÁLISE DE DADOS'!AJ:AJ))</f>
        <v/>
      </c>
      <c r="D9" s="108" t="str">
        <f>IF(SUMIF('ANÁLISE DE DADOS'!F:F,A9,'ANÁLISE DE DADOS'!N:N)=0,"",SUMIF('ANÁLISE DE DADOS'!F:F,A9,'ANÁLISE DE DADOS'!AI:AI))</f>
        <v/>
      </c>
      <c r="E9" s="118" t="str">
        <f t="shared" si="0"/>
        <v/>
      </c>
    </row>
    <row r="10" spans="1:5" x14ac:dyDescent="0.3">
      <c r="A10" s="106">
        <v>45474</v>
      </c>
      <c r="B10" s="107">
        <v>750000</v>
      </c>
      <c r="C10" s="107" t="str">
        <f>IF(SUMIF('ANÁLISE DE DADOS'!F:F,A10,'ANÁLISE DE DADOS'!N:N)=0,"",SUMIF('ANÁLISE DE DADOS'!F:F,A10,'ANÁLISE DE DADOS'!AJ:AJ))</f>
        <v/>
      </c>
      <c r="D10" s="108" t="str">
        <f>IF(SUMIF('ANÁLISE DE DADOS'!F:F,A10,'ANÁLISE DE DADOS'!N:N)=0,"",SUMIF('ANÁLISE DE DADOS'!F:F,A10,'ANÁLISE DE DADOS'!AI:AI))</f>
        <v/>
      </c>
      <c r="E10" s="118" t="str">
        <f t="shared" si="0"/>
        <v/>
      </c>
    </row>
    <row r="11" spans="1:5" x14ac:dyDescent="0.3">
      <c r="A11" s="106">
        <v>45505</v>
      </c>
      <c r="B11" s="107">
        <v>1000000</v>
      </c>
      <c r="C11" s="107" t="str">
        <f>IF(SUMIF('ANÁLISE DE DADOS'!F:F,A11,'ANÁLISE DE DADOS'!N:N)=0,"",SUMIF('ANÁLISE DE DADOS'!F:F,A11,'ANÁLISE DE DADOS'!AJ:AJ))</f>
        <v/>
      </c>
      <c r="D11" s="108" t="str">
        <f>IF(SUMIF('ANÁLISE DE DADOS'!F:F,A11,'ANÁLISE DE DADOS'!N:N)=0,"",SUMIF('ANÁLISE DE DADOS'!F:F,A11,'ANÁLISE DE DADOS'!AI:AI))</f>
        <v/>
      </c>
      <c r="E11" s="118" t="str">
        <f t="shared" si="0"/>
        <v/>
      </c>
    </row>
    <row r="12" spans="1:5" x14ac:dyDescent="0.3">
      <c r="A12" s="106">
        <v>45536</v>
      </c>
      <c r="B12" s="107">
        <v>500000</v>
      </c>
      <c r="C12" s="107" t="str">
        <f>IF(SUMIF('ANÁLISE DE DADOS'!F:F,A12,'ANÁLISE DE DADOS'!N:N)=0,"",SUMIF('ANÁLISE DE DADOS'!F:F,A12,'ANÁLISE DE DADOS'!AJ:AJ))</f>
        <v/>
      </c>
      <c r="D12" s="108" t="str">
        <f>IF(SUMIF('ANÁLISE DE DADOS'!F:F,A12,'ANÁLISE DE DADOS'!N:N)=0,"",SUMIF('ANÁLISE DE DADOS'!F:F,A12,'ANÁLISE DE DADOS'!AI:AI))</f>
        <v/>
      </c>
      <c r="E12" s="118" t="str">
        <f t="shared" si="0"/>
        <v/>
      </c>
    </row>
    <row r="13" spans="1:5" x14ac:dyDescent="0.3">
      <c r="A13" s="106">
        <v>45566</v>
      </c>
      <c r="B13" s="107">
        <v>250000</v>
      </c>
      <c r="C13" s="107" t="str">
        <f>IF(SUMIF('ANÁLISE DE DADOS'!F:F,A13,'ANÁLISE DE DADOS'!N:N)=0,"",SUMIF('ANÁLISE DE DADOS'!F:F,A13,'ANÁLISE DE DADOS'!AJ:AJ))</f>
        <v/>
      </c>
      <c r="D13" s="108" t="str">
        <f>IF(SUMIF('ANÁLISE DE DADOS'!F:F,A13,'ANÁLISE DE DADOS'!N:N)=0,"",SUMIF('ANÁLISE DE DADOS'!F:F,A13,'ANÁLISE DE DADOS'!AI:AI))</f>
        <v/>
      </c>
      <c r="E13" s="118" t="str">
        <f t="shared" si="0"/>
        <v/>
      </c>
    </row>
    <row r="14" spans="1:5" x14ac:dyDescent="0.3">
      <c r="A14" s="106">
        <v>45597</v>
      </c>
      <c r="B14" s="107">
        <v>750000</v>
      </c>
      <c r="C14" s="107" t="str">
        <f>IF(SUMIF('ANÁLISE DE DADOS'!F:F,A14,'ANÁLISE DE DADOS'!N:N)=0,"",SUMIF('ANÁLISE DE DADOS'!F:F,A14,'ANÁLISE DE DADOS'!AJ:AJ))</f>
        <v/>
      </c>
      <c r="D14" s="108" t="str">
        <f>IF(SUMIF('ANÁLISE DE DADOS'!F:F,A14,'ANÁLISE DE DADOS'!N:N)=0,"",SUMIF('ANÁLISE DE DADOS'!F:F,A14,'ANÁLISE DE DADOS'!AI:AI))</f>
        <v/>
      </c>
      <c r="E14" s="118" t="str">
        <f t="shared" si="0"/>
        <v/>
      </c>
    </row>
    <row r="15" spans="1:5" x14ac:dyDescent="0.3">
      <c r="A15" s="106">
        <v>45627</v>
      </c>
      <c r="B15" s="107">
        <v>1000000</v>
      </c>
      <c r="C15" s="107" t="str">
        <f>IF(SUMIF('ANÁLISE DE DADOS'!F:F,A15,'ANÁLISE DE DADOS'!N:N)=0,"",SUMIF('ANÁLISE DE DADOS'!F:F,A15,'ANÁLISE DE DADOS'!AJ:AJ))</f>
        <v/>
      </c>
      <c r="D15" s="108" t="str">
        <f>IF(SUMIF('ANÁLISE DE DADOS'!F:F,A15,'ANÁLISE DE DADOS'!N:N)=0,"",SUMIF('ANÁLISE DE DADOS'!F:F,A15,'ANÁLISE DE DADOS'!AI:AI))</f>
        <v/>
      </c>
      <c r="E15" s="118" t="str">
        <f t="shared" si="0"/>
        <v/>
      </c>
    </row>
    <row r="16" spans="1:5" x14ac:dyDescent="0.3">
      <c r="A16" s="106">
        <v>45658</v>
      </c>
      <c r="B16" s="107">
        <v>500000</v>
      </c>
      <c r="C16" s="107">
        <f ca="1">IF(SUMIF('ANÁLISE DE DADOS'!F:F,A16,'ANÁLISE DE DADOS'!N:N)=0,"",SUMIF('ANÁLISE DE DADOS'!F:F,A16,'ANÁLISE DE DADOS'!AJ:AJ))</f>
        <v>0</v>
      </c>
      <c r="D16" s="108">
        <f ca="1">IF(SUMIF('ANÁLISE DE DADOS'!F:F,A16,'ANÁLISE DE DADOS'!N:N)=0,"",SUMIF('ANÁLISE DE DADOS'!F:F,A16,'ANÁLISE DE DADOS'!AI:AI))</f>
        <v>43400</v>
      </c>
      <c r="E16" s="118">
        <f t="shared" ca="1" si="0"/>
        <v>8.6800000000000002E-2</v>
      </c>
    </row>
    <row r="17" spans="1:5" x14ac:dyDescent="0.3">
      <c r="A17" s="106">
        <v>45689</v>
      </c>
      <c r="B17" s="107">
        <v>250000</v>
      </c>
      <c r="C17" s="107">
        <f ca="1">IF(SUMIF('ANÁLISE DE DADOS'!F:F,A17,'ANÁLISE DE DADOS'!N:N)=0,"",SUMIF('ANÁLISE DE DADOS'!F:F,A17,'ANÁLISE DE DADOS'!AJ:AJ))</f>
        <v>0</v>
      </c>
      <c r="D17" s="108">
        <f ca="1">IF(SUMIF('ANÁLISE DE DADOS'!F:F,A17,'ANÁLISE DE DADOS'!N:N)=0,"",SUMIF('ANÁLISE DE DADOS'!F:F,A17,'ANÁLISE DE DADOS'!AI:AI))</f>
        <v>82800</v>
      </c>
      <c r="E17" s="118">
        <f t="shared" ca="1" si="0"/>
        <v>0.33119999999999999</v>
      </c>
    </row>
    <row r="18" spans="1:5" x14ac:dyDescent="0.3">
      <c r="A18" s="106">
        <v>45717</v>
      </c>
      <c r="B18" s="107">
        <v>750000</v>
      </c>
      <c r="C18" s="107">
        <f ca="1">IF(SUMIF('ANÁLISE DE DADOS'!F:F,A18,'ANÁLISE DE DADOS'!N:N)=0,"",SUMIF('ANÁLISE DE DADOS'!F:F,A18,'ANÁLISE DE DADOS'!AJ:AJ))</f>
        <v>0</v>
      </c>
      <c r="D18" s="108">
        <f ca="1">IF(SUMIF('ANÁLISE DE DADOS'!F:F,A18,'ANÁLISE DE DADOS'!N:N)=0,"",SUMIF('ANÁLISE DE DADOS'!F:F,A18,'ANÁLISE DE DADOS'!AI:AI))</f>
        <v>17500</v>
      </c>
      <c r="E18" s="118">
        <f t="shared" ca="1" si="0"/>
        <v>2.3333333333333334E-2</v>
      </c>
    </row>
    <row r="19" spans="1:5" x14ac:dyDescent="0.3">
      <c r="A19" s="106">
        <v>45748</v>
      </c>
      <c r="B19" s="107">
        <v>1000000</v>
      </c>
      <c r="C19" s="107" t="str">
        <f>IF(SUMIF('ANÁLISE DE DADOS'!F:F,A19,'ANÁLISE DE DADOS'!N:N)=0,"",SUMIF('ANÁLISE DE DADOS'!F:F,A19,'ANÁLISE DE DADOS'!AJ:AJ))</f>
        <v/>
      </c>
      <c r="D19" s="108" t="str">
        <f>IF(SUMIF('ANÁLISE DE DADOS'!F:F,A19,'ANÁLISE DE DADOS'!N:N)=0,"",SUMIF('ANÁLISE DE DADOS'!F:F,A19,'ANÁLISE DE DADOS'!AI:AI))</f>
        <v/>
      </c>
      <c r="E19" s="118" t="str">
        <f t="shared" si="0"/>
        <v/>
      </c>
    </row>
    <row r="20" spans="1:5" x14ac:dyDescent="0.3">
      <c r="A20" s="106">
        <v>45778</v>
      </c>
      <c r="B20" s="107">
        <v>500000</v>
      </c>
      <c r="C20" s="107" t="str">
        <f>IF(SUMIF('ANÁLISE DE DADOS'!F:F,A20,'ANÁLISE DE DADOS'!N:N)=0,"",SUMIF('ANÁLISE DE DADOS'!F:F,A20,'ANÁLISE DE DADOS'!AJ:AJ))</f>
        <v/>
      </c>
      <c r="D20" s="108" t="str">
        <f>IF(SUMIF('ANÁLISE DE DADOS'!F:F,A20,'ANÁLISE DE DADOS'!N:N)=0,"",SUMIF('ANÁLISE DE DADOS'!F:F,A20,'ANÁLISE DE DADOS'!AI:AI))</f>
        <v/>
      </c>
      <c r="E20" s="118" t="str">
        <f t="shared" si="0"/>
        <v/>
      </c>
    </row>
    <row r="21" spans="1:5" x14ac:dyDescent="0.3">
      <c r="A21" s="106">
        <v>45809</v>
      </c>
      <c r="B21" s="107">
        <v>250000</v>
      </c>
      <c r="C21" s="107" t="str">
        <f>IF(SUMIF('ANÁLISE DE DADOS'!F:F,A21,'ANÁLISE DE DADOS'!N:N)=0,"",SUMIF('ANÁLISE DE DADOS'!F:F,A21,'ANÁLISE DE DADOS'!AJ:AJ))</f>
        <v/>
      </c>
      <c r="D21" s="108" t="str">
        <f>IF(SUMIF('ANÁLISE DE DADOS'!F:F,A21,'ANÁLISE DE DADOS'!N:N)=0,"",SUMIF('ANÁLISE DE DADOS'!F:F,A21,'ANÁLISE DE DADOS'!AI:AI))</f>
        <v/>
      </c>
      <c r="E21" s="118" t="str">
        <f t="shared" si="0"/>
        <v/>
      </c>
    </row>
    <row r="22" spans="1:5" x14ac:dyDescent="0.3">
      <c r="A22" s="106">
        <v>45839</v>
      </c>
      <c r="B22" s="107">
        <v>750000</v>
      </c>
      <c r="C22" s="107" t="str">
        <f>IF(SUMIF('ANÁLISE DE DADOS'!F:F,A22,'ANÁLISE DE DADOS'!N:N)=0,"",SUMIF('ANÁLISE DE DADOS'!F:F,A22,'ANÁLISE DE DADOS'!AJ:AJ))</f>
        <v/>
      </c>
      <c r="D22" s="108" t="str">
        <f>IF(SUMIF('ANÁLISE DE DADOS'!F:F,A22,'ANÁLISE DE DADOS'!N:N)=0,"",SUMIF('ANÁLISE DE DADOS'!F:F,A22,'ANÁLISE DE DADOS'!AI:AI))</f>
        <v/>
      </c>
      <c r="E22" s="118" t="str">
        <f t="shared" si="0"/>
        <v/>
      </c>
    </row>
    <row r="23" spans="1:5" x14ac:dyDescent="0.3">
      <c r="A23" s="106">
        <v>45870</v>
      </c>
      <c r="B23" s="107">
        <v>1000000</v>
      </c>
      <c r="C23" s="107" t="str">
        <f>IF(SUMIF('ANÁLISE DE DADOS'!F:F,A23,'ANÁLISE DE DADOS'!N:N)=0,"",SUMIF('ANÁLISE DE DADOS'!F:F,A23,'ANÁLISE DE DADOS'!AJ:AJ))</f>
        <v/>
      </c>
      <c r="D23" s="108" t="str">
        <f>IF(SUMIF('ANÁLISE DE DADOS'!F:F,A23,'ANÁLISE DE DADOS'!N:N)=0,"",SUMIF('ANÁLISE DE DADOS'!F:F,A23,'ANÁLISE DE DADOS'!AI:AI))</f>
        <v/>
      </c>
      <c r="E23" s="118" t="str">
        <f t="shared" si="0"/>
        <v/>
      </c>
    </row>
    <row r="24" spans="1:5" x14ac:dyDescent="0.3">
      <c r="A24" s="106">
        <v>45901</v>
      </c>
      <c r="B24" s="107">
        <v>500000</v>
      </c>
      <c r="C24" s="107" t="str">
        <f>IF(SUMIF('ANÁLISE DE DADOS'!F:F,A24,'ANÁLISE DE DADOS'!N:N)=0,"",SUMIF('ANÁLISE DE DADOS'!F:F,A24,'ANÁLISE DE DADOS'!AJ:AJ))</f>
        <v/>
      </c>
      <c r="D24" s="108" t="str">
        <f>IF(SUMIF('ANÁLISE DE DADOS'!F:F,A24,'ANÁLISE DE DADOS'!N:N)=0,"",SUMIF('ANÁLISE DE DADOS'!F:F,A24,'ANÁLISE DE DADOS'!AI:AI))</f>
        <v/>
      </c>
      <c r="E24" s="118" t="str">
        <f t="shared" si="0"/>
        <v/>
      </c>
    </row>
    <row r="25" spans="1:5" x14ac:dyDescent="0.3">
      <c r="A25" s="106">
        <v>45931</v>
      </c>
      <c r="B25" s="107">
        <v>250000</v>
      </c>
      <c r="C25" s="107" t="str">
        <f>IF(SUMIF('ANÁLISE DE DADOS'!F:F,A25,'ANÁLISE DE DADOS'!N:N)=0,"",SUMIF('ANÁLISE DE DADOS'!F:F,A25,'ANÁLISE DE DADOS'!AJ:AJ))</f>
        <v/>
      </c>
      <c r="D25" s="108" t="str">
        <f>IF(SUMIF('ANÁLISE DE DADOS'!F:F,A25,'ANÁLISE DE DADOS'!N:N)=0,"",SUMIF('ANÁLISE DE DADOS'!F:F,A25,'ANÁLISE DE DADOS'!AI:AI))</f>
        <v/>
      </c>
      <c r="E25" s="118" t="str">
        <f t="shared" si="0"/>
        <v/>
      </c>
    </row>
    <row r="26" spans="1:5" x14ac:dyDescent="0.3">
      <c r="A26" s="106">
        <v>45962</v>
      </c>
      <c r="B26" s="107">
        <v>750000</v>
      </c>
      <c r="C26" s="107" t="str">
        <f>IF(SUMIF('ANÁLISE DE DADOS'!F:F,A26,'ANÁLISE DE DADOS'!N:N)=0,"",SUMIF('ANÁLISE DE DADOS'!F:F,A26,'ANÁLISE DE DADOS'!AJ:AJ))</f>
        <v/>
      </c>
      <c r="D26" s="108" t="str">
        <f>IF(SUMIF('ANÁLISE DE DADOS'!F:F,A26,'ANÁLISE DE DADOS'!N:N)=0,"",SUMIF('ANÁLISE DE DADOS'!F:F,A26,'ANÁLISE DE DADOS'!AI:AI))</f>
        <v/>
      </c>
      <c r="E26" s="118" t="str">
        <f t="shared" si="0"/>
        <v/>
      </c>
    </row>
    <row r="27" spans="1:5" x14ac:dyDescent="0.3">
      <c r="A27" s="106">
        <v>45992</v>
      </c>
      <c r="B27" s="107">
        <v>1000000</v>
      </c>
      <c r="C27" s="107" t="str">
        <f>IF(SUMIF('ANÁLISE DE DADOS'!F:F,A27,'ANÁLISE DE DADOS'!N:N)=0,"",SUMIF('ANÁLISE DE DADOS'!F:F,A27,'ANÁLISE DE DADOS'!AJ:AJ))</f>
        <v/>
      </c>
      <c r="D27" s="108" t="str">
        <f>IF(SUMIF('ANÁLISE DE DADOS'!F:F,A27,'ANÁLISE DE DADOS'!N:N)=0,"",SUMIF('ANÁLISE DE DADOS'!F:F,A27,'ANÁLISE DE DADOS'!AI:AI))</f>
        <v/>
      </c>
      <c r="E27" s="118" t="str">
        <f t="shared" si="0"/>
        <v/>
      </c>
    </row>
    <row r="28" spans="1:5" ht="19.95" customHeight="1" x14ac:dyDescent="0.3"/>
    <row r="29" spans="1:5" ht="19.95" customHeight="1" x14ac:dyDescent="0.3">
      <c r="A29" s="120"/>
      <c r="B29" s="123" t="s">
        <v>172</v>
      </c>
      <c r="C29" s="124" t="s">
        <v>173</v>
      </c>
      <c r="D29" s="125" t="s">
        <v>174</v>
      </c>
      <c r="E29" s="126" t="s">
        <v>91</v>
      </c>
    </row>
    <row r="30" spans="1:5" x14ac:dyDescent="0.3">
      <c r="A30" s="111" t="s">
        <v>95</v>
      </c>
      <c r="B30" s="107">
        <f>SUM(B4:B27)</f>
        <v>15000000</v>
      </c>
      <c r="C30" s="107">
        <f ca="1">SUM(C4:C27)</f>
        <v>2000</v>
      </c>
      <c r="D30" s="107">
        <f ca="1">SUM(D4:D27)</f>
        <v>145100</v>
      </c>
      <c r="E30" s="118">
        <f ca="1">IFERROR(D30/B30,"")</f>
        <v>9.6733333333333341E-3</v>
      </c>
    </row>
    <row r="31" spans="1:5" x14ac:dyDescent="0.3">
      <c r="A31" s="112" t="s">
        <v>175</v>
      </c>
      <c r="B31" s="107">
        <f>B30/B32</f>
        <v>625000</v>
      </c>
      <c r="C31" s="107">
        <f t="shared" ref="C31:E31" ca="1" si="1">C30/C32</f>
        <v>400</v>
      </c>
      <c r="D31" s="107">
        <f t="shared" ca="1" si="1"/>
        <v>29020</v>
      </c>
      <c r="E31" s="118">
        <f t="shared" ca="1" si="1"/>
        <v>1.9346666666666668E-3</v>
      </c>
    </row>
    <row r="32" spans="1:5" x14ac:dyDescent="0.3">
      <c r="A32" s="113" t="s">
        <v>176</v>
      </c>
      <c r="B32" s="110">
        <f>COUNT(B4:B27)</f>
        <v>24</v>
      </c>
      <c r="C32" s="110">
        <f ca="1">COUNT(C4:C27)</f>
        <v>5</v>
      </c>
      <c r="D32" s="110">
        <f ca="1">COUNT(D4:D27)</f>
        <v>5</v>
      </c>
      <c r="E32" s="110">
        <f ca="1">COUNT(E4:E27)</f>
        <v>5</v>
      </c>
    </row>
    <row r="33" spans="1:5" x14ac:dyDescent="0.3">
      <c r="A33" s="114" t="s">
        <v>177</v>
      </c>
      <c r="B33" s="107">
        <f>_xlfn.STDEV.P(B4:B27)</f>
        <v>279508.49718747369</v>
      </c>
      <c r="C33" s="107">
        <f ca="1">_xlfn.STDEV.P(C4:C27)</f>
        <v>800</v>
      </c>
      <c r="D33" s="107">
        <f ca="1">_xlfn.STDEV.P(D4:D27)</f>
        <v>31102.437203537604</v>
      </c>
      <c r="E33" s="104">
        <f ca="1">D30/D33</f>
        <v>4.6652292568087326</v>
      </c>
    </row>
    <row r="34" spans="1:5" x14ac:dyDescent="0.3">
      <c r="A34" s="115" t="s">
        <v>178</v>
      </c>
      <c r="B34" s="107">
        <f>_xlfn.VAR.S(B4:B27)</f>
        <v>81521739130.434784</v>
      </c>
      <c r="C34" s="107">
        <f ca="1">_xlfn.VAR.S(C4:C27)</f>
        <v>800000</v>
      </c>
      <c r="D34" s="107">
        <f ca="1">_xlfn.VAR.S(D4:D27)</f>
        <v>1209202000</v>
      </c>
      <c r="E34" s="118">
        <f ca="1">D30/D34</f>
        <v>1.1999649355525379E-4</v>
      </c>
    </row>
  </sheetData>
  <sheetProtection algorithmName="SHA-512" hashValue="gmz3THj6pPh+GwkQlraKDudAtGgjtpv3oSvjQ9QLzEFSgMQZfYXCmBlKQvjgWUrd3MASElKpkP8RCCzFtGOt2A==" saltValue="rN149+8eDn5+2a+nWPdgag==" spinCount="100000" sheet="1" objects="1" scenarios="1"/>
  <mergeCells count="1">
    <mergeCell ref="A1:E1"/>
  </mergeCells>
  <conditionalFormatting sqref="A4:A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31496062992125984" right="0.31496062992125984" top="0.78740157480314965" bottom="0.78740157480314965" header="0.31496062992125984" footer="0.31496062992125984"/>
  <pageSetup paperSize="9" scale="94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4B21-6769-4270-8799-4676FC15CC50}">
  <sheetPr codeName="Planilha19"/>
  <dimension ref="C5:S41"/>
  <sheetViews>
    <sheetView zoomScale="85" zoomScaleNormal="85" workbookViewId="0">
      <selection activeCell="I41" sqref="I41"/>
    </sheetView>
  </sheetViews>
  <sheetFormatPr defaultRowHeight="14.4" x14ac:dyDescent="0.3"/>
  <cols>
    <col min="3" max="3" width="15.88671875" bestFit="1" customWidth="1"/>
    <col min="4" max="4" width="17.88671875" bestFit="1" customWidth="1"/>
    <col min="6" max="6" width="30" style="7" bestFit="1" customWidth="1"/>
    <col min="7" max="7" width="40.33203125" style="7" customWidth="1"/>
    <col min="8" max="8" width="28.109375" style="2" bestFit="1" customWidth="1"/>
    <col min="9" max="9" width="14.21875" bestFit="1" customWidth="1"/>
    <col min="10" max="10" width="14.21875" customWidth="1"/>
    <col min="11" max="11" width="5.44140625" bestFit="1" customWidth="1"/>
    <col min="12" max="12" width="24.5546875" style="2" bestFit="1" customWidth="1"/>
    <col min="13" max="13" width="19" style="2" bestFit="1" customWidth="1"/>
    <col min="14" max="14" width="17.77734375" bestFit="1" customWidth="1"/>
    <col min="15" max="15" width="24.5546875" style="2" bestFit="1" customWidth="1"/>
    <col min="16" max="16" width="17.33203125" bestFit="1" customWidth="1"/>
    <col min="18" max="18" width="15.88671875" bestFit="1" customWidth="1"/>
    <col min="19" max="19" width="19.21875" style="2" bestFit="1" customWidth="1"/>
  </cols>
  <sheetData>
    <row r="5" spans="3:16" x14ac:dyDescent="0.3">
      <c r="F5" s="176" t="s">
        <v>99</v>
      </c>
      <c r="G5" s="176"/>
      <c r="H5" s="176"/>
      <c r="I5" s="176"/>
      <c r="J5" s="29"/>
    </row>
    <row r="6" spans="3:16" x14ac:dyDescent="0.3">
      <c r="C6" s="2" t="s">
        <v>114</v>
      </c>
      <c r="D6" s="2" t="s">
        <v>115</v>
      </c>
      <c r="F6" s="177"/>
      <c r="G6" s="177"/>
      <c r="H6" s="177"/>
      <c r="I6" s="177"/>
      <c r="J6" s="29"/>
      <c r="K6" t="s">
        <v>118</v>
      </c>
      <c r="L6" s="3" t="s">
        <v>97</v>
      </c>
      <c r="M6" s="3" t="s">
        <v>84</v>
      </c>
      <c r="N6" s="3" t="s">
        <v>82</v>
      </c>
      <c r="O6" s="3" t="s">
        <v>85</v>
      </c>
      <c r="P6" s="3" t="s">
        <v>117</v>
      </c>
    </row>
    <row r="7" spans="3:16" x14ac:dyDescent="0.3">
      <c r="C7" s="7">
        <v>45292</v>
      </c>
      <c r="D7" s="2">
        <v>300000000</v>
      </c>
      <c r="F7" s="9" t="s">
        <v>112</v>
      </c>
      <c r="G7" s="10" t="s">
        <v>90</v>
      </c>
      <c r="H7" s="10" t="s">
        <v>92</v>
      </c>
      <c r="I7" s="11" t="s">
        <v>91</v>
      </c>
      <c r="J7" s="33"/>
      <c r="L7" s="3">
        <f ca="1">SUMIF('DADOS FINANCEIROS'!M8:M79, "Vencido", 'DADOS FINANCEIROS'!H8:H79)</f>
        <v>145100</v>
      </c>
      <c r="M7" s="3">
        <f>SUMIF('DADOS FINANCEIROS'!J8:J1048576, "ANALISTA GUSTAVO",'DADOS FINANCEIROS'!H8:H1048576)</f>
        <v>54600</v>
      </c>
      <c r="N7" s="3">
        <f>SUMIF('DADOS FINANCEIROS'!J8:J1048576, "ANALISTA LUCAS",'DADOS FINANCEIROS'!H8:H1048576)</f>
        <v>45600</v>
      </c>
      <c r="O7" s="3">
        <f>SUMIF('DADOS FINANCEIROS'!J8:J1048576, "ANALISTA SIMONE",'DADOS FINANCEIROS'!H8:H1048576)</f>
        <v>49600</v>
      </c>
      <c r="P7" s="32">
        <f ca="1">L7/H38*100</f>
        <v>6.4970149253731332E-2</v>
      </c>
    </row>
    <row r="8" spans="3:16" x14ac:dyDescent="0.3">
      <c r="C8" s="7">
        <v>45323</v>
      </c>
      <c r="D8" s="2">
        <v>400000000</v>
      </c>
      <c r="F8" s="14" t="s">
        <v>100</v>
      </c>
      <c r="G8" s="15">
        <f t="shared" ref="G8:G19" si="0">D7</f>
        <v>300000000</v>
      </c>
      <c r="H8" s="3">
        <f ca="1">SUMIFS(
    'DADOS FINANCEIROS'!$H$8:$H$79,
    'DADOS FINANCEIROS'!$F$8:$F$79,"&gt;=01/01/2024",
    'DADOS FINANCEIROS'!$F$8:$F$79, "&lt;=31/01/2024",
    'DADOS FINANCEIROS'!$M$8:$M$79, "Vencido"
)</f>
        <v>1400</v>
      </c>
      <c r="I8" s="19">
        <f ca="1">IFERROR(H8/G8*100, 0)</f>
        <v>4.6666666666666661E-4</v>
      </c>
      <c r="J8" s="34"/>
      <c r="L8" s="5"/>
      <c r="M8" s="31"/>
      <c r="N8" s="2"/>
      <c r="P8" s="5"/>
    </row>
    <row r="9" spans="3:16" x14ac:dyDescent="0.3">
      <c r="C9" s="7">
        <v>45352</v>
      </c>
      <c r="D9" s="2">
        <v>200000000</v>
      </c>
      <c r="F9" s="14" t="s">
        <v>101</v>
      </c>
      <c r="G9" s="15">
        <f t="shared" si="0"/>
        <v>400000000</v>
      </c>
      <c r="H9" s="3">
        <f>SUMIFS(
    'DADOS FINANCEIROS'!$H$8:$H$79,
    'DADOS FINANCEIROS'!$F$8:$F$79,"&gt;=01/02/2024",
    'DADOS FINANCEIROS'!$F$8:$F$79, "&lt;=28/02/2024",
    'DADOS FINANCEIROS'!$M$8:$M$79, "Vencido"
)</f>
        <v>0</v>
      </c>
      <c r="I9" s="19">
        <f t="shared" ref="I9:I33" si="1">IFERROR(H9/G9*100, 0)</f>
        <v>0</v>
      </c>
      <c r="J9" s="34"/>
    </row>
    <row r="10" spans="3:16" x14ac:dyDescent="0.3">
      <c r="C10" s="7">
        <v>45383</v>
      </c>
      <c r="D10" s="2">
        <v>800000000</v>
      </c>
      <c r="F10" s="14" t="s">
        <v>102</v>
      </c>
      <c r="G10" s="15">
        <f t="shared" si="0"/>
        <v>200000000</v>
      </c>
      <c r="H10" s="3">
        <f>SUMIFS(
    'DADOS FINANCEIROS'!$H$8:$H$79,
    'DADOS FINANCEIROS'!$F$8:$F$79,"&gt;=01/03/2024",
    'DADOS FINANCEIROS'!$F$8:$F$79, "&lt;=31/03/2024",
    'DADOS FINANCEIROS'!$M$8:$M$79, "Vencido"
)</f>
        <v>0</v>
      </c>
      <c r="I10" s="19">
        <f t="shared" si="1"/>
        <v>0</v>
      </c>
      <c r="J10" s="34"/>
    </row>
    <row r="11" spans="3:16" x14ac:dyDescent="0.3">
      <c r="C11" s="7">
        <v>45413</v>
      </c>
      <c r="D11" s="2">
        <v>100000000</v>
      </c>
      <c r="F11" s="16" t="s">
        <v>103</v>
      </c>
      <c r="G11" s="15">
        <f t="shared" si="0"/>
        <v>800000000</v>
      </c>
      <c r="H11" s="3">
        <f>SUMIFS(
    'DADOS FINANCEIROS'!$H$8:$H$79,
    'DADOS FINANCEIROS'!$F$8:$F$79,"&gt;=01/04/2024",
    'DADOS FINANCEIROS'!$F$8:$F$79, "&lt;=30/04/2024",
    'DADOS FINANCEIROS'!$M$8:$M$79, "Vencido"
)</f>
        <v>0</v>
      </c>
      <c r="I11" s="19">
        <f t="shared" si="1"/>
        <v>0</v>
      </c>
      <c r="J11" s="34"/>
    </row>
    <row r="12" spans="3:16" x14ac:dyDescent="0.3">
      <c r="C12" s="7">
        <v>45444</v>
      </c>
      <c r="D12" s="2">
        <v>100000000</v>
      </c>
      <c r="F12" s="16" t="s">
        <v>104</v>
      </c>
      <c r="G12" s="15">
        <f t="shared" si="0"/>
        <v>100000000</v>
      </c>
      <c r="H12" s="3">
        <f>SUMIFS(
    'DADOS FINANCEIROS'!$H$8:$H$79,
    'DADOS FINANCEIROS'!$F$8:$F$79,"&gt;=01/05/2024",
    'DADOS FINANCEIROS'!$F$8:$F$79, "&lt;=31/05/2024",
    'DADOS FINANCEIROS'!$M$8:$M$79, "Vencido"
)</f>
        <v>0</v>
      </c>
      <c r="I12" s="19">
        <f t="shared" si="1"/>
        <v>0</v>
      </c>
      <c r="J12" s="34"/>
    </row>
    <row r="13" spans="3:16" x14ac:dyDescent="0.3">
      <c r="C13" s="7">
        <v>45474</v>
      </c>
      <c r="D13" s="2">
        <v>100000000</v>
      </c>
      <c r="F13" s="16" t="s">
        <v>105</v>
      </c>
      <c r="G13" s="15">
        <f t="shared" si="0"/>
        <v>100000000</v>
      </c>
      <c r="H13" s="3">
        <f>SUMIFS(
    'DADOS FINANCEIROS'!$H$8:$H$79,
    'DADOS FINANCEIROS'!$F$8:$F$79,"&gt;=01/06/2024",
    'DADOS FINANCEIROS'!$F$8:$F$79, "&lt;=30/06/2024",
    'DADOS FINANCEIROS'!$M$8:$M$79, "Vencido"
)</f>
        <v>0</v>
      </c>
      <c r="I13" s="19">
        <f t="shared" si="1"/>
        <v>0</v>
      </c>
      <c r="J13" s="34"/>
    </row>
    <row r="14" spans="3:16" x14ac:dyDescent="0.3">
      <c r="C14" s="7">
        <v>45505</v>
      </c>
      <c r="D14" s="2">
        <v>100000000</v>
      </c>
      <c r="F14" s="17" t="s">
        <v>106</v>
      </c>
      <c r="G14" s="15">
        <f t="shared" si="0"/>
        <v>100000000</v>
      </c>
      <c r="H14" s="3">
        <f>SUMIFS(
    'DADOS FINANCEIROS'!$H$8:$H$79,
    'DADOS FINANCEIROS'!$F$8:$F$79,"&gt;=01/07/2024",
    'DADOS FINANCEIROS'!$F$8:$F$79, "&lt;=31/07/2024",
    'DADOS FINANCEIROS'!$M$8:$M$79, "Vencido"
)</f>
        <v>0</v>
      </c>
      <c r="I14" s="19">
        <f t="shared" si="1"/>
        <v>0</v>
      </c>
      <c r="J14" s="34"/>
    </row>
    <row r="15" spans="3:16" x14ac:dyDescent="0.3">
      <c r="C15" s="7">
        <v>45536</v>
      </c>
      <c r="D15" s="2">
        <v>100000000</v>
      </c>
      <c r="F15" s="17" t="s">
        <v>107</v>
      </c>
      <c r="G15" s="15">
        <f t="shared" si="0"/>
        <v>100000000</v>
      </c>
      <c r="H15" s="3">
        <f>SUMIFS(
    'DADOS FINANCEIROS'!$H$8:$H$79,
    'DADOS FINANCEIROS'!$F$8:$F$79,"&gt;=01/08/2024",
    'DADOS FINANCEIROS'!$F$8:$F$79, "&lt;=31/08/2024",
    'DADOS FINANCEIROS'!$M$8:$M$79, "Vencido"
)</f>
        <v>0</v>
      </c>
      <c r="I15" s="19">
        <f t="shared" si="1"/>
        <v>0</v>
      </c>
      <c r="J15" s="34"/>
    </row>
    <row r="16" spans="3:16" x14ac:dyDescent="0.3">
      <c r="C16" s="7">
        <v>45566</v>
      </c>
      <c r="D16" s="2">
        <v>100000000</v>
      </c>
      <c r="F16" s="17" t="s">
        <v>108</v>
      </c>
      <c r="G16" s="15">
        <f t="shared" si="0"/>
        <v>100000000</v>
      </c>
      <c r="H16" s="3">
        <f>SUMIFS(
    'DADOS FINANCEIROS'!$H$8:$H$79,
    'DADOS FINANCEIROS'!$F$8:$F$79,"&gt;=01/09/2024",
    'DADOS FINANCEIROS'!$F$8:$F$79, "&lt;=30/09/2024",
    'DADOS FINANCEIROS'!$M$8:$M$79, "Vencido"
)</f>
        <v>0</v>
      </c>
      <c r="I16" s="19">
        <f t="shared" si="1"/>
        <v>0</v>
      </c>
      <c r="J16" s="34"/>
    </row>
    <row r="17" spans="3:18" x14ac:dyDescent="0.3">
      <c r="C17" s="7">
        <v>45597</v>
      </c>
      <c r="D17" s="2">
        <v>300000000</v>
      </c>
      <c r="F17" s="18" t="s">
        <v>109</v>
      </c>
      <c r="G17" s="15">
        <f t="shared" si="0"/>
        <v>100000000</v>
      </c>
      <c r="H17" s="3">
        <f>SUMIFS(
    'DADOS FINANCEIROS'!$H$8:$H$79,
    'DADOS FINANCEIROS'!$F$8:$F$79,"&gt;=01/10/2024",
    'DADOS FINANCEIROS'!$F$8:$F$79, "&lt;=31/10/2024",
    'DADOS FINANCEIROS'!$M$8:$M$79, "Vencido"
)</f>
        <v>0</v>
      </c>
      <c r="I17" s="19">
        <f t="shared" si="1"/>
        <v>0</v>
      </c>
      <c r="J17" s="34"/>
    </row>
    <row r="18" spans="3:18" x14ac:dyDescent="0.3">
      <c r="C18" s="7">
        <v>45627</v>
      </c>
      <c r="D18" s="2">
        <v>300000000</v>
      </c>
      <c r="F18" s="18" t="s">
        <v>110</v>
      </c>
      <c r="G18" s="15">
        <f t="shared" si="0"/>
        <v>300000000</v>
      </c>
      <c r="H18" s="3">
        <f>SUMIFS(
    'DADOS FINANCEIROS'!$H$8:$H$79,
    'DADOS FINANCEIROS'!$F$8:$F$79,"&gt;=01/11/2024",
    'DADOS FINANCEIROS'!$F$8:$F$79, "&lt;=30/11/2024",
    'DADOS FINANCEIROS'!$M$8:$M$79, "Vencido"
)</f>
        <v>0</v>
      </c>
      <c r="I18" s="19">
        <f t="shared" si="1"/>
        <v>0</v>
      </c>
      <c r="J18" s="34"/>
    </row>
    <row r="19" spans="3:18" x14ac:dyDescent="0.3">
      <c r="C19" s="7">
        <v>45658</v>
      </c>
      <c r="D19" s="2">
        <v>200000000</v>
      </c>
      <c r="F19" s="18" t="s">
        <v>111</v>
      </c>
      <c r="G19" s="15">
        <f t="shared" si="0"/>
        <v>300000000</v>
      </c>
      <c r="H19" s="3">
        <f>SUMIFS(
    'DADOS FINANCEIROS'!$H$8:$H$79,
    'DADOS FINANCEIROS'!$F$8:$F$79,"&gt;=01/12/2024",
    'DADOS FINANCEIROS'!$F$8:$F$79, "&lt;=31/12/2024",
    'DADOS FINANCEIROS'!$M$8:$M$79, "Vencido"
)</f>
        <v>0</v>
      </c>
      <c r="I19" s="19">
        <f t="shared" si="1"/>
        <v>0</v>
      </c>
      <c r="J19" s="34"/>
    </row>
    <row r="20" spans="3:18" x14ac:dyDescent="0.3">
      <c r="C20" s="7">
        <v>45689</v>
      </c>
      <c r="D20" s="2">
        <v>150000000</v>
      </c>
      <c r="F20" s="174" t="s">
        <v>116</v>
      </c>
      <c r="G20" s="174"/>
      <c r="H20" s="174"/>
      <c r="I20" s="174"/>
      <c r="J20" s="35"/>
      <c r="R20" s="7"/>
    </row>
    <row r="21" spans="3:18" x14ac:dyDescent="0.3">
      <c r="C21" s="7">
        <v>45717</v>
      </c>
      <c r="D21" s="2">
        <v>100000000</v>
      </c>
      <c r="F21" s="175"/>
      <c r="G21" s="175"/>
      <c r="H21" s="175"/>
      <c r="I21" s="175"/>
      <c r="J21" s="35"/>
      <c r="R21" s="7"/>
    </row>
    <row r="22" spans="3:18" x14ac:dyDescent="0.3">
      <c r="C22" s="7">
        <v>45748</v>
      </c>
      <c r="F22" s="13" t="s">
        <v>100</v>
      </c>
      <c r="G22" s="12">
        <f>D19</f>
        <v>200000000</v>
      </c>
      <c r="H22" s="12">
        <f ca="1">SUMIFS(
    'DADOS FINANCEIROS'!$H$8:$H$79,
    'DADOS FINANCEIROS'!$F$8:$F$79,"&gt;=01/01/2025",
    'DADOS FINANCEIROS'!$F$8:$F$79, "&lt;=31/01/2025",
    'DADOS FINANCEIROS'!$M$8:$M$79, "Vencido"
)</f>
        <v>2000</v>
      </c>
      <c r="I22" s="19">
        <f t="shared" ca="1" si="1"/>
        <v>1E-3</v>
      </c>
      <c r="J22" s="34"/>
      <c r="R22" s="7"/>
    </row>
    <row r="23" spans="3:18" x14ac:dyDescent="0.3">
      <c r="C23" s="7">
        <v>45778</v>
      </c>
      <c r="F23" s="8" t="s">
        <v>101</v>
      </c>
      <c r="G23" s="12">
        <f t="shared" ref="G23:G33" si="2">D20</f>
        <v>150000000</v>
      </c>
      <c r="H23" s="3">
        <f ca="1">SUMIFS(
    'DADOS FINANCEIROS'!$H$8:$H$79,
    'DADOS FINANCEIROS'!$F$8:$F$79,"&gt;=01/02/2025",
    'DADOS FINANCEIROS'!$F$8:$F$79, "&lt;=28/02/2025",
    'DADOS FINANCEIROS'!$M$8:$M$79, "Vencido"
)</f>
        <v>80200</v>
      </c>
      <c r="I23" s="19">
        <f t="shared" ca="1" si="1"/>
        <v>5.3466666666666669E-2</v>
      </c>
      <c r="J23" s="34"/>
      <c r="R23" s="7"/>
    </row>
    <row r="24" spans="3:18" x14ac:dyDescent="0.3">
      <c r="C24" s="7">
        <v>45809</v>
      </c>
      <c r="F24" s="8" t="s">
        <v>102</v>
      </c>
      <c r="G24" s="12">
        <f t="shared" si="2"/>
        <v>100000000</v>
      </c>
      <c r="H24" s="3">
        <f ca="1">SUMIFS(
    'DADOS FINANCEIROS'!$H$8:$H$79,
    'DADOS FINANCEIROS'!$F$8:$F$79,"&gt;=01/03/2025",
    'DADOS FINANCEIROS'!$F$8:$F$79, "&lt;=31/03/2025",
    'DADOS FINANCEIROS'!$M$8:$M$79, "Vencido"
)</f>
        <v>61500</v>
      </c>
      <c r="I24" s="19">
        <f t="shared" ca="1" si="1"/>
        <v>6.1499999999999999E-2</v>
      </c>
      <c r="J24" s="34"/>
      <c r="R24" s="7"/>
    </row>
    <row r="25" spans="3:18" x14ac:dyDescent="0.3">
      <c r="C25" s="7">
        <v>45839</v>
      </c>
      <c r="F25" s="8" t="s">
        <v>103</v>
      </c>
      <c r="G25" s="12">
        <f t="shared" si="2"/>
        <v>0</v>
      </c>
      <c r="H25" s="3">
        <f>SUMIFS(
    'DADOS FINANCEIROS'!$H$8:$H$79,
    'DADOS FINANCEIROS'!$F$8:$F$79,"&gt;=01/04/2025",
    'DADOS FINANCEIROS'!$F$8:$F$79, "&lt;=30/04/2025",
    'DADOS FINANCEIROS'!$M$8:$M$79, "Vencido"
)</f>
        <v>0</v>
      </c>
      <c r="I25" s="19">
        <f t="shared" si="1"/>
        <v>0</v>
      </c>
      <c r="J25" s="34"/>
      <c r="R25" s="7"/>
    </row>
    <row r="26" spans="3:18" x14ac:dyDescent="0.3">
      <c r="C26" s="7">
        <v>45870</v>
      </c>
      <c r="F26" s="8" t="s">
        <v>104</v>
      </c>
      <c r="G26" s="12">
        <f t="shared" si="2"/>
        <v>0</v>
      </c>
      <c r="H26" s="3">
        <f>SUMIFS(
    'DADOS FINANCEIROS'!$H$8:$H$79,
    'DADOS FINANCEIROS'!$F$8:$F$79,"&gt;=01/05/2025",
    'DADOS FINANCEIROS'!$F$8:$F$79, "&lt;=31/05/2025",
    'DADOS FINANCEIROS'!$M$8:$M$79, "Vencido"
)</f>
        <v>0</v>
      </c>
      <c r="I26" s="19">
        <f t="shared" si="1"/>
        <v>0</v>
      </c>
      <c r="J26" s="34"/>
      <c r="R26" s="7"/>
    </row>
    <row r="27" spans="3:18" x14ac:dyDescent="0.3">
      <c r="C27" s="7">
        <v>45901</v>
      </c>
      <c r="F27" s="8" t="s">
        <v>105</v>
      </c>
      <c r="G27" s="12">
        <f t="shared" si="2"/>
        <v>0</v>
      </c>
      <c r="H27" s="3">
        <f>SUMIFS(
    'DADOS FINANCEIROS'!$H$8:$H$79,
    'DADOS FINANCEIROS'!$F$8:$F$79,"&gt;=01/06/2025",
    'DADOS FINANCEIROS'!$F$8:$F$79, "&lt;=30/06/2025",
    'DADOS FINANCEIROS'!$M$8:$M$79, "Vencido"
)</f>
        <v>0</v>
      </c>
      <c r="I27" s="19">
        <f t="shared" si="1"/>
        <v>0</v>
      </c>
      <c r="J27" s="34"/>
      <c r="R27" s="7"/>
    </row>
    <row r="28" spans="3:18" x14ac:dyDescent="0.3">
      <c r="C28" s="7">
        <v>45931</v>
      </c>
      <c r="F28" s="8" t="s">
        <v>106</v>
      </c>
      <c r="G28" s="12">
        <f t="shared" si="2"/>
        <v>0</v>
      </c>
      <c r="H28" s="3">
        <f>SUMIFS(
    'DADOS FINANCEIROS'!$H$8:$H$79,
    'DADOS FINANCEIROS'!$F$8:$F$79,"&gt;=01/07/2025",
    'DADOS FINANCEIROS'!$F$8:$F$79, "&lt;=31/07/2025",
    'DADOS FINANCEIROS'!$M$8:$M$79, "Vencido"
)</f>
        <v>0</v>
      </c>
      <c r="I28" s="19">
        <f t="shared" si="1"/>
        <v>0</v>
      </c>
      <c r="J28" s="34"/>
      <c r="R28" s="7"/>
    </row>
    <row r="29" spans="3:18" x14ac:dyDescent="0.3">
      <c r="C29" s="7">
        <v>45962</v>
      </c>
      <c r="F29" s="8" t="s">
        <v>107</v>
      </c>
      <c r="G29" s="12">
        <f t="shared" si="2"/>
        <v>0</v>
      </c>
      <c r="H29" s="3">
        <f>SUMIFS(
    'DADOS FINANCEIROS'!$H$8:$H$79,
    'DADOS FINANCEIROS'!$F$8:$F$79,"&gt;=01/08/2025",
    'DADOS FINANCEIROS'!$F$8:$F$79, "&lt;=31/08/2025",
    'DADOS FINANCEIROS'!$M$8:$M$79, "Vencido"
)</f>
        <v>0</v>
      </c>
      <c r="I29" s="19">
        <f t="shared" si="1"/>
        <v>0</v>
      </c>
      <c r="J29" s="34"/>
      <c r="R29" s="7"/>
    </row>
    <row r="30" spans="3:18" x14ac:dyDescent="0.3">
      <c r="C30" s="7">
        <v>45992</v>
      </c>
      <c r="F30" s="8" t="s">
        <v>108</v>
      </c>
      <c r="G30" s="12">
        <f t="shared" si="2"/>
        <v>0</v>
      </c>
      <c r="H30" s="3">
        <f>SUMIFS(
    'DADOS FINANCEIROS'!$H$8:$H$79,
    'DADOS FINANCEIROS'!$F$8:$F$79,"&gt;=01/09/2025",
    'DADOS FINANCEIROS'!$F$8:$F$79, "&lt;=30/09/2025",
    'DADOS FINANCEIROS'!$M$8:$M$79, "Vencido"
)</f>
        <v>0</v>
      </c>
      <c r="I30" s="19">
        <f t="shared" si="1"/>
        <v>0</v>
      </c>
      <c r="J30" s="34"/>
      <c r="R30" s="7"/>
    </row>
    <row r="31" spans="3:18" x14ac:dyDescent="0.3">
      <c r="F31" s="8" t="s">
        <v>109</v>
      </c>
      <c r="G31" s="12">
        <f t="shared" si="2"/>
        <v>0</v>
      </c>
      <c r="H31" s="3">
        <f>SUMIFS(
    'DADOS FINANCEIROS'!$H$8:$H$79,
    'DADOS FINANCEIROS'!$F$8:$F$79,"&gt;=01/10/2025",
    'DADOS FINANCEIROS'!$F$8:$F$79, "&lt;=31/10/2025",
    'DADOS FINANCEIROS'!$M$8:$M$79, "Vencido"
)</f>
        <v>0</v>
      </c>
      <c r="I31" s="19">
        <f t="shared" si="1"/>
        <v>0</v>
      </c>
      <c r="J31" s="34"/>
      <c r="R31" s="7"/>
    </row>
    <row r="32" spans="3:18" x14ac:dyDescent="0.3">
      <c r="F32" s="8" t="s">
        <v>110</v>
      </c>
      <c r="G32" s="12">
        <f t="shared" si="2"/>
        <v>0</v>
      </c>
      <c r="H32" s="3">
        <f>SUMIFS(
    'DADOS FINANCEIROS'!$H$8:$H$79,
    'DADOS FINANCEIROS'!$F$8:$F$79,"&gt;=01/11/2025",
    'DADOS FINANCEIROS'!$F$8:$F$79, "&lt;=30/11/2025",
    'DADOS FINANCEIROS'!$M$8:$M$79, "Vencido"
)</f>
        <v>0</v>
      </c>
      <c r="I32" s="19">
        <f t="shared" si="1"/>
        <v>0</v>
      </c>
      <c r="J32" s="34"/>
      <c r="R32" s="7"/>
    </row>
    <row r="33" spans="6:19" x14ac:dyDescent="0.3">
      <c r="F33" s="8" t="s">
        <v>111</v>
      </c>
      <c r="G33" s="12">
        <f t="shared" si="2"/>
        <v>0</v>
      </c>
      <c r="H33" s="3">
        <f>SUMIFS(
    'DADOS FINANCEIROS'!$H$8:$H$79,
    'DADOS FINANCEIROS'!$F$8:$F$79,"&gt;=01/12/2025",
    'DADOS FINANCEIROS'!$F$8:$F$79, "&lt;=31/12/2025",
    'DADOS FINANCEIROS'!$M$8:$M$79, "Vencido"
)</f>
        <v>0</v>
      </c>
      <c r="I33" s="19">
        <f t="shared" si="1"/>
        <v>0</v>
      </c>
      <c r="J33" s="34"/>
      <c r="R33" s="7">
        <v>45689</v>
      </c>
      <c r="S33" s="2">
        <v>550000000</v>
      </c>
    </row>
    <row r="34" spans="6:19" x14ac:dyDescent="0.3">
      <c r="G34" s="2"/>
      <c r="I34" s="20"/>
      <c r="J34" s="20"/>
      <c r="R34" s="7"/>
    </row>
    <row r="35" spans="6:19" x14ac:dyDescent="0.3">
      <c r="F35" s="28" t="s">
        <v>95</v>
      </c>
      <c r="G35" s="2">
        <f>SUM(G8:G19,G22:G33)</f>
        <v>3350000000</v>
      </c>
      <c r="H35" s="2">
        <f ca="1">SUM(H8:H19,H22:H33)</f>
        <v>145100</v>
      </c>
      <c r="I35" s="6"/>
      <c r="J35" s="6"/>
    </row>
    <row r="36" spans="6:19" x14ac:dyDescent="0.3">
      <c r="I36" s="6"/>
      <c r="J36" s="6"/>
    </row>
    <row r="37" spans="6:19" x14ac:dyDescent="0.3">
      <c r="F37" s="21" t="s">
        <v>95</v>
      </c>
      <c r="G37" s="22"/>
      <c r="H37" s="23">
        <f>G35</f>
        <v>3350000000</v>
      </c>
      <c r="I37" s="24">
        <f ca="1">H35/G35*100</f>
        <v>4.3313432835820889E-3</v>
      </c>
      <c r="J37" s="36"/>
    </row>
    <row r="38" spans="6:19" x14ac:dyDescent="0.3">
      <c r="F38" s="21" t="s">
        <v>93</v>
      </c>
      <c r="G38" s="22"/>
      <c r="H38" s="25">
        <f>G35/15</f>
        <v>223333333.33333334</v>
      </c>
      <c r="I38" s="26">
        <f ca="1">H35/H38*100</f>
        <v>6.4970149253731332E-2</v>
      </c>
      <c r="J38" s="37"/>
      <c r="K38" s="2"/>
    </row>
    <row r="39" spans="6:19" x14ac:dyDescent="0.3">
      <c r="F39" s="21" t="s">
        <v>94</v>
      </c>
      <c r="G39" s="22"/>
      <c r="H39" s="27">
        <f>SUBTOTAL(3,G8:G19,G22:G33)</f>
        <v>24</v>
      </c>
      <c r="I39" s="26">
        <f ca="1">H35/H39*100</f>
        <v>604583.33333333326</v>
      </c>
      <c r="J39" s="37"/>
    </row>
    <row r="40" spans="6:19" x14ac:dyDescent="0.3">
      <c r="F40" s="21" t="s">
        <v>96</v>
      </c>
      <c r="G40" s="22"/>
      <c r="H40" s="23">
        <f>_xlfn.STDEV.P(G8:G19,G22:G33)</f>
        <v>179686745.16749668</v>
      </c>
      <c r="I40" s="26">
        <f ca="1">H35/H40*100</f>
        <v>8.075164356989363E-2</v>
      </c>
      <c r="J40" s="37"/>
    </row>
    <row r="41" spans="6:19" x14ac:dyDescent="0.3">
      <c r="F41" s="21" t="s">
        <v>113</v>
      </c>
      <c r="G41" s="22"/>
      <c r="H41" s="23">
        <f>_xlfn.VAR.S(G8:G19,G22:G33)</f>
        <v>3.3691123188405792E+16</v>
      </c>
      <c r="I41" s="24">
        <f ca="1">H35/H41*100</f>
        <v>4.3067724156472645E-10</v>
      </c>
      <c r="J41" s="36"/>
    </row>
  </sheetData>
  <mergeCells count="2">
    <mergeCell ref="F20:I21"/>
    <mergeCell ref="F5:I6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&amp;C
TETE
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B65A-06F9-4E40-A05A-CAC2DFD82740}">
  <sheetPr>
    <tabColor rgb="FFFFC000"/>
  </sheetPr>
  <dimension ref="A4:D11"/>
  <sheetViews>
    <sheetView workbookViewId="0">
      <selection activeCell="I23" sqref="I23"/>
    </sheetView>
  </sheetViews>
  <sheetFormatPr defaultRowHeight="14.4" x14ac:dyDescent="0.3"/>
  <cols>
    <col min="1" max="1" width="10" bestFit="1" customWidth="1"/>
    <col min="2" max="2" width="18.44140625" style="46" bestFit="1" customWidth="1"/>
    <col min="3" max="4" width="18.77734375" style="30" bestFit="1" customWidth="1"/>
  </cols>
  <sheetData>
    <row r="4" spans="1:4" x14ac:dyDescent="0.3">
      <c r="A4" s="38" t="s">
        <v>168</v>
      </c>
      <c r="B4" s="30" t="s">
        <v>171</v>
      </c>
      <c r="C4" s="30" t="s">
        <v>170</v>
      </c>
      <c r="D4"/>
    </row>
    <row r="5" spans="1:4" x14ac:dyDescent="0.3">
      <c r="A5" s="39" t="s">
        <v>180</v>
      </c>
      <c r="B5" s="46">
        <v>0</v>
      </c>
      <c r="C5" s="46">
        <v>0</v>
      </c>
      <c r="D5"/>
    </row>
    <row r="6" spans="1:4" x14ac:dyDescent="0.3">
      <c r="A6" s="39" t="s">
        <v>181</v>
      </c>
      <c r="B6" s="46">
        <v>0</v>
      </c>
      <c r="C6" s="46">
        <v>1400</v>
      </c>
      <c r="D6"/>
    </row>
    <row r="7" spans="1:4" x14ac:dyDescent="0.3">
      <c r="A7" s="39" t="s">
        <v>182</v>
      </c>
      <c r="B7" s="46">
        <v>2000</v>
      </c>
      <c r="C7" s="46">
        <v>0</v>
      </c>
      <c r="D7"/>
    </row>
    <row r="8" spans="1:4" x14ac:dyDescent="0.3">
      <c r="A8" s="39" t="s">
        <v>147</v>
      </c>
      <c r="B8" s="46">
        <v>0</v>
      </c>
      <c r="C8" s="46">
        <v>43400</v>
      </c>
      <c r="D8"/>
    </row>
    <row r="9" spans="1:4" x14ac:dyDescent="0.3">
      <c r="A9" s="39" t="s">
        <v>146</v>
      </c>
      <c r="B9" s="46">
        <v>0</v>
      </c>
      <c r="C9" s="46">
        <v>82800</v>
      </c>
      <c r="D9"/>
    </row>
    <row r="10" spans="1:4" x14ac:dyDescent="0.3">
      <c r="A10" s="39" t="s">
        <v>148</v>
      </c>
      <c r="B10" s="46">
        <v>0</v>
      </c>
      <c r="C10" s="46">
        <v>17500</v>
      </c>
      <c r="D10"/>
    </row>
    <row r="11" spans="1:4" x14ac:dyDescent="0.3">
      <c r="A11" s="39" t="s">
        <v>119</v>
      </c>
      <c r="B11" s="46">
        <v>2000</v>
      </c>
      <c r="C11" s="46">
        <v>145100</v>
      </c>
      <c r="D11"/>
    </row>
  </sheetData>
  <pageMargins left="0.511811024" right="0.511811024" top="0.78740157499999996" bottom="0.78740157499999996" header="0.31496062000000002" footer="0.31496062000000002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B0B5-19F3-4C52-8A40-628F5389D1CD}">
  <sheetPr codeName="Planilha20"/>
  <dimension ref="A3:Y29"/>
  <sheetViews>
    <sheetView zoomScaleNormal="100" workbookViewId="0">
      <selection activeCell="H12" sqref="H12"/>
    </sheetView>
  </sheetViews>
  <sheetFormatPr defaultColWidth="19.33203125" defaultRowHeight="14.4" x14ac:dyDescent="0.3"/>
  <cols>
    <col min="1" max="1" width="51.5546875" bestFit="1" customWidth="1"/>
    <col min="2" max="2" width="23.44140625" bestFit="1" customWidth="1"/>
    <col min="3" max="3" width="2.21875" customWidth="1"/>
    <col min="4" max="4" width="11.109375" bestFit="1" customWidth="1"/>
    <col min="5" max="5" width="16.21875" bestFit="1" customWidth="1"/>
    <col min="6" max="6" width="8" bestFit="1" customWidth="1"/>
    <col min="7" max="7" width="2.21875" customWidth="1"/>
    <col min="8" max="8" width="12.33203125" bestFit="1" customWidth="1"/>
    <col min="9" max="9" width="14.88671875" bestFit="1" customWidth="1"/>
    <col min="10" max="10" width="8" bestFit="1" customWidth="1"/>
    <col min="11" max="11" width="2.21875" customWidth="1"/>
    <col min="12" max="12" width="19.77734375" bestFit="1" customWidth="1"/>
    <col min="13" max="13" width="16.21875" bestFit="1" customWidth="1"/>
    <col min="14" max="14" width="8" bestFit="1" customWidth="1"/>
    <col min="15" max="15" width="2.21875" customWidth="1"/>
    <col min="16" max="16" width="19.44140625" bestFit="1" customWidth="1"/>
    <col min="17" max="17" width="16.5546875" bestFit="1" customWidth="1"/>
    <col min="18" max="18" width="8" bestFit="1" customWidth="1"/>
    <col min="19" max="19" width="2.21875" customWidth="1"/>
    <col min="20" max="20" width="17.88671875" bestFit="1" customWidth="1"/>
    <col min="21" max="21" width="17" bestFit="1" customWidth="1"/>
    <col min="22" max="22" width="14.88671875" bestFit="1" customWidth="1"/>
    <col min="24" max="24" width="55.44140625" bestFit="1" customWidth="1"/>
    <col min="25" max="25" width="21.5546875" bestFit="1" customWidth="1"/>
  </cols>
  <sheetData>
    <row r="3" spans="1:25" x14ac:dyDescent="0.3">
      <c r="A3" s="38" t="s">
        <v>122</v>
      </c>
      <c r="B3" t="s">
        <v>120</v>
      </c>
      <c r="D3" s="38" t="s">
        <v>45</v>
      </c>
      <c r="E3" s="2" t="s">
        <v>126</v>
      </c>
      <c r="F3" t="s">
        <v>91</v>
      </c>
      <c r="H3" s="38" t="s">
        <v>46</v>
      </c>
      <c r="I3" t="s">
        <v>126</v>
      </c>
      <c r="J3" t="s">
        <v>91</v>
      </c>
      <c r="L3" s="38" t="s">
        <v>124</v>
      </c>
      <c r="M3" s="2" t="s">
        <v>126</v>
      </c>
      <c r="N3" t="s">
        <v>91</v>
      </c>
      <c r="P3" s="38" t="s">
        <v>125</v>
      </c>
      <c r="Q3" s="2" t="s">
        <v>127</v>
      </c>
      <c r="R3" t="s">
        <v>91</v>
      </c>
      <c r="T3" s="38" t="s">
        <v>129</v>
      </c>
      <c r="U3" t="s">
        <v>130</v>
      </c>
      <c r="V3" t="s">
        <v>126</v>
      </c>
      <c r="Y3" t="s">
        <v>128</v>
      </c>
    </row>
    <row r="4" spans="1:25" x14ac:dyDescent="0.3">
      <c r="A4" s="39" t="s">
        <v>74</v>
      </c>
      <c r="B4" s="2">
        <v>5400</v>
      </c>
      <c r="D4" s="39" t="s">
        <v>1</v>
      </c>
      <c r="E4" s="2">
        <v>65600</v>
      </c>
      <c r="F4" s="41">
        <v>0.48571428571428571</v>
      </c>
      <c r="G4" s="41"/>
      <c r="H4" s="39" t="s">
        <v>41</v>
      </c>
      <c r="I4" s="2">
        <v>18700</v>
      </c>
      <c r="J4" s="41">
        <v>0.47619047619047616</v>
      </c>
      <c r="K4" s="41"/>
      <c r="L4" s="39" t="s">
        <v>40</v>
      </c>
      <c r="M4" s="2">
        <v>12300</v>
      </c>
      <c r="N4" s="41">
        <v>8.3333333333333329E-2</v>
      </c>
      <c r="P4" s="39" t="s">
        <v>40</v>
      </c>
      <c r="Q4" s="2">
        <v>0</v>
      </c>
      <c r="R4" s="41">
        <v>8.3333333333333329E-2</v>
      </c>
      <c r="T4" s="39" t="s">
        <v>40</v>
      </c>
      <c r="U4">
        <v>409</v>
      </c>
      <c r="V4" s="2">
        <v>12300</v>
      </c>
      <c r="X4" s="39" t="s">
        <v>74</v>
      </c>
      <c r="Y4">
        <v>138</v>
      </c>
    </row>
    <row r="5" spans="1:25" x14ac:dyDescent="0.3">
      <c r="A5" s="39" t="s">
        <v>64</v>
      </c>
      <c r="B5" s="2">
        <v>5000</v>
      </c>
      <c r="D5" s="39" t="s">
        <v>0</v>
      </c>
      <c r="E5" s="2">
        <v>75400</v>
      </c>
      <c r="F5" s="41">
        <v>0.51428571428571423</v>
      </c>
      <c r="G5" s="41"/>
      <c r="H5" s="39" t="s">
        <v>40</v>
      </c>
      <c r="I5" s="2">
        <v>24300</v>
      </c>
      <c r="J5" s="41">
        <v>0.52380952380952384</v>
      </c>
      <c r="K5" s="41"/>
      <c r="L5" s="39" t="s">
        <v>13</v>
      </c>
      <c r="M5" s="2">
        <v>11800</v>
      </c>
      <c r="N5" s="41">
        <v>9.7222222222222224E-2</v>
      </c>
      <c r="P5" s="39" t="s">
        <v>13</v>
      </c>
      <c r="Q5" s="2">
        <v>0</v>
      </c>
      <c r="R5" s="41">
        <v>9.7222222222222224E-2</v>
      </c>
      <c r="T5" s="39" t="s">
        <v>13</v>
      </c>
      <c r="U5">
        <v>953</v>
      </c>
      <c r="V5" s="2">
        <v>11800</v>
      </c>
      <c r="X5" s="39" t="s">
        <v>64</v>
      </c>
      <c r="Y5">
        <v>129</v>
      </c>
    </row>
    <row r="6" spans="1:25" x14ac:dyDescent="0.3">
      <c r="A6" s="39" t="s">
        <v>71</v>
      </c>
      <c r="B6" s="2">
        <v>14600</v>
      </c>
      <c r="D6" s="39" t="s">
        <v>119</v>
      </c>
      <c r="E6" s="2">
        <v>141000</v>
      </c>
      <c r="F6" s="41">
        <v>1</v>
      </c>
      <c r="G6" s="41"/>
      <c r="H6" s="39" t="s">
        <v>119</v>
      </c>
      <c r="I6" s="2">
        <v>43000</v>
      </c>
      <c r="J6" s="41">
        <v>1</v>
      </c>
      <c r="K6" s="41"/>
      <c r="L6" s="39" t="s">
        <v>7</v>
      </c>
      <c r="M6" s="2">
        <v>1000</v>
      </c>
      <c r="N6" s="41">
        <v>1.3888888888888888E-2</v>
      </c>
      <c r="P6" s="39" t="s">
        <v>7</v>
      </c>
      <c r="Q6" s="2">
        <v>0</v>
      </c>
      <c r="R6" s="41">
        <v>1.3888888888888888E-2</v>
      </c>
      <c r="T6" s="39" t="s">
        <v>7</v>
      </c>
      <c r="U6">
        <v>86</v>
      </c>
      <c r="V6" s="2">
        <v>1000</v>
      </c>
      <c r="X6" s="39" t="s">
        <v>71</v>
      </c>
      <c r="Y6">
        <v>322</v>
      </c>
    </row>
    <row r="7" spans="1:25" x14ac:dyDescent="0.3">
      <c r="A7" s="39" t="s">
        <v>66</v>
      </c>
      <c r="B7" s="2">
        <v>3500</v>
      </c>
      <c r="L7" s="39" t="s">
        <v>8</v>
      </c>
      <c r="M7" s="2">
        <v>5000</v>
      </c>
      <c r="N7" s="41">
        <v>2.7777777777777776E-2</v>
      </c>
      <c r="P7" s="39" t="s">
        <v>8</v>
      </c>
      <c r="Q7" s="2">
        <v>0</v>
      </c>
      <c r="R7" s="41">
        <v>2.7777777777777776E-2</v>
      </c>
      <c r="T7" s="39" t="s">
        <v>8</v>
      </c>
      <c r="U7">
        <v>172</v>
      </c>
      <c r="V7" s="2">
        <v>5000</v>
      </c>
      <c r="X7" s="39" t="s">
        <v>66</v>
      </c>
      <c r="Y7">
        <v>153</v>
      </c>
    </row>
    <row r="8" spans="1:25" x14ac:dyDescent="0.3">
      <c r="A8" s="39" t="s">
        <v>75</v>
      </c>
      <c r="B8" s="2">
        <v>2500</v>
      </c>
      <c r="L8" s="39" t="s">
        <v>41</v>
      </c>
      <c r="M8" s="2">
        <v>18700</v>
      </c>
      <c r="N8" s="41">
        <v>0.1388888888888889</v>
      </c>
      <c r="P8" s="39" t="s">
        <v>41</v>
      </c>
      <c r="Q8" s="2">
        <v>2000</v>
      </c>
      <c r="R8" s="41">
        <v>0.1388888888888889</v>
      </c>
      <c r="T8" s="39" t="s">
        <v>41</v>
      </c>
      <c r="U8" t="e">
        <v>#VALUE!</v>
      </c>
      <c r="V8" s="2">
        <v>18700</v>
      </c>
      <c r="X8" s="39" t="s">
        <v>75</v>
      </c>
      <c r="Y8">
        <v>137</v>
      </c>
    </row>
    <row r="9" spans="1:25" x14ac:dyDescent="0.3">
      <c r="A9" s="39" t="s">
        <v>81</v>
      </c>
      <c r="B9" s="2">
        <v>4600</v>
      </c>
      <c r="G9" s="41"/>
      <c r="H9" s="41"/>
      <c r="I9" s="41"/>
      <c r="J9" s="41"/>
      <c r="K9" s="41"/>
      <c r="L9" s="39" t="s">
        <v>14</v>
      </c>
      <c r="M9" s="2">
        <v>21000</v>
      </c>
      <c r="N9" s="41">
        <v>0.1388888888888889</v>
      </c>
      <c r="P9" s="39" t="s">
        <v>14</v>
      </c>
      <c r="Q9" s="2">
        <v>0</v>
      </c>
      <c r="R9" s="41">
        <v>0.1388888888888889</v>
      </c>
      <c r="T9" s="39" t="s">
        <v>14</v>
      </c>
      <c r="U9">
        <v>368</v>
      </c>
      <c r="V9" s="2">
        <v>21000</v>
      </c>
      <c r="X9" s="39" t="s">
        <v>81</v>
      </c>
      <c r="Y9">
        <v>130</v>
      </c>
    </row>
    <row r="10" spans="1:25" x14ac:dyDescent="0.3">
      <c r="A10" s="39" t="s">
        <v>70</v>
      </c>
      <c r="B10" s="2">
        <v>6100</v>
      </c>
      <c r="G10" s="41"/>
      <c r="H10" s="41"/>
      <c r="I10" s="41"/>
      <c r="J10" s="41"/>
      <c r="K10" s="41"/>
      <c r="L10" s="39" t="s">
        <v>15</v>
      </c>
      <c r="M10" s="2">
        <v>15100</v>
      </c>
      <c r="N10" s="41">
        <v>0.1111111111111111</v>
      </c>
      <c r="P10" s="39" t="s">
        <v>15</v>
      </c>
      <c r="Q10" s="2">
        <v>0</v>
      </c>
      <c r="R10" s="41">
        <v>0.1111111111111111</v>
      </c>
      <c r="T10" s="39" t="s">
        <v>15</v>
      </c>
      <c r="U10">
        <v>273</v>
      </c>
      <c r="V10" s="2">
        <v>15100</v>
      </c>
      <c r="X10" s="39" t="s">
        <v>70</v>
      </c>
      <c r="Y10">
        <v>187</v>
      </c>
    </row>
    <row r="11" spans="1:25" x14ac:dyDescent="0.3">
      <c r="A11" s="39" t="s">
        <v>79</v>
      </c>
      <c r="B11" s="2">
        <v>4000</v>
      </c>
      <c r="G11" s="41"/>
      <c r="H11" s="41"/>
      <c r="I11" s="41"/>
      <c r="J11" s="41"/>
      <c r="K11" s="41"/>
      <c r="L11" s="39" t="s">
        <v>11</v>
      </c>
      <c r="M11" s="2">
        <v>18200</v>
      </c>
      <c r="N11" s="41">
        <v>0.125</v>
      </c>
      <c r="P11" s="39" t="s">
        <v>11</v>
      </c>
      <c r="Q11" s="2">
        <v>0</v>
      </c>
      <c r="R11" s="41">
        <v>0.125</v>
      </c>
      <c r="T11" s="39" t="s">
        <v>11</v>
      </c>
      <c r="U11">
        <v>611</v>
      </c>
      <c r="V11" s="2">
        <v>18200</v>
      </c>
      <c r="X11" s="39" t="s">
        <v>79</v>
      </c>
      <c r="Y11">
        <v>132</v>
      </c>
    </row>
    <row r="12" spans="1:25" x14ac:dyDescent="0.3">
      <c r="A12" s="39" t="s">
        <v>80</v>
      </c>
      <c r="B12" s="2">
        <v>4600</v>
      </c>
      <c r="L12" s="39" t="s">
        <v>16</v>
      </c>
      <c r="M12" s="2">
        <v>19900</v>
      </c>
      <c r="N12" s="41">
        <v>0.125</v>
      </c>
      <c r="P12" s="39" t="s">
        <v>16</v>
      </c>
      <c r="Q12" s="2">
        <v>0</v>
      </c>
      <c r="R12" s="41">
        <v>0.125</v>
      </c>
      <c r="T12" s="39" t="s">
        <v>16</v>
      </c>
      <c r="U12">
        <v>410</v>
      </c>
      <c r="V12" s="2">
        <v>19900</v>
      </c>
      <c r="X12" s="39" t="s">
        <v>80</v>
      </c>
      <c r="Y12">
        <v>131</v>
      </c>
    </row>
    <row r="13" spans="1:25" x14ac:dyDescent="0.3">
      <c r="A13" s="39" t="s">
        <v>77</v>
      </c>
      <c r="B13" s="2">
        <v>1500</v>
      </c>
      <c r="L13" s="39" t="s">
        <v>12</v>
      </c>
      <c r="M13" s="2">
        <v>16100</v>
      </c>
      <c r="N13" s="41">
        <v>0.1111111111111111</v>
      </c>
      <c r="P13" s="39" t="s">
        <v>12</v>
      </c>
      <c r="Q13" s="2">
        <v>0</v>
      </c>
      <c r="R13" s="41">
        <v>0.1111111111111111</v>
      </c>
      <c r="T13" s="39" t="s">
        <v>12</v>
      </c>
      <c r="U13">
        <v>453</v>
      </c>
      <c r="V13" s="2">
        <v>16100</v>
      </c>
      <c r="X13" s="39" t="s">
        <v>77</v>
      </c>
      <c r="Y13" t="e">
        <v>#VALUE!</v>
      </c>
    </row>
    <row r="14" spans="1:25" x14ac:dyDescent="0.3">
      <c r="A14" s="39" t="s">
        <v>73</v>
      </c>
      <c r="B14" s="2">
        <v>5400</v>
      </c>
      <c r="L14" s="39" t="s">
        <v>10</v>
      </c>
      <c r="M14" s="2">
        <v>3000</v>
      </c>
      <c r="N14" s="41">
        <v>1.3888888888888888E-2</v>
      </c>
      <c r="P14" s="39" t="s">
        <v>10</v>
      </c>
      <c r="Q14" s="2">
        <v>0</v>
      </c>
      <c r="R14" s="41">
        <v>1.3888888888888888E-2</v>
      </c>
      <c r="T14" s="39" t="s">
        <v>10</v>
      </c>
      <c r="U14">
        <v>86</v>
      </c>
      <c r="V14" s="2">
        <v>3000</v>
      </c>
      <c r="X14" s="39" t="s">
        <v>73</v>
      </c>
      <c r="Y14">
        <v>139</v>
      </c>
    </row>
    <row r="15" spans="1:25" x14ac:dyDescent="0.3">
      <c r="A15" s="39" t="s">
        <v>67</v>
      </c>
      <c r="B15" s="2">
        <v>8500</v>
      </c>
      <c r="L15" s="39" t="s">
        <v>9</v>
      </c>
      <c r="M15" s="2">
        <v>3000</v>
      </c>
      <c r="N15" s="41">
        <v>1.3888888888888888E-2</v>
      </c>
      <c r="P15" s="39" t="s">
        <v>9</v>
      </c>
      <c r="Q15" s="2">
        <v>0</v>
      </c>
      <c r="R15" s="41">
        <v>1.3888888888888888E-2</v>
      </c>
      <c r="T15" s="39" t="s">
        <v>9</v>
      </c>
      <c r="U15">
        <v>86</v>
      </c>
      <c r="V15" s="2">
        <v>3000</v>
      </c>
      <c r="X15" s="39" t="s">
        <v>67</v>
      </c>
      <c r="Y15">
        <v>199</v>
      </c>
    </row>
    <row r="16" spans="1:25" x14ac:dyDescent="0.3">
      <c r="A16" s="39" t="s">
        <v>72</v>
      </c>
      <c r="B16" s="2">
        <v>3500</v>
      </c>
      <c r="L16" s="39" t="s">
        <v>119</v>
      </c>
      <c r="M16" s="2">
        <v>145100</v>
      </c>
      <c r="N16" s="41">
        <v>1</v>
      </c>
      <c r="P16" s="39" t="s">
        <v>119</v>
      </c>
      <c r="Q16" s="2">
        <v>2000</v>
      </c>
      <c r="R16" s="41">
        <v>1</v>
      </c>
      <c r="T16" s="39" t="s">
        <v>119</v>
      </c>
      <c r="U16" t="e">
        <v>#VALUE!</v>
      </c>
      <c r="V16" s="2">
        <v>145100</v>
      </c>
      <c r="X16" s="39" t="s">
        <v>72</v>
      </c>
      <c r="Y16">
        <v>147</v>
      </c>
    </row>
    <row r="17" spans="1:25" x14ac:dyDescent="0.3">
      <c r="A17" s="39" t="s">
        <v>76</v>
      </c>
      <c r="B17" s="2">
        <v>6000</v>
      </c>
      <c r="X17" s="39" t="s">
        <v>76</v>
      </c>
      <c r="Y17">
        <v>296</v>
      </c>
    </row>
    <row r="18" spans="1:25" x14ac:dyDescent="0.3">
      <c r="A18" s="39" t="s">
        <v>63</v>
      </c>
      <c r="B18" s="2">
        <v>5100</v>
      </c>
      <c r="X18" s="39" t="s">
        <v>63</v>
      </c>
      <c r="Y18">
        <v>592</v>
      </c>
    </row>
    <row r="19" spans="1:25" x14ac:dyDescent="0.3">
      <c r="A19" s="39" t="s">
        <v>68</v>
      </c>
      <c r="B19" s="2">
        <v>7200</v>
      </c>
      <c r="X19" s="39" t="s">
        <v>68</v>
      </c>
      <c r="Y19">
        <v>191</v>
      </c>
    </row>
    <row r="20" spans="1:25" x14ac:dyDescent="0.3">
      <c r="A20" s="39" t="s">
        <v>69</v>
      </c>
      <c r="B20" s="2">
        <v>4200</v>
      </c>
      <c r="X20" s="39" t="s">
        <v>69</v>
      </c>
      <c r="Y20">
        <v>150</v>
      </c>
    </row>
    <row r="21" spans="1:25" x14ac:dyDescent="0.3">
      <c r="A21" s="39" t="s">
        <v>131</v>
      </c>
      <c r="B21" s="2">
        <v>45800</v>
      </c>
      <c r="X21" s="39" t="s">
        <v>131</v>
      </c>
      <c r="Y21">
        <v>878</v>
      </c>
    </row>
    <row r="22" spans="1:25" x14ac:dyDescent="0.3">
      <c r="A22" s="39" t="s">
        <v>65</v>
      </c>
      <c r="B22" s="2">
        <v>3600</v>
      </c>
      <c r="X22" s="40" t="s">
        <v>40</v>
      </c>
      <c r="Y22">
        <v>39</v>
      </c>
    </row>
    <row r="23" spans="1:25" x14ac:dyDescent="0.3">
      <c r="A23" s="39" t="s">
        <v>78</v>
      </c>
      <c r="B23" s="2">
        <v>4000</v>
      </c>
      <c r="X23" s="40" t="s">
        <v>14</v>
      </c>
      <c r="Y23">
        <v>156</v>
      </c>
    </row>
    <row r="24" spans="1:25" x14ac:dyDescent="0.3">
      <c r="A24" s="39" t="s">
        <v>119</v>
      </c>
      <c r="B24" s="2">
        <v>145100</v>
      </c>
      <c r="X24" s="40" t="s">
        <v>15</v>
      </c>
      <c r="Y24">
        <v>273</v>
      </c>
    </row>
    <row r="25" spans="1:25" x14ac:dyDescent="0.3">
      <c r="X25" s="40" t="s">
        <v>16</v>
      </c>
      <c r="Y25">
        <v>410</v>
      </c>
    </row>
    <row r="26" spans="1:25" x14ac:dyDescent="0.3">
      <c r="X26" s="39" t="s">
        <v>65</v>
      </c>
      <c r="Y26">
        <v>214</v>
      </c>
    </row>
    <row r="27" spans="1:25" x14ac:dyDescent="0.3">
      <c r="X27" s="39" t="s">
        <v>78</v>
      </c>
      <c r="Y27">
        <v>133</v>
      </c>
    </row>
    <row r="28" spans="1:25" x14ac:dyDescent="0.3">
      <c r="X28" s="39" t="s">
        <v>121</v>
      </c>
    </row>
    <row r="29" spans="1:25" x14ac:dyDescent="0.3">
      <c r="X29" s="39" t="s">
        <v>119</v>
      </c>
      <c r="Y29" t="e"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8668-365E-48C6-9364-67F5386307A4}">
  <sheetPr codeName="Planilha21"/>
  <dimension ref="D2:D8"/>
  <sheetViews>
    <sheetView showGridLines="0" zoomScale="85" zoomScaleNormal="85" workbookViewId="0">
      <selection activeCell="S19" sqref="S19"/>
    </sheetView>
  </sheetViews>
  <sheetFormatPr defaultRowHeight="14.4" x14ac:dyDescent="0.3"/>
  <cols>
    <col min="4" max="4" width="37" bestFit="1" customWidth="1"/>
    <col min="6" max="6" width="14" bestFit="1" customWidth="1"/>
  </cols>
  <sheetData>
    <row r="2" spans="4:4" ht="25.8" x14ac:dyDescent="0.5">
      <c r="D2" s="42" t="s">
        <v>133</v>
      </c>
    </row>
    <row r="6" spans="4:4" ht="25.8" x14ac:dyDescent="0.5">
      <c r="D6" s="42" t="s">
        <v>132</v>
      </c>
    </row>
    <row r="7" spans="4:4" x14ac:dyDescent="0.3">
      <c r="D7" s="1"/>
    </row>
    <row r="8" spans="4:4" x14ac:dyDescent="0.3">
      <c r="D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9755-B172-4F1B-AD6B-EBA06DCE8B03}">
  <sheetPr codeName="Planilha22"/>
  <dimension ref="A1:A7"/>
  <sheetViews>
    <sheetView workbookViewId="0">
      <selection activeCell="B14" sqref="B14"/>
    </sheetView>
  </sheetViews>
  <sheetFormatPr defaultRowHeight="14.4" x14ac:dyDescent="0.3"/>
  <cols>
    <col min="1" max="1" width="123.6640625" bestFit="1" customWidth="1"/>
  </cols>
  <sheetData>
    <row r="1" spans="1:1" x14ac:dyDescent="0.3">
      <c r="A1" t="s">
        <v>51</v>
      </c>
    </row>
    <row r="3" spans="1:1" x14ac:dyDescent="0.3">
      <c r="A3" t="s">
        <v>52</v>
      </c>
    </row>
    <row r="5" spans="1:1" x14ac:dyDescent="0.3">
      <c r="A5" t="s">
        <v>53</v>
      </c>
    </row>
    <row r="7" spans="1:1" x14ac:dyDescent="0.3">
      <c r="A7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3</vt:i4>
      </vt:variant>
    </vt:vector>
  </HeadingPairs>
  <TitlesOfParts>
    <vt:vector size="34" baseType="lpstr">
      <vt:lpstr>OBSERVAÇÕES</vt:lpstr>
      <vt:lpstr>DADOS FINANCEIROS</vt:lpstr>
      <vt:lpstr>MÊS EMISSOR</vt:lpstr>
      <vt:lpstr>MÊS ORIGINAL</vt:lpstr>
      <vt:lpstr>MÊS ATUAL</vt:lpstr>
      <vt:lpstr>CARTEIRA</vt:lpstr>
      <vt:lpstr>VENDEDORES</vt:lpstr>
      <vt:lpstr>VALORES VENCIDO</vt:lpstr>
      <vt:lpstr>TÍTULO ELEGÍVEL</vt:lpstr>
      <vt:lpstr>STATUS DE PAGAMENTO</vt:lpstr>
      <vt:lpstr>STATUS DE COBRANÇA</vt:lpstr>
      <vt:lpstr>UNIDADE</vt:lpstr>
      <vt:lpstr>GRUPO</vt:lpstr>
      <vt:lpstr>EMPRESA - QUANTIDADE</vt:lpstr>
      <vt:lpstr>EMPRESA - VALORES</vt:lpstr>
      <vt:lpstr>$ COBRANÇAS</vt:lpstr>
      <vt:lpstr>QTDE COBRANÇAS</vt:lpstr>
      <vt:lpstr>DADOS FINANCEIROS - TABELA</vt:lpstr>
      <vt:lpstr>ACOMPANHAMENTO DA COB. - TABELA</vt:lpstr>
      <vt:lpstr>STATUS NEGOCIAÇÃO - TABELA</vt:lpstr>
      <vt:lpstr>DASHBOARD</vt:lpstr>
      <vt:lpstr>PAINEL</vt:lpstr>
      <vt:lpstr>VALORES FATURADOS</vt:lpstr>
      <vt:lpstr>EMPRESA x DIAS EM ATRASO</vt:lpstr>
      <vt:lpstr>ANÁLISE DE DADOS</vt:lpstr>
      <vt:lpstr>RELATÓRIO COBRANÇA - TABELA</vt:lpstr>
      <vt:lpstr>Relátório de cobrança</vt:lpstr>
      <vt:lpstr>TABELA - RELATÓRIO DE COBRANÇA</vt:lpstr>
      <vt:lpstr>DINÂMICA</vt:lpstr>
      <vt:lpstr>GRÁFICO</vt:lpstr>
      <vt:lpstr>cob.</vt:lpstr>
      <vt:lpstr>DASHBOARD!Area_de_impressao</vt:lpstr>
      <vt:lpstr>PAINEL!Area_de_impressao</vt:lpstr>
      <vt:lpstr>DASHBOARD!Titulos_de_impressao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cp:lastPrinted>2025-04-30T00:12:21Z</cp:lastPrinted>
  <dcterms:created xsi:type="dcterms:W3CDTF">2025-03-24T15:44:51Z</dcterms:created>
  <dcterms:modified xsi:type="dcterms:W3CDTF">2025-05-18T18:12:25Z</dcterms:modified>
</cp:coreProperties>
</file>