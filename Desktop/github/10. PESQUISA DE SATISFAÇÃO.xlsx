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structure.xml" ContentType="application/vnd.ms-excel.rdrichvaluestructure+xml"/>
  <Override PartName="/xl/richData/rdarray.xml" ContentType="application/vnd.ms-excel.rdarray+xml"/>
  <Override PartName="/xl/richData/rdRichValueWebImage.xml" ContentType="application/vnd.ms-excel.rdrichvaluewebimage+xml"/>
  <Override PartName="/xl/richData/rdRichValueTypes.xml" ContentType="application/vnd.ms-excel.rdrichvaluetyp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xml" ContentType="application/vnd.ms-excel.rdrichvalue+xml"/>
  <Override PartName="/xl/richData/richStyles.xml" ContentType="application/vnd.ms-excel.richstyl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Franciele Klaumann\Desktop\github\"/>
    </mc:Choice>
  </mc:AlternateContent>
  <xr:revisionPtr revIDLastSave="0" documentId="13_ncr:1_{D26442C8-EB6E-4266-BCB4-E5F2A8A4869E}" xr6:coauthVersionLast="47" xr6:coauthVersionMax="47" xr10:uidLastSave="{00000000-0000-0000-0000-000000000000}"/>
  <bookViews>
    <workbookView xWindow="-108" yWindow="-108" windowWidth="23256" windowHeight="12456" tabRatio="815" firstSheet="4" activeTab="4" xr2:uid="{1761A8EF-A147-4C12-9461-073933DBD844}"/>
  </bookViews>
  <sheets>
    <sheet name="Especialidades MAIS PROCURADAS" sheetId="2" state="hidden" r:id="rId1"/>
    <sheet name="MES" sheetId="10" state="hidden" r:id="rId2"/>
    <sheet name="MAPA" sheetId="13" state="hidden" r:id="rId3"/>
    <sheet name="PESQUISA DE SATISFAÇÃO " sheetId="18" state="hidden" r:id="rId4"/>
    <sheet name="TABELA" sheetId="1" r:id="rId5"/>
    <sheet name="APOIO" sheetId="15" state="hidden" r:id="rId6"/>
    <sheet name="DASHBOARD" sheetId="12" r:id="rId7"/>
    <sheet name="ACESSIBILIDADE" sheetId="3" state="hidden" r:id="rId8"/>
    <sheet name="ESTRUTURA FÍSICA" sheetId="4" state="hidden" r:id="rId9"/>
    <sheet name="AMBIENTE LIMPO" sheetId="5" state="hidden" r:id="rId10"/>
    <sheet name="FUNCIONÁRIOS ATENCIOSOS" sheetId="6" state="hidden" r:id="rId11"/>
    <sheet name="RESOLVEU SEU PROBLEMA" sheetId="7" state="hidden" r:id="rId12"/>
    <sheet name="INFORMAÇÕES CLARAS" sheetId="9" state="hidden" r:id="rId13"/>
  </sheets>
  <definedNames>
    <definedName name="_xlnm.Print_Area" localSheetId="6">DASHBOARD!$A$1:$W$57</definedName>
    <definedName name="SegmentaçãodeDados_Especialidade">#N/A</definedName>
    <definedName name="SegmentaçãodeDados_Mês">#N/A</definedName>
    <definedName name="SegmentaçãodeDados_Nº_da_Pesquisa">#N/A</definedName>
  </definedNames>
  <calcPr calcId="191028"/>
  <pivotCaches>
    <pivotCache cacheId="5"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37" i="1" l="1"/>
  <c r="B3" i="15"/>
  <c r="C3" i="15"/>
  <c r="D3" i="15"/>
  <c r="E3" i="15"/>
  <c r="F3" i="15"/>
  <c r="G3" i="15"/>
  <c r="H3" i="15"/>
  <c r="K3" i="15"/>
  <c r="L3" i="15"/>
  <c r="B4" i="15"/>
  <c r="C4" i="15"/>
  <c r="D4" i="15"/>
  <c r="E4" i="15"/>
  <c r="F4" i="15"/>
  <c r="G4" i="15"/>
  <c r="H4" i="15"/>
  <c r="K4" i="15"/>
  <c r="L4" i="15"/>
  <c r="B5" i="15"/>
  <c r="C5" i="15"/>
  <c r="D5" i="15"/>
  <c r="E5" i="15"/>
  <c r="F5" i="15"/>
  <c r="G5" i="15"/>
  <c r="H5" i="15"/>
  <c r="K5" i="15"/>
  <c r="L5" i="15"/>
  <c r="B6" i="15"/>
  <c r="C6" i="15"/>
  <c r="D6" i="15"/>
  <c r="E6" i="15"/>
  <c r="F6" i="15"/>
  <c r="G6" i="15"/>
  <c r="H6" i="15"/>
  <c r="K6" i="15"/>
  <c r="L6" i="15"/>
  <c r="B7" i="15"/>
  <c r="C7" i="15"/>
  <c r="D7" i="15"/>
  <c r="E7" i="15"/>
  <c r="F7" i="15"/>
  <c r="G7" i="15"/>
  <c r="H7" i="15"/>
  <c r="K7" i="15"/>
  <c r="L7" i="15"/>
  <c r="L1" i="15"/>
  <c r="H1" i="15"/>
  <c r="M1" i="15"/>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8" i="1"/>
  <c r="B139" i="1"/>
  <c r="B140" i="1"/>
  <c r="B141" i="1"/>
  <c r="B142" i="1"/>
  <c r="B143" i="1"/>
  <c r="B144" i="1"/>
  <c r="B145" i="1"/>
  <c r="B5" i="12"/>
  <c r="K8" i="15"/>
  <c r="I6" i="12"/>
  <c r="L21" i="18"/>
  <c r="K21" i="18"/>
  <c r="J21" i="18"/>
  <c r="I21" i="18"/>
  <c r="H21" i="18"/>
  <c r="G21" i="18"/>
  <c r="F21" i="18"/>
  <c r="L20" i="18"/>
  <c r="K20" i="18"/>
  <c r="J20" i="18"/>
  <c r="I20" i="18"/>
  <c r="H20" i="18"/>
  <c r="G20" i="18"/>
  <c r="F20" i="18"/>
  <c r="L19" i="18"/>
  <c r="K19" i="18"/>
  <c r="J19" i="18"/>
  <c r="I19" i="18"/>
  <c r="H19" i="18"/>
  <c r="G19" i="18"/>
  <c r="F19" i="18"/>
  <c r="L18" i="18"/>
  <c r="K18" i="18"/>
  <c r="J18" i="18"/>
  <c r="I18" i="18"/>
  <c r="H18" i="18"/>
  <c r="G18" i="18"/>
  <c r="F18" i="18"/>
  <c r="L17" i="18"/>
  <c r="K17" i="18"/>
  <c r="J17" i="18"/>
  <c r="I17" i="18"/>
  <c r="H17" i="18"/>
  <c r="G17" i="18"/>
  <c r="F17" i="18"/>
  <c r="L16" i="18"/>
  <c r="K16" i="18"/>
  <c r="J16" i="18"/>
  <c r="I16" i="18"/>
  <c r="H16" i="18"/>
  <c r="G16" i="18"/>
  <c r="F16" i="18"/>
  <c r="L15" i="18"/>
  <c r="K15" i="18"/>
  <c r="J15" i="18"/>
  <c r="I15" i="18"/>
  <c r="H15" i="18"/>
  <c r="G15" i="18"/>
  <c r="F15" i="18"/>
  <c r="H8" i="15"/>
  <c r="I7" i="15"/>
  <c r="L10" i="12"/>
  <c r="I5" i="15"/>
  <c r="I6" i="15"/>
  <c r="L8" i="12"/>
  <c r="I3" i="15"/>
  <c r="I4" i="15"/>
  <c r="L6" i="12"/>
  <c r="I10" i="12"/>
  <c r="I8" i="12"/>
  <c r="I8" i="15"/>
  <c r="C8" i="15"/>
  <c r="D8" i="15"/>
  <c r="E8" i="15"/>
  <c r="F8" i="15"/>
  <c r="G8" i="15"/>
  <c r="B8" i="15"/>
  <c r="C2" i="15"/>
  <c r="D2" i="15"/>
  <c r="E2" i="15"/>
  <c r="F2" i="15"/>
  <c r="G2" i="15"/>
  <c r="B2" i="15"/>
  <c r="D2" i="13"/>
  <c r="G2" i="13"/>
  <c r="D3" i="13"/>
  <c r="E3" i="13"/>
  <c r="D4" i="13"/>
  <c r="E4" i="13"/>
  <c r="D5" i="13"/>
  <c r="E5" i="13"/>
  <c r="D6" i="13"/>
  <c r="E6" i="13"/>
  <c r="D7" i="13"/>
  <c r="E7" i="13"/>
  <c r="D8" i="13"/>
  <c r="E8" i="13"/>
  <c r="D9" i="13"/>
  <c r="E9" i="13"/>
  <c r="D10" i="13"/>
  <c r="E10" i="13"/>
  <c r="D11" i="13"/>
  <c r="E11" i="13"/>
  <c r="D12" i="13"/>
  <c r="E12" i="13"/>
  <c r="D13" i="13"/>
  <c r="E13" i="13"/>
  <c r="D14" i="13"/>
  <c r="E14" i="13"/>
  <c r="D15" i="13"/>
  <c r="E15" i="13"/>
  <c r="E2" i="13"/>
</calcChain>
</file>

<file path=xl/sharedStrings.xml><?xml version="1.0" encoding="utf-8"?>
<sst xmlns="http://schemas.openxmlformats.org/spreadsheetml/2006/main" count="1411" uniqueCount="71">
  <si>
    <t>Rótulos de Linha</t>
  </si>
  <si>
    <t>Contagem de Data da Pesquisa</t>
  </si>
  <si>
    <t>Total Geral</t>
  </si>
  <si>
    <t>Contagem de Mês</t>
  </si>
  <si>
    <t>jan-25</t>
  </si>
  <si>
    <t>fev-25</t>
  </si>
  <si>
    <t>mar-25</t>
  </si>
  <si>
    <t>abr-25</t>
  </si>
  <si>
    <t>Contagem de Nº da Pesquisa</t>
  </si>
  <si>
    <t>FORMULÁRIO DE APLICAÇÃO | PESQUISA DE SATISFAÇÃO</t>
  </si>
  <si>
    <t>Tipo</t>
  </si>
  <si>
    <r>
      <rPr>
        <b/>
        <u/>
        <sz val="11"/>
        <rFont val="Calibri"/>
        <family val="2"/>
        <scheme val="minor"/>
      </rPr>
      <t xml:space="preserve">Dicotômica: </t>
    </r>
    <r>
      <rPr>
        <sz val="11"/>
        <rFont val="Calibri"/>
        <family val="2"/>
        <scheme val="minor"/>
      </rPr>
      <t xml:space="preserve">Marque com um "x" em </t>
    </r>
    <r>
      <rPr>
        <b/>
        <sz val="11"/>
        <color theme="5"/>
        <rFont val="Calibri"/>
        <family val="2"/>
        <scheme val="minor"/>
      </rPr>
      <t>Sim</t>
    </r>
    <r>
      <rPr>
        <b/>
        <sz val="11"/>
        <rFont val="Calibri"/>
        <family val="2"/>
        <scheme val="minor"/>
      </rPr>
      <t xml:space="preserve"> </t>
    </r>
    <r>
      <rPr>
        <sz val="11"/>
        <rFont val="Calibri"/>
        <family val="2"/>
        <scheme val="minor"/>
      </rPr>
      <t xml:space="preserve">se concordar com a afirmação, ou em </t>
    </r>
    <r>
      <rPr>
        <b/>
        <sz val="11"/>
        <color theme="5"/>
        <rFont val="Calibri"/>
        <family val="2"/>
        <scheme val="minor"/>
      </rPr>
      <t>Não</t>
    </r>
    <r>
      <rPr>
        <sz val="11"/>
        <color theme="5"/>
        <rFont val="Calibri"/>
        <family val="2"/>
        <scheme val="minor"/>
      </rPr>
      <t xml:space="preserve"> </t>
    </r>
    <r>
      <rPr>
        <sz val="11"/>
        <rFont val="Calibri"/>
        <family val="2"/>
        <scheme val="minor"/>
      </rPr>
      <t>se discordar.</t>
    </r>
  </si>
  <si>
    <r>
      <rPr>
        <b/>
        <u/>
        <sz val="11"/>
        <rFont val="Calibri"/>
        <family val="2"/>
        <scheme val="minor"/>
      </rPr>
      <t>Escalonada:</t>
    </r>
    <r>
      <rPr>
        <sz val="11"/>
        <rFont val="Calibri"/>
        <family val="2"/>
        <scheme val="minor"/>
      </rPr>
      <t xml:space="preserve"> Marque com um "x" para indicar como você se sente em relação à empresa sobre o tema abordado em cada pergunta.</t>
    </r>
  </si>
  <si>
    <t>TIPOS DE PERGUNTAS</t>
  </si>
  <si>
    <t>TIPOS DAS RESPOTAS</t>
  </si>
  <si>
    <t>DICOTÔMICA</t>
  </si>
  <si>
    <t>ESCALONADA</t>
  </si>
  <si>
    <t>NOTA</t>
  </si>
  <si>
    <t>Sim</t>
  </si>
  <si>
    <t>Muito Satisfeito(a)</t>
  </si>
  <si>
    <t>Não</t>
  </si>
  <si>
    <t>Satisfeito(a)</t>
  </si>
  <si>
    <t>Indiferente</t>
  </si>
  <si>
    <t>Insatisfeito(a)</t>
  </si>
  <si>
    <t>Muito insatisfeito(a)</t>
  </si>
  <si>
    <t>QUESTIONÁRIO</t>
  </si>
  <si>
    <t>ID</t>
  </si>
  <si>
    <t>PERGUNTA</t>
  </si>
  <si>
    <t>TIPO</t>
  </si>
  <si>
    <t>Acessibilidade</t>
  </si>
  <si>
    <t>Escalonada</t>
  </si>
  <si>
    <t>Estrutura física</t>
  </si>
  <si>
    <t>Ambiente limpo</t>
  </si>
  <si>
    <t>Funcionários atenciosos</t>
  </si>
  <si>
    <t xml:space="preserve">Resolveu seu problema </t>
  </si>
  <si>
    <t>Informações claras</t>
  </si>
  <si>
    <t>Data da Pesquisa</t>
  </si>
  <si>
    <t>Mês</t>
  </si>
  <si>
    <t>Nº da Pesquisa</t>
  </si>
  <si>
    <t>Especialidade</t>
  </si>
  <si>
    <t>Pesquisa 01</t>
  </si>
  <si>
    <t>Pesquisa 02</t>
  </si>
  <si>
    <t>Pesquisa 03</t>
  </si>
  <si>
    <t>Pesquisa 04</t>
  </si>
  <si>
    <t>TOTAL</t>
  </si>
  <si>
    <t>%</t>
  </si>
  <si>
    <t>MÉDIA SATISFAÇÃO</t>
  </si>
  <si>
    <t>AVALIAÇÕES</t>
  </si>
  <si>
    <t>QTDE DE RESPOSTAS</t>
  </si>
  <si>
    <t>% DE RESPOSTAS</t>
  </si>
  <si>
    <t>POSITIVAS</t>
  </si>
  <si>
    <t>NEGATIVAS</t>
  </si>
  <si>
    <t>INDIFERENTE</t>
  </si>
  <si>
    <t>Contagem de Acessibilidade</t>
  </si>
  <si>
    <t>Contagem de Estrutura física</t>
  </si>
  <si>
    <t>Contagem de Funcionários atenciosos</t>
  </si>
  <si>
    <t xml:space="preserve">Contagem de Resolveu seu problema </t>
  </si>
  <si>
    <t>Contagem de Informações claras</t>
  </si>
  <si>
    <t>Estado</t>
  </si>
  <si>
    <t>São Paulo</t>
  </si>
  <si>
    <t>Rio de Jaeiro</t>
  </si>
  <si>
    <t>Belo Horizonte</t>
  </si>
  <si>
    <t>Limpeza de pele</t>
  </si>
  <si>
    <t>Drenagem linfática manual</t>
  </si>
  <si>
    <t>Microagulhamento</t>
  </si>
  <si>
    <t>Terapia capilar para queda</t>
  </si>
  <si>
    <t>Fotodepilação</t>
  </si>
  <si>
    <t>Massagem Modeladora</t>
  </si>
  <si>
    <t>mai-25</t>
  </si>
  <si>
    <t>Muito Insatisfeito(a)</t>
  </si>
  <si>
    <t>Idiferente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</si>
</sst>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name val="Calibri"/>
      <family val="2"/>
      <scheme val="minor"/>
    </font>
    <font>
      <sz val="11"/>
      <color theme="1"/>
      <name val="Calibri"/>
      <family val="2"/>
      <scheme val="minor"/>
    </font>
    <font>
      <sz val="11"/>
      <color theme="0"/>
      <name val="Calibri"/>
      <family val="2"/>
      <scheme val="minor"/>
    </font>
    <font>
      <b/>
      <sz val="10"/>
      <name val="Calibri"/>
      <family val="2"/>
      <scheme val="minor"/>
    </font>
    <font>
      <b/>
      <sz val="11"/>
      <name val="Calibri"/>
      <family val="2"/>
      <scheme val="minor"/>
    </font>
    <font>
      <b/>
      <u/>
      <sz val="11"/>
      <name val="Calibri"/>
      <family val="2"/>
      <scheme val="minor"/>
    </font>
    <font>
      <b/>
      <sz val="11"/>
      <color theme="5"/>
      <name val="Calibri"/>
      <family val="2"/>
      <scheme val="minor"/>
    </font>
    <font>
      <sz val="11"/>
      <color theme="5"/>
      <name val="Calibri"/>
      <family val="2"/>
      <scheme val="minor"/>
    </font>
    <font>
      <b/>
      <sz val="9"/>
      <name val="Calibri"/>
      <family val="2"/>
      <scheme val="minor"/>
    </font>
    <font>
      <sz val="9"/>
      <name val="Calibri"/>
      <family val="2"/>
      <scheme val="minor"/>
    </font>
    <font>
      <sz val="8"/>
      <name val="Calibri"/>
      <family val="2"/>
      <scheme val="minor"/>
    </font>
    <font>
      <b/>
      <sz val="24"/>
      <color theme="1"/>
      <name val="Calibri"/>
      <family val="2"/>
      <scheme val="minor"/>
    </font>
    <font>
      <sz val="12"/>
      <name val="Calibri"/>
      <family val="2"/>
      <scheme val="minor"/>
    </font>
    <font>
      <sz val="12"/>
      <color theme="1"/>
      <name val="Calibri"/>
      <family val="2"/>
      <scheme val="minor"/>
    </font>
    <font>
      <sz val="12"/>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rgb="FF00B050"/>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rgb="FFC62828"/>
        <bgColor indexed="64"/>
      </patternFill>
    </fill>
    <fill>
      <patternFill patternType="solid">
        <fgColor rgb="FF92D050"/>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7" tint="-0.499984740745262"/>
        <bgColor indexed="64"/>
      </patternFill>
    </fill>
    <fill>
      <patternFill patternType="solid">
        <fgColor theme="2" tint="-0.499984740745262"/>
        <bgColor indexed="64"/>
      </patternFill>
    </fill>
    <fill>
      <patternFill patternType="solid">
        <fgColor theme="2"/>
        <bgColor indexed="64"/>
      </patternFill>
    </fill>
  </fills>
  <borders count="9">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top style="hair">
        <color indexed="64"/>
      </top>
      <bottom/>
      <diagonal/>
    </border>
    <border>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theme="0" tint="-0.14999847407452621"/>
      </left>
      <right/>
      <top/>
      <bottom/>
      <diagonal/>
    </border>
  </borders>
  <cellStyleXfs count="2">
    <xf numFmtId="0" fontId="0" fillId="0" borderId="0"/>
    <xf numFmtId="9" fontId="2" fillId="0" borderId="0" applyFont="0" applyFill="0" applyBorder="0" applyAlignment="0" applyProtection="0"/>
  </cellStyleXfs>
  <cellXfs count="52">
    <xf numFmtId="0" fontId="0" fillId="0" borderId="0" xfId="0"/>
    <xf numFmtId="0" fontId="0" fillId="0" borderId="0" xfId="0" pivotButton="1"/>
    <xf numFmtId="0" fontId="0" fillId="0" borderId="0" xfId="0" applyAlignment="1">
      <alignment horizontal="left"/>
    </xf>
    <xf numFmtId="0" fontId="0" fillId="5" borderId="0" xfId="0" applyFill="1"/>
    <xf numFmtId="0" fontId="0" fillId="0" borderId="0" xfId="0" applyAlignment="1">
      <alignment horizontal="center"/>
    </xf>
    <xf numFmtId="0" fontId="1" fillId="2" borderId="1" xfId="0" applyFont="1" applyFill="1" applyBorder="1" applyAlignment="1">
      <alignment horizontal="center"/>
    </xf>
    <xf numFmtId="0" fontId="0" fillId="6" borderId="1" xfId="0" applyFill="1" applyBorder="1" applyAlignment="1">
      <alignment horizontal="center"/>
    </xf>
    <xf numFmtId="9" fontId="0" fillId="0" borderId="0" xfId="1" applyFont="1"/>
    <xf numFmtId="0" fontId="0" fillId="10" borderId="0" xfId="0" applyFill="1"/>
    <xf numFmtId="0" fontId="0" fillId="9" borderId="0" xfId="0" applyFill="1"/>
    <xf numFmtId="0" fontId="1" fillId="2" borderId="0" xfId="0" applyFont="1" applyFill="1"/>
    <xf numFmtId="0" fontId="1" fillId="2" borderId="0" xfId="0" applyFont="1" applyFill="1" applyAlignment="1">
      <alignment wrapText="1"/>
    </xf>
    <xf numFmtId="0" fontId="4" fillId="2" borderId="0" xfId="0" applyFont="1" applyFill="1" applyAlignment="1">
      <alignment vertical="center"/>
    </xf>
    <xf numFmtId="0" fontId="1" fillId="2" borderId="0" xfId="0" applyFont="1" applyFill="1" applyAlignment="1">
      <alignment vertical="center"/>
    </xf>
    <xf numFmtId="0" fontId="4" fillId="7" borderId="1" xfId="0" applyFont="1" applyFill="1" applyBorder="1" applyAlignment="1">
      <alignment horizontal="center" vertical="center"/>
    </xf>
    <xf numFmtId="2" fontId="1" fillId="7" borderId="1" xfId="0" applyNumberFormat="1" applyFont="1" applyFill="1" applyBorder="1" applyAlignment="1">
      <alignment horizontal="center" vertical="center"/>
    </xf>
    <xf numFmtId="0" fontId="9" fillId="8" borderId="1" xfId="0" applyFont="1" applyFill="1" applyBorder="1" applyAlignment="1" applyProtection="1">
      <alignment horizontal="left" vertical="center" indent="1"/>
      <protection locked="0"/>
    </xf>
    <xf numFmtId="0" fontId="11" fillId="7" borderId="1" xfId="0" applyFont="1" applyFill="1" applyBorder="1" applyAlignment="1">
      <alignment horizontal="left" vertical="center" indent="1"/>
    </xf>
    <xf numFmtId="0" fontId="5" fillId="7" borderId="1" xfId="0" applyFont="1" applyFill="1" applyBorder="1" applyAlignment="1">
      <alignment horizontal="center" vertical="center"/>
    </xf>
    <xf numFmtId="0" fontId="9" fillId="9" borderId="1" xfId="0" applyFont="1" applyFill="1" applyBorder="1" applyAlignment="1" applyProtection="1">
      <alignment horizontal="left" vertical="center" indent="1"/>
      <protection locked="0"/>
    </xf>
    <xf numFmtId="0" fontId="1" fillId="7" borderId="1" xfId="0" applyFont="1" applyFill="1" applyBorder="1" applyAlignment="1">
      <alignment horizontal="center" vertical="center"/>
    </xf>
    <xf numFmtId="0" fontId="1" fillId="7" borderId="1" xfId="0" applyFont="1" applyFill="1" applyBorder="1" applyAlignment="1">
      <alignment horizontal="left" vertical="center"/>
    </xf>
    <xf numFmtId="14"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4" fontId="15" fillId="3" borderId="2" xfId="0" applyNumberFormat="1" applyFont="1" applyFill="1" applyBorder="1" applyAlignment="1">
      <alignment horizontal="center" vertical="center"/>
    </xf>
    <xf numFmtId="14" fontId="15" fillId="4" borderId="2" xfId="0" applyNumberFormat="1" applyFont="1" applyFill="1" applyBorder="1" applyAlignment="1">
      <alignment horizontal="center" vertical="center"/>
    </xf>
    <xf numFmtId="0" fontId="15" fillId="3" borderId="2" xfId="0" applyFont="1" applyFill="1" applyBorder="1" applyAlignment="1">
      <alignment horizontal="center" vertical="center"/>
    </xf>
    <xf numFmtId="0" fontId="15" fillId="3" borderId="2" xfId="0" applyFont="1" applyFill="1" applyBorder="1" applyAlignment="1">
      <alignment horizontal="center" vertical="center" wrapText="1"/>
    </xf>
    <xf numFmtId="0" fontId="1" fillId="0" borderId="0" xfId="0" applyFont="1"/>
    <xf numFmtId="0" fontId="14" fillId="0" borderId="1" xfId="0" applyFont="1" applyBorder="1" applyAlignment="1">
      <alignment horizontal="center" vertical="center"/>
    </xf>
    <xf numFmtId="0" fontId="5" fillId="14" borderId="1" xfId="0" applyFont="1" applyFill="1" applyBorder="1" applyAlignment="1">
      <alignment horizontal="center" vertical="center"/>
    </xf>
    <xf numFmtId="0" fontId="1" fillId="14" borderId="1" xfId="0" applyFont="1" applyFill="1" applyBorder="1" applyAlignment="1">
      <alignment horizontal="left" vertical="center"/>
    </xf>
    <xf numFmtId="0" fontId="1" fillId="14" borderId="1" xfId="0" applyFont="1" applyFill="1" applyBorder="1" applyAlignment="1">
      <alignment horizontal="left" vertical="center" wrapText="1"/>
    </xf>
    <xf numFmtId="0" fontId="5" fillId="2" borderId="8" xfId="0" applyFont="1" applyFill="1" applyBorder="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1" fillId="7" borderId="1" xfId="0" applyFont="1" applyFill="1" applyBorder="1" applyAlignment="1">
      <alignment horizontal="center" vertical="center"/>
    </xf>
    <xf numFmtId="0" fontId="10" fillId="2" borderId="1" xfId="0" applyFont="1" applyFill="1" applyBorder="1" applyAlignment="1" applyProtection="1">
      <alignment horizontal="center" vertical="center"/>
      <protection locked="0"/>
    </xf>
    <xf numFmtId="0" fontId="5" fillId="2" borderId="0" xfId="0" applyFont="1" applyFill="1" applyAlignment="1">
      <alignment horizontal="center" vertical="center"/>
    </xf>
    <xf numFmtId="0" fontId="5" fillId="7" borderId="1" xfId="0" applyFont="1" applyFill="1" applyBorder="1" applyAlignment="1">
      <alignment horizontal="center" vertical="center"/>
    </xf>
    <xf numFmtId="0" fontId="9" fillId="7" borderId="1" xfId="0" applyFont="1" applyFill="1" applyBorder="1" applyAlignment="1" applyProtection="1">
      <alignment horizontal="center" vertical="center"/>
      <protection locked="0"/>
    </xf>
    <xf numFmtId="0" fontId="4" fillId="7" borderId="1" xfId="0" applyFont="1" applyFill="1" applyBorder="1" applyAlignment="1">
      <alignment horizontal="center" vertical="center"/>
    </xf>
    <xf numFmtId="0" fontId="3" fillId="12" borderId="4" xfId="0" applyFont="1" applyFill="1" applyBorder="1" applyAlignment="1">
      <alignment horizontal="center"/>
    </xf>
    <xf numFmtId="0" fontId="3" fillId="12" borderId="5" xfId="0" applyFont="1" applyFill="1" applyBorder="1" applyAlignment="1">
      <alignment horizontal="center"/>
    </xf>
    <xf numFmtId="0" fontId="3" fillId="12" borderId="7" xfId="0" applyFont="1" applyFill="1" applyBorder="1" applyAlignment="1">
      <alignment horizontal="center"/>
    </xf>
    <xf numFmtId="0" fontId="3" fillId="13" borderId="5" xfId="0" applyFont="1" applyFill="1" applyBorder="1" applyAlignment="1">
      <alignment horizontal="center"/>
    </xf>
    <xf numFmtId="0" fontId="3" fillId="13" borderId="7" xfId="0" applyFont="1" applyFill="1" applyBorder="1" applyAlignment="1">
      <alignment horizontal="center"/>
    </xf>
    <xf numFmtId="2" fontId="12" fillId="11" borderId="3" xfId="0" applyNumberFormat="1" applyFont="1" applyFill="1" applyBorder="1" applyAlignment="1">
      <alignment horizontal="center" vertical="center"/>
    </xf>
    <xf numFmtId="0" fontId="12" fillId="11" borderId="3" xfId="0" applyFont="1" applyFill="1" applyBorder="1" applyAlignment="1">
      <alignment horizontal="center" vertical="center"/>
    </xf>
    <xf numFmtId="0" fontId="12" fillId="11" borderId="0" xfId="0" applyFont="1" applyFill="1" applyAlignment="1">
      <alignment horizontal="center" vertical="center"/>
    </xf>
    <xf numFmtId="0" fontId="3" fillId="12" borderId="6" xfId="0" applyFont="1" applyFill="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cellXfs>
  <cellStyles count="2">
    <cellStyle name="Normal" xfId="0" builtinId="0"/>
    <cellStyle name="Porcentagem" xfId="1" builtinId="5"/>
  </cellStyles>
  <dxfs count="26">
    <dxf>
      <fill>
        <patternFill>
          <bgColor theme="6" tint="0.59996337778862885"/>
        </patternFill>
      </fill>
    </dxf>
    <dxf>
      <fill>
        <gradientFill type="path">
          <stop position="0">
            <color rgb="FF0070C0"/>
          </stop>
          <stop position="1">
            <color theme="0" tint="-5.0965910824915313E-2"/>
          </stop>
        </gradientFill>
      </fill>
    </dxf>
    <dxf>
      <fill>
        <gradientFill type="path">
          <stop position="0">
            <color theme="5"/>
          </stop>
          <stop position="1">
            <color theme="0" tint="-5.0965910824915313E-2"/>
          </stop>
        </gradientFill>
      </fill>
    </dxf>
    <dxf>
      <fill>
        <patternFill>
          <bgColor rgb="FFFF7575"/>
        </patternFill>
      </fill>
    </dxf>
    <dxf>
      <fill>
        <patternFill>
          <bgColor rgb="FFFF7575"/>
        </patternFill>
      </fill>
    </dxf>
    <dxf>
      <fill>
        <patternFill>
          <bgColor rgb="FF757575"/>
        </patternFill>
      </fill>
    </dxf>
    <dxf>
      <fill>
        <patternFill>
          <bgColor theme="9" tint="0.39994506668294322"/>
        </patternFill>
      </fill>
    </dxf>
    <dxf>
      <fill>
        <patternFill>
          <bgColor theme="9" tint="0.39994506668294322"/>
        </patternFill>
      </fill>
    </dxf>
    <dxf>
      <fill>
        <patternFill>
          <bgColor theme="5" tint="0.59996337778862885"/>
        </patternFill>
      </fill>
    </dxf>
    <dxf>
      <fill>
        <patternFill>
          <bgColor rgb="FF92D050"/>
        </patternFill>
      </fill>
    </dxf>
    <dxf>
      <fill>
        <patternFill>
          <bgColor theme="9" tint="0.59996337778862885"/>
        </patternFill>
      </fill>
    </dxf>
    <dxf>
      <font>
        <b val="0"/>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strike val="0"/>
        <outline val="0"/>
        <shadow val="0"/>
        <u val="none"/>
        <vertAlign val="baseline"/>
        <sz val="12"/>
        <color auto="1"/>
        <name val="Calibri"/>
        <family val="2"/>
        <scheme val="minor"/>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2"/>
        <color auto="1"/>
        <name val="Calibri"/>
        <family val="2"/>
        <scheme val="minor"/>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border outline="0">
        <top style="hair">
          <color indexed="64"/>
        </top>
      </border>
    </dxf>
    <dxf>
      <font>
        <b val="0"/>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dxf>
    <dxf>
      <border outline="0">
        <bottom style="hair">
          <color indexed="64"/>
        </bottom>
      </border>
    </dxf>
    <dxf>
      <font>
        <b val="0"/>
        <i val="0"/>
        <strike val="0"/>
        <condense val="0"/>
        <extend val="0"/>
        <outline val="0"/>
        <shadow val="0"/>
        <u val="none"/>
        <vertAlign val="baseline"/>
        <sz val="12"/>
        <color theme="0"/>
        <name val="Calibri"/>
        <family val="2"/>
        <scheme val="minor"/>
      </font>
      <fill>
        <patternFill patternType="solid">
          <fgColor indexed="64"/>
          <bgColor theme="4" tint="-0.499984740745262"/>
        </patternFill>
      </fill>
      <alignment horizontal="center" vertical="center" textRotation="0" wrapText="1" indent="0" justifyLastLine="0" shrinkToFit="0" readingOrder="0"/>
      <border diagonalUp="0" diagonalDown="0" outline="0">
        <left style="hair">
          <color indexed="64"/>
        </left>
        <right style="hair">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33" Type="http://schemas.microsoft.com/office/2017/06/relationships/rdArray" Target="richData/rdarray.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microsoft.com/office/2020/07/relationships/rdRichValueWebImage" Target="richData/rdRichValueWebImag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2.xml"/><Relationship Id="rId36"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styles" Target="styles.xml"/><Relationship Id="rId31"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 Id="rId35" Type="http://schemas.microsoft.com/office/2017/06/relationships/rdRichValue" Target="richData/rdrichvalue.xml"/><Relationship Id="rId30"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SATISFAÇÃO.xlsx]Especialidades MAIS PROCURADAS!Tabela dinâmica3</c:name>
    <c:fmtId val="0"/>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EspecialidadesMAIS PROCURADAS</a:t>
            </a:r>
          </a:p>
        </c:rich>
      </c:tx>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2"/>
        <c:dLbl>
          <c:idx val="0"/>
          <c:layout>
            <c:manualLayout>
              <c:x val="0.21111111111111111"/>
              <c:y val="-0.12846983253039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dLbl>
          <c:idx val="0"/>
          <c:layout>
            <c:manualLayout>
              <c:x val="-0.10277777777777777"/>
              <c:y val="-8.25877494838265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833333333333333"/>
              <c:y val="-0.133058040835053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8055555555555544"/>
              <c:y val="-8.4116180534750131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4.4444444444444446E-2"/>
              <c:y val="-0.192704748795595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9.7222222222222224E-2"/>
              <c:y val="0.114705207616425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77777777777778"/>
              <c:y val="3.21174581325991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8.611111111111111E-2"/>
              <c:y val="-0.1514108740536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'Especialidades MAIS PROCURADAS'!$B$1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4-8E0B-42D4-A92E-016645C590C5}"/>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8E0B-42D4-A92E-016645C590C5}"/>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2-8E0B-42D4-A92E-016645C590C5}"/>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4CD1-4B64-BF5B-11A91162D21A}"/>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9-4CD1-4B64-BF5B-11A91162D21A}"/>
              </c:ext>
            </c:extLst>
          </c:dPt>
          <c:dPt>
            <c:idx val="5"/>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0B-4CD1-4B64-BF5B-11A91162D21A}"/>
              </c:ext>
            </c:extLst>
          </c:dPt>
          <c:dPt>
            <c:idx val="6"/>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0D-4CD1-4B64-BF5B-11A91162D21A}"/>
              </c:ext>
            </c:extLst>
          </c:dPt>
          <c:dPt>
            <c:idx val="7"/>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0F-4CD1-4B64-BF5B-11A91162D21A}"/>
              </c:ext>
            </c:extLst>
          </c:dPt>
          <c:dPt>
            <c:idx val="8"/>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11-4CD1-4B64-BF5B-11A91162D21A}"/>
              </c:ext>
            </c:extLst>
          </c:dPt>
          <c:dLbls>
            <c:dLbl>
              <c:idx val="0"/>
              <c:layout>
                <c:manualLayout>
                  <c:x val="8.611111111111111E-2"/>
                  <c:y val="-0.1514108740536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E0B-42D4-A92E-016645C590C5}"/>
                </c:ext>
              </c:extLst>
            </c:dLbl>
            <c:dLbl>
              <c:idx val="1"/>
              <c:layout>
                <c:manualLayout>
                  <c:x val="0.15833333333333333"/>
                  <c:y val="-0.1330580408350539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E0B-42D4-A92E-016645C590C5}"/>
                </c:ext>
              </c:extLst>
            </c:dLbl>
            <c:dLbl>
              <c:idx val="2"/>
              <c:layout>
                <c:manualLayout>
                  <c:x val="0.18055555555555544"/>
                  <c:y val="-8.4116180534750131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E0B-42D4-A92E-016645C590C5}"/>
                </c:ext>
              </c:extLst>
            </c:dLbl>
            <c:dLbl>
              <c:idx val="3"/>
              <c:layout>
                <c:manualLayout>
                  <c:x val="9.7222222222222224E-2"/>
                  <c:y val="0.114705207616425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CD1-4B64-BF5B-11A91162D21A}"/>
                </c:ext>
              </c:extLst>
            </c:dLbl>
            <c:dLbl>
              <c:idx val="4"/>
              <c:layout>
                <c:manualLayout>
                  <c:x val="-4.4444444444444446E-2"/>
                  <c:y val="-0.192704748795595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CD1-4B64-BF5B-11A91162D21A}"/>
                </c:ext>
              </c:extLst>
            </c:dLbl>
            <c:dLbl>
              <c:idx val="5"/>
              <c:layout>
                <c:manualLayout>
                  <c:x val="-0.1277777777777778"/>
                  <c:y val="3.21174581325991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4CD1-4B64-BF5B-11A91162D21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'Especialidades MAIS PROCURADAS'!$A$2:$A$8</c:f>
              <c:strCache>
                <c:ptCount val="6"/>
                <c:pt idx="0">
                  <c:v>Limpeza de pele</c:v>
                </c:pt>
                <c:pt idx="1">
                  <c:v>Drenagem linfática manual</c:v>
                </c:pt>
                <c:pt idx="2">
                  <c:v>Microagulhamento</c:v>
                </c:pt>
                <c:pt idx="3">
                  <c:v>Fotodepilação</c:v>
                </c:pt>
                <c:pt idx="4">
                  <c:v>Terapia capilar para queda</c:v>
                </c:pt>
                <c:pt idx="5">
                  <c:v>Massagem Modeladora</c:v>
                </c:pt>
              </c:strCache>
            </c:strRef>
          </c:cat>
          <c:val>
            <c:numRef>
              <c:f>'Especialidades MAIS PROCURADAS'!$B$2:$B$8</c:f>
              <c:numCache>
                <c:formatCode>General</c:formatCode>
                <c:ptCount val="6"/>
                <c:pt idx="0">
                  <c:v>28</c:v>
                </c:pt>
                <c:pt idx="1">
                  <c:v>16</c:v>
                </c:pt>
                <c:pt idx="2">
                  <c:v>11</c:v>
                </c:pt>
                <c:pt idx="3">
                  <c:v>1</c:v>
                </c:pt>
                <c:pt idx="4">
                  <c:v>6</c:v>
                </c:pt>
                <c:pt idx="5">
                  <c:v>82</c:v>
                </c:pt>
              </c:numCache>
            </c:numRef>
          </c:val>
          <c:extLst>
            <c:ext xmlns:c16="http://schemas.microsoft.com/office/drawing/2014/chart" uri="{C3380CC4-5D6E-409C-BE32-E72D297353CC}">
              <c16:uniqueId val="{00000000-8E0B-42D4-A92E-016645C590C5}"/>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SATISFAÇÃO.xlsx]MES!Tabela dinâmica6</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pt-BR"/>
        </a:p>
      </c:txPr>
    </c:title>
    <c:autoTitleDeleted val="0"/>
    <c:pivotFmts>
      <c:pivotFmt>
        <c:idx val="0"/>
        <c:spPr>
          <a:ln w="28575" cap="rnd">
            <a:solidFill>
              <a:schemeClr val="accent1"/>
            </a:solidFill>
            <a:round/>
          </a:ln>
          <a:effectLst/>
        </c:spPr>
        <c:marker>
          <c:symbol val="circle"/>
          <c:size val="6"/>
          <c:spPr>
            <a:solidFill>
              <a:schemeClr val="accent1"/>
            </a:solidFill>
            <a:ln w="9525">
              <a:solidFill>
                <a:schemeClr val="lt1"/>
              </a:solidFill>
            </a:ln>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6"/>
          <c:spPr>
            <a:solidFill>
              <a:schemeClr val="accent1"/>
            </a:solidFill>
            <a:ln w="9525">
              <a:solidFill>
                <a:schemeClr val="lt1"/>
              </a:solidFill>
            </a:ln>
            <a:effectLst/>
          </c:spPr>
        </c:marker>
      </c:pivotFmt>
      <c:pivotFmt>
        <c:idx val="2"/>
        <c:spPr>
          <a:ln w="28575" cap="rnd">
            <a:solidFill>
              <a:schemeClr val="accent1"/>
            </a:solidFill>
            <a:round/>
          </a:ln>
          <a:effectLst/>
        </c:spPr>
        <c:marker>
          <c:symbol val="circle"/>
          <c:size val="6"/>
          <c:spPr>
            <a:solidFill>
              <a:schemeClr val="accent1"/>
            </a:solidFill>
            <a:ln w="9525">
              <a:solidFill>
                <a:schemeClr val="lt1"/>
              </a:solidFill>
            </a:ln>
            <a:effectLst/>
          </c:spPr>
        </c:marker>
      </c:pivotFmt>
      <c:pivotFmt>
        <c:idx val="3"/>
        <c:spPr>
          <a:ln w="28575" cap="rnd">
            <a:solidFill>
              <a:schemeClr val="accent1"/>
            </a:solidFill>
            <a:round/>
          </a:ln>
          <a:effectLst/>
        </c:spPr>
        <c:marker>
          <c:symbol val="circle"/>
          <c:size val="6"/>
          <c:spPr>
            <a:solidFill>
              <a:schemeClr val="accent1"/>
            </a:solidFill>
            <a:ln w="9525">
              <a:solidFill>
                <a:schemeClr val="lt1"/>
              </a:solidFill>
            </a:ln>
            <a:effectLst/>
          </c:spPr>
        </c:marker>
      </c:pivotFmt>
      <c:pivotFmt>
        <c:idx val="4"/>
      </c:pivotFmt>
    </c:pivotFmts>
    <c:plotArea>
      <c:layout/>
      <c:lineChart>
        <c:grouping val="standard"/>
        <c:varyColors val="0"/>
        <c:ser>
          <c:idx val="0"/>
          <c:order val="0"/>
          <c:tx>
            <c:strRef>
              <c:f>MES!$B$1</c:f>
              <c:strCache>
                <c:ptCount val="1"/>
                <c:pt idx="0">
                  <c:v>Total</c:v>
                </c:pt>
              </c:strCache>
            </c:strRef>
          </c:tx>
          <c:spPr>
            <a:ln w="28575" cap="rnd">
              <a:solidFill>
                <a:schemeClr val="accent1"/>
              </a:solidFill>
              <a:round/>
            </a:ln>
            <a:effectLst/>
          </c:spPr>
          <c:marker>
            <c:symbol val="circle"/>
            <c:size val="6"/>
            <c:spPr>
              <a:solidFill>
                <a:schemeClr val="accent1"/>
              </a:solidFill>
              <a:ln w="9525">
                <a:solidFill>
                  <a:schemeClr val="lt1"/>
                </a:solidFill>
              </a:ln>
              <a:effectLst/>
            </c:spPr>
          </c:marker>
          <c:dPt>
            <c:idx val="0"/>
            <c:marker>
              <c:symbol val="circle"/>
              <c:size val="6"/>
              <c:spPr>
                <a:solidFill>
                  <a:schemeClr val="accent1"/>
                </a:solidFill>
                <a:ln w="9525">
                  <a:solidFill>
                    <a:schemeClr val="lt1"/>
                  </a:solidFill>
                </a:ln>
                <a:effectLst/>
              </c:spPr>
            </c:marker>
            <c:bubble3D val="0"/>
            <c:extLst>
              <c:ext xmlns:c16="http://schemas.microsoft.com/office/drawing/2014/chart" uri="{C3380CC4-5D6E-409C-BE32-E72D297353CC}">
                <c16:uniqueId val="{00000000-805D-4B21-B40B-5B966DEF0BA7}"/>
              </c:ext>
            </c:extLst>
          </c:dPt>
          <c:dPt>
            <c:idx val="1"/>
            <c:marker>
              <c:symbol val="circle"/>
              <c:size val="6"/>
              <c:spPr>
                <a:solidFill>
                  <a:schemeClr val="accent1"/>
                </a:solidFill>
                <a:ln w="9525">
                  <a:solidFill>
                    <a:schemeClr val="lt1"/>
                  </a:solidFill>
                </a:ln>
                <a:effectLst/>
              </c:spPr>
            </c:marker>
            <c:bubble3D val="0"/>
            <c:extLst>
              <c:ext xmlns:c16="http://schemas.microsoft.com/office/drawing/2014/chart" uri="{C3380CC4-5D6E-409C-BE32-E72D297353CC}">
                <c16:uniqueId val="{00000000-8E05-475A-8986-A77A3D387ECE}"/>
              </c:ext>
            </c:extLst>
          </c:dPt>
          <c:dPt>
            <c:idx val="2"/>
            <c:marker>
              <c:symbol val="circle"/>
              <c:size val="6"/>
              <c:spPr>
                <a:solidFill>
                  <a:schemeClr val="accent1"/>
                </a:solidFill>
                <a:ln w="9525">
                  <a:solidFill>
                    <a:schemeClr val="lt1"/>
                  </a:solidFill>
                </a:ln>
                <a:effectLst/>
              </c:spPr>
            </c:marker>
            <c:bubble3D val="0"/>
            <c:extLst>
              <c:ext xmlns:c16="http://schemas.microsoft.com/office/drawing/2014/chart" uri="{C3380CC4-5D6E-409C-BE32-E72D297353CC}">
                <c16:uniqueId val="{00000001-8E05-475A-8986-A77A3D387ECE}"/>
              </c:ext>
            </c:extLst>
          </c:dPt>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MES!$A$2:$A$7</c:f>
              <c:strCache>
                <c:ptCount val="5"/>
                <c:pt idx="0">
                  <c:v>jan-25</c:v>
                </c:pt>
                <c:pt idx="1">
                  <c:v>fev-25</c:v>
                </c:pt>
                <c:pt idx="2">
                  <c:v>mar-25</c:v>
                </c:pt>
                <c:pt idx="3">
                  <c:v>abr-25</c:v>
                </c:pt>
                <c:pt idx="4">
                  <c:v>mai-25</c:v>
                </c:pt>
              </c:strCache>
            </c:strRef>
          </c:cat>
          <c:val>
            <c:numRef>
              <c:f>MES!$B$2:$B$7</c:f>
              <c:numCache>
                <c:formatCode>General</c:formatCode>
                <c:ptCount val="5"/>
                <c:pt idx="0">
                  <c:v>30</c:v>
                </c:pt>
                <c:pt idx="1">
                  <c:v>28</c:v>
                </c:pt>
                <c:pt idx="2">
                  <c:v>31</c:v>
                </c:pt>
                <c:pt idx="3">
                  <c:v>26</c:v>
                </c:pt>
                <c:pt idx="4">
                  <c:v>29</c:v>
                </c:pt>
              </c:numCache>
            </c:numRef>
          </c:val>
          <c:smooth val="0"/>
          <c:extLst>
            <c:ext xmlns:c16="http://schemas.microsoft.com/office/drawing/2014/chart" uri="{C3380CC4-5D6E-409C-BE32-E72D297353CC}">
              <c16:uniqueId val="{00000000-11D8-48EF-978E-8CCC0C53FFD1}"/>
            </c:ext>
          </c:extLst>
        </c:ser>
        <c:dLbls>
          <c:dLblPos val="t"/>
          <c:showLegendKey val="0"/>
          <c:showVal val="1"/>
          <c:showCatName val="0"/>
          <c:showSerName val="0"/>
          <c:showPercent val="0"/>
          <c:showBubbleSize val="0"/>
        </c:dLbls>
        <c:marker val="1"/>
        <c:smooth val="0"/>
        <c:axId val="480458559"/>
        <c:axId val="480455231"/>
      </c:lineChart>
      <c:catAx>
        <c:axId val="48045855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0455231"/>
        <c:crosses val="autoZero"/>
        <c:auto val="1"/>
        <c:lblAlgn val="ctr"/>
        <c:lblOffset val="100"/>
        <c:noMultiLvlLbl val="0"/>
      </c:catAx>
      <c:valAx>
        <c:axId val="480455231"/>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045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SATISFAÇÃO.xlsx]MAPA!Tabela dinâmica8</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CIDADES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pt-B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8040521787399388"/>
              <c:y val="-0.11558021266759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6375242853177907"/>
              <c:y val="2.31160425335180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489592006661115"/>
              <c:y val="0.152565880721220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934499028587288"/>
              <c:y val="-0.152565880721220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30549629464510109"/>
          <c:y val="0.32158019082566136"/>
          <c:w val="0.38900762925034038"/>
          <c:h val="0.64798635607442279"/>
        </c:manualLayout>
      </c:layout>
      <c:doughnutChart>
        <c:varyColors val="1"/>
        <c:ser>
          <c:idx val="0"/>
          <c:order val="0"/>
          <c:tx>
            <c:strRef>
              <c:f>MAPA!$A$1</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8-5066-4B9F-9ED2-61A9755FBDE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6-5066-4B9F-9ED2-61A9755FBDE0}"/>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5066-4B9F-9ED2-61A9755FBDE0}"/>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4-5066-4B9F-9ED2-61A9755FBDE0}"/>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5066-4B9F-9ED2-61A9755FBDE0}"/>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7-5066-4B9F-9ED2-61A9755FBDE0}"/>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CAF0-426A-8568-9A743A7121FE}"/>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CAF0-426A-8568-9A743A7121FE}"/>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CAF0-426A-8568-9A743A7121FE}"/>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B5C3-44BA-8CB4-D61DCC039AA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MAPA!$A$2</c:f>
              <c:strCache>
                <c:ptCount val="1"/>
                <c:pt idx="0">
                  <c:v>Total</c:v>
                </c:pt>
              </c:strCache>
            </c:strRef>
          </c:cat>
          <c:val>
            <c:numRef>
              <c:f>MAPA!$A$2</c:f>
              <c:numCache>
                <c:formatCode>General</c:formatCode>
                <c:ptCount val="1"/>
                <c:pt idx="0">
                  <c:v>144</c:v>
                </c:pt>
              </c:numCache>
            </c:numRef>
          </c:val>
          <c:extLst>
            <c:ext xmlns:c16="http://schemas.microsoft.com/office/drawing/2014/chart" uri="{C3380CC4-5D6E-409C-BE32-E72D297353CC}">
              <c16:uniqueId val="{00000002-5066-4B9F-9ED2-61A9755FBDE0}"/>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SATISFAÇÃO.xlsx]MES!Tabela dinâmica6</c:name>
    <c:fmtId val="2"/>
  </c:pivotSource>
  <c:chart>
    <c:title>
      <c:tx>
        <c:rich>
          <a:bodyPr rot="0" spcFirstLastPara="1" vertOverflow="ellipsis" vert="horz" wrap="square" anchor="ctr" anchorCtr="1"/>
          <a:lstStyle/>
          <a:p>
            <a:pPr algn="ctr" rtl="0">
              <a:defRPr lang="en-US" sz="900" b="1" i="0" u="none" strike="noStrike" kern="1200" cap="all" spc="150" baseline="0">
                <a:solidFill>
                  <a:sysClr val="windowText" lastClr="000000"/>
                </a:solidFill>
                <a:latin typeface="+mn-lt"/>
                <a:ea typeface="+mn-ea"/>
                <a:cs typeface="+mn-cs"/>
              </a:defRPr>
            </a:pPr>
            <a:r>
              <a:rPr lang="en-US" sz="900" b="1" i="0" u="none" strike="noStrike" kern="1200" cap="all" spc="150" baseline="0">
                <a:solidFill>
                  <a:sysClr val="windowText" lastClr="000000"/>
                </a:solidFill>
                <a:latin typeface="+mn-lt"/>
                <a:ea typeface="+mn-ea"/>
                <a:cs typeface="+mn-cs"/>
              </a:rPr>
              <a:t>QUANTIDADE DE pesquisa (MÊS)</a:t>
            </a:r>
          </a:p>
        </c:rich>
      </c:tx>
      <c:overlay val="0"/>
      <c:spPr>
        <a:solidFill>
          <a:srgbClr val="FFC000"/>
        </a:solidFill>
        <a:ln>
          <a:noFill/>
        </a:ln>
        <a:effectLst/>
      </c:spPr>
      <c:txPr>
        <a:bodyPr rot="0" spcFirstLastPara="1" vertOverflow="ellipsis" vert="horz" wrap="square" anchor="ctr" anchorCtr="1"/>
        <a:lstStyle/>
        <a:p>
          <a:pPr algn="ctr" rtl="0">
            <a:defRPr lang="en-US"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w="9525">
              <a:solidFill>
                <a:schemeClr val="lt1"/>
              </a:solidFill>
            </a:ln>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w="9525">
              <a:solidFill>
                <a:schemeClr val="lt1"/>
              </a:solidFill>
            </a:ln>
            <a:effectLst/>
          </c:spPr>
        </c:marker>
      </c:pivotFmt>
      <c:pivotFmt>
        <c:idx val="2"/>
        <c:spPr>
          <a:pattFill prst="ltUpDiag">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w="9525">
              <a:solidFill>
                <a:schemeClr val="lt1"/>
              </a:solidFill>
            </a:ln>
            <a:effectLst/>
          </c:spPr>
        </c:marker>
      </c:pivotFmt>
      <c:pivotFmt>
        <c:idx val="3"/>
        <c:spPr>
          <a:pattFill prst="ltUpDiag">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w="9525">
              <a:solidFill>
                <a:schemeClr val="lt1"/>
              </a:solidFill>
            </a:ln>
            <a:effectLst/>
          </c:spPr>
        </c:marker>
      </c:pivotFmt>
      <c:pivotFmt>
        <c:idx val="4"/>
        <c:spPr>
          <a:pattFill prst="ltUpDiag">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w="9525">
              <a:solidFill>
                <a:schemeClr val="lt1"/>
              </a:solidFill>
            </a:ln>
            <a:effectLst/>
          </c:spPr>
        </c:marker>
      </c:pivotFmt>
      <c:pivotFmt>
        <c:idx val="5"/>
        <c:spPr>
          <a:pattFill prst="ltUpDiag">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w="9525">
              <a:solidFill>
                <a:schemeClr val="lt1"/>
              </a:solidFill>
            </a:ln>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6"/>
          <c:spPr>
            <a:solidFill>
              <a:schemeClr val="accent1"/>
            </a:solidFill>
            <a:ln w="9525">
              <a:solidFill>
                <a:schemeClr val="lt1"/>
              </a:solidFill>
            </a:ln>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265384147359538E-2"/>
          <c:y val="0.17207614870925944"/>
          <c:w val="0.90050352967093916"/>
          <c:h val="0.61031476128775042"/>
        </c:manualLayout>
      </c:layout>
      <c:lineChart>
        <c:grouping val="standard"/>
        <c:varyColors val="0"/>
        <c:ser>
          <c:idx val="0"/>
          <c:order val="0"/>
          <c:tx>
            <c:strRef>
              <c:f>MES!$B$1</c:f>
              <c:strCache>
                <c:ptCount val="1"/>
                <c:pt idx="0">
                  <c:v>Total</c:v>
                </c:pt>
              </c:strCache>
            </c:strRef>
          </c:tx>
          <c:spPr>
            <a:ln w="28575" cap="rnd">
              <a:solidFill>
                <a:schemeClr val="accent1"/>
              </a:solidFill>
              <a:round/>
            </a:ln>
            <a:effectLst/>
          </c:spPr>
          <c:marker>
            <c:symbol val="circle"/>
            <c:size val="6"/>
            <c:spPr>
              <a:solidFill>
                <a:schemeClr val="accent1"/>
              </a:solidFill>
              <a:ln w="9525">
                <a:solidFill>
                  <a:schemeClr val="lt1"/>
                </a:solidFill>
              </a:ln>
              <a:effectLst/>
            </c:spPr>
          </c:marker>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rgbClr val="00B050"/>
                </a:solidFill>
                <a:prstDash val="dash"/>
              </a:ln>
              <a:effectLst/>
            </c:spPr>
            <c:trendlineType val="linear"/>
            <c:dispRSqr val="0"/>
            <c:dispEq val="0"/>
          </c:trendline>
          <c:cat>
            <c:strRef>
              <c:f>MES!$A$2:$A$7</c:f>
              <c:strCache>
                <c:ptCount val="5"/>
                <c:pt idx="0">
                  <c:v>jan-25</c:v>
                </c:pt>
                <c:pt idx="1">
                  <c:v>fev-25</c:v>
                </c:pt>
                <c:pt idx="2">
                  <c:v>mar-25</c:v>
                </c:pt>
                <c:pt idx="3">
                  <c:v>abr-25</c:v>
                </c:pt>
                <c:pt idx="4">
                  <c:v>mai-25</c:v>
                </c:pt>
              </c:strCache>
            </c:strRef>
          </c:cat>
          <c:val>
            <c:numRef>
              <c:f>MES!$B$2:$B$7</c:f>
              <c:numCache>
                <c:formatCode>General</c:formatCode>
                <c:ptCount val="5"/>
                <c:pt idx="0">
                  <c:v>30</c:v>
                </c:pt>
                <c:pt idx="1">
                  <c:v>28</c:v>
                </c:pt>
                <c:pt idx="2">
                  <c:v>31</c:v>
                </c:pt>
                <c:pt idx="3">
                  <c:v>26</c:v>
                </c:pt>
                <c:pt idx="4">
                  <c:v>29</c:v>
                </c:pt>
              </c:numCache>
            </c:numRef>
          </c:val>
          <c:smooth val="0"/>
          <c:extLst>
            <c:ext xmlns:c16="http://schemas.microsoft.com/office/drawing/2014/chart" uri="{C3380CC4-5D6E-409C-BE32-E72D297353CC}">
              <c16:uniqueId val="{00000000-565F-46EE-B416-2B2D088ADCEF}"/>
            </c:ext>
          </c:extLst>
        </c:ser>
        <c:dLbls>
          <c:dLblPos val="t"/>
          <c:showLegendKey val="0"/>
          <c:showVal val="1"/>
          <c:showCatName val="0"/>
          <c:showSerName val="0"/>
          <c:showPercent val="0"/>
          <c:showBubbleSize val="0"/>
        </c:dLbls>
        <c:marker val="1"/>
        <c:smooth val="0"/>
        <c:axId val="480458559"/>
        <c:axId val="480455231"/>
      </c:lineChart>
      <c:catAx>
        <c:axId val="48045855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0455231"/>
        <c:crosses val="autoZero"/>
        <c:auto val="1"/>
        <c:lblAlgn val="ctr"/>
        <c:lblOffset val="100"/>
        <c:noMultiLvlLbl val="0"/>
      </c:catAx>
      <c:valAx>
        <c:axId val="480455231"/>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045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SATISFAÇÃO.xlsx]Especialidades MAIS PROCURADAS!Tabela dinâmica3</c:name>
    <c:fmtId val="2"/>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Especialidades MAIS PROCURADAS</a:t>
            </a:r>
          </a:p>
        </c:rich>
      </c:tx>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5040308345352597"/>
              <c:y val="-3.35891181919091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4505866265488238"/>
              <c:y val="-2.3843306715373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534554179019046"/>
              <c:y val="-0.10570077255194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4823956976828939"/>
              <c:y val="1.41442715700141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0345514260928509E-2"/>
              <c:y val="0.22630834512022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8249427446409886"/>
              <c:y val="-0.198019801980198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061535388425772"/>
              <c:y val="-0.150872230080150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3.0766703159456364E-2"/>
              <c:y val="-0.11786892975011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578811101472199"/>
              <c:y val="-8.48656294200848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layout>
            <c:manualLayout>
              <c:x val="-0.18055555555555561"/>
              <c:y val="-6.47909090231250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layout>
            <c:manualLayout>
              <c:x val="0.27777777777777779"/>
              <c:y val="-0.1345657341249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layout>
            <c:manualLayout>
              <c:x val="0.18055555555555544"/>
              <c:y val="-4.98391607870192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layout>
            <c:manualLayout>
              <c:x val="-0.18749989063867017"/>
              <c:y val="6.47909090231249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83530183727032"/>
                  <c:h val="0.24075375647958144"/>
                </c:manualLayout>
              </c15:layout>
            </c:ext>
          </c:extLst>
        </c:dLbl>
      </c:pivotFmt>
      <c:pivotFmt>
        <c:idx val="24"/>
        <c:dLbl>
          <c:idx val="0"/>
          <c:layout>
            <c:manualLayout>
              <c:x val="-0.20102209098862642"/>
              <c:y val="-6.47909090231249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dLbl>
          <c:idx val="0"/>
          <c:layout>
            <c:manualLayout>
              <c:x val="-0.20555555555555555"/>
              <c:y val="-9.96783215740385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222222222222212"/>
              <c:y val="-0.18440489491197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8.333333333333344E-2"/>
              <c:y val="-0.169453146675865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277777777777767"/>
              <c:y val="3.98713286296151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6111111111111112"/>
              <c:y val="-8.47265733379326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4444444444444444"/>
              <c:y val="8.47265733379326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'Especialidades MAIS PROCURADAS'!$B$1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8D18-46AD-A4EF-0167862A677A}"/>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8D18-46AD-A4EF-0167862A677A}"/>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8D18-46AD-A4EF-0167862A677A}"/>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E8B9-4D4A-8231-2EF96A436142}"/>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9-E8B9-4D4A-8231-2EF96A436142}"/>
              </c:ext>
            </c:extLst>
          </c:dPt>
          <c:dPt>
            <c:idx val="5"/>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0B-E8B9-4D4A-8231-2EF96A436142}"/>
              </c:ext>
            </c:extLst>
          </c:dPt>
          <c:dPt>
            <c:idx val="6"/>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0D-E8B9-4D4A-8231-2EF96A436142}"/>
              </c:ext>
            </c:extLst>
          </c:dPt>
          <c:dPt>
            <c:idx val="7"/>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0F-E8B9-4D4A-8231-2EF96A436142}"/>
              </c:ext>
            </c:extLst>
          </c:dPt>
          <c:dPt>
            <c:idx val="8"/>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11-E8B9-4D4A-8231-2EF96A436142}"/>
              </c:ext>
            </c:extLst>
          </c:dPt>
          <c:dLbls>
            <c:dLbl>
              <c:idx val="0"/>
              <c:layout>
                <c:manualLayout>
                  <c:x val="-8.333333333333344E-2"/>
                  <c:y val="-0.169453146675865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D18-46AD-A4EF-0167862A677A}"/>
                </c:ext>
              </c:extLst>
            </c:dLbl>
            <c:dLbl>
              <c:idx val="1"/>
              <c:layout>
                <c:manualLayout>
                  <c:x val="0.12222222222222212"/>
                  <c:y val="-0.18440489491197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18-46AD-A4EF-0167862A677A}"/>
                </c:ext>
              </c:extLst>
            </c:dLbl>
            <c:dLbl>
              <c:idx val="2"/>
              <c:layout>
                <c:manualLayout>
                  <c:x val="0.16111111111111112"/>
                  <c:y val="-8.47265733379326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D18-46AD-A4EF-0167862A677A}"/>
                </c:ext>
              </c:extLst>
            </c:dLbl>
            <c:dLbl>
              <c:idx val="3"/>
              <c:layout>
                <c:manualLayout>
                  <c:x val="-0.34444444444444444"/>
                  <c:y val="8.47265733379326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8B9-4D4A-8231-2EF96A436142}"/>
                </c:ext>
              </c:extLst>
            </c:dLbl>
            <c:dLbl>
              <c:idx val="4"/>
              <c:layout>
                <c:manualLayout>
                  <c:x val="0.20277777777777767"/>
                  <c:y val="3.98713286296151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8B9-4D4A-8231-2EF96A43614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'Especialidades MAIS PROCURADAS'!$A$2:$A$8</c:f>
              <c:strCache>
                <c:ptCount val="6"/>
                <c:pt idx="0">
                  <c:v>Limpeza de pele</c:v>
                </c:pt>
                <c:pt idx="1">
                  <c:v>Drenagem linfática manual</c:v>
                </c:pt>
                <c:pt idx="2">
                  <c:v>Microagulhamento</c:v>
                </c:pt>
                <c:pt idx="3">
                  <c:v>Fotodepilação</c:v>
                </c:pt>
                <c:pt idx="4">
                  <c:v>Terapia capilar para queda</c:v>
                </c:pt>
                <c:pt idx="5">
                  <c:v>Massagem Modeladora</c:v>
                </c:pt>
              </c:strCache>
            </c:strRef>
          </c:cat>
          <c:val>
            <c:numRef>
              <c:f>'Especialidades MAIS PROCURADAS'!$B$2:$B$8</c:f>
              <c:numCache>
                <c:formatCode>General</c:formatCode>
                <c:ptCount val="6"/>
                <c:pt idx="0">
                  <c:v>28</c:v>
                </c:pt>
                <c:pt idx="1">
                  <c:v>16</c:v>
                </c:pt>
                <c:pt idx="2">
                  <c:v>11</c:v>
                </c:pt>
                <c:pt idx="3">
                  <c:v>1</c:v>
                </c:pt>
                <c:pt idx="4">
                  <c:v>6</c:v>
                </c:pt>
                <c:pt idx="5">
                  <c:v>82</c:v>
                </c:pt>
              </c:numCache>
            </c:numRef>
          </c:val>
          <c:extLst>
            <c:ext xmlns:c16="http://schemas.microsoft.com/office/drawing/2014/chart" uri="{C3380CC4-5D6E-409C-BE32-E72D297353CC}">
              <c16:uniqueId val="{00000006-8D18-46AD-A4EF-0167862A677A}"/>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SATISFAÇÃO.xlsx]ACESSIBILIDADE!Tabela dinâmica3</c:name>
    <c:fmtId val="3"/>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ACESSIBILIDADE</a:t>
            </a:r>
          </a:p>
        </c:rich>
      </c:tx>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ACESSIBILIDADE!$B$1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F1B5-429C-91BA-9ABF363BC37B}"/>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F1B5-429C-91BA-9ABF363BC37B}"/>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F1B5-429C-91BA-9ABF363BC37B}"/>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F1B5-429C-91BA-9ABF363BC37B}"/>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9-F1B5-429C-91BA-9ABF363BC37B}"/>
              </c:ext>
            </c:extLst>
          </c:dPt>
          <c:dPt>
            <c:idx val="5"/>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0B-F1B5-429C-91BA-9ABF363BC37B}"/>
              </c:ext>
            </c:extLst>
          </c:dPt>
          <c:dLbls>
            <c:dLbl>
              <c:idx val="0"/>
              <c:layout>
                <c:manualLayout>
                  <c:x val="0.20833333333333334"/>
                  <c:y val="-0.1156604210039324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B5-429C-91BA-9ABF363BC37B}"/>
                </c:ext>
              </c:extLst>
            </c:dLbl>
            <c:dLbl>
              <c:idx val="1"/>
              <c:layout>
                <c:manualLayout>
                  <c:x val="0.34166666666666656"/>
                  <c:y val="-2.77585010409437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B5-429C-91BA-9ABF363BC37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ACESSIBILIDADE!$A$2:$A$5</c:f>
              <c:strCache>
                <c:ptCount val="3"/>
                <c:pt idx="0">
                  <c:v>Muito Insatisfeito(a)</c:v>
                </c:pt>
                <c:pt idx="1">
                  <c:v>Muito Satisfeito(a)</c:v>
                </c:pt>
                <c:pt idx="2">
                  <c:v>Idiferente</c:v>
                </c:pt>
              </c:strCache>
            </c:strRef>
          </c:cat>
          <c:val>
            <c:numRef>
              <c:f>ACESSIBILIDADE!$B$2:$B$5</c:f>
              <c:numCache>
                <c:formatCode>General</c:formatCode>
                <c:ptCount val="3"/>
                <c:pt idx="0">
                  <c:v>1</c:v>
                </c:pt>
                <c:pt idx="1">
                  <c:v>141</c:v>
                </c:pt>
                <c:pt idx="2">
                  <c:v>2</c:v>
                </c:pt>
              </c:numCache>
            </c:numRef>
          </c:val>
          <c:extLst>
            <c:ext xmlns:c16="http://schemas.microsoft.com/office/drawing/2014/chart" uri="{C3380CC4-5D6E-409C-BE32-E72D297353CC}">
              <c16:uniqueId val="{0000000C-F1B5-429C-91BA-9ABF363BC37B}"/>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SATISFAÇÃO.xlsx]ESTRUTURA FÍSICA!Tabela dinâmica3</c:name>
    <c:fmtId val="4"/>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ESTRUTURA FÍSICA</a:t>
            </a:r>
          </a:p>
        </c:rich>
      </c:tx>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'ESTRUTURA FÍSICA'!$B$1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45DE-41F7-804B-469A74E34AD9}"/>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45DE-41F7-804B-469A74E34AD9}"/>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45DE-41F7-804B-469A74E34AD9}"/>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45DE-41F7-804B-469A74E34AD9}"/>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9-45DE-41F7-804B-469A74E34AD9}"/>
              </c:ext>
            </c:extLst>
          </c:dPt>
          <c:dLbls>
            <c:dLbl>
              <c:idx val="0"/>
              <c:layout>
                <c:manualLayout>
                  <c:x val="0.22777777777777766"/>
                  <c:y val="-0.124913254684247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DE-41F7-804B-469A74E34AD9}"/>
                </c:ext>
              </c:extLst>
            </c:dLbl>
            <c:dLbl>
              <c:idx val="1"/>
              <c:layout>
                <c:manualLayout>
                  <c:x val="0.26388888888888878"/>
                  <c:y val="-4.62641684015731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DE-41F7-804B-469A74E34A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'ESTRUTURA FÍSICA'!$A$2:$A$5</c:f>
              <c:strCache>
                <c:ptCount val="3"/>
                <c:pt idx="0">
                  <c:v>Muito insatisfeito(a)</c:v>
                </c:pt>
                <c:pt idx="1">
                  <c:v>Muito Satisfeito(a)</c:v>
                </c:pt>
                <c:pt idx="2">
                  <c:v>Insatisfeito(a)</c:v>
                </c:pt>
              </c:strCache>
            </c:strRef>
          </c:cat>
          <c:val>
            <c:numRef>
              <c:f>'ESTRUTURA FÍSICA'!$B$2:$B$5</c:f>
              <c:numCache>
                <c:formatCode>General</c:formatCode>
                <c:ptCount val="3"/>
                <c:pt idx="0">
                  <c:v>9</c:v>
                </c:pt>
                <c:pt idx="1">
                  <c:v>134</c:v>
                </c:pt>
                <c:pt idx="2">
                  <c:v>1</c:v>
                </c:pt>
              </c:numCache>
            </c:numRef>
          </c:val>
          <c:extLst>
            <c:ext xmlns:c16="http://schemas.microsoft.com/office/drawing/2014/chart" uri="{C3380CC4-5D6E-409C-BE32-E72D297353CC}">
              <c16:uniqueId val="{0000000A-45DE-41F7-804B-469A74E34AD9}"/>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SATISFAÇÃO.xlsx]AMBIENTE LIMPO!Tabela dinâmica3</c:name>
    <c:fmtId val="5"/>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AMBIENTE LIMPO</a:t>
            </a:r>
          </a:p>
        </c:rich>
      </c:tx>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30833333333333324"/>
              <c:y val="-7.8649086282674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21944444444444444"/>
              <c:y val="-7.8649086282674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0833333333333324"/>
              <c:y val="-7.8649086282674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1944444444444444"/>
              <c:y val="-7.8649086282674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4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0833333333333324"/>
              <c:y val="-7.8649086282674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1944444444444444"/>
              <c:y val="-7.8649086282674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'AMBIENTE LIMPO'!$B$1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BD39-4363-BE7D-E8B9ACCD5273}"/>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BD39-4363-BE7D-E8B9ACCD5273}"/>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BD39-4363-BE7D-E8B9ACCD5273}"/>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BD39-4363-BE7D-E8B9ACCD5273}"/>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9-BD39-4363-BE7D-E8B9ACCD5273}"/>
              </c:ext>
            </c:extLst>
          </c:dPt>
          <c:dLbls>
            <c:dLbl>
              <c:idx val="0"/>
              <c:layout>
                <c:manualLayout>
                  <c:x val="0.17499999999999991"/>
                  <c:y val="-9.71547536433032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D39-4363-BE7D-E8B9ACCD5273}"/>
                </c:ext>
              </c:extLst>
            </c:dLbl>
            <c:dLbl>
              <c:idx val="1"/>
              <c:layout>
                <c:manualLayout>
                  <c:x val="0.30833333333333324"/>
                  <c:y val="-7.86490862826741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D39-4363-BE7D-E8B9ACCD527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'AMBIENTE LIMPO'!$A$2:$A$4</c:f>
              <c:strCache>
                <c:ptCount val="2"/>
                <c:pt idx="0">
                  <c:v>Muito insatisfeito(a)</c:v>
                </c:pt>
                <c:pt idx="1">
                  <c:v>Muito Satisfeito(a)</c:v>
                </c:pt>
              </c:strCache>
            </c:strRef>
          </c:cat>
          <c:val>
            <c:numRef>
              <c:f>'AMBIENTE LIMPO'!$B$2:$B$4</c:f>
              <c:numCache>
                <c:formatCode>General</c:formatCode>
                <c:ptCount val="2"/>
                <c:pt idx="0">
                  <c:v>8</c:v>
                </c:pt>
                <c:pt idx="1">
                  <c:v>136</c:v>
                </c:pt>
              </c:numCache>
            </c:numRef>
          </c:val>
          <c:extLst>
            <c:ext xmlns:c16="http://schemas.microsoft.com/office/drawing/2014/chart" uri="{C3380CC4-5D6E-409C-BE32-E72D297353CC}">
              <c16:uniqueId val="{0000000A-BD39-4363-BE7D-E8B9ACCD5273}"/>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SATISFAÇÃO.xlsx]FUNCIONÁRIOS ATENCIOSOS!Tabela dinâmica3</c:name>
    <c:fmtId val="6"/>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FUNCIONÁRIOS ATENCIOSOS</a:t>
            </a:r>
          </a:p>
        </c:rich>
      </c:tx>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30833333333333324"/>
              <c:y val="-7.8649086282674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21944444444444444"/>
              <c:y val="-7.8649086282674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0833333333333324"/>
              <c:y val="-7.8649086282674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1944444444444444"/>
              <c:y val="-7.8649086282674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4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88888888888889"/>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8888888888888886"/>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7777777777777778"/>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88888888888889"/>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8888888888888886"/>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777777777777778"/>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5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88888888888889"/>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8888888888888886"/>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777777777777778"/>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5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'FUNCIONÁRIOS ATENCIOSOS'!$B$1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B0A2-4259-89DF-FAEB6506E57E}"/>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B0A2-4259-89DF-FAEB6506E57E}"/>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B0A2-4259-89DF-FAEB6506E57E}"/>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B0A2-4259-89DF-FAEB6506E57E}"/>
              </c:ext>
            </c:extLst>
          </c:dPt>
          <c:dLbls>
            <c:dLbl>
              <c:idx val="0"/>
              <c:layout>
                <c:manualLayout>
                  <c:x val="0.28888888888888886"/>
                  <c:y val="-1.6975112544026657E-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0A2-4259-89DF-FAEB6506E57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'FUNCIONÁRIOS ATENCIOSOS'!$A$2:$A$4</c:f>
              <c:strCache>
                <c:ptCount val="2"/>
                <c:pt idx="0">
                  <c:v>Muito Satisfeito(a)</c:v>
                </c:pt>
                <c:pt idx="1">
                  <c:v>Insatisfeito(a)</c:v>
                </c:pt>
              </c:strCache>
            </c:strRef>
          </c:cat>
          <c:val>
            <c:numRef>
              <c:f>'FUNCIONÁRIOS ATENCIOSOS'!$B$2:$B$4</c:f>
              <c:numCache>
                <c:formatCode>General</c:formatCode>
                <c:ptCount val="2"/>
                <c:pt idx="0">
                  <c:v>132</c:v>
                </c:pt>
                <c:pt idx="1">
                  <c:v>12</c:v>
                </c:pt>
              </c:numCache>
            </c:numRef>
          </c:val>
          <c:extLst>
            <c:ext xmlns:c16="http://schemas.microsoft.com/office/drawing/2014/chart" uri="{C3380CC4-5D6E-409C-BE32-E72D297353CC}">
              <c16:uniqueId val="{00000008-B0A2-4259-89DF-FAEB6506E57E}"/>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SATISFAÇÃO.xlsx]RESOLVEU SEU PROBLEMA!Tabela dinâmica3</c:name>
    <c:fmtId val="7"/>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RESOLVEU SEU PROBLEMA</a:t>
            </a:r>
          </a:p>
        </c:rich>
      </c:tx>
      <c:layout>
        <c:manualLayout>
          <c:xMode val="edge"/>
          <c:yMode val="edge"/>
          <c:x val="0.35031233595800532"/>
          <c:y val="2.3148148148148147E-2"/>
        </c:manualLayout>
      </c:layout>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30833333333333324"/>
              <c:y val="-7.8649086282674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21944444444444444"/>
              <c:y val="-7.8649086282674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0833333333333324"/>
              <c:y val="-7.8649086282674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1944444444444444"/>
              <c:y val="-7.8649086282674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4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88888888888889"/>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8888888888888886"/>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7777777777777778"/>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88888888888889"/>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8888888888888886"/>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777777777777778"/>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5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4166666666666667"/>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17499999999999999"/>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2777777777777766"/>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0925337632079971E-17"/>
              <c:y val="0.199074074074074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0925337632079971E-17"/>
              <c:y val="0.199074074074074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4166666666666667"/>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499999999999999"/>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6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0925337632079971E-17"/>
              <c:y val="0.199074074074074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4166666666666667"/>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499999999999999"/>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6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'RESOLVEU SEU PROBLEMA'!$B$1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4266-4B39-A63B-A07AAD302BF6}"/>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4266-4B39-A63B-A07AAD302BF6}"/>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4266-4B39-A63B-A07AAD302BF6}"/>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4266-4B39-A63B-A07AAD302BF6}"/>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9-4266-4B39-A63B-A07AAD302BF6}"/>
              </c:ext>
            </c:extLst>
          </c:dPt>
          <c:dLbls>
            <c:dLbl>
              <c:idx val="0"/>
              <c:layout>
                <c:manualLayout>
                  <c:x val="-5.0925337632079971E-17"/>
                  <c:y val="0.199074074074074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266-4B39-A63B-A07AAD302BF6}"/>
                </c:ext>
              </c:extLst>
            </c:dLbl>
            <c:dLbl>
              <c:idx val="1"/>
              <c:layout>
                <c:manualLayout>
                  <c:x val="0.24166666666666667"/>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266-4B39-A63B-A07AAD302BF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'RESOLVEU SEU PROBLEMA'!$A$2:$A$5</c:f>
              <c:strCache>
                <c:ptCount val="3"/>
                <c:pt idx="0">
                  <c:v>Indiferente</c:v>
                </c:pt>
                <c:pt idx="1">
                  <c:v>Muito Satisfeito(a)</c:v>
                </c:pt>
                <c:pt idx="2">
                  <c:v>Insatisfeito(a)</c:v>
                </c:pt>
              </c:strCache>
            </c:strRef>
          </c:cat>
          <c:val>
            <c:numRef>
              <c:f>'RESOLVEU SEU PROBLEMA'!$B$2:$B$5</c:f>
              <c:numCache>
                <c:formatCode>General</c:formatCode>
                <c:ptCount val="3"/>
                <c:pt idx="0">
                  <c:v>1</c:v>
                </c:pt>
                <c:pt idx="1">
                  <c:v>141</c:v>
                </c:pt>
                <c:pt idx="2">
                  <c:v>2</c:v>
                </c:pt>
              </c:numCache>
            </c:numRef>
          </c:val>
          <c:extLst>
            <c:ext xmlns:c16="http://schemas.microsoft.com/office/drawing/2014/chart" uri="{C3380CC4-5D6E-409C-BE32-E72D297353CC}">
              <c16:uniqueId val="{0000000A-4266-4B39-A63B-A07AAD302BF6}"/>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SATISFAÇÃO.xlsx]INFORMAÇÕES CLARAS!Tabela dinâmica5</c:name>
    <c:fmtId val="2"/>
  </c:pivotSource>
  <c:chart>
    <c:title>
      <c:tx>
        <c:rich>
          <a:bodyPr rot="0" spcFirstLastPara="1" vertOverflow="ellipsis" vert="horz" wrap="square" anchor="ctr" anchorCtr="1"/>
          <a:lstStyle/>
          <a:p>
            <a:pPr>
              <a:defRPr sz="1050" b="1" i="0" u="none" strike="noStrike" kern="1200" cap="all" spc="150" baseline="0">
                <a:solidFill>
                  <a:sysClr val="windowText" lastClr="000000"/>
                </a:solidFill>
                <a:latin typeface="+mn-lt"/>
                <a:ea typeface="+mn-ea"/>
                <a:cs typeface="+mn-cs"/>
              </a:defRPr>
            </a:pPr>
            <a:r>
              <a:rPr lang="en-US" sz="1050">
                <a:solidFill>
                  <a:sysClr val="windowText" lastClr="000000"/>
                </a:solidFill>
              </a:rPr>
              <a:t>INFORMAÇÕES CLARAS</a:t>
            </a:r>
          </a:p>
        </c:rich>
      </c:tx>
      <c:overlay val="0"/>
      <c:spPr>
        <a:solidFill>
          <a:srgbClr val="FFC000"/>
        </a:solidFill>
        <a:ln>
          <a:noFill/>
        </a:ln>
        <a:effectLst/>
      </c:spPr>
      <c:txPr>
        <a:bodyPr rot="0" spcFirstLastPara="1" vertOverflow="ellipsis" vert="horz" wrap="square" anchor="ctr" anchorCtr="1"/>
        <a:lstStyle/>
        <a:p>
          <a:pPr>
            <a:defRPr sz="105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0555555555555555"/>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7777777777777768"/>
              <c:y val="-4.16377515614158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1388888888888888"/>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1388888888888888"/>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7777777777777768"/>
              <c:y val="-4.16377515614158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555555555555555"/>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1388888888888888"/>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7777777777777768"/>
              <c:y val="-4.16377515614158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555555555555555"/>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29994619422572183"/>
          <c:y val="0.28205223479611891"/>
          <c:w val="0.41121894138232723"/>
          <c:h val="0.68488928474502797"/>
        </c:manualLayout>
      </c:layout>
      <c:doughnutChart>
        <c:varyColors val="1"/>
        <c:ser>
          <c:idx val="0"/>
          <c:order val="0"/>
          <c:tx>
            <c:strRef>
              <c:f>'INFORMAÇÕES CLARAS'!$B$1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7673-44A7-9233-91EB29910FAD}"/>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7673-44A7-9233-91EB29910FAD}"/>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7673-44A7-9233-91EB29910FAD}"/>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7673-44A7-9233-91EB29910FAD}"/>
              </c:ext>
            </c:extLst>
          </c:dPt>
          <c:dLbls>
            <c:dLbl>
              <c:idx val="0"/>
              <c:layout>
                <c:manualLayout>
                  <c:x val="0.21388888888888888"/>
                  <c:y val="-0.124913254684247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673-44A7-9233-91EB29910FAD}"/>
                </c:ext>
              </c:extLst>
            </c:dLbl>
            <c:dLbl>
              <c:idx val="1"/>
              <c:layout>
                <c:manualLayout>
                  <c:x val="0.27777777777777768"/>
                  <c:y val="-4.16377515614158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673-44A7-9233-91EB29910FA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'INFORMAÇÕES CLARAS'!$A$2:$A$4</c:f>
              <c:strCache>
                <c:ptCount val="2"/>
                <c:pt idx="0">
                  <c:v>Muito insatisfeito(a)</c:v>
                </c:pt>
                <c:pt idx="1">
                  <c:v>Muito Satisfeito(a)</c:v>
                </c:pt>
              </c:strCache>
            </c:strRef>
          </c:cat>
          <c:val>
            <c:numRef>
              <c:f>'INFORMAÇÕES CLARAS'!$B$2:$B$4</c:f>
              <c:numCache>
                <c:formatCode>General</c:formatCode>
                <c:ptCount val="2"/>
                <c:pt idx="0">
                  <c:v>11</c:v>
                </c:pt>
                <c:pt idx="1">
                  <c:v>133</c:v>
                </c:pt>
              </c:numCache>
            </c:numRef>
          </c:val>
          <c:extLst>
            <c:ext xmlns:c16="http://schemas.microsoft.com/office/drawing/2014/chart" uri="{C3380CC4-5D6E-409C-BE32-E72D297353CC}">
              <c16:uniqueId val="{00000008-7673-44A7-9233-91EB29910FAD}"/>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SATISFAÇÃO.xlsx]MAPA!Tabela dinâmica8</c:name>
    <c:fmtId val="2"/>
  </c:pivotSource>
  <c:chart>
    <c:title>
      <c:tx>
        <c:rich>
          <a:bodyPr rot="0" spcFirstLastPara="1" vertOverflow="ellipsis" vert="horz" wrap="square" anchor="ctr" anchorCtr="1"/>
          <a:lstStyle/>
          <a:p>
            <a:pPr algn="ctr" rtl="0">
              <a:defRPr lang="en-US" sz="900" b="1" i="0" u="none" strike="noStrike" kern="1200" cap="all" spc="150" baseline="0">
                <a:solidFill>
                  <a:sysClr val="windowText" lastClr="000000"/>
                </a:solidFill>
                <a:latin typeface="+mn-lt"/>
                <a:ea typeface="+mn-ea"/>
                <a:cs typeface="+mn-cs"/>
              </a:defRPr>
            </a:pPr>
            <a:r>
              <a:rPr lang="en-US" sz="900" b="1" i="0" u="none" strike="noStrike" kern="1200" cap="all" spc="150" baseline="0">
                <a:solidFill>
                  <a:sysClr val="windowText" lastClr="000000"/>
                </a:solidFill>
                <a:latin typeface="+mn-lt"/>
                <a:ea typeface="+mn-ea"/>
                <a:cs typeface="+mn-cs"/>
              </a:rPr>
              <a:t>CIDADES</a:t>
            </a:r>
          </a:p>
        </c:rich>
      </c:tx>
      <c:overlay val="0"/>
      <c:spPr>
        <a:solidFill>
          <a:srgbClr val="FFC000"/>
        </a:solidFill>
        <a:ln>
          <a:noFill/>
        </a:ln>
        <a:effectLst/>
      </c:spPr>
      <c:txPr>
        <a:bodyPr rot="0" spcFirstLastPara="1" vertOverflow="ellipsis" vert="horz" wrap="square" anchor="ctr" anchorCtr="1"/>
        <a:lstStyle/>
        <a:p>
          <a:pPr algn="ctr" rtl="0">
            <a:defRPr lang="en-US"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0.16375242853177907"/>
              <c:y val="2.31160425335180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489592006661115"/>
              <c:y val="0.152565880721220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7762975298362477"/>
              <c:y val="-2.77392510402219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8040521787399388"/>
              <c:y val="-0.11558021266759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9.1590341382181514E-2"/>
              <c:y val="-0.1202034211742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934499028587288"/>
              <c:y val="-0.152565880721220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934499028587288"/>
              <c:y val="-0.152565880721220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8040521787399388"/>
              <c:y val="-0.11558021266759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6375242853177907"/>
              <c:y val="2.31160425335180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489592006661115"/>
              <c:y val="0.152565880721220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7762975298362477"/>
              <c:y val="-2.77392510402219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1590341382181514E-2"/>
              <c:y val="-0.1202034211742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pivotFmt>
      <c:pivotFmt>
        <c:idx val="23"/>
      </c:pivotFmt>
      <c:pivotFmt>
        <c:idx val="24"/>
      </c:pivotFmt>
    </c:pivotFmts>
    <c:plotArea>
      <c:layout/>
      <c:barChart>
        <c:barDir val="col"/>
        <c:grouping val="clustered"/>
        <c:varyColors val="0"/>
        <c:ser>
          <c:idx val="0"/>
          <c:order val="0"/>
          <c:tx>
            <c:strRef>
              <c:f>MAPA!$A$1</c:f>
              <c:strCache>
                <c:ptCount val="1"/>
                <c:pt idx="0">
                  <c:v>Total</c:v>
                </c:pt>
              </c:strCache>
            </c:strRef>
          </c:tx>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invertIfNegative val="0"/>
          <c:dPt>
            <c:idx val="0"/>
            <c:invertIfNegative val="0"/>
            <c:bubble3D val="0"/>
            <c:extLst>
              <c:ext xmlns:c16="http://schemas.microsoft.com/office/drawing/2014/chart" uri="{C3380CC4-5D6E-409C-BE32-E72D297353CC}">
                <c16:uniqueId val="{00000001-7185-42B2-9D57-2F46711738D3}"/>
              </c:ext>
            </c:extLst>
          </c:dPt>
          <c:dPt>
            <c:idx val="3"/>
            <c:invertIfNegative val="0"/>
            <c:bubble3D val="0"/>
            <c:extLst>
              <c:ext xmlns:c16="http://schemas.microsoft.com/office/drawing/2014/chart" uri="{C3380CC4-5D6E-409C-BE32-E72D297353CC}">
                <c16:uniqueId val="{00000007-7185-42B2-9D57-2F46711738D3}"/>
              </c:ext>
            </c:extLst>
          </c:dPt>
          <c:dPt>
            <c:idx val="4"/>
            <c:invertIfNegative val="0"/>
            <c:bubble3D val="0"/>
            <c:extLst>
              <c:ext xmlns:c16="http://schemas.microsoft.com/office/drawing/2014/chart" uri="{C3380CC4-5D6E-409C-BE32-E72D297353CC}">
                <c16:uniqueId val="{00000009-7185-42B2-9D57-2F46711738D3}"/>
              </c:ext>
            </c:extLst>
          </c:dPt>
          <c:dPt>
            <c:idx val="5"/>
            <c:invertIfNegative val="0"/>
            <c:bubble3D val="0"/>
            <c:extLst>
              <c:ext xmlns:c16="http://schemas.microsoft.com/office/drawing/2014/chart" uri="{C3380CC4-5D6E-409C-BE32-E72D297353CC}">
                <c16:uniqueId val="{0000000B-7185-42B2-9D57-2F46711738D3}"/>
              </c:ext>
            </c:extLst>
          </c:dPt>
          <c:dPt>
            <c:idx val="7"/>
            <c:invertIfNegative val="0"/>
            <c:bubble3D val="0"/>
            <c:extLst>
              <c:ext xmlns:c16="http://schemas.microsoft.com/office/drawing/2014/chart" uri="{C3380CC4-5D6E-409C-BE32-E72D297353CC}">
                <c16:uniqueId val="{00000009-3E95-4C50-83DA-394AA664405D}"/>
              </c:ext>
            </c:extLst>
          </c:dPt>
          <c:dPt>
            <c:idx val="8"/>
            <c:invertIfNegative val="0"/>
            <c:bubble3D val="0"/>
            <c:extLst>
              <c:ext xmlns:c16="http://schemas.microsoft.com/office/drawing/2014/chart" uri="{C3380CC4-5D6E-409C-BE32-E72D297353CC}">
                <c16:uniqueId val="{0000000B-3E95-4C50-83DA-394AA664405D}"/>
              </c:ext>
            </c:extLst>
          </c:dPt>
          <c:cat>
            <c:strRef>
              <c:f>MAPA!$A$2</c:f>
              <c:strCache>
                <c:ptCount val="1"/>
                <c:pt idx="0">
                  <c:v>Total</c:v>
                </c:pt>
              </c:strCache>
            </c:strRef>
          </c:cat>
          <c:val>
            <c:numRef>
              <c:f>MAPA!$A$2</c:f>
              <c:numCache>
                <c:formatCode>General</c:formatCode>
                <c:ptCount val="1"/>
                <c:pt idx="0">
                  <c:v>144</c:v>
                </c:pt>
              </c:numCache>
            </c:numRef>
          </c:val>
          <c:extLst>
            <c:ext xmlns:c16="http://schemas.microsoft.com/office/drawing/2014/chart" uri="{C3380CC4-5D6E-409C-BE32-E72D297353CC}">
              <c16:uniqueId val="{0000000C-7185-42B2-9D57-2F46711738D3}"/>
            </c:ext>
          </c:extLst>
        </c:ser>
        <c:dLbls>
          <c:showLegendKey val="0"/>
          <c:showVal val="0"/>
          <c:showCatName val="0"/>
          <c:showSerName val="0"/>
          <c:showPercent val="0"/>
          <c:showBubbleSize val="0"/>
        </c:dLbls>
        <c:gapWidth val="150"/>
        <c:axId val="992898431"/>
        <c:axId val="992898015"/>
      </c:barChart>
      <c:catAx>
        <c:axId val="99289843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92898015"/>
        <c:crosses val="autoZero"/>
        <c:auto val="1"/>
        <c:lblAlgn val="ctr"/>
        <c:lblOffset val="100"/>
        <c:noMultiLvlLbl val="0"/>
      </c:catAx>
      <c:valAx>
        <c:axId val="99289801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92898431"/>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solidFill>
          <a:srgbClr val="FFC000"/>
        </a:solidFill>
        <a:ln>
          <a:noFill/>
        </a:ln>
        <a:effectLst/>
      </c:spPr>
      <c:txPr>
        <a:bodyPr rot="0" spcFirstLastPara="1" vertOverflow="ellipsis" vert="horz" wrap="square" anchor="ctr" anchorCtr="1"/>
        <a:lstStyle/>
        <a:p>
          <a:pPr algn="ctr" rtl="0">
            <a:defRPr lang="en-US" sz="900" b="1" i="0" u="none" strike="noStrike" kern="1200" cap="all" spc="150" baseline="0">
              <a:solidFill>
                <a:sysClr val="windowText" lastClr="000000"/>
              </a:solidFill>
              <a:latin typeface="+mn-lt"/>
              <a:ea typeface="+mn-ea"/>
              <a:cs typeface="+mn-cs"/>
            </a:defRPr>
          </a:pPr>
          <a:endParaRPr lang="pt-BR"/>
        </a:p>
      </c:txPr>
    </c:title>
    <c:autoTitleDeleted val="0"/>
    <c:plotArea>
      <c:layout/>
      <c:barChart>
        <c:barDir val="col"/>
        <c:grouping val="clustered"/>
        <c:varyColors val="0"/>
        <c:ser>
          <c:idx val="1"/>
          <c:order val="1"/>
          <c:tx>
            <c:strRef>
              <c:f>DASHBOARD!$I$4</c:f>
              <c:strCache>
                <c:ptCount val="1"/>
                <c:pt idx="0">
                  <c:v>QTDE DE RESPOSTAS</c:v>
                </c:pt>
              </c:strCache>
            </c:strRef>
          </c:tx>
          <c:spPr>
            <a:solidFill>
              <a:schemeClr val="dk1">
                <a:tint val="55000"/>
              </a:schemeClr>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DASHBOARD!$G$6:$G$10</c:f>
              <c:strCache>
                <c:ptCount val="5"/>
                <c:pt idx="0">
                  <c:v>POSITIVAS</c:v>
                </c:pt>
                <c:pt idx="2">
                  <c:v>NEGATIVAS</c:v>
                </c:pt>
                <c:pt idx="4">
                  <c:v>INDIFERENTE</c:v>
                </c:pt>
              </c:strCache>
            </c:strRef>
          </c:cat>
          <c:val>
            <c:numRef>
              <c:f>DASHBOARD!$I$6:$I$10</c:f>
              <c:numCache>
                <c:formatCode>General</c:formatCode>
                <c:ptCount val="5"/>
                <c:pt idx="0">
                  <c:v>817</c:v>
                </c:pt>
                <c:pt idx="2">
                  <c:v>44</c:v>
                </c:pt>
                <c:pt idx="4">
                  <c:v>1</c:v>
                </c:pt>
              </c:numCache>
            </c:numRef>
          </c:val>
          <c:extLst>
            <c:ext xmlns:c16="http://schemas.microsoft.com/office/drawing/2014/chart" uri="{C3380CC4-5D6E-409C-BE32-E72D297353CC}">
              <c16:uniqueId val="{00000001-BAEC-42C7-9BE7-AB49D34622B4}"/>
            </c:ext>
          </c:extLst>
        </c:ser>
        <c:dLbls>
          <c:dLblPos val="outEnd"/>
          <c:showLegendKey val="0"/>
          <c:showVal val="1"/>
          <c:showCatName val="0"/>
          <c:showSerName val="0"/>
          <c:showPercent val="0"/>
          <c:showBubbleSize val="0"/>
        </c:dLbls>
        <c:gapWidth val="219"/>
        <c:overlap val="-27"/>
        <c:axId val="1117155231"/>
        <c:axId val="1117144415"/>
        <c:extLst>
          <c:ext xmlns:c15="http://schemas.microsoft.com/office/drawing/2012/chart" uri="{02D57815-91ED-43cb-92C2-25804820EDAC}">
            <c15:filteredBarSeries>
              <c15:ser>
                <c:idx val="0"/>
                <c:order val="0"/>
                <c:tx>
                  <c:strRef>
                    <c:extLst>
                      <c:ext uri="{02D57815-91ED-43cb-92C2-25804820EDAC}">
                        <c15:formulaRef>
                          <c15:sqref>DASHBOARD!$H$4</c15:sqref>
                        </c15:formulaRef>
                      </c:ext>
                    </c:extLst>
                    <c:strCache>
                      <c:ptCount val="1"/>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DASHBOARD!$G$6:$G$10</c15:sqref>
                        </c15:formulaRef>
                      </c:ext>
                    </c:extLst>
                    <c:strCache>
                      <c:ptCount val="5"/>
                      <c:pt idx="0">
                        <c:v>POSITIVAS</c:v>
                      </c:pt>
                      <c:pt idx="2">
                        <c:v>NEGATIVAS</c:v>
                      </c:pt>
                      <c:pt idx="4">
                        <c:v>INDIFERENTE</c:v>
                      </c:pt>
                    </c:strCache>
                  </c:strRef>
                </c:cat>
                <c:val>
                  <c:numRef>
                    <c:extLst>
                      <c:ext uri="{02D57815-91ED-43cb-92C2-25804820EDAC}">
                        <c15:formulaRef>
                          <c15:sqref>DASHBOARD!$H$6:$H$10</c15:sqref>
                        </c15:formulaRef>
                      </c:ext>
                    </c:extLst>
                    <c:numCache>
                      <c:formatCode>General</c:formatCode>
                      <c:ptCount val="5"/>
                    </c:numCache>
                  </c:numRef>
                </c:val>
                <c:extLst>
                  <c:ext xmlns:c16="http://schemas.microsoft.com/office/drawing/2014/chart" uri="{C3380CC4-5D6E-409C-BE32-E72D297353CC}">
                    <c16:uniqueId val="{00000000-BAEC-42C7-9BE7-AB49D34622B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DASHBOARD!$J$4</c15:sqref>
                        </c15:formulaRef>
                      </c:ext>
                    </c:extLst>
                    <c:strCache>
                      <c:ptCount val="1"/>
                    </c:strCache>
                  </c:strRef>
                </c:tx>
                <c:spPr>
                  <a:solidFill>
                    <a:schemeClr val="dk1">
                      <a:tint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DASHBOARD!$G$6:$G$10</c15:sqref>
                        </c15:formulaRef>
                      </c:ext>
                    </c:extLst>
                    <c:strCache>
                      <c:ptCount val="5"/>
                      <c:pt idx="0">
                        <c:v>POSITIVAS</c:v>
                      </c:pt>
                      <c:pt idx="2">
                        <c:v>NEGATIVAS</c:v>
                      </c:pt>
                      <c:pt idx="4">
                        <c:v>INDIFERENTE</c:v>
                      </c:pt>
                    </c:strCache>
                  </c:strRef>
                </c:cat>
                <c:val>
                  <c:numRef>
                    <c:extLst xmlns:c15="http://schemas.microsoft.com/office/drawing/2012/chart">
                      <c:ext xmlns:c15="http://schemas.microsoft.com/office/drawing/2012/chart" uri="{02D57815-91ED-43cb-92C2-25804820EDAC}">
                        <c15:formulaRef>
                          <c15:sqref>DASHBOARD!$J$6:$J$10</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2-BAEC-42C7-9BE7-AB49D34622B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DASHBOARD!$K$4</c15:sqref>
                        </c15:formulaRef>
                      </c:ext>
                    </c:extLst>
                    <c:strCache>
                      <c:ptCount val="1"/>
                    </c:strCache>
                  </c:strRef>
                </c:tx>
                <c:spPr>
                  <a:solidFill>
                    <a:schemeClr val="dk1">
                      <a:tint val="9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DASHBOARD!$G$6:$G$10</c15:sqref>
                        </c15:formulaRef>
                      </c:ext>
                    </c:extLst>
                    <c:strCache>
                      <c:ptCount val="5"/>
                      <c:pt idx="0">
                        <c:v>POSITIVAS</c:v>
                      </c:pt>
                      <c:pt idx="2">
                        <c:v>NEGATIVAS</c:v>
                      </c:pt>
                      <c:pt idx="4">
                        <c:v>INDIFERENTE</c:v>
                      </c:pt>
                    </c:strCache>
                  </c:strRef>
                </c:cat>
                <c:val>
                  <c:numRef>
                    <c:extLst xmlns:c15="http://schemas.microsoft.com/office/drawing/2012/chart">
                      <c:ext xmlns:c15="http://schemas.microsoft.com/office/drawing/2012/chart" uri="{02D57815-91ED-43cb-92C2-25804820EDAC}">
                        <c15:formulaRef>
                          <c15:sqref>DASHBOARD!$K$6:$K$10</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3-BAEC-42C7-9BE7-AB49D34622B4}"/>
                  </c:ext>
                </c:extLst>
              </c15:ser>
            </c15:filteredBarSeries>
          </c:ext>
        </c:extLst>
      </c:barChart>
      <c:catAx>
        <c:axId val="111715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17144415"/>
        <c:crosses val="autoZero"/>
        <c:auto val="1"/>
        <c:lblAlgn val="ctr"/>
        <c:lblOffset val="100"/>
        <c:noMultiLvlLbl val="0"/>
      </c:catAx>
      <c:valAx>
        <c:axId val="111714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17155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SATISFAÇÃO.xlsx]ACESSIBILIDADE!Tabela dinâmica3</c:name>
    <c:fmtId val="1"/>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ACESSIBILIDADE</a:t>
            </a:r>
          </a:p>
        </c:rich>
      </c:tx>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ACESSIBILIDADE!$B$1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D-0009-4902-9DFC-253AFA1B57F6}"/>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C-0009-4902-9DFC-253AFA1B57F6}"/>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B-0009-4902-9DFC-253AFA1B57F6}"/>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9-0009-4902-9DFC-253AFA1B57F6}"/>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A-0009-4902-9DFC-253AFA1B57F6}"/>
              </c:ext>
            </c:extLst>
          </c:dPt>
          <c:dPt>
            <c:idx val="5"/>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0B-3A30-45C3-8676-A41EBC909139}"/>
              </c:ext>
            </c:extLst>
          </c:dPt>
          <c:dLbls>
            <c:dLbl>
              <c:idx val="0"/>
              <c:layout>
                <c:manualLayout>
                  <c:x val="0.20833333333333334"/>
                  <c:y val="-0.1156604210039324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0009-4902-9DFC-253AFA1B57F6}"/>
                </c:ext>
              </c:extLst>
            </c:dLbl>
            <c:dLbl>
              <c:idx val="1"/>
              <c:layout>
                <c:manualLayout>
                  <c:x val="-2.500000000000005E-2"/>
                  <c:y val="0.22669442516770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0009-4902-9DFC-253AFA1B57F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ACESSIBILIDADE!$A$2:$A$5</c:f>
              <c:strCache>
                <c:ptCount val="3"/>
                <c:pt idx="0">
                  <c:v>Muito Insatisfeito(a)</c:v>
                </c:pt>
                <c:pt idx="1">
                  <c:v>Muito Satisfeito(a)</c:v>
                </c:pt>
                <c:pt idx="2">
                  <c:v>Idiferente</c:v>
                </c:pt>
              </c:strCache>
            </c:strRef>
          </c:cat>
          <c:val>
            <c:numRef>
              <c:f>ACESSIBILIDADE!$B$2:$B$5</c:f>
              <c:numCache>
                <c:formatCode>General</c:formatCode>
                <c:ptCount val="3"/>
                <c:pt idx="0">
                  <c:v>1</c:v>
                </c:pt>
                <c:pt idx="1">
                  <c:v>141</c:v>
                </c:pt>
                <c:pt idx="2">
                  <c:v>2</c:v>
                </c:pt>
              </c:numCache>
            </c:numRef>
          </c:val>
          <c:extLst>
            <c:ext xmlns:c16="http://schemas.microsoft.com/office/drawing/2014/chart" uri="{C3380CC4-5D6E-409C-BE32-E72D297353CC}">
              <c16:uniqueId val="{00000007-0009-4902-9DFC-253AFA1B57F6}"/>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SATISFAÇÃO.xlsx]ESTRUTURA FÍSICA!Tabela dinâmica3</c:name>
    <c:fmtId val="2"/>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ESTRUTURA FÍSICA</a:t>
            </a:r>
          </a:p>
        </c:rich>
      </c:tx>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'ESTRUTURA FÍSICA'!$B$1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12-52D4-4168-8967-D4F5EFC3E678}"/>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11-52D4-4168-8967-D4F5EFC3E678}"/>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F-52D4-4168-8967-D4F5EFC3E678}"/>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0-52D4-4168-8967-D4F5EFC3E678}"/>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9-8E45-475B-9D3B-696CA8A6AD49}"/>
              </c:ext>
            </c:extLst>
          </c:dPt>
          <c:dLbls>
            <c:dLbl>
              <c:idx val="0"/>
              <c:layout>
                <c:manualLayout>
                  <c:x val="0.22777777777777766"/>
                  <c:y val="-0.124913254684247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52D4-4168-8967-D4F5EFC3E678}"/>
                </c:ext>
              </c:extLst>
            </c:dLbl>
            <c:dLbl>
              <c:idx val="1"/>
              <c:layout>
                <c:manualLayout>
                  <c:x val="-2.500000000000005E-2"/>
                  <c:y val="0.263705759888965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52D4-4168-8967-D4F5EFC3E67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'ESTRUTURA FÍSICA'!$A$2:$A$5</c:f>
              <c:strCache>
                <c:ptCount val="3"/>
                <c:pt idx="0">
                  <c:v>Muito insatisfeito(a)</c:v>
                </c:pt>
                <c:pt idx="1">
                  <c:v>Muito Satisfeito(a)</c:v>
                </c:pt>
                <c:pt idx="2">
                  <c:v>Insatisfeito(a)</c:v>
                </c:pt>
              </c:strCache>
            </c:strRef>
          </c:cat>
          <c:val>
            <c:numRef>
              <c:f>'ESTRUTURA FÍSICA'!$B$2:$B$5</c:f>
              <c:numCache>
                <c:formatCode>General</c:formatCode>
                <c:ptCount val="3"/>
                <c:pt idx="0">
                  <c:v>9</c:v>
                </c:pt>
                <c:pt idx="1">
                  <c:v>134</c:v>
                </c:pt>
                <c:pt idx="2">
                  <c:v>1</c:v>
                </c:pt>
              </c:numCache>
            </c:numRef>
          </c:val>
          <c:extLst>
            <c:ext xmlns:c16="http://schemas.microsoft.com/office/drawing/2014/chart" uri="{C3380CC4-5D6E-409C-BE32-E72D297353CC}">
              <c16:uniqueId val="{0000000D-52D4-4168-8967-D4F5EFC3E678}"/>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SATISFAÇÃO.xlsx]AMBIENTE LIMPO!Tabela dinâmica3</c:name>
    <c:fmtId val="3"/>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AMBIENTE LIMPO</a:t>
            </a:r>
          </a:p>
        </c:rich>
      </c:tx>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'AMBIENTE LIMPO'!$B$1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C4C4-41DE-9A0C-D38ECAFEDB01}"/>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C4C4-41DE-9A0C-D38ECAFEDB01}"/>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C4C4-41DE-9A0C-D38ECAFEDB01}"/>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C4C4-41DE-9A0C-D38ECAFEDB01}"/>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9-C4C4-41DE-9A0C-D38ECAFEDB01}"/>
              </c:ext>
            </c:extLst>
          </c:dPt>
          <c:dLbls>
            <c:dLbl>
              <c:idx val="0"/>
              <c:layout>
                <c:manualLayout>
                  <c:x val="0.17499999999999991"/>
                  <c:y val="-9.71547536433032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C4-41DE-9A0C-D38ECAFEDB01}"/>
                </c:ext>
              </c:extLst>
            </c:dLbl>
            <c:dLbl>
              <c:idx val="1"/>
              <c:layout>
                <c:manualLayout>
                  <c:x val="-5.5555555555555558E-3"/>
                  <c:y val="0.2868378440897524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C4-41DE-9A0C-D38ECAFEDB0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'AMBIENTE LIMPO'!$A$2:$A$4</c:f>
              <c:strCache>
                <c:ptCount val="2"/>
                <c:pt idx="0">
                  <c:v>Muito insatisfeito(a)</c:v>
                </c:pt>
                <c:pt idx="1">
                  <c:v>Muito Satisfeito(a)</c:v>
                </c:pt>
              </c:strCache>
            </c:strRef>
          </c:cat>
          <c:val>
            <c:numRef>
              <c:f>'AMBIENTE LIMPO'!$B$2:$B$4</c:f>
              <c:numCache>
                <c:formatCode>General</c:formatCode>
                <c:ptCount val="2"/>
                <c:pt idx="0">
                  <c:v>8</c:v>
                </c:pt>
                <c:pt idx="1">
                  <c:v>136</c:v>
                </c:pt>
              </c:numCache>
            </c:numRef>
          </c:val>
          <c:extLst>
            <c:ext xmlns:c16="http://schemas.microsoft.com/office/drawing/2014/chart" uri="{C3380CC4-5D6E-409C-BE32-E72D297353CC}">
              <c16:uniqueId val="{0000000A-C4C4-41DE-9A0C-D38ECAFEDB01}"/>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SATISFAÇÃO.xlsx]FUNCIONÁRIOS ATENCIOSOS!Tabela dinâmica3</c:name>
    <c:fmtId val="4"/>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FUNCIONÁRIOS ATENCIOSOS</a:t>
            </a:r>
          </a:p>
        </c:rich>
      </c:tx>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30833333333333324"/>
              <c:y val="-7.8649086282674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21944444444444444"/>
              <c:y val="-7.8649086282674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0833333333333324"/>
              <c:y val="-7.8649086282674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1944444444444444"/>
              <c:y val="-7.8649086282674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4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88888888888889"/>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88888888888889"/>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8888888888888886"/>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4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4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4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'FUNCIONÁRIOS ATENCIOSOS'!$B$1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D-DD1A-41F7-966F-E83760C61796}"/>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E-DD1A-41F7-966F-E83760C61796}"/>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F-DD1A-41F7-966F-E83760C61796}"/>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994C-443F-8396-078EB22D3DFD}"/>
              </c:ext>
            </c:extLst>
          </c:dPt>
          <c:dLbls>
            <c:dLbl>
              <c:idx val="0"/>
              <c:layout>
                <c:manualLayout>
                  <c:x val="0.2388888888888889"/>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D1A-41F7-966F-E83760C6179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'FUNCIONÁRIOS ATENCIOSOS'!$A$2:$A$4</c:f>
              <c:strCache>
                <c:ptCount val="2"/>
                <c:pt idx="0">
                  <c:v>Muito Satisfeito(a)</c:v>
                </c:pt>
                <c:pt idx="1">
                  <c:v>Insatisfeito(a)</c:v>
                </c:pt>
              </c:strCache>
            </c:strRef>
          </c:cat>
          <c:val>
            <c:numRef>
              <c:f>'FUNCIONÁRIOS ATENCIOSOS'!$B$2:$B$4</c:f>
              <c:numCache>
                <c:formatCode>General</c:formatCode>
                <c:ptCount val="2"/>
                <c:pt idx="0">
                  <c:v>132</c:v>
                </c:pt>
                <c:pt idx="1">
                  <c:v>12</c:v>
                </c:pt>
              </c:numCache>
            </c:numRef>
          </c:val>
          <c:extLst>
            <c:ext xmlns:c16="http://schemas.microsoft.com/office/drawing/2014/chart" uri="{C3380CC4-5D6E-409C-BE32-E72D297353CC}">
              <c16:uniqueId val="{0000000B-DD1A-41F7-966F-E83760C61796}"/>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SATISFAÇÃO.xlsx]RESOLVEU SEU PROBLEMA!Tabela dinâmica3</c:name>
    <c:fmtId val="5"/>
  </c:pivotSource>
  <c:chart>
    <c:title>
      <c:tx>
        <c:rich>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r>
              <a:rPr lang="en-US" sz="900">
                <a:solidFill>
                  <a:sysClr val="windowText" lastClr="000000"/>
                </a:solidFill>
              </a:rPr>
              <a:t>RESOLVEU SEU PROBLEMA</a:t>
            </a:r>
          </a:p>
        </c:rich>
      </c:tx>
      <c:layout>
        <c:manualLayout>
          <c:xMode val="edge"/>
          <c:yMode val="edge"/>
          <c:x val="0.35031233595800532"/>
          <c:y val="2.3148148148148147E-2"/>
        </c:manualLayout>
      </c:layout>
      <c:overlay val="0"/>
      <c:spPr>
        <a:solidFill>
          <a:srgbClr val="FFC000"/>
        </a:solidFill>
        <a:ln>
          <a:noFill/>
        </a:ln>
        <a:effectLst/>
      </c:spPr>
      <c:txPr>
        <a:bodyPr rot="0" spcFirstLastPara="1" vertOverflow="ellipsis" vert="horz" wrap="square" anchor="ctr" anchorCtr="1"/>
        <a:lstStyle/>
        <a:p>
          <a:pPr>
            <a:defRPr sz="90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9166666666666668"/>
              <c:y val="0.277585010409437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555555555555556"/>
              <c:y val="6.0143418922044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25"/>
              <c:y val="-0.143418922044876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266944251677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
              <c:y val="-0.161924589405505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0833333333333334"/>
              <c:y val="-0.11566042100393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4166666666666656"/>
              <c:y val="-2.7758501040943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055555555555557"/>
              <c:y val="-8.7901919962988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2.500000000000005E-2"/>
              <c:y val="0.263705759888965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6388888888888878"/>
              <c:y val="-4.6264168401573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5833333333333333"/>
              <c:y val="-0.12028683784408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30833333333333324"/>
              <c:y val="-7.8649086282674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0.21944444444444444"/>
              <c:y val="-7.8649086282674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5555555555555558E-3"/>
              <c:y val="0.2868378440897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499999999999991"/>
              <c:y val="-9.7154753643303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30833333333333324"/>
              <c:y val="-7.8649086282674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1944444444444444"/>
              <c:y val="-7.86490862826741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4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88888888888889"/>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0.28888888888888886"/>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7777777777777778"/>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388888888888889"/>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8888888888888886"/>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7777777777777778"/>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5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0925337632079971E-17"/>
              <c:y val="0.199074074074074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2777777777777766"/>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5.0925337632079971E-17"/>
              <c:y val="0.199074074074074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5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5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5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30882720909886263"/>
          <c:y val="0.26021409017141423"/>
          <c:w val="0.41567913385826771"/>
          <c:h val="0.69231778019420021"/>
        </c:manualLayout>
      </c:layout>
      <c:doughnutChart>
        <c:varyColors val="1"/>
        <c:ser>
          <c:idx val="0"/>
          <c:order val="0"/>
          <c:tx>
            <c:strRef>
              <c:f>'RESOLVEU SEU PROBLEMA'!$B$1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E-914C-47F2-9665-A0DD6107B832}"/>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D-914C-47F2-9665-A0DD6107B832}"/>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B-914C-47F2-9665-A0DD6107B832}"/>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C-914C-47F2-9665-A0DD6107B832}"/>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9-A7C1-4E7F-9128-86F77F8142C4}"/>
              </c:ext>
            </c:extLst>
          </c:dPt>
          <c:dLbls>
            <c:dLbl>
              <c:idx val="0"/>
              <c:layout>
                <c:manualLayout>
                  <c:x val="-5.0925337632079971E-17"/>
                  <c:y val="0.199074074074074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914C-47F2-9665-A0DD6107B832}"/>
                </c:ext>
              </c:extLst>
            </c:dLbl>
            <c:dLbl>
              <c:idx val="1"/>
              <c:layout>
                <c:manualLayout>
                  <c:x val="-5.0925337632079971E-17"/>
                  <c:y val="0.199074074074074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14C-47F2-9665-A0DD6107B83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'RESOLVEU SEU PROBLEMA'!$A$2:$A$5</c:f>
              <c:strCache>
                <c:ptCount val="3"/>
                <c:pt idx="0">
                  <c:v>Indiferente</c:v>
                </c:pt>
                <c:pt idx="1">
                  <c:v>Muito Satisfeito(a)</c:v>
                </c:pt>
                <c:pt idx="2">
                  <c:v>Insatisfeito(a)</c:v>
                </c:pt>
              </c:strCache>
            </c:strRef>
          </c:cat>
          <c:val>
            <c:numRef>
              <c:f>'RESOLVEU SEU PROBLEMA'!$B$2:$B$5</c:f>
              <c:numCache>
                <c:formatCode>General</c:formatCode>
                <c:ptCount val="3"/>
                <c:pt idx="0">
                  <c:v>1</c:v>
                </c:pt>
                <c:pt idx="1">
                  <c:v>141</c:v>
                </c:pt>
                <c:pt idx="2">
                  <c:v>2</c:v>
                </c:pt>
              </c:numCache>
            </c:numRef>
          </c:val>
          <c:extLst>
            <c:ext xmlns:c16="http://schemas.microsoft.com/office/drawing/2014/chart" uri="{C3380CC4-5D6E-409C-BE32-E72D297353CC}">
              <c16:uniqueId val="{00000009-914C-47F2-9665-A0DD6107B832}"/>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[PESQUISA DE SATISFAÇÃO.xlsx]INFORMAÇÕES CLARAS!Tabela dinâmica5</c:name>
    <c:fmtId val="0"/>
  </c:pivotSource>
  <c:chart>
    <c:title>
      <c:tx>
        <c:rich>
          <a:bodyPr rot="0" spcFirstLastPara="1" vertOverflow="ellipsis" vert="horz" wrap="square" anchor="ctr" anchorCtr="1"/>
          <a:lstStyle/>
          <a:p>
            <a:pPr>
              <a:defRPr sz="1050" b="1" i="0" u="none" strike="noStrike" kern="1200" cap="all" spc="150" baseline="0">
                <a:solidFill>
                  <a:sysClr val="windowText" lastClr="000000"/>
                </a:solidFill>
                <a:latin typeface="+mn-lt"/>
                <a:ea typeface="+mn-ea"/>
                <a:cs typeface="+mn-cs"/>
              </a:defRPr>
            </a:pPr>
            <a:r>
              <a:rPr lang="en-US" sz="1050">
                <a:solidFill>
                  <a:sysClr val="windowText" lastClr="000000"/>
                </a:solidFill>
              </a:rPr>
              <a:t>INFORMAÇÕES CLARAS</a:t>
            </a:r>
          </a:p>
        </c:rich>
      </c:tx>
      <c:overlay val="0"/>
      <c:spPr>
        <a:solidFill>
          <a:srgbClr val="FFC000"/>
        </a:solidFill>
        <a:ln>
          <a:noFill/>
        </a:ln>
        <a:effectLst/>
      </c:spPr>
      <c:txPr>
        <a:bodyPr rot="0" spcFirstLastPara="1" vertOverflow="ellipsis" vert="horz" wrap="square" anchor="ctr" anchorCtr="1"/>
        <a:lstStyle/>
        <a:p>
          <a:pPr>
            <a:defRPr sz="1050" b="1" i="0" u="none" strike="noStrike" kern="1200" cap="all" spc="150" baseline="0">
              <a:solidFill>
                <a:sysClr val="windowText" lastClr="000000"/>
              </a:solidFill>
              <a:latin typeface="+mn-lt"/>
              <a:ea typeface="+mn-ea"/>
              <a:cs typeface="+mn-cs"/>
            </a:defRPr>
          </a:pPr>
          <a:endParaRPr lang="pt-BR"/>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7777777777777768"/>
              <c:y val="-4.16377515614158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1388888888888888"/>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21388888888888888"/>
              <c:y val="-0.12491325468424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0.29994619422572183"/>
          <c:y val="0.28205223479611891"/>
          <c:w val="0.41121894138232723"/>
          <c:h val="0.68488928474502797"/>
        </c:manualLayout>
      </c:layout>
      <c:doughnutChart>
        <c:varyColors val="1"/>
        <c:ser>
          <c:idx val="0"/>
          <c:order val="0"/>
          <c:tx>
            <c:strRef>
              <c:f>'INFORMAÇÕES CLARAS'!$B$1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4-8757-4C0E-B61D-13425039AE47}"/>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8757-4C0E-B61D-13425039AE47}"/>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2-8757-4C0E-B61D-13425039AE47}"/>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3BB2-4F03-83C8-8427DE907B2E}"/>
              </c:ext>
            </c:extLst>
          </c:dPt>
          <c:dLbls>
            <c:dLbl>
              <c:idx val="0"/>
              <c:layout>
                <c:manualLayout>
                  <c:x val="0.21388888888888888"/>
                  <c:y val="-0.124913254684247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757-4C0E-B61D-13425039AE47}"/>
                </c:ext>
              </c:extLst>
            </c:dLbl>
            <c:dLbl>
              <c:idx val="1"/>
              <c:layout>
                <c:manualLayout>
                  <c:x val="0.21388888888888888"/>
                  <c:y val="-0.124913254684247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757-4C0E-B61D-13425039AE4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'INFORMAÇÕES CLARAS'!$A$2:$A$4</c:f>
              <c:strCache>
                <c:ptCount val="2"/>
                <c:pt idx="0">
                  <c:v>Muito insatisfeito(a)</c:v>
                </c:pt>
                <c:pt idx="1">
                  <c:v>Muito Satisfeito(a)</c:v>
                </c:pt>
              </c:strCache>
            </c:strRef>
          </c:cat>
          <c:val>
            <c:numRef>
              <c:f>'INFORMAÇÕES CLARAS'!$B$2:$B$4</c:f>
              <c:numCache>
                <c:formatCode>General</c:formatCode>
                <c:ptCount val="2"/>
                <c:pt idx="0">
                  <c:v>11</c:v>
                </c:pt>
                <c:pt idx="1">
                  <c:v>133</c:v>
                </c:pt>
              </c:numCache>
            </c:numRef>
          </c:val>
          <c:extLst>
            <c:ext xmlns:c16="http://schemas.microsoft.com/office/drawing/2014/chart" uri="{C3380CC4-5D6E-409C-BE32-E72D297353CC}">
              <c16:uniqueId val="{00000000-8757-4C0E-B61D-13425039AE47}"/>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139065</xdr:colOff>
      <xdr:row>0</xdr:row>
      <xdr:rowOff>167640</xdr:rowOff>
    </xdr:from>
    <xdr:to>
      <xdr:col>10</xdr:col>
      <xdr:colOff>443865</xdr:colOff>
      <xdr:row>16</xdr:row>
      <xdr:rowOff>9525</xdr:rowOff>
    </xdr:to>
    <xdr:graphicFrame macro="">
      <xdr:nvGraphicFramePr>
        <xdr:cNvPr id="2" name="Gráfico 1">
          <a:extLst>
            <a:ext uri="{FF2B5EF4-FFF2-40B4-BE49-F238E27FC236}">
              <a16:creationId xmlns:a16="http://schemas.microsoft.com/office/drawing/2014/main" id="{EA9817A7-A1BC-1BAD-EBE6-EAA5413EC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123825</xdr:colOff>
      <xdr:row>0</xdr:row>
      <xdr:rowOff>144780</xdr:rowOff>
    </xdr:from>
    <xdr:to>
      <xdr:col>10</xdr:col>
      <xdr:colOff>428625</xdr:colOff>
      <xdr:row>15</xdr:row>
      <xdr:rowOff>169545</xdr:rowOff>
    </xdr:to>
    <xdr:graphicFrame macro="">
      <xdr:nvGraphicFramePr>
        <xdr:cNvPr id="2" name="Gráfico 1">
          <a:extLst>
            <a:ext uri="{FF2B5EF4-FFF2-40B4-BE49-F238E27FC236}">
              <a16:creationId xmlns:a16="http://schemas.microsoft.com/office/drawing/2014/main" id="{2259DC62-910C-728C-B7A2-69CCBFA83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215265</xdr:colOff>
      <xdr:row>10</xdr:row>
      <xdr:rowOff>55245</xdr:rowOff>
    </xdr:from>
    <xdr:to>
      <xdr:col>12</xdr:col>
      <xdr:colOff>521970</xdr:colOff>
      <xdr:row>25</xdr:row>
      <xdr:rowOff>95250</xdr:rowOff>
    </xdr:to>
    <xdr:graphicFrame macro="">
      <xdr:nvGraphicFramePr>
        <xdr:cNvPr id="2" name="Gráfico 1">
          <a:extLst>
            <a:ext uri="{FF2B5EF4-FFF2-40B4-BE49-F238E27FC236}">
              <a16:creationId xmlns:a16="http://schemas.microsoft.com/office/drawing/2014/main" id="{5F643CBF-130F-66F3-2787-D43CDD9B6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419100</xdr:colOff>
      <xdr:row>13</xdr:row>
      <xdr:rowOff>47625</xdr:rowOff>
    </xdr:from>
    <xdr:to>
      <xdr:col>15</xdr:col>
      <xdr:colOff>114300</xdr:colOff>
      <xdr:row>27</xdr:row>
      <xdr:rowOff>76200</xdr:rowOff>
    </xdr:to>
    <xdr:graphicFrame macro="">
      <xdr:nvGraphicFramePr>
        <xdr:cNvPr id="3" name="Gráfico 2">
          <a:extLst>
            <a:ext uri="{FF2B5EF4-FFF2-40B4-BE49-F238E27FC236}">
              <a16:creationId xmlns:a16="http://schemas.microsoft.com/office/drawing/2014/main" id="{6AE266C2-09F4-4277-85F4-27532CAC9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140970</xdr:colOff>
      <xdr:row>13</xdr:row>
      <xdr:rowOff>47625</xdr:rowOff>
    </xdr:from>
    <xdr:to>
      <xdr:col>22</xdr:col>
      <xdr:colOff>445770</xdr:colOff>
      <xdr:row>27</xdr:row>
      <xdr:rowOff>74295</xdr:rowOff>
    </xdr:to>
    <xdr:graphicFrame macro="">
      <xdr:nvGraphicFramePr>
        <xdr:cNvPr id="4" name="Gráfico 3">
          <a:extLst>
            <a:ext uri="{FF2B5EF4-FFF2-40B4-BE49-F238E27FC236}">
              <a16:creationId xmlns:a16="http://schemas.microsoft.com/office/drawing/2014/main" id="{4F536838-320F-41D3-853F-17E09585C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27</xdr:row>
      <xdr:rowOff>123825</xdr:rowOff>
    </xdr:from>
    <xdr:to>
      <xdr:col>7</xdr:col>
      <xdr:colOff>381000</xdr:colOff>
      <xdr:row>41</xdr:row>
      <xdr:rowOff>152400</xdr:rowOff>
    </xdr:to>
    <xdr:graphicFrame macro="">
      <xdr:nvGraphicFramePr>
        <xdr:cNvPr id="5" name="Gráfico 4">
          <a:extLst>
            <a:ext uri="{FF2B5EF4-FFF2-40B4-BE49-F238E27FC236}">
              <a16:creationId xmlns:a16="http://schemas.microsoft.com/office/drawing/2014/main" id="{E18CB01B-7554-4B00-91A7-CA9BB26DD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419100</xdr:colOff>
      <xdr:row>27</xdr:row>
      <xdr:rowOff>104775</xdr:rowOff>
    </xdr:from>
    <xdr:to>
      <xdr:col>15</xdr:col>
      <xdr:colOff>114300</xdr:colOff>
      <xdr:row>41</xdr:row>
      <xdr:rowOff>133350</xdr:rowOff>
    </xdr:to>
    <xdr:graphicFrame macro="">
      <xdr:nvGraphicFramePr>
        <xdr:cNvPr id="6" name="Gráfico 5">
          <a:extLst>
            <a:ext uri="{FF2B5EF4-FFF2-40B4-BE49-F238E27FC236}">
              <a16:creationId xmlns:a16="http://schemas.microsoft.com/office/drawing/2014/main" id="{8F130B5D-EC74-4C79-8F90-BD2883104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133350</xdr:colOff>
      <xdr:row>27</xdr:row>
      <xdr:rowOff>104775</xdr:rowOff>
    </xdr:from>
    <xdr:to>
      <xdr:col>22</xdr:col>
      <xdr:colOff>438150</xdr:colOff>
      <xdr:row>41</xdr:row>
      <xdr:rowOff>131445</xdr:rowOff>
    </xdr:to>
    <xdr:graphicFrame macro="">
      <xdr:nvGraphicFramePr>
        <xdr:cNvPr id="7" name="Gráfico 6">
          <a:extLst>
            <a:ext uri="{FF2B5EF4-FFF2-40B4-BE49-F238E27FC236}">
              <a16:creationId xmlns:a16="http://schemas.microsoft.com/office/drawing/2014/main" id="{EF30B028-0DE2-4034-8F1D-5391FBF3E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95251</xdr:colOff>
      <xdr:row>42</xdr:row>
      <xdr:rowOff>27215</xdr:rowOff>
    </xdr:from>
    <xdr:to>
      <xdr:col>7</xdr:col>
      <xdr:colOff>377191</xdr:colOff>
      <xdr:row>56</xdr:row>
      <xdr:rowOff>120832</xdr:rowOff>
    </xdr:to>
    <xdr:graphicFrame macro="">
      <xdr:nvGraphicFramePr>
        <xdr:cNvPr id="8" name="Gráfico 7">
          <a:extLst>
            <a:ext uri="{FF2B5EF4-FFF2-40B4-BE49-F238E27FC236}">
              <a16:creationId xmlns:a16="http://schemas.microsoft.com/office/drawing/2014/main" id="{8AC66764-E18A-4B23-A81C-1EC7451B9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435428</xdr:colOff>
      <xdr:row>42</xdr:row>
      <xdr:rowOff>40821</xdr:rowOff>
    </xdr:from>
    <xdr:to>
      <xdr:col>15</xdr:col>
      <xdr:colOff>105047</xdr:colOff>
      <xdr:row>56</xdr:row>
      <xdr:rowOff>134438</xdr:rowOff>
    </xdr:to>
    <xdr:graphicFrame macro="">
      <xdr:nvGraphicFramePr>
        <xdr:cNvPr id="9" name="Gráfico 8">
          <a:extLst>
            <a:ext uri="{FF2B5EF4-FFF2-40B4-BE49-F238E27FC236}">
              <a16:creationId xmlns:a16="http://schemas.microsoft.com/office/drawing/2014/main" id="{8B7E4C03-162C-4149-BA00-A38859919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163286</xdr:colOff>
      <xdr:row>42</xdr:row>
      <xdr:rowOff>27214</xdr:rowOff>
    </xdr:from>
    <xdr:to>
      <xdr:col>22</xdr:col>
      <xdr:colOff>445226</xdr:colOff>
      <xdr:row>56</xdr:row>
      <xdr:rowOff>122736</xdr:rowOff>
    </xdr:to>
    <xdr:graphicFrame macro="">
      <xdr:nvGraphicFramePr>
        <xdr:cNvPr id="10" name="Gráfico 9">
          <a:extLst>
            <a:ext uri="{FF2B5EF4-FFF2-40B4-BE49-F238E27FC236}">
              <a16:creationId xmlns:a16="http://schemas.microsoft.com/office/drawing/2014/main" id="{D7B86F9B-344B-4907-A39A-D3B42F862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158296</xdr:colOff>
      <xdr:row>1</xdr:row>
      <xdr:rowOff>147500</xdr:rowOff>
    </xdr:from>
    <xdr:to>
      <xdr:col>26</xdr:col>
      <xdr:colOff>22412</xdr:colOff>
      <xdr:row>18</xdr:row>
      <xdr:rowOff>44822</xdr:rowOff>
    </xdr:to>
    <mc:AlternateContent xmlns:mc="http://schemas.openxmlformats.org/markup-compatibility/2006" xmlns:a14="http://schemas.microsoft.com/office/drawing/2010/main">
      <mc:Choice Requires="a14">
        <xdr:graphicFrame macro="">
          <xdr:nvGraphicFramePr>
            <xdr:cNvPr id="11" name="Mês">
              <a:extLst>
                <a:ext uri="{FF2B5EF4-FFF2-40B4-BE49-F238E27FC236}">
                  <a16:creationId xmlns:a16="http://schemas.microsoft.com/office/drawing/2014/main" id="{6CBC8D2B-1383-7F75-C07A-6FAAB766616A}"/>
                </a:ext>
              </a:extLst>
            </xdr:cNvPr>
            <xdr:cNvGraphicFramePr/>
          </xdr:nvGraphicFramePr>
          <xdr:xfrm>
            <a:off x="0" y="0"/>
            <a:ext cx="0" cy="0"/>
          </xdr:xfrm>
          <a:graphic>
            <a:graphicData uri="http://schemas.microsoft.com/office/drawing/2010/slicer">
              <sle:slicer xmlns:sle="http://schemas.microsoft.com/office/drawing/2010/slicer" name="Mês"/>
            </a:graphicData>
          </a:graphic>
        </xdr:graphicFrame>
      </mc:Choice>
      <mc:Fallback xmlns="">
        <xdr:sp macro="" textlink="">
          <xdr:nvSpPr>
            <xdr:cNvPr id="0" name=""/>
            <xdr:cNvSpPr>
              <a:spLocks noTextEdit="1"/>
            </xdr:cNvSpPr>
          </xdr:nvSpPr>
          <xdr:spPr>
            <a:xfrm>
              <a:off x="14079177" y="323620"/>
              <a:ext cx="1798934" cy="2502387"/>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26</xdr:col>
      <xdr:colOff>212462</xdr:colOff>
      <xdr:row>2</xdr:row>
      <xdr:rowOff>2811</xdr:rowOff>
    </xdr:from>
    <xdr:to>
      <xdr:col>29</xdr:col>
      <xdr:colOff>101464</xdr:colOff>
      <xdr:row>18</xdr:row>
      <xdr:rowOff>50121</xdr:rowOff>
    </xdr:to>
    <mc:AlternateContent xmlns:mc="http://schemas.openxmlformats.org/markup-compatibility/2006" xmlns:a14="http://schemas.microsoft.com/office/drawing/2010/main">
      <mc:Choice Requires="a14">
        <xdr:graphicFrame macro="">
          <xdr:nvGraphicFramePr>
            <xdr:cNvPr id="12" name="Especialidade">
              <a:extLst>
                <a:ext uri="{FF2B5EF4-FFF2-40B4-BE49-F238E27FC236}">
                  <a16:creationId xmlns:a16="http://schemas.microsoft.com/office/drawing/2014/main" id="{6F48FE55-1219-F479-B27B-8849D246E263}"/>
                </a:ext>
              </a:extLst>
            </xdr:cNvPr>
            <xdr:cNvGraphicFramePr/>
          </xdr:nvGraphicFramePr>
          <xdr:xfrm>
            <a:off x="0" y="0"/>
            <a:ext cx="0" cy="0"/>
          </xdr:xfrm>
          <a:graphic>
            <a:graphicData uri="http://schemas.microsoft.com/office/drawing/2010/slicer">
              <sle:slicer xmlns:sle="http://schemas.microsoft.com/office/drawing/2010/slicer" name="Especialidade"/>
            </a:graphicData>
          </a:graphic>
        </xdr:graphicFrame>
      </mc:Choice>
      <mc:Fallback xmlns="">
        <xdr:sp macro="" textlink="">
          <xdr:nvSpPr>
            <xdr:cNvPr id="0" name=""/>
            <xdr:cNvSpPr>
              <a:spLocks noTextEdit="1"/>
            </xdr:cNvSpPr>
          </xdr:nvSpPr>
          <xdr:spPr>
            <a:xfrm>
              <a:off x="16062062" y="368571"/>
              <a:ext cx="1717802" cy="288195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29</xdr:col>
      <xdr:colOff>318044</xdr:colOff>
      <xdr:row>2</xdr:row>
      <xdr:rowOff>37506</xdr:rowOff>
    </xdr:from>
    <xdr:to>
      <xdr:col>32</xdr:col>
      <xdr:colOff>100853</xdr:colOff>
      <xdr:row>18</xdr:row>
      <xdr:rowOff>100241</xdr:rowOff>
    </xdr:to>
    <mc:AlternateContent xmlns:mc="http://schemas.openxmlformats.org/markup-compatibility/2006" xmlns:a14="http://schemas.microsoft.com/office/drawing/2010/main">
      <mc:Choice Requires="a14">
        <xdr:graphicFrame macro="">
          <xdr:nvGraphicFramePr>
            <xdr:cNvPr id="16" name="Nº da Pesquisa">
              <a:extLst>
                <a:ext uri="{FF2B5EF4-FFF2-40B4-BE49-F238E27FC236}">
                  <a16:creationId xmlns:a16="http://schemas.microsoft.com/office/drawing/2014/main" id="{7D269346-A605-6338-82BF-8C2962971E22}"/>
                </a:ext>
              </a:extLst>
            </xdr:cNvPr>
            <xdr:cNvGraphicFramePr/>
          </xdr:nvGraphicFramePr>
          <xdr:xfrm>
            <a:off x="0" y="0"/>
            <a:ext cx="0" cy="0"/>
          </xdr:xfrm>
          <a:graphic>
            <a:graphicData uri="http://schemas.microsoft.com/office/drawing/2010/slicer">
              <sle:slicer xmlns:sle="http://schemas.microsoft.com/office/drawing/2010/slicer" name="Nº da Pesquisa"/>
            </a:graphicData>
          </a:graphic>
        </xdr:graphicFrame>
      </mc:Choice>
      <mc:Fallback xmlns="">
        <xdr:sp macro="" textlink="">
          <xdr:nvSpPr>
            <xdr:cNvPr id="0" name=""/>
            <xdr:cNvSpPr>
              <a:spLocks noTextEdit="1"/>
            </xdr:cNvSpPr>
          </xdr:nvSpPr>
          <xdr:spPr>
            <a:xfrm>
              <a:off x="17996444" y="403266"/>
              <a:ext cx="1611609" cy="289737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0</xdr:col>
      <xdr:colOff>108857</xdr:colOff>
      <xdr:row>13</xdr:row>
      <xdr:rowOff>-1</xdr:rowOff>
    </xdr:from>
    <xdr:to>
      <xdr:col>7</xdr:col>
      <xdr:colOff>394607</xdr:colOff>
      <xdr:row>27</xdr:row>
      <xdr:rowOff>97427</xdr:rowOff>
    </xdr:to>
    <xdr:graphicFrame macro="">
      <xdr:nvGraphicFramePr>
        <xdr:cNvPr id="17" name="Gráfico 16">
          <a:extLst>
            <a:ext uri="{FF2B5EF4-FFF2-40B4-BE49-F238E27FC236}">
              <a16:creationId xmlns:a16="http://schemas.microsoft.com/office/drawing/2014/main" id="{2C17D404-9177-404A-94FC-D658307F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44824</xdr:colOff>
      <xdr:row>1</xdr:row>
      <xdr:rowOff>71718</xdr:rowOff>
    </xdr:from>
    <xdr:to>
      <xdr:col>22</xdr:col>
      <xdr:colOff>484093</xdr:colOff>
      <xdr:row>10</xdr:row>
      <xdr:rowOff>134470</xdr:rowOff>
    </xdr:to>
    <xdr:graphicFrame macro="">
      <xdr:nvGraphicFramePr>
        <xdr:cNvPr id="2" name="Gráfico 1">
          <a:extLst>
            <a:ext uri="{FF2B5EF4-FFF2-40B4-BE49-F238E27FC236}">
              <a16:creationId xmlns:a16="http://schemas.microsoft.com/office/drawing/2014/main" id="{6FC2C87F-E1FB-BF10-EA35-17352CC7E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123825</xdr:colOff>
      <xdr:row>0</xdr:row>
      <xdr:rowOff>144780</xdr:rowOff>
    </xdr:from>
    <xdr:to>
      <xdr:col>10</xdr:col>
      <xdr:colOff>428625</xdr:colOff>
      <xdr:row>15</xdr:row>
      <xdr:rowOff>169545</xdr:rowOff>
    </xdr:to>
    <xdr:graphicFrame macro="">
      <xdr:nvGraphicFramePr>
        <xdr:cNvPr id="2" name="Gráfico 1">
          <a:extLst>
            <a:ext uri="{FF2B5EF4-FFF2-40B4-BE49-F238E27FC236}">
              <a16:creationId xmlns:a16="http://schemas.microsoft.com/office/drawing/2014/main" id="{1B1EE295-9470-42CB-A3DD-796A1E10C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123825</xdr:colOff>
      <xdr:row>0</xdr:row>
      <xdr:rowOff>144780</xdr:rowOff>
    </xdr:from>
    <xdr:to>
      <xdr:col>10</xdr:col>
      <xdr:colOff>428625</xdr:colOff>
      <xdr:row>15</xdr:row>
      <xdr:rowOff>169545</xdr:rowOff>
    </xdr:to>
    <xdr:graphicFrame macro="">
      <xdr:nvGraphicFramePr>
        <xdr:cNvPr id="2" name="Gráfico 1">
          <a:extLst>
            <a:ext uri="{FF2B5EF4-FFF2-40B4-BE49-F238E27FC236}">
              <a16:creationId xmlns:a16="http://schemas.microsoft.com/office/drawing/2014/main" id="{AE58D61F-4D3F-4B74-80A1-C590E05E5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125730</xdr:colOff>
      <xdr:row>0</xdr:row>
      <xdr:rowOff>142875</xdr:rowOff>
    </xdr:from>
    <xdr:to>
      <xdr:col>10</xdr:col>
      <xdr:colOff>430530</xdr:colOff>
      <xdr:row>15</xdr:row>
      <xdr:rowOff>173355</xdr:rowOff>
    </xdr:to>
    <xdr:graphicFrame macro="">
      <xdr:nvGraphicFramePr>
        <xdr:cNvPr id="2" name="Gráfico 1">
          <a:extLst>
            <a:ext uri="{FF2B5EF4-FFF2-40B4-BE49-F238E27FC236}">
              <a16:creationId xmlns:a16="http://schemas.microsoft.com/office/drawing/2014/main" id="{CD2E08AC-3D49-4996-8931-7B722E821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125730</xdr:colOff>
      <xdr:row>0</xdr:row>
      <xdr:rowOff>142875</xdr:rowOff>
    </xdr:from>
    <xdr:to>
      <xdr:col>10</xdr:col>
      <xdr:colOff>430530</xdr:colOff>
      <xdr:row>15</xdr:row>
      <xdr:rowOff>173355</xdr:rowOff>
    </xdr:to>
    <xdr:graphicFrame macro="">
      <xdr:nvGraphicFramePr>
        <xdr:cNvPr id="2" name="Gráfico 1">
          <a:extLst>
            <a:ext uri="{FF2B5EF4-FFF2-40B4-BE49-F238E27FC236}">
              <a16:creationId xmlns:a16="http://schemas.microsoft.com/office/drawing/2014/main" id="{E598FFAD-D3AE-487E-B819-59A50EBB6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125730</xdr:colOff>
      <xdr:row>0</xdr:row>
      <xdr:rowOff>142875</xdr:rowOff>
    </xdr:from>
    <xdr:to>
      <xdr:col>10</xdr:col>
      <xdr:colOff>430530</xdr:colOff>
      <xdr:row>15</xdr:row>
      <xdr:rowOff>173355</xdr:rowOff>
    </xdr:to>
    <xdr:graphicFrame macro="">
      <xdr:nvGraphicFramePr>
        <xdr:cNvPr id="2" name="Gráfico 1">
          <a:extLst>
            <a:ext uri="{FF2B5EF4-FFF2-40B4-BE49-F238E27FC236}">
              <a16:creationId xmlns:a16="http://schemas.microsoft.com/office/drawing/2014/main" id="{6F674081-4933-4573-8623-A448948E7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123825</xdr:colOff>
      <xdr:row>0</xdr:row>
      <xdr:rowOff>144780</xdr:rowOff>
    </xdr:from>
    <xdr:to>
      <xdr:col>10</xdr:col>
      <xdr:colOff>428625</xdr:colOff>
      <xdr:row>15</xdr:row>
      <xdr:rowOff>169545</xdr:rowOff>
    </xdr:to>
    <xdr:graphicFrame macro="">
      <xdr:nvGraphicFramePr>
        <xdr:cNvPr id="2" name="Gráfico 1">
          <a:extLst>
            <a:ext uri="{FF2B5EF4-FFF2-40B4-BE49-F238E27FC236}">
              <a16:creationId xmlns:a16="http://schemas.microsoft.com/office/drawing/2014/main" id="{8E9C0FC8-B616-748F-EBCC-481263863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ele Klaumann" refreshedDate="45790.857658217596" createdVersion="8" refreshedVersion="8" minRefreshableVersion="3" recordCount="144" xr:uid="{DABE0178-1479-4F60-BC72-E59B6379ACFB}">
  <cacheSource type="worksheet">
    <worksheetSource name="Tabela1"/>
  </cacheSource>
  <cacheFields count="12">
    <cacheField name="Data da Pesquisa" numFmtId="14">
      <sharedItems containsSemiMixedTypes="0" containsNonDate="0" containsDate="1" containsString="0" minDate="2025-01-01T00:00:00" maxDate="2025-05-02T00:00:00"/>
    </cacheField>
    <cacheField name="Mês" numFmtId="14">
      <sharedItems containsBlank="1" count="9">
        <s v="jan-25"/>
        <s v="fev-25"/>
        <s v="mar-25"/>
        <s v="abr-25"/>
        <s v="mai-25"/>
        <m u="1"/>
        <s v="" u="1"/>
        <s v="jun-25" u="1"/>
        <s v="jan-00" u="1"/>
      </sharedItems>
    </cacheField>
    <cacheField name="Nº da Pesquisa" numFmtId="0">
      <sharedItems containsBlank="1" count="5">
        <s v="Pesquisa 01"/>
        <s v="Pesquisa 02"/>
        <s v="Pesquisa 03"/>
        <s v="Pesquisa 04"/>
        <m u="1"/>
      </sharedItems>
    </cacheField>
    <cacheField name="Especialidade" numFmtId="0">
      <sharedItems containsBlank="1" count="17">
        <s v="Limpeza de pele"/>
        <s v="Drenagem linfática manual"/>
        <s v="Microagulhamento"/>
        <s v="Fotodepilação"/>
        <s v="Terapia capilar para queda"/>
        <s v="Massagem Modeladora"/>
        <s v="Cirurgia (CBMF)" u="1"/>
        <s v="Endodontia (EDO)" u="1"/>
        <s v="Sem Identificação" u="1"/>
        <s v="Cisto" u="1"/>
        <s v="Periodontia (PER)" u="1"/>
        <s v="Odontologia (OD)" u="1"/>
        <s v="Dentista " u="1"/>
        <s v="PNE" u="1"/>
        <s v="Estamotologia" u="1"/>
        <m u="1"/>
        <s v="Dentista" u="1"/>
      </sharedItems>
    </cacheField>
    <cacheField name="Estado" numFmtId="0">
      <sharedItems/>
    </cacheField>
    <cacheField name="Cidade" numFmtId="0">
      <sharedItems containsBlank="1"/>
    </cacheField>
    <cacheField name="Acessibilidade" numFmtId="0">
      <sharedItems containsBlank="1" count="7">
        <s v="Muito Satisfeito(a)"/>
        <s v="Idiferente"/>
        <s v="Muito Insatisfeito(a)"/>
        <s v="Satisfeito(a)" u="1"/>
        <s v="Insatisfeito(a)" u="1"/>
        <s v="Indiferente" u="1"/>
        <m u="1"/>
      </sharedItems>
    </cacheField>
    <cacheField name="Estrutura física" numFmtId="0">
      <sharedItems containsBlank="1" count="6">
        <s v="Muito Satisfeito(a)"/>
        <s v="Insatisfeito(a)"/>
        <s v="Muito insatisfeito(a)"/>
        <s v="Satisfeito(a)" u="1"/>
        <s v="Indiferente" u="1"/>
        <m u="1"/>
      </sharedItems>
    </cacheField>
    <cacheField name="Ambiente limpo" numFmtId="0">
      <sharedItems containsBlank="1" count="5">
        <s v="Muito Satisfeito(a)"/>
        <s v="Muito insatisfeito(a)"/>
        <s v="Satisfeito(a)" u="1"/>
        <s v="Indiferente" u="1"/>
        <m u="1"/>
      </sharedItems>
    </cacheField>
    <cacheField name="Funcionários atenciosos" numFmtId="0">
      <sharedItems containsBlank="1" count="5">
        <s v="Muito Satisfeito(a)"/>
        <s v="Insatisfeito(a)"/>
        <s v="Satisfeito(a)" u="1"/>
        <s v="Muito insatisfeito(a)" u="1"/>
        <m u="1"/>
      </sharedItems>
    </cacheField>
    <cacheField name="Resolveu seu problema " numFmtId="0">
      <sharedItems containsBlank="1" count="6">
        <s v="Muito Satisfeito(a)"/>
        <s v="Insatisfeito(a)"/>
        <s v="Indiferente"/>
        <s v="Satisfeito(a)" u="1"/>
        <s v="Muito insatisfeito(a)" u="1"/>
        <m u="1"/>
      </sharedItems>
    </cacheField>
    <cacheField name="Informações claras" numFmtId="0">
      <sharedItems containsBlank="1" count="4">
        <s v="Muito Satisfeito(a)"/>
        <s v="Muito insatisfeito(a)"/>
        <s v="Satisfeito(a)" u="1"/>
        <m u="1"/>
      </sharedItems>
    </cacheField>
  </cacheFields>
  <extLst>
    <ext xmlns:x14="http://schemas.microsoft.com/office/spreadsheetml/2009/9/main" uri="{725AE2AE-9491-48be-B2B4-4EB974FC3084}">
      <x14:pivotCacheDefinition pivotCacheId="451347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d v="2025-01-01T00:00:00"/>
    <x v="0"/>
    <x v="0"/>
    <x v="0"/>
    <s v="São Paulo"/>
    <e v="#VALUE!"/>
    <x v="0"/>
    <x v="0"/>
    <x v="0"/>
    <x v="0"/>
    <x v="0"/>
    <x v="0"/>
  </r>
  <r>
    <d v="2025-01-01T00:00:00"/>
    <x v="0"/>
    <x v="0"/>
    <x v="0"/>
    <s v="São Paulo"/>
    <e v="#VALUE!"/>
    <x v="0"/>
    <x v="0"/>
    <x v="0"/>
    <x v="0"/>
    <x v="0"/>
    <x v="0"/>
  </r>
  <r>
    <d v="2025-01-01T00:00:00"/>
    <x v="0"/>
    <x v="0"/>
    <x v="0"/>
    <s v="São Paulo"/>
    <e v="#VALUE!"/>
    <x v="0"/>
    <x v="0"/>
    <x v="0"/>
    <x v="0"/>
    <x v="0"/>
    <x v="0"/>
  </r>
  <r>
    <d v="2025-01-01T00:00:00"/>
    <x v="0"/>
    <x v="0"/>
    <x v="0"/>
    <s v="São Paulo"/>
    <e v="#VALUE!"/>
    <x v="0"/>
    <x v="0"/>
    <x v="0"/>
    <x v="0"/>
    <x v="0"/>
    <x v="0"/>
  </r>
  <r>
    <d v="2025-01-01T00:00:00"/>
    <x v="0"/>
    <x v="0"/>
    <x v="0"/>
    <s v="São Paulo"/>
    <e v="#VALUE!"/>
    <x v="0"/>
    <x v="0"/>
    <x v="0"/>
    <x v="0"/>
    <x v="0"/>
    <x v="0"/>
  </r>
  <r>
    <d v="2025-01-01T00:00:00"/>
    <x v="0"/>
    <x v="0"/>
    <x v="0"/>
    <s v="São Paulo"/>
    <e v="#VALUE!"/>
    <x v="0"/>
    <x v="0"/>
    <x v="0"/>
    <x v="0"/>
    <x v="0"/>
    <x v="0"/>
  </r>
  <r>
    <d v="2025-01-01T00:00:00"/>
    <x v="0"/>
    <x v="0"/>
    <x v="0"/>
    <s v="São Paulo"/>
    <e v="#VALUE!"/>
    <x v="0"/>
    <x v="0"/>
    <x v="0"/>
    <x v="0"/>
    <x v="0"/>
    <x v="0"/>
  </r>
  <r>
    <d v="2025-01-01T00:00:00"/>
    <x v="0"/>
    <x v="0"/>
    <x v="0"/>
    <s v="São Paulo"/>
    <e v="#VALUE!"/>
    <x v="0"/>
    <x v="0"/>
    <x v="0"/>
    <x v="0"/>
    <x v="0"/>
    <x v="0"/>
  </r>
  <r>
    <d v="2025-01-01T00:00:00"/>
    <x v="0"/>
    <x v="0"/>
    <x v="0"/>
    <s v="São Paulo"/>
    <e v="#VALUE!"/>
    <x v="1"/>
    <x v="0"/>
    <x v="0"/>
    <x v="0"/>
    <x v="0"/>
    <x v="0"/>
  </r>
  <r>
    <d v="2025-01-01T00:00:00"/>
    <x v="0"/>
    <x v="0"/>
    <x v="0"/>
    <s v="São Paulo"/>
    <e v="#VALUE!"/>
    <x v="0"/>
    <x v="0"/>
    <x v="0"/>
    <x v="0"/>
    <x v="0"/>
    <x v="0"/>
  </r>
  <r>
    <d v="2025-01-01T00:00:00"/>
    <x v="0"/>
    <x v="0"/>
    <x v="0"/>
    <s v="São Paulo"/>
    <e v="#VALUE!"/>
    <x v="0"/>
    <x v="0"/>
    <x v="0"/>
    <x v="0"/>
    <x v="0"/>
    <x v="1"/>
  </r>
  <r>
    <d v="2025-01-01T00:00:00"/>
    <x v="0"/>
    <x v="0"/>
    <x v="0"/>
    <s v="São Paulo"/>
    <e v="#VALUE!"/>
    <x v="0"/>
    <x v="0"/>
    <x v="0"/>
    <x v="1"/>
    <x v="0"/>
    <x v="1"/>
  </r>
  <r>
    <d v="2025-01-01T00:00:00"/>
    <x v="0"/>
    <x v="0"/>
    <x v="0"/>
    <s v="São Paulo"/>
    <e v="#VALUE!"/>
    <x v="0"/>
    <x v="1"/>
    <x v="0"/>
    <x v="0"/>
    <x v="0"/>
    <x v="1"/>
  </r>
  <r>
    <d v="2025-01-01T00:00:00"/>
    <x v="0"/>
    <x v="0"/>
    <x v="0"/>
    <s v="São Paulo"/>
    <s v="Sem Identificação"/>
    <x v="1"/>
    <x v="0"/>
    <x v="0"/>
    <x v="0"/>
    <x v="1"/>
    <x v="1"/>
  </r>
  <r>
    <d v="2025-01-01T00:00:00"/>
    <x v="0"/>
    <x v="0"/>
    <x v="0"/>
    <s v="São Paulo"/>
    <s v="Sem Identificação"/>
    <x v="0"/>
    <x v="0"/>
    <x v="0"/>
    <x v="0"/>
    <x v="0"/>
    <x v="1"/>
  </r>
  <r>
    <d v="2025-01-01T00:00:00"/>
    <x v="0"/>
    <x v="1"/>
    <x v="0"/>
    <s v="São Paulo"/>
    <e v="#VALUE!"/>
    <x v="2"/>
    <x v="0"/>
    <x v="0"/>
    <x v="0"/>
    <x v="0"/>
    <x v="1"/>
  </r>
  <r>
    <d v="2025-01-01T00:00:00"/>
    <x v="0"/>
    <x v="1"/>
    <x v="0"/>
    <s v="São Paulo"/>
    <e v="#VALUE!"/>
    <x v="0"/>
    <x v="0"/>
    <x v="0"/>
    <x v="0"/>
    <x v="0"/>
    <x v="1"/>
  </r>
  <r>
    <d v="2025-01-01T00:00:00"/>
    <x v="0"/>
    <x v="1"/>
    <x v="0"/>
    <s v="São Paulo"/>
    <e v="#VALUE!"/>
    <x v="0"/>
    <x v="0"/>
    <x v="0"/>
    <x v="0"/>
    <x v="0"/>
    <x v="1"/>
  </r>
  <r>
    <d v="2025-01-01T00:00:00"/>
    <x v="0"/>
    <x v="1"/>
    <x v="0"/>
    <s v="São Paulo"/>
    <e v="#VALUE!"/>
    <x v="0"/>
    <x v="0"/>
    <x v="0"/>
    <x v="0"/>
    <x v="0"/>
    <x v="1"/>
  </r>
  <r>
    <d v="2025-01-01T00:00:00"/>
    <x v="0"/>
    <x v="1"/>
    <x v="0"/>
    <s v="São Paulo"/>
    <e v="#VALUE!"/>
    <x v="0"/>
    <x v="0"/>
    <x v="0"/>
    <x v="0"/>
    <x v="0"/>
    <x v="1"/>
  </r>
  <r>
    <d v="2025-01-01T00:00:00"/>
    <x v="0"/>
    <x v="1"/>
    <x v="0"/>
    <s v="São Paulo"/>
    <e v="#VALUE!"/>
    <x v="0"/>
    <x v="0"/>
    <x v="0"/>
    <x v="0"/>
    <x v="0"/>
    <x v="1"/>
  </r>
  <r>
    <d v="2025-01-01T00:00:00"/>
    <x v="0"/>
    <x v="1"/>
    <x v="0"/>
    <s v="São Paulo"/>
    <e v="#VALUE!"/>
    <x v="0"/>
    <x v="0"/>
    <x v="0"/>
    <x v="0"/>
    <x v="1"/>
    <x v="0"/>
  </r>
  <r>
    <d v="2025-01-01T00:00:00"/>
    <x v="0"/>
    <x v="1"/>
    <x v="0"/>
    <s v="São Paulo"/>
    <e v="#VALUE!"/>
    <x v="0"/>
    <x v="0"/>
    <x v="0"/>
    <x v="0"/>
    <x v="0"/>
    <x v="0"/>
  </r>
  <r>
    <d v="2025-01-01T00:00:00"/>
    <x v="0"/>
    <x v="1"/>
    <x v="0"/>
    <s v="São Paulo"/>
    <e v="#VALUE!"/>
    <x v="0"/>
    <x v="2"/>
    <x v="0"/>
    <x v="1"/>
    <x v="0"/>
    <x v="0"/>
  </r>
  <r>
    <d v="2025-01-01T00:00:00"/>
    <x v="0"/>
    <x v="1"/>
    <x v="0"/>
    <s v="São Paulo"/>
    <e v="#VALUE!"/>
    <x v="0"/>
    <x v="2"/>
    <x v="0"/>
    <x v="1"/>
    <x v="0"/>
    <x v="0"/>
  </r>
  <r>
    <d v="2025-01-01T00:00:00"/>
    <x v="0"/>
    <x v="1"/>
    <x v="0"/>
    <s v="São Paulo"/>
    <e v="#VALUE!"/>
    <x v="0"/>
    <x v="2"/>
    <x v="0"/>
    <x v="1"/>
    <x v="0"/>
    <x v="0"/>
  </r>
  <r>
    <d v="2025-01-01T00:00:00"/>
    <x v="0"/>
    <x v="1"/>
    <x v="0"/>
    <s v="São Paulo"/>
    <e v="#VALUE!"/>
    <x v="0"/>
    <x v="2"/>
    <x v="0"/>
    <x v="1"/>
    <x v="0"/>
    <x v="0"/>
  </r>
  <r>
    <d v="2025-01-01T00:00:00"/>
    <x v="0"/>
    <x v="1"/>
    <x v="0"/>
    <s v="São Paulo"/>
    <e v="#VALUE!"/>
    <x v="0"/>
    <x v="2"/>
    <x v="0"/>
    <x v="1"/>
    <x v="0"/>
    <x v="0"/>
  </r>
  <r>
    <d v="2025-01-01T00:00:00"/>
    <x v="0"/>
    <x v="1"/>
    <x v="1"/>
    <s v="São Paulo"/>
    <e v="#VALUE!"/>
    <x v="0"/>
    <x v="2"/>
    <x v="1"/>
    <x v="1"/>
    <x v="0"/>
    <x v="0"/>
  </r>
  <r>
    <d v="2025-01-01T00:00:00"/>
    <x v="0"/>
    <x v="1"/>
    <x v="1"/>
    <s v="São Paulo"/>
    <e v="#VALUE!"/>
    <x v="0"/>
    <x v="2"/>
    <x v="1"/>
    <x v="1"/>
    <x v="0"/>
    <x v="0"/>
  </r>
  <r>
    <d v="2025-02-01T00:00:00"/>
    <x v="1"/>
    <x v="1"/>
    <x v="1"/>
    <s v="São Paulo"/>
    <e v="#VALUE!"/>
    <x v="0"/>
    <x v="2"/>
    <x v="1"/>
    <x v="1"/>
    <x v="0"/>
    <x v="0"/>
  </r>
  <r>
    <d v="2025-02-02T00:00:00"/>
    <x v="1"/>
    <x v="1"/>
    <x v="1"/>
    <s v="Rio de Jaeiro"/>
    <e v="#VALUE!"/>
    <x v="0"/>
    <x v="2"/>
    <x v="1"/>
    <x v="1"/>
    <x v="0"/>
    <x v="0"/>
  </r>
  <r>
    <d v="2025-02-03T00:00:00"/>
    <x v="1"/>
    <x v="1"/>
    <x v="1"/>
    <s v="Rio de Jaeiro"/>
    <e v="#VALUE!"/>
    <x v="0"/>
    <x v="0"/>
    <x v="1"/>
    <x v="1"/>
    <x v="0"/>
    <x v="0"/>
  </r>
  <r>
    <d v="2025-02-04T00:00:00"/>
    <x v="1"/>
    <x v="1"/>
    <x v="1"/>
    <s v="Rio de Jaeiro"/>
    <e v="#VALUE!"/>
    <x v="0"/>
    <x v="0"/>
    <x v="1"/>
    <x v="1"/>
    <x v="0"/>
    <x v="0"/>
  </r>
  <r>
    <d v="2025-02-05T00:00:00"/>
    <x v="1"/>
    <x v="1"/>
    <x v="1"/>
    <s v="Rio de Jaeiro"/>
    <e v="#VALUE!"/>
    <x v="0"/>
    <x v="0"/>
    <x v="1"/>
    <x v="0"/>
    <x v="0"/>
    <x v="0"/>
  </r>
  <r>
    <d v="2025-02-06T00:00:00"/>
    <x v="1"/>
    <x v="1"/>
    <x v="1"/>
    <s v="Rio de Jaeiro"/>
    <e v="#VALUE!"/>
    <x v="0"/>
    <x v="0"/>
    <x v="1"/>
    <x v="0"/>
    <x v="0"/>
    <x v="0"/>
  </r>
  <r>
    <d v="2025-02-07T00:00:00"/>
    <x v="1"/>
    <x v="1"/>
    <x v="1"/>
    <s v="Rio de Jaeiro"/>
    <e v="#VALUE!"/>
    <x v="0"/>
    <x v="0"/>
    <x v="0"/>
    <x v="0"/>
    <x v="0"/>
    <x v="0"/>
  </r>
  <r>
    <d v="2025-02-08T00:00:00"/>
    <x v="1"/>
    <x v="1"/>
    <x v="1"/>
    <s v="Rio de Jaeiro"/>
    <e v="#VALUE!"/>
    <x v="0"/>
    <x v="0"/>
    <x v="0"/>
    <x v="0"/>
    <x v="0"/>
    <x v="0"/>
  </r>
  <r>
    <d v="2025-02-09T00:00:00"/>
    <x v="1"/>
    <x v="1"/>
    <x v="1"/>
    <s v="Rio de Jaeiro"/>
    <e v="#VALUE!"/>
    <x v="0"/>
    <x v="0"/>
    <x v="0"/>
    <x v="0"/>
    <x v="0"/>
    <x v="0"/>
  </r>
  <r>
    <d v="2025-02-10T00:00:00"/>
    <x v="1"/>
    <x v="1"/>
    <x v="1"/>
    <s v="Rio de Jaeiro"/>
    <e v="#VALUE!"/>
    <x v="0"/>
    <x v="0"/>
    <x v="0"/>
    <x v="0"/>
    <x v="0"/>
    <x v="0"/>
  </r>
  <r>
    <d v="2025-02-11T00:00:00"/>
    <x v="1"/>
    <x v="1"/>
    <x v="1"/>
    <s v="Rio de Jaeiro"/>
    <e v="#VALUE!"/>
    <x v="0"/>
    <x v="0"/>
    <x v="0"/>
    <x v="0"/>
    <x v="0"/>
    <x v="0"/>
  </r>
  <r>
    <d v="2025-02-12T00:00:00"/>
    <x v="1"/>
    <x v="1"/>
    <x v="1"/>
    <s v="Rio de Jaeiro"/>
    <e v="#VALUE!"/>
    <x v="0"/>
    <x v="0"/>
    <x v="0"/>
    <x v="0"/>
    <x v="0"/>
    <x v="0"/>
  </r>
  <r>
    <d v="2025-02-13T00:00:00"/>
    <x v="1"/>
    <x v="1"/>
    <x v="1"/>
    <s v="Rio de Jaeiro"/>
    <e v="#VALUE!"/>
    <x v="0"/>
    <x v="0"/>
    <x v="0"/>
    <x v="0"/>
    <x v="0"/>
    <x v="0"/>
  </r>
  <r>
    <d v="2025-02-14T00:00:00"/>
    <x v="1"/>
    <x v="1"/>
    <x v="1"/>
    <s v="Rio de Jaeiro"/>
    <e v="#VALUE!"/>
    <x v="0"/>
    <x v="0"/>
    <x v="0"/>
    <x v="0"/>
    <x v="2"/>
    <x v="0"/>
  </r>
  <r>
    <d v="2025-02-15T00:00:00"/>
    <x v="1"/>
    <x v="1"/>
    <x v="2"/>
    <s v="Rio de Jaeiro"/>
    <e v="#VALUE!"/>
    <x v="0"/>
    <x v="0"/>
    <x v="0"/>
    <x v="0"/>
    <x v="0"/>
    <x v="0"/>
  </r>
  <r>
    <d v="2025-02-16T00:00:00"/>
    <x v="1"/>
    <x v="1"/>
    <x v="2"/>
    <s v="Rio de Jaeiro"/>
    <e v="#VALUE!"/>
    <x v="0"/>
    <x v="0"/>
    <x v="0"/>
    <x v="0"/>
    <x v="0"/>
    <x v="0"/>
  </r>
  <r>
    <d v="2025-02-17T00:00:00"/>
    <x v="1"/>
    <x v="1"/>
    <x v="2"/>
    <s v="Rio de Jaeiro"/>
    <e v="#VALUE!"/>
    <x v="0"/>
    <x v="0"/>
    <x v="0"/>
    <x v="0"/>
    <x v="0"/>
    <x v="0"/>
  </r>
  <r>
    <d v="2025-02-18T00:00:00"/>
    <x v="1"/>
    <x v="1"/>
    <x v="2"/>
    <s v="Rio de Jaeiro"/>
    <e v="#VALUE!"/>
    <x v="0"/>
    <x v="0"/>
    <x v="0"/>
    <x v="0"/>
    <x v="0"/>
    <x v="0"/>
  </r>
  <r>
    <d v="2025-02-19T00:00:00"/>
    <x v="1"/>
    <x v="1"/>
    <x v="2"/>
    <s v="Rio de Jaeiro"/>
    <e v="#VALUE!"/>
    <x v="0"/>
    <x v="0"/>
    <x v="0"/>
    <x v="0"/>
    <x v="0"/>
    <x v="0"/>
  </r>
  <r>
    <d v="2025-02-20T00:00:00"/>
    <x v="1"/>
    <x v="1"/>
    <x v="2"/>
    <s v="Rio de Jaeiro"/>
    <e v="#VALUE!"/>
    <x v="0"/>
    <x v="0"/>
    <x v="0"/>
    <x v="0"/>
    <x v="0"/>
    <x v="0"/>
  </r>
  <r>
    <d v="2025-02-21T00:00:00"/>
    <x v="1"/>
    <x v="1"/>
    <x v="2"/>
    <s v="Rio de Jaeiro"/>
    <e v="#VALUE!"/>
    <x v="0"/>
    <x v="0"/>
    <x v="0"/>
    <x v="0"/>
    <x v="0"/>
    <x v="0"/>
  </r>
  <r>
    <d v="2025-02-22T00:00:00"/>
    <x v="1"/>
    <x v="1"/>
    <x v="2"/>
    <s v="Rio de Jaeiro"/>
    <e v="#VALUE!"/>
    <x v="0"/>
    <x v="0"/>
    <x v="0"/>
    <x v="0"/>
    <x v="0"/>
    <x v="0"/>
  </r>
  <r>
    <d v="2025-02-23T00:00:00"/>
    <x v="1"/>
    <x v="1"/>
    <x v="2"/>
    <s v="Rio de Jaeiro"/>
    <e v="#VALUE!"/>
    <x v="0"/>
    <x v="0"/>
    <x v="0"/>
    <x v="0"/>
    <x v="0"/>
    <x v="0"/>
  </r>
  <r>
    <d v="2025-02-24T00:00:00"/>
    <x v="1"/>
    <x v="1"/>
    <x v="2"/>
    <s v="Rio de Jaeiro"/>
    <e v="#VALUE!"/>
    <x v="0"/>
    <x v="0"/>
    <x v="0"/>
    <x v="0"/>
    <x v="0"/>
    <x v="0"/>
  </r>
  <r>
    <d v="2025-02-25T00:00:00"/>
    <x v="1"/>
    <x v="1"/>
    <x v="2"/>
    <s v="Rio de Jaeiro"/>
    <e v="#VALUE!"/>
    <x v="0"/>
    <x v="0"/>
    <x v="0"/>
    <x v="0"/>
    <x v="0"/>
    <x v="0"/>
  </r>
  <r>
    <d v="2025-02-26T00:00:00"/>
    <x v="1"/>
    <x v="1"/>
    <x v="3"/>
    <s v="Rio de Jaeiro"/>
    <e v="#VALUE!"/>
    <x v="0"/>
    <x v="0"/>
    <x v="0"/>
    <x v="0"/>
    <x v="0"/>
    <x v="0"/>
  </r>
  <r>
    <d v="2025-02-27T00:00:00"/>
    <x v="1"/>
    <x v="1"/>
    <x v="4"/>
    <s v="Rio de Jaeiro"/>
    <e v="#VALUE!"/>
    <x v="0"/>
    <x v="0"/>
    <x v="0"/>
    <x v="0"/>
    <x v="0"/>
    <x v="0"/>
  </r>
  <r>
    <d v="2025-02-28T00:00:00"/>
    <x v="1"/>
    <x v="1"/>
    <x v="4"/>
    <s v="Rio de Jaeiro"/>
    <e v="#VALUE!"/>
    <x v="0"/>
    <x v="0"/>
    <x v="0"/>
    <x v="0"/>
    <x v="0"/>
    <x v="0"/>
  </r>
  <r>
    <d v="2025-03-01T00:00:00"/>
    <x v="2"/>
    <x v="1"/>
    <x v="4"/>
    <s v="Rio de Jaeiro"/>
    <s v="Sem Identificação"/>
    <x v="0"/>
    <x v="0"/>
    <x v="0"/>
    <x v="0"/>
    <x v="0"/>
    <x v="0"/>
  </r>
  <r>
    <d v="2025-03-02T00:00:00"/>
    <x v="2"/>
    <x v="1"/>
    <x v="4"/>
    <s v="Belo Horizonte"/>
    <e v="#VALUE!"/>
    <x v="0"/>
    <x v="0"/>
    <x v="0"/>
    <x v="0"/>
    <x v="0"/>
    <x v="0"/>
  </r>
  <r>
    <d v="2025-03-03T00:00:00"/>
    <x v="2"/>
    <x v="1"/>
    <x v="4"/>
    <s v="Belo Horizonte"/>
    <e v="#VALUE!"/>
    <x v="0"/>
    <x v="0"/>
    <x v="0"/>
    <x v="0"/>
    <x v="0"/>
    <x v="0"/>
  </r>
  <r>
    <d v="2025-03-04T00:00:00"/>
    <x v="2"/>
    <x v="1"/>
    <x v="4"/>
    <s v="Belo Horizonte"/>
    <e v="#VALUE!"/>
    <x v="0"/>
    <x v="0"/>
    <x v="0"/>
    <x v="0"/>
    <x v="0"/>
    <x v="0"/>
  </r>
  <r>
    <d v="2025-03-05T00:00:00"/>
    <x v="2"/>
    <x v="1"/>
    <x v="5"/>
    <s v="Belo Horizonte"/>
    <e v="#VALUE!"/>
    <x v="0"/>
    <x v="0"/>
    <x v="0"/>
    <x v="0"/>
    <x v="0"/>
    <x v="0"/>
  </r>
  <r>
    <d v="2025-03-06T00:00:00"/>
    <x v="2"/>
    <x v="1"/>
    <x v="5"/>
    <s v="Belo Horizonte"/>
    <e v="#VALUE!"/>
    <x v="0"/>
    <x v="0"/>
    <x v="0"/>
    <x v="0"/>
    <x v="0"/>
    <x v="0"/>
  </r>
  <r>
    <d v="2025-03-07T00:00:00"/>
    <x v="2"/>
    <x v="1"/>
    <x v="5"/>
    <s v="Belo Horizonte"/>
    <e v="#VALUE!"/>
    <x v="0"/>
    <x v="0"/>
    <x v="0"/>
    <x v="0"/>
    <x v="0"/>
    <x v="0"/>
  </r>
  <r>
    <d v="2025-03-08T00:00:00"/>
    <x v="2"/>
    <x v="1"/>
    <x v="5"/>
    <s v="Belo Horizonte"/>
    <e v="#VALUE!"/>
    <x v="0"/>
    <x v="0"/>
    <x v="0"/>
    <x v="0"/>
    <x v="0"/>
    <x v="0"/>
  </r>
  <r>
    <d v="2025-03-09T00:00:00"/>
    <x v="2"/>
    <x v="1"/>
    <x v="5"/>
    <s v="Belo Horizonte"/>
    <e v="#VALUE!"/>
    <x v="0"/>
    <x v="0"/>
    <x v="0"/>
    <x v="0"/>
    <x v="0"/>
    <x v="0"/>
  </r>
  <r>
    <d v="2025-03-10T00:00:00"/>
    <x v="2"/>
    <x v="1"/>
    <x v="5"/>
    <s v="Belo Horizonte"/>
    <e v="#VALUE!"/>
    <x v="0"/>
    <x v="0"/>
    <x v="0"/>
    <x v="0"/>
    <x v="0"/>
    <x v="0"/>
  </r>
  <r>
    <d v="2025-03-11T00:00:00"/>
    <x v="2"/>
    <x v="1"/>
    <x v="5"/>
    <s v="Belo Horizonte"/>
    <e v="#VALUE!"/>
    <x v="0"/>
    <x v="0"/>
    <x v="0"/>
    <x v="0"/>
    <x v="0"/>
    <x v="0"/>
  </r>
  <r>
    <d v="2025-03-12T00:00:00"/>
    <x v="2"/>
    <x v="1"/>
    <x v="5"/>
    <s v="Belo Horizonte"/>
    <e v="#VALUE!"/>
    <x v="0"/>
    <x v="0"/>
    <x v="0"/>
    <x v="0"/>
    <x v="0"/>
    <x v="0"/>
  </r>
  <r>
    <d v="2025-03-13T00:00:00"/>
    <x v="2"/>
    <x v="1"/>
    <x v="5"/>
    <s v="Belo Horizonte"/>
    <e v="#VALUE!"/>
    <x v="0"/>
    <x v="0"/>
    <x v="0"/>
    <x v="0"/>
    <x v="0"/>
    <x v="0"/>
  </r>
  <r>
    <d v="2025-03-14T00:00:00"/>
    <x v="2"/>
    <x v="1"/>
    <x v="5"/>
    <s v="Belo Horizonte"/>
    <e v="#VALUE!"/>
    <x v="0"/>
    <x v="0"/>
    <x v="0"/>
    <x v="0"/>
    <x v="0"/>
    <x v="0"/>
  </r>
  <r>
    <d v="2025-03-15T00:00:00"/>
    <x v="2"/>
    <x v="1"/>
    <x v="5"/>
    <s v="Belo Horizonte"/>
    <e v="#VALUE!"/>
    <x v="0"/>
    <x v="0"/>
    <x v="0"/>
    <x v="0"/>
    <x v="0"/>
    <x v="0"/>
  </r>
  <r>
    <d v="2025-03-16T00:00:00"/>
    <x v="2"/>
    <x v="1"/>
    <x v="5"/>
    <s v="Belo Horizonte"/>
    <e v="#VALUE!"/>
    <x v="0"/>
    <x v="0"/>
    <x v="0"/>
    <x v="0"/>
    <x v="0"/>
    <x v="0"/>
  </r>
  <r>
    <d v="2025-03-17T00:00:00"/>
    <x v="2"/>
    <x v="1"/>
    <x v="5"/>
    <s v="Belo Horizonte"/>
    <e v="#VALUE!"/>
    <x v="0"/>
    <x v="0"/>
    <x v="0"/>
    <x v="0"/>
    <x v="0"/>
    <x v="0"/>
  </r>
  <r>
    <d v="2025-03-18T00:00:00"/>
    <x v="2"/>
    <x v="1"/>
    <x v="5"/>
    <s v="Belo Horizonte"/>
    <e v="#VALUE!"/>
    <x v="0"/>
    <x v="0"/>
    <x v="0"/>
    <x v="0"/>
    <x v="0"/>
    <x v="0"/>
  </r>
  <r>
    <d v="2025-03-19T00:00:00"/>
    <x v="2"/>
    <x v="1"/>
    <x v="5"/>
    <s v="Belo Horizonte"/>
    <e v="#VALUE!"/>
    <x v="0"/>
    <x v="0"/>
    <x v="0"/>
    <x v="0"/>
    <x v="0"/>
    <x v="0"/>
  </r>
  <r>
    <d v="2025-03-20T00:00:00"/>
    <x v="2"/>
    <x v="1"/>
    <x v="5"/>
    <s v="Belo Horizonte"/>
    <e v="#VALUE!"/>
    <x v="0"/>
    <x v="0"/>
    <x v="0"/>
    <x v="0"/>
    <x v="0"/>
    <x v="0"/>
  </r>
  <r>
    <d v="2025-03-21T00:00:00"/>
    <x v="2"/>
    <x v="1"/>
    <x v="5"/>
    <s v="Belo Horizonte"/>
    <e v="#VALUE!"/>
    <x v="0"/>
    <x v="0"/>
    <x v="0"/>
    <x v="0"/>
    <x v="0"/>
    <x v="0"/>
  </r>
  <r>
    <d v="2025-03-22T00:00:00"/>
    <x v="2"/>
    <x v="2"/>
    <x v="5"/>
    <s v="Belo Horizonte"/>
    <e v="#VALUE!"/>
    <x v="0"/>
    <x v="0"/>
    <x v="0"/>
    <x v="0"/>
    <x v="0"/>
    <x v="0"/>
  </r>
  <r>
    <d v="2025-03-23T00:00:00"/>
    <x v="2"/>
    <x v="2"/>
    <x v="5"/>
    <s v="Belo Horizonte"/>
    <e v="#VALUE!"/>
    <x v="0"/>
    <x v="0"/>
    <x v="0"/>
    <x v="0"/>
    <x v="0"/>
    <x v="0"/>
  </r>
  <r>
    <d v="2025-03-24T00:00:00"/>
    <x v="2"/>
    <x v="2"/>
    <x v="5"/>
    <s v="Belo Horizonte"/>
    <e v="#VALUE!"/>
    <x v="0"/>
    <x v="0"/>
    <x v="0"/>
    <x v="0"/>
    <x v="0"/>
    <x v="0"/>
  </r>
  <r>
    <d v="2025-03-25T00:00:00"/>
    <x v="2"/>
    <x v="2"/>
    <x v="5"/>
    <s v="Belo Horizonte"/>
    <e v="#VALUE!"/>
    <x v="0"/>
    <x v="0"/>
    <x v="0"/>
    <x v="0"/>
    <x v="0"/>
    <x v="0"/>
  </r>
  <r>
    <d v="2025-03-26T00:00:00"/>
    <x v="2"/>
    <x v="2"/>
    <x v="5"/>
    <s v="Belo Horizonte"/>
    <e v="#VALUE!"/>
    <x v="0"/>
    <x v="0"/>
    <x v="0"/>
    <x v="0"/>
    <x v="0"/>
    <x v="0"/>
  </r>
  <r>
    <d v="2025-03-27T00:00:00"/>
    <x v="2"/>
    <x v="2"/>
    <x v="5"/>
    <s v="Belo Horizonte"/>
    <e v="#VALUE!"/>
    <x v="0"/>
    <x v="0"/>
    <x v="0"/>
    <x v="0"/>
    <x v="0"/>
    <x v="0"/>
  </r>
  <r>
    <d v="2025-03-28T00:00:00"/>
    <x v="2"/>
    <x v="2"/>
    <x v="5"/>
    <s v="Belo Horizonte"/>
    <e v="#VALUE!"/>
    <x v="0"/>
    <x v="0"/>
    <x v="0"/>
    <x v="0"/>
    <x v="0"/>
    <x v="0"/>
  </r>
  <r>
    <d v="2025-03-29T00:00:00"/>
    <x v="2"/>
    <x v="2"/>
    <x v="5"/>
    <s v="Belo Horizonte"/>
    <e v="#VALUE!"/>
    <x v="0"/>
    <x v="0"/>
    <x v="0"/>
    <x v="0"/>
    <x v="0"/>
    <x v="0"/>
  </r>
  <r>
    <d v="2025-03-30T00:00:00"/>
    <x v="2"/>
    <x v="2"/>
    <x v="5"/>
    <s v="Belo Horizonte"/>
    <e v="#VALUE!"/>
    <x v="0"/>
    <x v="0"/>
    <x v="0"/>
    <x v="0"/>
    <x v="0"/>
    <x v="0"/>
  </r>
  <r>
    <d v="2025-03-31T00:00:00"/>
    <x v="2"/>
    <x v="2"/>
    <x v="5"/>
    <s v="Belo Horizonte"/>
    <e v="#VALUE!"/>
    <x v="0"/>
    <x v="0"/>
    <x v="0"/>
    <x v="0"/>
    <x v="0"/>
    <x v="0"/>
  </r>
  <r>
    <d v="2025-04-01T00:00:00"/>
    <x v="3"/>
    <x v="2"/>
    <x v="5"/>
    <s v="Belo Horizonte"/>
    <e v="#VALUE!"/>
    <x v="0"/>
    <x v="0"/>
    <x v="0"/>
    <x v="0"/>
    <x v="0"/>
    <x v="0"/>
  </r>
  <r>
    <d v="2025-04-02T00:00:00"/>
    <x v="3"/>
    <x v="2"/>
    <x v="5"/>
    <s v="Belo Horizonte"/>
    <e v="#VALUE!"/>
    <x v="0"/>
    <x v="0"/>
    <x v="0"/>
    <x v="0"/>
    <x v="0"/>
    <x v="0"/>
  </r>
  <r>
    <d v="2025-04-03T00:00:00"/>
    <x v="3"/>
    <x v="2"/>
    <x v="5"/>
    <s v="Belo Horizonte"/>
    <e v="#VALUE!"/>
    <x v="0"/>
    <x v="0"/>
    <x v="0"/>
    <x v="0"/>
    <x v="0"/>
    <x v="0"/>
  </r>
  <r>
    <d v="2025-04-04T00:00:00"/>
    <x v="3"/>
    <x v="2"/>
    <x v="5"/>
    <s v="Belo Horizonte"/>
    <e v="#VALUE!"/>
    <x v="0"/>
    <x v="0"/>
    <x v="0"/>
    <x v="0"/>
    <x v="0"/>
    <x v="0"/>
  </r>
  <r>
    <d v="2025-04-05T00:00:00"/>
    <x v="3"/>
    <x v="2"/>
    <x v="5"/>
    <s v="Belo Horizonte"/>
    <e v="#VALUE!"/>
    <x v="0"/>
    <x v="0"/>
    <x v="0"/>
    <x v="0"/>
    <x v="0"/>
    <x v="0"/>
  </r>
  <r>
    <d v="2025-04-06T00:00:00"/>
    <x v="3"/>
    <x v="2"/>
    <x v="5"/>
    <s v="Belo Horizonte"/>
    <e v="#VALUE!"/>
    <x v="0"/>
    <x v="0"/>
    <x v="0"/>
    <x v="0"/>
    <x v="0"/>
    <x v="0"/>
  </r>
  <r>
    <d v="2025-04-07T00:00:00"/>
    <x v="3"/>
    <x v="2"/>
    <x v="5"/>
    <s v="Belo Horizonte"/>
    <e v="#VALUE!"/>
    <x v="0"/>
    <x v="0"/>
    <x v="0"/>
    <x v="0"/>
    <x v="0"/>
    <x v="0"/>
  </r>
  <r>
    <d v="2025-04-08T00:00:00"/>
    <x v="3"/>
    <x v="2"/>
    <x v="5"/>
    <s v="Belo Horizonte"/>
    <e v="#VALUE!"/>
    <x v="0"/>
    <x v="0"/>
    <x v="0"/>
    <x v="0"/>
    <x v="0"/>
    <x v="0"/>
  </r>
  <r>
    <d v="2025-04-09T00:00:00"/>
    <x v="3"/>
    <x v="2"/>
    <x v="5"/>
    <s v="Belo Horizonte"/>
    <e v="#VALUE!"/>
    <x v="0"/>
    <x v="0"/>
    <x v="0"/>
    <x v="0"/>
    <x v="0"/>
    <x v="0"/>
  </r>
  <r>
    <d v="2025-04-10T00:00:00"/>
    <x v="3"/>
    <x v="2"/>
    <x v="5"/>
    <s v="Belo Horizonte"/>
    <e v="#VALUE!"/>
    <x v="0"/>
    <x v="0"/>
    <x v="0"/>
    <x v="0"/>
    <x v="0"/>
    <x v="0"/>
  </r>
  <r>
    <d v="2025-04-11T00:00:00"/>
    <x v="3"/>
    <x v="2"/>
    <x v="5"/>
    <s v="Belo Horizonte"/>
    <e v="#VALUE!"/>
    <x v="0"/>
    <x v="0"/>
    <x v="0"/>
    <x v="0"/>
    <x v="0"/>
    <x v="0"/>
  </r>
  <r>
    <d v="2025-04-12T00:00:00"/>
    <x v="3"/>
    <x v="2"/>
    <x v="5"/>
    <s v="Belo Horizonte"/>
    <e v="#VALUE!"/>
    <x v="0"/>
    <x v="0"/>
    <x v="0"/>
    <x v="0"/>
    <x v="0"/>
    <x v="0"/>
  </r>
  <r>
    <d v="2025-04-13T00:00:00"/>
    <x v="3"/>
    <x v="2"/>
    <x v="5"/>
    <s v="Belo Horizonte"/>
    <e v="#VALUE!"/>
    <x v="0"/>
    <x v="0"/>
    <x v="0"/>
    <x v="0"/>
    <x v="0"/>
    <x v="0"/>
  </r>
  <r>
    <d v="2025-04-14T00:00:00"/>
    <x v="3"/>
    <x v="2"/>
    <x v="5"/>
    <s v="Belo Horizonte"/>
    <e v="#VALUE!"/>
    <x v="0"/>
    <x v="0"/>
    <x v="0"/>
    <x v="0"/>
    <x v="0"/>
    <x v="0"/>
  </r>
  <r>
    <d v="2025-04-15T00:00:00"/>
    <x v="3"/>
    <x v="2"/>
    <x v="5"/>
    <s v="Belo Horizonte"/>
    <e v="#VALUE!"/>
    <x v="0"/>
    <x v="0"/>
    <x v="0"/>
    <x v="0"/>
    <x v="0"/>
    <x v="0"/>
  </r>
  <r>
    <d v="2025-04-16T00:00:00"/>
    <x v="3"/>
    <x v="3"/>
    <x v="5"/>
    <s v="Belo Horizonte"/>
    <m/>
    <x v="0"/>
    <x v="0"/>
    <x v="0"/>
    <x v="0"/>
    <x v="0"/>
    <x v="0"/>
  </r>
  <r>
    <d v="2025-04-17T00:00:00"/>
    <x v="3"/>
    <x v="3"/>
    <x v="5"/>
    <s v="Belo Horizonte"/>
    <m/>
    <x v="0"/>
    <x v="0"/>
    <x v="0"/>
    <x v="0"/>
    <x v="0"/>
    <x v="0"/>
  </r>
  <r>
    <d v="2025-04-18T00:00:00"/>
    <x v="3"/>
    <x v="3"/>
    <x v="5"/>
    <s v="Belo Horizonte"/>
    <m/>
    <x v="0"/>
    <x v="0"/>
    <x v="0"/>
    <x v="0"/>
    <x v="0"/>
    <x v="0"/>
  </r>
  <r>
    <d v="2025-04-19T00:00:00"/>
    <x v="3"/>
    <x v="3"/>
    <x v="5"/>
    <s v="Belo Horizonte"/>
    <m/>
    <x v="0"/>
    <x v="0"/>
    <x v="0"/>
    <x v="0"/>
    <x v="0"/>
    <x v="0"/>
  </r>
  <r>
    <d v="2025-04-20T00:00:00"/>
    <x v="3"/>
    <x v="3"/>
    <x v="5"/>
    <s v="Belo Horizonte"/>
    <m/>
    <x v="0"/>
    <x v="0"/>
    <x v="0"/>
    <x v="0"/>
    <x v="0"/>
    <x v="0"/>
  </r>
  <r>
    <d v="2025-04-21T00:00:00"/>
    <x v="3"/>
    <x v="3"/>
    <x v="5"/>
    <s v="Belo Horizonte"/>
    <m/>
    <x v="0"/>
    <x v="0"/>
    <x v="0"/>
    <x v="0"/>
    <x v="0"/>
    <x v="0"/>
  </r>
  <r>
    <d v="2025-04-22T00:00:00"/>
    <x v="3"/>
    <x v="3"/>
    <x v="5"/>
    <s v="Belo Horizonte"/>
    <m/>
    <x v="0"/>
    <x v="0"/>
    <x v="0"/>
    <x v="0"/>
    <x v="0"/>
    <x v="0"/>
  </r>
  <r>
    <d v="2025-04-23T00:00:00"/>
    <x v="3"/>
    <x v="3"/>
    <x v="5"/>
    <s v="Belo Horizonte"/>
    <m/>
    <x v="0"/>
    <x v="0"/>
    <x v="0"/>
    <x v="0"/>
    <x v="0"/>
    <x v="0"/>
  </r>
  <r>
    <d v="2025-04-24T00:00:00"/>
    <x v="3"/>
    <x v="3"/>
    <x v="5"/>
    <s v="Belo Horizonte"/>
    <m/>
    <x v="0"/>
    <x v="0"/>
    <x v="0"/>
    <x v="0"/>
    <x v="0"/>
    <x v="0"/>
  </r>
  <r>
    <d v="2025-04-25T00:00:00"/>
    <x v="3"/>
    <x v="3"/>
    <x v="5"/>
    <s v="São Paulo"/>
    <m/>
    <x v="0"/>
    <x v="0"/>
    <x v="0"/>
    <x v="0"/>
    <x v="0"/>
    <x v="0"/>
  </r>
  <r>
    <d v="2025-04-26T00:00:00"/>
    <x v="3"/>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r>
    <d v="2025-05-01T00:00:00"/>
    <x v="4"/>
    <x v="3"/>
    <x v="5"/>
    <s v="São Paulo"/>
    <m/>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E1E983-62D8-44D3-A834-AE569AA639B1}" name="Tabela dinâmica3"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5">
  <location ref="A1:B8" firstHeaderRow="1" firstDataRow="1" firstDataCol="1"/>
  <pivotFields count="12">
    <pivotField dataField="1" showAll="0"/>
    <pivotField showAll="0">
      <items count="10">
        <item m="1" x="6"/>
        <item x="3"/>
        <item x="1"/>
        <item m="1" x="8"/>
        <item x="0"/>
        <item m="1" x="7"/>
        <item x="4"/>
        <item x="2"/>
        <item m="1" x="5"/>
        <item t="default"/>
      </items>
    </pivotField>
    <pivotField showAll="0">
      <items count="6">
        <item x="0"/>
        <item x="1"/>
        <item x="2"/>
        <item x="3"/>
        <item m="1" x="4"/>
        <item t="default"/>
      </items>
    </pivotField>
    <pivotField axis="axisRow" showAll="0">
      <items count="18">
        <item m="1" x="6"/>
        <item m="1" x="9"/>
        <item m="1" x="16"/>
        <item m="1" x="12"/>
        <item m="1" x="7"/>
        <item m="1" x="11"/>
        <item m="1" x="10"/>
        <item m="1" x="13"/>
        <item m="1" x="8"/>
        <item m="1" x="15"/>
        <item m="1" x="14"/>
        <item x="0"/>
        <item x="1"/>
        <item x="2"/>
        <item x="3"/>
        <item x="4"/>
        <item x="5"/>
        <item t="default"/>
      </items>
    </pivotField>
    <pivotField showAll="0"/>
    <pivotField showAll="0"/>
    <pivotField showAll="0"/>
    <pivotField showAll="0"/>
    <pivotField showAll="0"/>
    <pivotField showAll="0"/>
    <pivotField showAll="0"/>
    <pivotField showAll="0"/>
  </pivotFields>
  <rowFields count="1">
    <field x="3"/>
  </rowFields>
  <rowItems count="7">
    <i>
      <x v="11"/>
    </i>
    <i>
      <x v="12"/>
    </i>
    <i>
      <x v="13"/>
    </i>
    <i>
      <x v="14"/>
    </i>
    <i>
      <x v="15"/>
    </i>
    <i>
      <x v="16"/>
    </i>
    <i t="grand">
      <x/>
    </i>
  </rowItems>
  <colItems count="1">
    <i/>
  </colItems>
  <dataFields count="1">
    <dataField name="Contagem de Data da Pesquisa" fld="0" subtotal="count" baseField="0" baseItem="0"/>
  </dataFields>
  <chartFormats count="1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0" format="14">
      <pivotArea type="data" outline="0" fieldPosition="0">
        <references count="2">
          <reference field="4294967294" count="1" selected="0">
            <x v="0"/>
          </reference>
          <reference field="3" count="1" selected="0">
            <x v="12"/>
          </reference>
        </references>
      </pivotArea>
    </chartFormat>
    <chartFormat chart="0" format="15">
      <pivotArea type="data" outline="0" fieldPosition="0">
        <references count="2">
          <reference field="4294967294" count="1" selected="0">
            <x v="0"/>
          </reference>
          <reference field="3" count="1" selected="0">
            <x v="13"/>
          </reference>
        </references>
      </pivotArea>
    </chartFormat>
    <chartFormat chart="0" format="16">
      <pivotArea type="data" outline="0" fieldPosition="0">
        <references count="2">
          <reference field="4294967294" count="1" selected="0">
            <x v="0"/>
          </reference>
          <reference field="3" count="1" selected="0">
            <x v="15"/>
          </reference>
        </references>
      </pivotArea>
    </chartFormat>
    <chartFormat chart="0" format="17">
      <pivotArea type="data" outline="0" fieldPosition="0">
        <references count="2">
          <reference field="4294967294" count="1" selected="0">
            <x v="0"/>
          </reference>
          <reference field="3" count="1" selected="0">
            <x v="14"/>
          </reference>
        </references>
      </pivotArea>
    </chartFormat>
    <chartFormat chart="0" format="18">
      <pivotArea type="data" outline="0" fieldPosition="0">
        <references count="2">
          <reference field="4294967294" count="1" selected="0">
            <x v="0"/>
          </reference>
          <reference field="3" count="1" selected="0">
            <x v="16"/>
          </reference>
        </references>
      </pivotArea>
    </chartFormat>
    <chartFormat chart="0" format="19">
      <pivotArea type="data" outline="0" fieldPosition="0">
        <references count="2">
          <reference field="4294967294" count="1" selected="0">
            <x v="0"/>
          </reference>
          <reference field="3" count="1" selected="0">
            <x v="11"/>
          </reference>
        </references>
      </pivotArea>
    </chartFormat>
    <chartFormat chart="2" format="26">
      <pivotArea type="data" outline="0" fieldPosition="0">
        <references count="2">
          <reference field="4294967294" count="1" selected="0">
            <x v="0"/>
          </reference>
          <reference field="3" count="1" selected="0">
            <x v="12"/>
          </reference>
        </references>
      </pivotArea>
    </chartFormat>
    <chartFormat chart="2" format="27">
      <pivotArea type="data" outline="0" fieldPosition="0">
        <references count="2">
          <reference field="4294967294" count="1" selected="0">
            <x v="0"/>
          </reference>
          <reference field="3" count="1" selected="0">
            <x v="11"/>
          </reference>
        </references>
      </pivotArea>
    </chartFormat>
    <chartFormat chart="2" format="28">
      <pivotArea type="data" outline="0" fieldPosition="0">
        <references count="2">
          <reference field="4294967294" count="1" selected="0">
            <x v="0"/>
          </reference>
          <reference field="3" count="1" selected="0">
            <x v="15"/>
          </reference>
        </references>
      </pivotArea>
    </chartFormat>
    <chartFormat chart="2" format="29">
      <pivotArea type="data" outline="0" fieldPosition="0">
        <references count="2">
          <reference field="4294967294" count="1" selected="0">
            <x v="0"/>
          </reference>
          <reference field="3" count="1" selected="0">
            <x v="13"/>
          </reference>
        </references>
      </pivotArea>
    </chartFormat>
    <chartFormat chart="2" format="30">
      <pivotArea type="data" outline="0" fieldPosition="0">
        <references count="2">
          <reference field="4294967294" count="1" selected="0">
            <x v="0"/>
          </reference>
          <reference field="3" count="1" selected="0">
            <x v="14"/>
          </reference>
        </references>
      </pivotArea>
    </chartFormat>
    <chartFormat chart="2" format="31">
      <pivotArea type="data" outline="0" fieldPosition="0">
        <references count="2">
          <reference field="4294967294" count="1" selected="0">
            <x v="0"/>
          </reference>
          <reference field="3"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F0C6D8-6929-480F-857D-DA0ED2326439}" name="Tabela dinâmica6"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1:B7" firstHeaderRow="1" firstDataRow="1" firstDataCol="1"/>
  <pivotFields count="12">
    <pivotField showAll="0"/>
    <pivotField axis="axisRow" dataField="1" showAll="0">
      <items count="10">
        <item m="1" x="8"/>
        <item x="0"/>
        <item x="1"/>
        <item x="2"/>
        <item x="3"/>
        <item x="4"/>
        <item m="1" x="7"/>
        <item m="1" x="6"/>
        <item m="1" x="5"/>
        <item t="default"/>
      </items>
    </pivotField>
    <pivotField showAll="0">
      <items count="6">
        <item x="0"/>
        <item x="1"/>
        <item x="2"/>
        <item x="3"/>
        <item m="1" x="4"/>
        <item t="default"/>
      </items>
    </pivotField>
    <pivotField showAll="0">
      <items count="18">
        <item m="1" x="6"/>
        <item m="1" x="9"/>
        <item m="1" x="16"/>
        <item m="1" x="12"/>
        <item x="1"/>
        <item m="1" x="7"/>
        <item m="1" x="14"/>
        <item x="3"/>
        <item x="0"/>
        <item x="5"/>
        <item x="2"/>
        <item m="1" x="11"/>
        <item m="1" x="10"/>
        <item m="1" x="13"/>
        <item m="1" x="8"/>
        <item x="4"/>
        <item m="1" x="15"/>
        <item t="default"/>
      </items>
    </pivotField>
    <pivotField showAll="0"/>
    <pivotField showAll="0"/>
    <pivotField showAll="0"/>
    <pivotField showAll="0"/>
    <pivotField showAll="0"/>
    <pivotField showAll="0"/>
    <pivotField showAll="0"/>
    <pivotField showAll="0"/>
  </pivotFields>
  <rowFields count="1">
    <field x="1"/>
  </rowFields>
  <rowItems count="6">
    <i>
      <x v="1"/>
    </i>
    <i>
      <x v="2"/>
    </i>
    <i>
      <x v="3"/>
    </i>
    <i>
      <x v="4"/>
    </i>
    <i>
      <x v="5"/>
    </i>
    <i t="grand">
      <x/>
    </i>
  </rowItems>
  <colItems count="1">
    <i/>
  </colItems>
  <dataFields count="1">
    <dataField name="Contagem de Mês"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3AEF2C-FF83-4505-9B5C-0A0D143237FF}" name="Tabela dinâmica8"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7">
  <location ref="A1:A2" firstHeaderRow="1" firstDataRow="1" firstDataCol="0"/>
  <pivotFields count="12">
    <pivotField showAll="0"/>
    <pivotField showAll="0">
      <items count="10">
        <item m="1" x="6"/>
        <item x="3"/>
        <item x="1"/>
        <item m="1" x="8"/>
        <item x="0"/>
        <item m="1" x="7"/>
        <item x="4"/>
        <item x="2"/>
        <item m="1" x="5"/>
        <item t="default"/>
      </items>
    </pivotField>
    <pivotField dataField="1" showAll="0">
      <items count="6">
        <item x="0"/>
        <item x="1"/>
        <item x="2"/>
        <item x="3"/>
        <item m="1" x="4"/>
        <item t="default"/>
      </items>
    </pivotField>
    <pivotField showAll="0">
      <items count="18">
        <item m="1" x="6"/>
        <item m="1" x="9"/>
        <item m="1" x="16"/>
        <item m="1" x="12"/>
        <item x="1"/>
        <item m="1" x="7"/>
        <item m="1" x="14"/>
        <item x="3"/>
        <item x="0"/>
        <item x="5"/>
        <item x="2"/>
        <item m="1" x="11"/>
        <item m="1" x="10"/>
        <item m="1" x="13"/>
        <item m="1" x="8"/>
        <item x="4"/>
        <item m="1" x="15"/>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ntagem de Nº da Pesquisa" fld="2" subtotal="count" baseField="0" baseItem="0"/>
  </dataFields>
  <chartFormats count="3">
    <chartFormat chart="0" format="1"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0" format="3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9124B8-5115-4B0B-AB14-BC6371D4AAF1}" name="Tabela dinâmica3"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7">
  <location ref="A1:B5" firstHeaderRow="1" firstDataRow="1" firstDataCol="1"/>
  <pivotFields count="12">
    <pivotField showAll="0"/>
    <pivotField showAll="0">
      <items count="10">
        <item m="1" x="6"/>
        <item x="3"/>
        <item x="1"/>
        <item m="1" x="8"/>
        <item x="0"/>
        <item m="1" x="7"/>
        <item x="4"/>
        <item x="2"/>
        <item m="1" x="5"/>
        <item t="default"/>
      </items>
    </pivotField>
    <pivotField showAll="0">
      <items count="6">
        <item x="0"/>
        <item x="1"/>
        <item x="2"/>
        <item x="3"/>
        <item m="1" x="4"/>
        <item t="default"/>
      </items>
    </pivotField>
    <pivotField showAll="0">
      <items count="18">
        <item m="1" x="6"/>
        <item m="1" x="9"/>
        <item m="1" x="16"/>
        <item m="1" x="12"/>
        <item x="1"/>
        <item m="1" x="7"/>
        <item m="1" x="14"/>
        <item x="3"/>
        <item x="0"/>
        <item x="5"/>
        <item x="2"/>
        <item m="1" x="11"/>
        <item m="1" x="10"/>
        <item m="1" x="13"/>
        <item m="1" x="8"/>
        <item x="4"/>
        <item m="1" x="15"/>
        <item t="default"/>
      </items>
    </pivotField>
    <pivotField showAll="0"/>
    <pivotField showAll="0"/>
    <pivotField axis="axisRow" dataField="1" showAll="0">
      <items count="8">
        <item m="1" x="5"/>
        <item m="1" x="4"/>
        <item x="2"/>
        <item x="0"/>
        <item m="1" x="3"/>
        <item m="1" x="6"/>
        <item x="1"/>
        <item t="default"/>
      </items>
    </pivotField>
    <pivotField showAll="0"/>
    <pivotField showAll="0"/>
    <pivotField showAll="0"/>
    <pivotField showAll="0"/>
    <pivotField showAll="0"/>
  </pivotFields>
  <rowFields count="1">
    <field x="6"/>
  </rowFields>
  <rowItems count="4">
    <i>
      <x v="2"/>
    </i>
    <i>
      <x v="3"/>
    </i>
    <i>
      <x v="6"/>
    </i>
    <i t="grand">
      <x/>
    </i>
  </rowItems>
  <colItems count="1">
    <i/>
  </colItems>
  <dataFields count="1">
    <dataField name="Contagem de Acessibilidade" fld="6" subtotal="count" baseField="0" baseItem="0"/>
  </dataFields>
  <chartFormats count="23">
    <chartFormat chart="1" format="8" series="1">
      <pivotArea type="data" outline="0" fieldPosition="0">
        <references count="1">
          <reference field="4294967294" count="1" selected="0">
            <x v="0"/>
          </reference>
        </references>
      </pivotArea>
    </chartFormat>
    <chartFormat chart="1" format="9">
      <pivotArea type="data" outline="0" fieldPosition="0">
        <references count="2">
          <reference field="4294967294" count="1" selected="0">
            <x v="0"/>
          </reference>
          <reference field="6" count="1" selected="0">
            <x v="3"/>
          </reference>
        </references>
      </pivotArea>
    </chartFormat>
    <chartFormat chart="1" format="10">
      <pivotArea type="data" outline="0" fieldPosition="0">
        <references count="2">
          <reference field="4294967294" count="1" selected="0">
            <x v="0"/>
          </reference>
          <reference field="6" count="1" selected="0">
            <x v="4"/>
          </reference>
        </references>
      </pivotArea>
    </chartFormat>
    <chartFormat chart="1" format="11">
      <pivotArea type="data" outline="0" fieldPosition="0">
        <references count="2">
          <reference field="4294967294" count="1" selected="0">
            <x v="0"/>
          </reference>
          <reference field="6" count="1" selected="0">
            <x v="2"/>
          </reference>
        </references>
      </pivotArea>
    </chartFormat>
    <chartFormat chart="1" format="12">
      <pivotArea type="data" outline="0" fieldPosition="0">
        <references count="2">
          <reference field="4294967294" count="1" selected="0">
            <x v="0"/>
          </reference>
          <reference field="6" count="1" selected="0">
            <x v="1"/>
          </reference>
        </references>
      </pivotArea>
    </chartFormat>
    <chartFormat chart="1" format="13">
      <pivotArea type="data" outline="0" fieldPosition="0">
        <references count="2">
          <reference field="4294967294" count="1" selected="0">
            <x v="0"/>
          </reference>
          <reference field="6" count="1" selected="0">
            <x v="0"/>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6" count="1" selected="0">
            <x v="0"/>
          </reference>
        </references>
      </pivotArea>
    </chartFormat>
    <chartFormat chart="3" format="23">
      <pivotArea type="data" outline="0" fieldPosition="0">
        <references count="2">
          <reference field="4294967294" count="1" selected="0">
            <x v="0"/>
          </reference>
          <reference field="6" count="1" selected="0">
            <x v="1"/>
          </reference>
        </references>
      </pivotArea>
    </chartFormat>
    <chartFormat chart="3" format="24">
      <pivotArea type="data" outline="0" fieldPosition="0">
        <references count="2">
          <reference field="4294967294" count="1" selected="0">
            <x v="0"/>
          </reference>
          <reference field="6" count="1" selected="0">
            <x v="2"/>
          </reference>
        </references>
      </pivotArea>
    </chartFormat>
    <chartFormat chart="3" format="25">
      <pivotArea type="data" outline="0" fieldPosition="0">
        <references count="2">
          <reference field="4294967294" count="1" selected="0">
            <x v="0"/>
          </reference>
          <reference field="6" count="1" selected="0">
            <x v="3"/>
          </reference>
        </references>
      </pivotArea>
    </chartFormat>
    <chartFormat chart="3" format="26">
      <pivotArea type="data" outline="0" fieldPosition="0">
        <references count="2">
          <reference field="4294967294" count="1" selected="0">
            <x v="0"/>
          </reference>
          <reference field="6" count="1" selected="0">
            <x v="4"/>
          </reference>
        </references>
      </pivotArea>
    </chartFormat>
    <chartFormat chart="3" format="27">
      <pivotArea type="data" outline="0" fieldPosition="0">
        <references count="2">
          <reference field="4294967294" count="1" selected="0">
            <x v="0"/>
          </reference>
          <reference field="6" count="1" selected="0">
            <x v="5"/>
          </reference>
        </references>
      </pivotArea>
    </chartFormat>
    <chartFormat chart="1" format="15">
      <pivotArea type="data" outline="0" fieldPosition="0">
        <references count="2">
          <reference field="4294967294" count="1" selected="0">
            <x v="0"/>
          </reference>
          <reference field="6" count="1" selected="0">
            <x v="5"/>
          </reference>
        </references>
      </pivotArea>
    </chartFormat>
    <chartFormat chart="4" format="28" series="1">
      <pivotArea type="data" outline="0" fieldPosition="0">
        <references count="1">
          <reference field="4294967294" count="1" selected="0">
            <x v="0"/>
          </reference>
        </references>
      </pivotArea>
    </chartFormat>
    <chartFormat chart="4" format="29">
      <pivotArea type="data" outline="0" fieldPosition="0">
        <references count="2">
          <reference field="4294967294" count="1" selected="0">
            <x v="0"/>
          </reference>
          <reference field="6" count="1" selected="0">
            <x v="1"/>
          </reference>
        </references>
      </pivotArea>
    </chartFormat>
    <chartFormat chart="4" format="30">
      <pivotArea type="data" outline="0" fieldPosition="0">
        <references count="2">
          <reference field="4294967294" count="1" selected="0">
            <x v="0"/>
          </reference>
          <reference field="6" count="1" selected="0">
            <x v="3"/>
          </reference>
        </references>
      </pivotArea>
    </chartFormat>
    <chartFormat chart="4" format="31">
      <pivotArea type="data" outline="0" fieldPosition="0">
        <references count="2">
          <reference field="4294967294" count="1" selected="0">
            <x v="0"/>
          </reference>
          <reference field="6" count="1" selected="0">
            <x v="0"/>
          </reference>
        </references>
      </pivotArea>
    </chartFormat>
    <chartFormat chart="4" format="32">
      <pivotArea type="data" outline="0" fieldPosition="0">
        <references count="2">
          <reference field="4294967294" count="1" selected="0">
            <x v="0"/>
          </reference>
          <reference field="6" count="1" selected="0">
            <x v="2"/>
          </reference>
        </references>
      </pivotArea>
    </chartFormat>
    <chartFormat chart="4" format="33">
      <pivotArea type="data" outline="0" fieldPosition="0">
        <references count="2">
          <reference field="4294967294" count="1" selected="0">
            <x v="0"/>
          </reference>
          <reference field="6" count="1" selected="0">
            <x v="4"/>
          </reference>
        </references>
      </pivotArea>
    </chartFormat>
    <chartFormat chart="4" format="34">
      <pivotArea type="data" outline="0" fieldPosition="0">
        <references count="2">
          <reference field="4294967294" count="1" selected="0">
            <x v="0"/>
          </reference>
          <reference field="6" count="1" selected="0">
            <x v="6"/>
          </reference>
        </references>
      </pivotArea>
    </chartFormat>
    <chartFormat chart="3" format="28">
      <pivotArea type="data" outline="0" fieldPosition="0">
        <references count="2">
          <reference field="4294967294" count="1" selected="0">
            <x v="0"/>
          </reference>
          <reference field="6" count="1" selected="0">
            <x v="6"/>
          </reference>
        </references>
      </pivotArea>
    </chartFormat>
    <chartFormat chart="1" format="17">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BD0ED2-630B-4D58-861C-C5BF8433337B}" name="Tabela dinâmica3"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8">
  <location ref="A1:B5" firstHeaderRow="1" firstDataRow="1" firstDataCol="1"/>
  <pivotFields count="12">
    <pivotField showAll="0"/>
    <pivotField showAll="0">
      <items count="10">
        <item m="1" x="6"/>
        <item x="3"/>
        <item x="1"/>
        <item m="1" x="8"/>
        <item x="0"/>
        <item m="1" x="7"/>
        <item x="4"/>
        <item x="2"/>
        <item m="1" x="5"/>
        <item t="default"/>
      </items>
    </pivotField>
    <pivotField showAll="0">
      <items count="6">
        <item x="0"/>
        <item x="1"/>
        <item x="2"/>
        <item x="3"/>
        <item m="1" x="4"/>
        <item t="default"/>
      </items>
    </pivotField>
    <pivotField showAll="0">
      <items count="18">
        <item m="1" x="6"/>
        <item m="1" x="9"/>
        <item m="1" x="16"/>
        <item m="1" x="12"/>
        <item x="1"/>
        <item m="1" x="7"/>
        <item m="1" x="14"/>
        <item x="3"/>
        <item x="0"/>
        <item x="5"/>
        <item x="2"/>
        <item m="1" x="11"/>
        <item m="1" x="10"/>
        <item m="1" x="13"/>
        <item m="1" x="8"/>
        <item x="4"/>
        <item m="1" x="15"/>
        <item t="default"/>
      </items>
    </pivotField>
    <pivotField showAll="0"/>
    <pivotField showAll="0"/>
    <pivotField showAll="0"/>
    <pivotField axis="axisRow" dataField="1" showAll="0">
      <items count="7">
        <item m="1" x="4"/>
        <item x="2"/>
        <item x="0"/>
        <item m="1" x="3"/>
        <item m="1" x="5"/>
        <item x="1"/>
        <item t="default"/>
      </items>
    </pivotField>
    <pivotField showAll="0"/>
    <pivotField showAll="0"/>
    <pivotField showAll="0"/>
    <pivotField showAll="0"/>
  </pivotFields>
  <rowFields count="1">
    <field x="7"/>
  </rowFields>
  <rowItems count="4">
    <i>
      <x v="1"/>
    </i>
    <i>
      <x v="2"/>
    </i>
    <i>
      <x v="5"/>
    </i>
    <i t="grand">
      <x/>
    </i>
  </rowItems>
  <colItems count="1">
    <i/>
  </colItems>
  <dataFields count="1">
    <dataField name="Contagem de Estrutura física" fld="7" subtotal="count" baseField="0" baseItem="0"/>
  </dataFields>
  <chartFormats count="19">
    <chartFormat chart="2" format="21"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7" count="1" selected="0">
            <x v="2"/>
          </reference>
        </references>
      </pivotArea>
    </chartFormat>
    <chartFormat chart="2" format="23">
      <pivotArea type="data" outline="0" fieldPosition="0">
        <references count="2">
          <reference field="4294967294" count="1" selected="0">
            <x v="0"/>
          </reference>
          <reference field="7" count="1" selected="0">
            <x v="3"/>
          </reference>
        </references>
      </pivotArea>
    </chartFormat>
    <chartFormat chart="2" format="24">
      <pivotArea type="data" outline="0" fieldPosition="0">
        <references count="2">
          <reference field="4294967294" count="1" selected="0">
            <x v="0"/>
          </reference>
          <reference field="7" count="1" selected="0">
            <x v="1"/>
          </reference>
        </references>
      </pivotArea>
    </chartFormat>
    <chartFormat chart="2" format="25">
      <pivotArea type="data" outline="0" fieldPosition="0">
        <references count="2">
          <reference field="4294967294" count="1" selected="0">
            <x v="0"/>
          </reference>
          <reference field="7" count="1" selected="0">
            <x v="0"/>
          </reference>
        </references>
      </pivotArea>
    </chartFormat>
    <chartFormat chart="4" format="32" series="1">
      <pivotArea type="data" outline="0" fieldPosition="0">
        <references count="1">
          <reference field="4294967294" count="1" selected="0">
            <x v="0"/>
          </reference>
        </references>
      </pivotArea>
    </chartFormat>
    <chartFormat chart="4" format="33">
      <pivotArea type="data" outline="0" fieldPosition="0">
        <references count="2">
          <reference field="4294967294" count="1" selected="0">
            <x v="0"/>
          </reference>
          <reference field="7" count="1" selected="0">
            <x v="0"/>
          </reference>
        </references>
      </pivotArea>
    </chartFormat>
    <chartFormat chart="4" format="34">
      <pivotArea type="data" outline="0" fieldPosition="0">
        <references count="2">
          <reference field="4294967294" count="1" selected="0">
            <x v="0"/>
          </reference>
          <reference field="7" count="1" selected="0">
            <x v="1"/>
          </reference>
        </references>
      </pivotArea>
    </chartFormat>
    <chartFormat chart="4" format="35">
      <pivotArea type="data" outline="0" fieldPosition="0">
        <references count="2">
          <reference field="4294967294" count="1" selected="0">
            <x v="0"/>
          </reference>
          <reference field="7" count="1" selected="0">
            <x v="2"/>
          </reference>
        </references>
      </pivotArea>
    </chartFormat>
    <chartFormat chart="4" format="36">
      <pivotArea type="data" outline="0" fieldPosition="0">
        <references count="2">
          <reference field="4294967294" count="1" selected="0">
            <x v="0"/>
          </reference>
          <reference field="7" count="1" selected="0">
            <x v="3"/>
          </reference>
        </references>
      </pivotArea>
    </chartFormat>
    <chartFormat chart="4" format="37">
      <pivotArea type="data" outline="0" fieldPosition="0">
        <references count="2">
          <reference field="4294967294" count="1" selected="0">
            <x v="0"/>
          </reference>
          <reference field="7" count="1" selected="0">
            <x v="4"/>
          </reference>
        </references>
      </pivotArea>
    </chartFormat>
    <chartFormat chart="2" format="27">
      <pivotArea type="data" outline="0" fieldPosition="0">
        <references count="2">
          <reference field="4294967294" count="1" selected="0">
            <x v="0"/>
          </reference>
          <reference field="7" count="1" selected="0">
            <x v="4"/>
          </reference>
        </references>
      </pivotArea>
    </chartFormat>
    <chartFormat chart="5" format="38" series="1">
      <pivotArea type="data" outline="0" fieldPosition="0">
        <references count="1">
          <reference field="4294967294" count="1" selected="0">
            <x v="0"/>
          </reference>
        </references>
      </pivotArea>
    </chartFormat>
    <chartFormat chart="5" format="39">
      <pivotArea type="data" outline="0" fieldPosition="0">
        <references count="2">
          <reference field="4294967294" count="1" selected="0">
            <x v="0"/>
          </reference>
          <reference field="7" count="1" selected="0">
            <x v="2"/>
          </reference>
        </references>
      </pivotArea>
    </chartFormat>
    <chartFormat chart="5" format="40">
      <pivotArea type="data" outline="0" fieldPosition="0">
        <references count="2">
          <reference field="4294967294" count="1" selected="0">
            <x v="0"/>
          </reference>
          <reference field="7" count="1" selected="0">
            <x v="0"/>
          </reference>
        </references>
      </pivotArea>
    </chartFormat>
    <chartFormat chart="5" format="41">
      <pivotArea type="data" outline="0" fieldPosition="0">
        <references count="2">
          <reference field="4294967294" count="1" selected="0">
            <x v="0"/>
          </reference>
          <reference field="7" count="1" selected="0">
            <x v="1"/>
          </reference>
        </references>
      </pivotArea>
    </chartFormat>
    <chartFormat chart="5" format="42">
      <pivotArea type="data" outline="0" fieldPosition="0">
        <references count="2">
          <reference field="4294967294" count="1" selected="0">
            <x v="0"/>
          </reference>
          <reference field="7" count="1" selected="0">
            <x v="3"/>
          </reference>
        </references>
      </pivotArea>
    </chartFormat>
    <chartFormat chart="4" format="38">
      <pivotArea type="data" outline="0" fieldPosition="0">
        <references count="2">
          <reference field="4294967294" count="1" selected="0">
            <x v="0"/>
          </reference>
          <reference field="7" count="1" selected="0">
            <x v="5"/>
          </reference>
        </references>
      </pivotArea>
    </chartFormat>
    <chartFormat chart="2" format="29">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04072D-839B-4A25-8B50-C0F9066827DF}" name="Tabela dinâmica3"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9">
  <location ref="A1:B4" firstHeaderRow="1" firstDataRow="1" firstDataCol="1"/>
  <pivotFields count="12">
    <pivotField showAll="0"/>
    <pivotField showAll="0">
      <items count="10">
        <item m="1" x="6"/>
        <item x="3"/>
        <item x="1"/>
        <item m="1" x="8"/>
        <item x="0"/>
        <item m="1" x="7"/>
        <item x="4"/>
        <item x="2"/>
        <item m="1" x="5"/>
        <item t="default"/>
      </items>
    </pivotField>
    <pivotField showAll="0">
      <items count="6">
        <item x="0"/>
        <item x="1"/>
        <item x="2"/>
        <item x="3"/>
        <item m="1" x="4"/>
        <item t="default"/>
      </items>
    </pivotField>
    <pivotField showAll="0">
      <items count="18">
        <item m="1" x="6"/>
        <item m="1" x="9"/>
        <item m="1" x="16"/>
        <item m="1" x="12"/>
        <item x="1"/>
        <item m="1" x="7"/>
        <item m="1" x="14"/>
        <item x="3"/>
        <item x="0"/>
        <item x="5"/>
        <item x="2"/>
        <item m="1" x="11"/>
        <item m="1" x="10"/>
        <item m="1" x="13"/>
        <item m="1" x="8"/>
        <item x="4"/>
        <item m="1" x="15"/>
        <item t="default"/>
      </items>
    </pivotField>
    <pivotField showAll="0"/>
    <pivotField showAll="0"/>
    <pivotField showAll="0"/>
    <pivotField dataField="1" showAll="0"/>
    <pivotField axis="axisRow" showAll="0">
      <items count="6">
        <item m="1" x="3"/>
        <item x="1"/>
        <item x="0"/>
        <item m="1" x="2"/>
        <item m="1" x="4"/>
        <item t="default"/>
      </items>
    </pivotField>
    <pivotField showAll="0"/>
    <pivotField showAll="0"/>
    <pivotField showAll="0"/>
  </pivotFields>
  <rowFields count="1">
    <field x="8"/>
  </rowFields>
  <rowItems count="3">
    <i>
      <x v="1"/>
    </i>
    <i>
      <x v="2"/>
    </i>
    <i t="grand">
      <x/>
    </i>
  </rowItems>
  <colItems count="1">
    <i/>
  </colItems>
  <dataFields count="1">
    <dataField name="Contagem de Estrutura física" fld="7" subtotal="count" baseField="0" baseItem="0"/>
  </dataFields>
  <chartFormats count="18">
    <chartFormat chart="2" format="21"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3" format="32">
      <pivotArea type="data" outline="0" fieldPosition="0">
        <references count="2">
          <reference field="4294967294" count="1" selected="0">
            <x v="0"/>
          </reference>
          <reference field="8" count="1" selected="0">
            <x v="2"/>
          </reference>
        </references>
      </pivotArea>
    </chartFormat>
    <chartFormat chart="3" format="33">
      <pivotArea type="data" outline="0" fieldPosition="0">
        <references count="2">
          <reference field="4294967294" count="1" selected="0">
            <x v="0"/>
          </reference>
          <reference field="8" count="1" selected="0">
            <x v="3"/>
          </reference>
        </references>
      </pivotArea>
    </chartFormat>
    <chartFormat chart="3" format="34">
      <pivotArea type="data" outline="0" fieldPosition="0">
        <references count="2">
          <reference field="4294967294" count="1" selected="0">
            <x v="0"/>
          </reference>
          <reference field="8" count="1" selected="0">
            <x v="1"/>
          </reference>
        </references>
      </pivotArea>
    </chartFormat>
    <chartFormat chart="3" format="35">
      <pivotArea type="data" outline="0" fieldPosition="0">
        <references count="2">
          <reference field="4294967294" count="1" selected="0">
            <x v="0"/>
          </reference>
          <reference field="8" count="1" selected="0">
            <x v="0"/>
          </reference>
        </references>
      </pivotArea>
    </chartFormat>
    <chartFormat chart="5" format="42" series="1">
      <pivotArea type="data" outline="0" fieldPosition="0">
        <references count="1">
          <reference field="4294967294" count="1" selected="0">
            <x v="0"/>
          </reference>
        </references>
      </pivotArea>
    </chartFormat>
    <chartFormat chart="5" format="43">
      <pivotArea type="data" outline="0" fieldPosition="0">
        <references count="2">
          <reference field="4294967294" count="1" selected="0">
            <x v="0"/>
          </reference>
          <reference field="8" count="1" selected="0">
            <x v="0"/>
          </reference>
        </references>
      </pivotArea>
    </chartFormat>
    <chartFormat chart="5" format="44">
      <pivotArea type="data" outline="0" fieldPosition="0">
        <references count="2">
          <reference field="4294967294" count="1" selected="0">
            <x v="0"/>
          </reference>
          <reference field="8" count="1" selected="0">
            <x v="1"/>
          </reference>
        </references>
      </pivotArea>
    </chartFormat>
    <chartFormat chart="5" format="45">
      <pivotArea type="data" outline="0" fieldPosition="0">
        <references count="2">
          <reference field="4294967294" count="1" selected="0">
            <x v="0"/>
          </reference>
          <reference field="8" count="1" selected="0">
            <x v="2"/>
          </reference>
        </references>
      </pivotArea>
    </chartFormat>
    <chartFormat chart="5" format="46">
      <pivotArea type="data" outline="0" fieldPosition="0">
        <references count="2">
          <reference field="4294967294" count="1" selected="0">
            <x v="0"/>
          </reference>
          <reference field="8" count="1" selected="0">
            <x v="3"/>
          </reference>
        </references>
      </pivotArea>
    </chartFormat>
    <chartFormat chart="5" format="47">
      <pivotArea type="data" outline="0" fieldPosition="0">
        <references count="2">
          <reference field="4294967294" count="1" selected="0">
            <x v="0"/>
          </reference>
          <reference field="8" count="1" selected="0">
            <x v="4"/>
          </reference>
        </references>
      </pivotArea>
    </chartFormat>
    <chartFormat chart="3" format="37">
      <pivotArea type="data" outline="0" fieldPosition="0">
        <references count="2">
          <reference field="4294967294" count="1" selected="0">
            <x v="0"/>
          </reference>
          <reference field="8" count="1" selected="0">
            <x v="4"/>
          </reference>
        </references>
      </pivotArea>
    </chartFormat>
    <chartFormat chart="6" format="48" series="1">
      <pivotArea type="data" outline="0" fieldPosition="0">
        <references count="1">
          <reference field="4294967294" count="1" selected="0">
            <x v="0"/>
          </reference>
        </references>
      </pivotArea>
    </chartFormat>
    <chartFormat chart="6" format="49">
      <pivotArea type="data" outline="0" fieldPosition="0">
        <references count="2">
          <reference field="4294967294" count="1" selected="0">
            <x v="0"/>
          </reference>
          <reference field="8" count="1" selected="0">
            <x v="2"/>
          </reference>
        </references>
      </pivotArea>
    </chartFormat>
    <chartFormat chart="6" format="50">
      <pivotArea type="data" outline="0" fieldPosition="0">
        <references count="2">
          <reference field="4294967294" count="1" selected="0">
            <x v="0"/>
          </reference>
          <reference field="8" count="1" selected="0">
            <x v="0"/>
          </reference>
        </references>
      </pivotArea>
    </chartFormat>
    <chartFormat chart="6" format="51">
      <pivotArea type="data" outline="0" fieldPosition="0">
        <references count="2">
          <reference field="4294967294" count="1" selected="0">
            <x v="0"/>
          </reference>
          <reference field="8" count="1" selected="0">
            <x v="1"/>
          </reference>
        </references>
      </pivotArea>
    </chartFormat>
    <chartFormat chart="6" format="52">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127B17-BD48-43D3-A95E-48AB6E0B6EE8}" name="Tabela dinâmica3"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9">
  <location ref="A1:B4" firstHeaderRow="1" firstDataRow="1" firstDataCol="1"/>
  <pivotFields count="12">
    <pivotField showAll="0"/>
    <pivotField showAll="0">
      <items count="10">
        <item m="1" x="6"/>
        <item x="3"/>
        <item x="1"/>
        <item m="1" x="8"/>
        <item x="0"/>
        <item m="1" x="7"/>
        <item x="4"/>
        <item x="2"/>
        <item m="1" x="5"/>
        <item t="default"/>
      </items>
    </pivotField>
    <pivotField showAll="0">
      <items count="6">
        <item x="0"/>
        <item x="1"/>
        <item x="2"/>
        <item x="3"/>
        <item m="1" x="4"/>
        <item t="default"/>
      </items>
    </pivotField>
    <pivotField showAll="0">
      <items count="18">
        <item m="1" x="6"/>
        <item m="1" x="9"/>
        <item m="1" x="16"/>
        <item m="1" x="12"/>
        <item x="1"/>
        <item m="1" x="7"/>
        <item m="1" x="14"/>
        <item x="3"/>
        <item x="0"/>
        <item x="5"/>
        <item x="2"/>
        <item m="1" x="11"/>
        <item m="1" x="10"/>
        <item m="1" x="13"/>
        <item m="1" x="8"/>
        <item x="4"/>
        <item m="1" x="15"/>
        <item t="default"/>
      </items>
    </pivotField>
    <pivotField showAll="0"/>
    <pivotField showAll="0"/>
    <pivotField showAll="0"/>
    <pivotField showAll="0"/>
    <pivotField showAll="0"/>
    <pivotField axis="axisRow" dataField="1" showAll="0">
      <items count="6">
        <item m="1" x="3"/>
        <item x="0"/>
        <item m="1" x="2"/>
        <item m="1" x="4"/>
        <item x="1"/>
        <item t="default"/>
      </items>
    </pivotField>
    <pivotField showAll="0"/>
    <pivotField showAll="0"/>
  </pivotFields>
  <rowFields count="1">
    <field x="9"/>
  </rowFields>
  <rowItems count="3">
    <i>
      <x v="1"/>
    </i>
    <i>
      <x v="4"/>
    </i>
    <i t="grand">
      <x/>
    </i>
  </rowItems>
  <colItems count="1">
    <i/>
  </colItems>
  <dataFields count="1">
    <dataField name="Contagem de Funcionários atenciosos" fld="9" subtotal="count" baseField="0" baseItem="0"/>
  </dataFields>
  <chartFormats count="12">
    <chartFormat chart="4" format="42" series="1">
      <pivotArea type="data" outline="0" fieldPosition="0">
        <references count="1">
          <reference field="4294967294" count="1" selected="0">
            <x v="0"/>
          </reference>
        </references>
      </pivotArea>
    </chartFormat>
    <chartFormat chart="4" format="43">
      <pivotArea type="data" outline="0" fieldPosition="0">
        <references count="2">
          <reference field="4294967294" count="1" selected="0">
            <x v="0"/>
          </reference>
          <reference field="9" count="1" selected="0">
            <x v="0"/>
          </reference>
        </references>
      </pivotArea>
    </chartFormat>
    <chartFormat chart="4" format="44">
      <pivotArea type="data" outline="0" fieldPosition="0">
        <references count="2">
          <reference field="4294967294" count="1" selected="0">
            <x v="0"/>
          </reference>
          <reference field="9" count="1" selected="0">
            <x v="1"/>
          </reference>
        </references>
      </pivotArea>
    </chartFormat>
    <chartFormat chart="4" format="45">
      <pivotArea type="data" outline="0" fieldPosition="0">
        <references count="2">
          <reference field="4294967294" count="1" selected="0">
            <x v="0"/>
          </reference>
          <reference field="9" count="1" selected="0">
            <x v="2"/>
          </reference>
        </references>
      </pivotArea>
    </chartFormat>
    <chartFormat chart="6" format="51" series="1">
      <pivotArea type="data" outline="0" fieldPosition="0">
        <references count="1">
          <reference field="4294967294" count="1" selected="0">
            <x v="0"/>
          </reference>
        </references>
      </pivotArea>
    </chartFormat>
    <chartFormat chart="6" format="52">
      <pivotArea type="data" outline="0" fieldPosition="0">
        <references count="2">
          <reference field="4294967294" count="1" selected="0">
            <x v="0"/>
          </reference>
          <reference field="9" count="1" selected="0">
            <x v="0"/>
          </reference>
        </references>
      </pivotArea>
    </chartFormat>
    <chartFormat chart="6" format="53">
      <pivotArea type="data" outline="0" fieldPosition="0">
        <references count="2">
          <reference field="4294967294" count="1" selected="0">
            <x v="0"/>
          </reference>
          <reference field="9" count="1" selected="0">
            <x v="1"/>
          </reference>
        </references>
      </pivotArea>
    </chartFormat>
    <chartFormat chart="6" format="54">
      <pivotArea type="data" outline="0" fieldPosition="0">
        <references count="2">
          <reference field="4294967294" count="1" selected="0">
            <x v="0"/>
          </reference>
          <reference field="9" count="1" selected="0">
            <x v="2"/>
          </reference>
        </references>
      </pivotArea>
    </chartFormat>
    <chartFormat chart="6" format="55">
      <pivotArea type="data" outline="0" fieldPosition="0">
        <references count="2">
          <reference field="4294967294" count="1" selected="0">
            <x v="0"/>
          </reference>
          <reference field="9" count="1" selected="0">
            <x v="3"/>
          </reference>
        </references>
      </pivotArea>
    </chartFormat>
    <chartFormat chart="4" format="47">
      <pivotArea type="data" outline="0" fieldPosition="0">
        <references count="2">
          <reference field="4294967294" count="1" selected="0">
            <x v="0"/>
          </reference>
          <reference field="9" count="1" selected="0">
            <x v="3"/>
          </reference>
        </references>
      </pivotArea>
    </chartFormat>
    <chartFormat chart="6" format="56">
      <pivotArea type="data" outline="0" fieldPosition="0">
        <references count="2">
          <reference field="4294967294" count="1" selected="0">
            <x v="0"/>
          </reference>
          <reference field="9" count="1" selected="0">
            <x v="4"/>
          </reference>
        </references>
      </pivotArea>
    </chartFormat>
    <chartFormat chart="4" format="49">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FA2900-5F0E-4A2F-821E-3BBE054A67EE}" name="Tabela dinâmica3"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0">
  <location ref="A1:B5" firstHeaderRow="1" firstDataRow="1" firstDataCol="1"/>
  <pivotFields count="12">
    <pivotField showAll="0"/>
    <pivotField showAll="0">
      <items count="10">
        <item m="1" x="6"/>
        <item x="3"/>
        <item x="1"/>
        <item m="1" x="8"/>
        <item x="0"/>
        <item m="1" x="7"/>
        <item x="4"/>
        <item x="2"/>
        <item m="1" x="5"/>
        <item t="default"/>
      </items>
    </pivotField>
    <pivotField showAll="0">
      <items count="6">
        <item x="0"/>
        <item x="1"/>
        <item x="2"/>
        <item x="3"/>
        <item m="1" x="4"/>
        <item t="default"/>
      </items>
    </pivotField>
    <pivotField showAll="0">
      <items count="18">
        <item m="1" x="6"/>
        <item m="1" x="9"/>
        <item m="1" x="16"/>
        <item m="1" x="12"/>
        <item x="1"/>
        <item m="1" x="7"/>
        <item m="1" x="14"/>
        <item x="3"/>
        <item x="0"/>
        <item x="5"/>
        <item x="2"/>
        <item m="1" x="11"/>
        <item m="1" x="10"/>
        <item m="1" x="13"/>
        <item m="1" x="8"/>
        <item x="4"/>
        <item m="1" x="15"/>
        <item t="default"/>
      </items>
    </pivotField>
    <pivotField showAll="0"/>
    <pivotField showAll="0"/>
    <pivotField showAll="0"/>
    <pivotField showAll="0"/>
    <pivotField showAll="0"/>
    <pivotField showAll="0"/>
    <pivotField axis="axisRow" dataField="1" showAll="0">
      <items count="7">
        <item x="2"/>
        <item m="1" x="4"/>
        <item x="0"/>
        <item m="1" x="3"/>
        <item m="1" x="5"/>
        <item x="1"/>
        <item t="default"/>
      </items>
    </pivotField>
    <pivotField showAll="0"/>
  </pivotFields>
  <rowFields count="1">
    <field x="10"/>
  </rowFields>
  <rowItems count="4">
    <i>
      <x/>
    </i>
    <i>
      <x v="2"/>
    </i>
    <i>
      <x v="5"/>
    </i>
    <i t="grand">
      <x/>
    </i>
  </rowItems>
  <colItems count="1">
    <i/>
  </colItems>
  <dataFields count="1">
    <dataField name="Contagem de Resolveu seu problema " fld="10" subtotal="count" baseField="0" baseItem="0"/>
  </dataFields>
  <chartFormats count="14">
    <chartFormat chart="5" format="51" series="1">
      <pivotArea type="data" outline="0" fieldPosition="0">
        <references count="1">
          <reference field="4294967294" count="1" selected="0">
            <x v="0"/>
          </reference>
        </references>
      </pivotArea>
    </chartFormat>
    <chartFormat chart="5" format="52">
      <pivotArea type="data" outline="0" fieldPosition="0">
        <references count="2">
          <reference field="4294967294" count="1" selected="0">
            <x v="0"/>
          </reference>
          <reference field="10" count="1" selected="0">
            <x v="2"/>
          </reference>
        </references>
      </pivotArea>
    </chartFormat>
    <chartFormat chart="5" format="53">
      <pivotArea type="data" outline="0" fieldPosition="0">
        <references count="2">
          <reference field="4294967294" count="1" selected="0">
            <x v="0"/>
          </reference>
          <reference field="10" count="1" selected="0">
            <x v="3"/>
          </reference>
        </references>
      </pivotArea>
    </chartFormat>
    <chartFormat chart="5" format="54">
      <pivotArea type="data" outline="0" fieldPosition="0">
        <references count="2">
          <reference field="4294967294" count="1" selected="0">
            <x v="0"/>
          </reference>
          <reference field="10" count="1" selected="0">
            <x v="1"/>
          </reference>
        </references>
      </pivotArea>
    </chartFormat>
    <chartFormat chart="5" format="55">
      <pivotArea type="data" outline="0" fieldPosition="0">
        <references count="2">
          <reference field="4294967294" count="1" selected="0">
            <x v="0"/>
          </reference>
          <reference field="10" count="1" selected="0">
            <x v="0"/>
          </reference>
        </references>
      </pivotArea>
    </chartFormat>
    <chartFormat chart="7" format="62" series="1">
      <pivotArea type="data" outline="0" fieldPosition="0">
        <references count="1">
          <reference field="4294967294" count="1" selected="0">
            <x v="0"/>
          </reference>
        </references>
      </pivotArea>
    </chartFormat>
    <chartFormat chart="7" format="63">
      <pivotArea type="data" outline="0" fieldPosition="0">
        <references count="2">
          <reference field="4294967294" count="1" selected="0">
            <x v="0"/>
          </reference>
          <reference field="10" count="1" selected="0">
            <x v="0"/>
          </reference>
        </references>
      </pivotArea>
    </chartFormat>
    <chartFormat chart="7" format="64">
      <pivotArea type="data" outline="0" fieldPosition="0">
        <references count="2">
          <reference field="4294967294" count="1" selected="0">
            <x v="0"/>
          </reference>
          <reference field="10" count="1" selected="0">
            <x v="1"/>
          </reference>
        </references>
      </pivotArea>
    </chartFormat>
    <chartFormat chart="7" format="65">
      <pivotArea type="data" outline="0" fieldPosition="0">
        <references count="2">
          <reference field="4294967294" count="1" selected="0">
            <x v="0"/>
          </reference>
          <reference field="10" count="1" selected="0">
            <x v="2"/>
          </reference>
        </references>
      </pivotArea>
    </chartFormat>
    <chartFormat chart="7" format="66">
      <pivotArea type="data" outline="0" fieldPosition="0">
        <references count="2">
          <reference field="4294967294" count="1" selected="0">
            <x v="0"/>
          </reference>
          <reference field="10" count="1" selected="0">
            <x v="3"/>
          </reference>
        </references>
      </pivotArea>
    </chartFormat>
    <chartFormat chart="7" format="67">
      <pivotArea type="data" outline="0" fieldPosition="0">
        <references count="2">
          <reference field="4294967294" count="1" selected="0">
            <x v="0"/>
          </reference>
          <reference field="10" count="1" selected="0">
            <x v="4"/>
          </reference>
        </references>
      </pivotArea>
    </chartFormat>
    <chartFormat chart="5" format="57">
      <pivotArea type="data" outline="0" fieldPosition="0">
        <references count="2">
          <reference field="4294967294" count="1" selected="0">
            <x v="0"/>
          </reference>
          <reference field="10" count="1" selected="0">
            <x v="4"/>
          </reference>
        </references>
      </pivotArea>
    </chartFormat>
    <chartFormat chart="7" format="68">
      <pivotArea type="data" outline="0" fieldPosition="0">
        <references count="2">
          <reference field="4294967294" count="1" selected="0">
            <x v="0"/>
          </reference>
          <reference field="10" count="1" selected="0">
            <x v="5"/>
          </reference>
        </references>
      </pivotArea>
    </chartFormat>
    <chartFormat chart="5" format="59">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210748-2533-42AD-B696-03896877FC68}" name="Tabela dinâmica5"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5">
  <location ref="A1:B4" firstHeaderRow="1" firstDataRow="1" firstDataCol="1"/>
  <pivotFields count="12">
    <pivotField showAll="0"/>
    <pivotField showAll="0">
      <items count="10">
        <item m="1" x="6"/>
        <item x="3"/>
        <item x="1"/>
        <item m="1" x="8"/>
        <item x="0"/>
        <item m="1" x="7"/>
        <item x="4"/>
        <item x="2"/>
        <item m="1" x="5"/>
        <item t="default"/>
      </items>
    </pivotField>
    <pivotField showAll="0">
      <items count="6">
        <item x="0"/>
        <item x="1"/>
        <item x="2"/>
        <item x="3"/>
        <item m="1" x="4"/>
        <item t="default"/>
      </items>
    </pivotField>
    <pivotField showAll="0">
      <items count="18">
        <item m="1" x="6"/>
        <item m="1" x="9"/>
        <item m="1" x="16"/>
        <item m="1" x="12"/>
        <item x="1"/>
        <item m="1" x="7"/>
        <item m="1" x="14"/>
        <item x="3"/>
        <item x="0"/>
        <item x="5"/>
        <item x="2"/>
        <item m="1" x="11"/>
        <item m="1" x="10"/>
        <item m="1" x="13"/>
        <item m="1" x="8"/>
        <item x="4"/>
        <item m="1" x="15"/>
        <item t="default"/>
      </items>
    </pivotField>
    <pivotField showAll="0"/>
    <pivotField showAll="0"/>
    <pivotField showAll="0"/>
    <pivotField showAll="0"/>
    <pivotField showAll="0"/>
    <pivotField showAll="0"/>
    <pivotField showAll="0"/>
    <pivotField axis="axisRow" dataField="1" showAll="0">
      <items count="5">
        <item x="1"/>
        <item x="0"/>
        <item m="1" x="2"/>
        <item m="1" x="3"/>
        <item t="default"/>
      </items>
    </pivotField>
  </pivotFields>
  <rowFields count="1">
    <field x="11"/>
  </rowFields>
  <rowItems count="3">
    <i>
      <x/>
    </i>
    <i>
      <x v="1"/>
    </i>
    <i t="grand">
      <x/>
    </i>
  </rowItems>
  <colItems count="1">
    <i/>
  </colItems>
  <dataFields count="1">
    <dataField name="Contagem de Informações claras" fld="1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1" count="1" selected="0">
            <x v="0"/>
          </reference>
        </references>
      </pivotArea>
    </chartFormat>
    <chartFormat chart="2" format="11">
      <pivotArea type="data" outline="0" fieldPosition="0">
        <references count="2">
          <reference field="4294967294" count="1" selected="0">
            <x v="0"/>
          </reference>
          <reference field="11" count="1" selected="0">
            <x v="1"/>
          </reference>
        </references>
      </pivotArea>
    </chartFormat>
    <chartFormat chart="2" format="12">
      <pivotArea type="data" outline="0" fieldPosition="0">
        <references count="2">
          <reference field="4294967294" count="1" selected="0">
            <x v="0"/>
          </reference>
          <reference field="11" count="1" selected="0">
            <x v="2"/>
          </reference>
        </references>
      </pivotArea>
    </chartFormat>
    <chartFormat chart="2" format="13">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Itapo%c3%a1" TargetMode="External"/><Relationship Id="rId13" Type="http://schemas.openxmlformats.org/officeDocument/2006/relationships/hyperlink" Target="https://www.bing.com/th?id=OSK.24bad6d76513aedfecd3246060aa16b8&amp;qlt=95" TargetMode="External"/><Relationship Id="rId18" Type="http://schemas.openxmlformats.org/officeDocument/2006/relationships/hyperlink" Target="https://www.bing.com/images/search?form=xlimg&amp;q=Garuva" TargetMode="External"/><Relationship Id="rId3" Type="http://schemas.openxmlformats.org/officeDocument/2006/relationships/hyperlink" Target="https://www.bing.com/th?id=OSK.51a77ec2c6f313aad22432ca6f12f4ea&amp;qlt=95" TargetMode="External"/><Relationship Id="rId7" Type="http://schemas.openxmlformats.org/officeDocument/2006/relationships/hyperlink" Target="https://www.bing.com/th?id=OSK.d40541a80e8b9aa7685eea81d3701aab&amp;qlt=95" TargetMode="External"/><Relationship Id="rId12" Type="http://schemas.openxmlformats.org/officeDocument/2006/relationships/hyperlink" Target="https://www.bing.com/images/search?form=xlimg&amp;q=Rio%20Negrinho" TargetMode="External"/><Relationship Id="rId17" Type="http://schemas.openxmlformats.org/officeDocument/2006/relationships/hyperlink" Target="https://www.bing.com/th?id=OSK.ab799e67a95eb55519673ea63083d332&amp;qlt=95" TargetMode="External"/><Relationship Id="rId2" Type="http://schemas.openxmlformats.org/officeDocument/2006/relationships/hyperlink" Target="https://www.bing.com/images/search?form=xlimg&amp;q=Araquari" TargetMode="External"/><Relationship Id="rId16" Type="http://schemas.openxmlformats.org/officeDocument/2006/relationships/hyperlink" Target="https://www.bing.com/images/search?form=xlimg&amp;q=Barra%20Velha" TargetMode="External"/><Relationship Id="rId1" Type="http://schemas.openxmlformats.org/officeDocument/2006/relationships/hyperlink" Target="https://www.bing.com/th?id=OSK.255f91b4cf00ed61bf81eeee203e7b99&amp;qlt=95" TargetMode="External"/><Relationship Id="rId6" Type="http://schemas.openxmlformats.org/officeDocument/2006/relationships/hyperlink" Target="https://www.bing.com/images/search?form=xlimg&amp;q=Joinville" TargetMode="External"/><Relationship Id="rId11" Type="http://schemas.openxmlformats.org/officeDocument/2006/relationships/hyperlink" Target="https://www.bing.com/th?id=OSK.6d78da1b946b5b2d553c1ff685c68feb&amp;qlt=95" TargetMode="External"/><Relationship Id="rId5" Type="http://schemas.openxmlformats.org/officeDocument/2006/relationships/hyperlink" Target="https://www.bing.com/th?id=OSK.29b9c9e2c7418696b029257ff45dc010&amp;qlt=95" TargetMode="External"/><Relationship Id="rId15" Type="http://schemas.openxmlformats.org/officeDocument/2006/relationships/hyperlink" Target="https://www.bing.com/th?id=OSK.c5a1a4eb7f84935db3d8732c8092b1e3&amp;qlt=95" TargetMode="External"/><Relationship Id="rId10" Type="http://schemas.openxmlformats.org/officeDocument/2006/relationships/hyperlink" Target="https://www.bing.com/images/search?form=xlimg&amp;q=S%c3%a3o%20Jo%c3%a3o%20do%20Itaperi%c3%ba" TargetMode="External"/><Relationship Id="rId4" Type="http://schemas.openxmlformats.org/officeDocument/2006/relationships/hyperlink" Target="https://www.bing.com/images/search?form=xlimg&amp;q=Santa%20Catarina%20(state)" TargetMode="External"/><Relationship Id="rId9" Type="http://schemas.openxmlformats.org/officeDocument/2006/relationships/hyperlink" Target="https://www.bing.com/th?id=OSK.ad0119a1ef7b94866e9a4e4d3699e59e&amp;qlt=95" TargetMode="External"/><Relationship Id="rId14" Type="http://schemas.openxmlformats.org/officeDocument/2006/relationships/hyperlink" Target="https://www.bing.com/images/search?form=xlimg&amp;q=S%c3%a3o%20Francisco%20do%20Sul"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Srd>
</file>

<file path=xl/richData/rdarray.xml><?xml version="1.0" encoding="utf-8"?>
<arrayData xmlns="http://schemas.microsoft.com/office/spreadsheetml/2017/richdata2" count="6">
  <a r="1">
    <v t="s">UTC−03:00</v>
  </a>
  <a r="4">
    <v t="r">15</v>
    <v t="r">16</v>
    <v t="r">17</v>
    <v t="r">18</v>
  </a>
  <a r="1">
    <v t="s">E. South America Standard Time</v>
  </a>
  <a r="1">
    <v t="r">28</v>
  </a>
  <a r="1">
    <v t="r">38</v>
  </a>
  <a r="1">
    <v t="r">72</v>
  </a>
</arrayData>
</file>

<file path=xl/richData/rdrichvalue.xml><?xml version="1.0" encoding="utf-8"?>
<rvData xmlns="http://schemas.microsoft.com/office/spreadsheetml/2017/richdata" count="85">
  <rv s="0">
    <v>536870912</v>
    <v>Araquari</v>
    <v>b0bf7576-30e6-68ed-bf09-30b797a5f355</v>
    <v>pt-BR</v>
    <v>Map</v>
  </rv>
  <rv s="1">
    <fb>383.99299999999999</fb>
    <v>9</v>
  </rv>
  <rv s="0">
    <v>536870912</v>
    <v>Santa Catarina</v>
    <v>6262969d-76c7-e65f-1be5-668011a93ff0</v>
    <v>pt-BR</v>
    <v>Map</v>
  </rv>
  <rv s="2">
    <v>0</v>
    <v>7</v>
    <v>0</v>
    <v>6</v>
    <v>0</v>
    <v>Image of Araquari</v>
  </rv>
  <rv s="1">
    <fb>-26.37</fb>
    <v>10</v>
  </rv>
  <rv s="3">
    <v>https://www.bing.com/search?q=araquari+santa+catarina&amp;form=skydnc</v>
    <v>Learn more on Bing</v>
  </rv>
  <rv s="1">
    <fb>-48.721944444443999</fb>
    <v>10</v>
  </rv>
  <rv s="0">
    <v>536870912</v>
    <v>Brazil</v>
    <v>a828cf41-b938-49fe-7986-4b336618d413</v>
    <v>pt-BR</v>
    <v>Map</v>
  </rv>
  <rv s="1">
    <fb>45180</fb>
    <v>9</v>
  </rv>
  <rv s="4">
    <v>#VALUE!</v>
    <v>pt-BR</v>
    <v>b0bf7576-30e6-68ed-bf09-30b797a5f355</v>
    <v>536870912</v>
    <v>1</v>
    <v>1</v>
    <v>2</v>
    <v>3</v>
    <v>Araquari</v>
    <v>5</v>
    <v>6</v>
    <v>Map</v>
    <v>7</v>
    <v>8</v>
    <v>1</v>
    <v>Araquari is a municipality in the state of Santa Catarina in the South region of Brazil. The municipality of Araquari was basically colonized by Azorean immigrants, who arrived at the coast of Santa Catarina between 1748 and 1756, and since ...</v>
    <v>2</v>
    <v>3</v>
    <v>4</v>
    <v>5</v>
    <v>6</v>
    <v>Araquari</v>
    <v>7</v>
    <v>8</v>
    <v>Araquari</v>
    <v>mdp/vdpid/6461777778818678785</v>
  </rv>
  <rv s="1">
    <fb>95730.7</fb>
    <v>9</v>
  </rv>
  <rv s="0">
    <v>536870912</v>
    <v>Florianópolis</v>
    <v>21bdeb41-fb0e-9537-f2bb-6ca2732f1d96</v>
    <v>pt-BR</v>
    <v>Map</v>
  </rv>
  <rv s="5">
    <v>0</v>
  </rv>
  <rv s="2">
    <v>1</v>
    <v>7</v>
    <v>11</v>
    <v>6</v>
    <v>0</v>
    <v>Image of Santa Catarina</v>
  </rv>
  <rv s="3">
    <v>https://www.bing.com/search?q=santa+catarina&amp;form=skydnc</v>
    <v>Learn more on Bing</v>
  </rv>
  <rv s="0">
    <v>805306368</v>
    <v>Jorginho Mello (Governor)</v>
    <v>4ee030f8-d90a-4e6f-a873-873ccd52579d</v>
    <v>pt-BR</v>
    <v>Generic</v>
  </rv>
  <rv s="0">
    <v>805306368</v>
    <v>Esperidião Amin (Senate)</v>
    <v>f75d7f73-4fc6-6642-c5ca-d7e9dd11c1e7</v>
    <v>pt-BR</v>
    <v>Generic</v>
  </rv>
  <rv s="0">
    <v>805306368</v>
    <v>Ivete da Silveira (Senate)</v>
    <v>c16b3cd2-eb5f-83a5-e4ad-e7c2df10df14</v>
    <v>pt-BR</v>
    <v>Generic</v>
  </rv>
  <rv s="0">
    <v>805306368</v>
    <v>Jorge Seif (Senate)</v>
    <v>b93cbffd-e37f-6d92-6c79-ee8ad4206d8c</v>
    <v>pt-BR</v>
    <v>Generic</v>
  </rv>
  <rv s="5">
    <v>1</v>
  </rv>
  <rv s="0">
    <v>536870912</v>
    <v>Joinville</v>
    <v>5e86234b-4bd7-a488-c6bc-8ed280c1c890</v>
    <v>pt-BR</v>
    <v>Map</v>
  </rv>
  <rv s="1">
    <fb>7610361</fb>
    <v>9</v>
  </rv>
  <rv s="6">
    <v>#VALUE!</v>
    <v>pt-BR</v>
    <v>6262969d-76c7-e65f-1be5-668011a93ff0</v>
    <v>536870912</v>
    <v>1</v>
    <v>13</v>
    <v>14</v>
    <v>15</v>
    <v>Santa Catarina</v>
    <v>5</v>
    <v>6</v>
    <v>Map</v>
    <v>7</v>
    <v>8</v>
    <v>BR-SC</v>
    <v>10</v>
    <v>11</v>
    <v>Santa Catarina is one of the 27 federative units of Brazil. It is located in the centre of the country's Southern region. It is bordered to the north by the state of Paraná, to the south by the state of Rio Grande do Sul, to the east by the ...</v>
    <v>12</v>
    <v>13</v>
    <v>14</v>
    <v>19</v>
    <v>20</v>
    <v>Santa Catarina</v>
    <v>7</v>
    <v>21</v>
    <v>Santa Catarina</v>
    <v>mdp/vdpid/29612</v>
  </rv>
  <rv s="1">
    <fb>1126.106</fb>
    <v>9</v>
  </rv>
  <rv s="5">
    <v>2</v>
  </rv>
  <rv s="2">
    <v>2</v>
    <v>7</v>
    <v>16</v>
    <v>6</v>
    <v>0</v>
    <v>Image of Joinville</v>
  </rv>
  <rv s="1">
    <fb>-26.303888888888999</fb>
    <v>10</v>
  </rv>
  <rv s="3">
    <v>https://www.bing.com/search?q=joinville&amp;form=skydnc</v>
    <v>Learn more on Bing</v>
  </rv>
  <rv s="0">
    <v>805306368</v>
    <v>Adriano Silva (Mayor)</v>
    <v>aa3b86af-4725-e8c4-f617-c58e2329b34c</v>
    <v>pt-BR</v>
    <v>Generic</v>
  </rv>
  <rv s="5">
    <v>3</v>
  </rv>
  <rv s="1">
    <fb>-48.845833333332997</fb>
    <v>10</v>
  </rv>
  <rv s="1">
    <fb>616317</fb>
    <v>9</v>
  </rv>
  <rv s="7">
    <v>#VALUE!</v>
    <v>pt-BR</v>
    <v>5e86234b-4bd7-a488-c6bc-8ed280c1c890</v>
    <v>536870912</v>
    <v>1</v>
    <v>17</v>
    <v>2</v>
    <v>18</v>
    <v>Joinville</v>
    <v>5</v>
    <v>6</v>
    <v>Map</v>
    <v>7</v>
    <v>8</v>
    <v>23</v>
    <v>Joinville is the largest city in Santa Catarina, in the Southern Region of Brazil. It is the third largest municipality in the southern region of Brazil, after the much larger state capitals of Curitiba and Porto Alegre. Joinville is also a ...</v>
    <v>2</v>
    <v>24</v>
    <v>25</v>
    <v>26</v>
    <v>27</v>
    <v>29</v>
    <v>30</v>
    <v>Joinville</v>
    <v>7</v>
    <v>31</v>
    <v>Joinville</v>
    <v>mdp/vdpid/6461764101629542401</v>
  </rv>
  <rv s="0">
    <v>536870912</v>
    <v>Itapoá</v>
    <v>dc2b80df-ecd2-c1e6-ceeb-7b14d58738b1</v>
    <v>pt-BR</v>
    <v>Map</v>
  </rv>
  <rv s="1">
    <fb>257.15800000000002</fb>
    <v>9</v>
  </rv>
  <rv s="2">
    <v>3</v>
    <v>7</v>
    <v>19</v>
    <v>6</v>
    <v>0</v>
    <v>Image of Itapoá</v>
  </rv>
  <rv s="1">
    <fb>-26.116944444444002</fb>
    <v>10</v>
  </rv>
  <rv s="3">
    <v>https://www.bing.com/search?q=itapo%c3%a1+brazil&amp;form=skydnc</v>
    <v>Learn more on Bing</v>
  </rv>
  <rv s="0">
    <v>805306368</v>
    <v>Jeferson Rubens Garcia (Mayor)</v>
    <v>b08798d5-ea6e-415c-4b78-5e7e03c647c2</v>
    <v>pt-BR</v>
    <v>Generic</v>
  </rv>
  <rv s="5">
    <v>4</v>
  </rv>
  <rv s="1">
    <fb>-48.615833333333001</fb>
    <v>10</v>
  </rv>
  <rv s="1">
    <fb>30750</fb>
    <v>9</v>
  </rv>
  <rv s="8">
    <v>#VALUE!</v>
    <v>pt-BR</v>
    <v>dc2b80df-ecd2-c1e6-ceeb-7b14d58738b1</v>
    <v>536870912</v>
    <v>1</v>
    <v>20</v>
    <v>2</v>
    <v>21</v>
    <v>Itapoá</v>
    <v>5</v>
    <v>6</v>
    <v>Map</v>
    <v>7</v>
    <v>8</v>
    <v>34</v>
    <v>Itapoá is a municipality in the northern part of the state of Santa Catarina, Brazil. It borders the municipal areas of São Francisco do Sul in the south and of Garuva in the west. In the north it borders with the state of Paraná. It is the ...</v>
    <v>2</v>
    <v>35</v>
    <v>36</v>
    <v>37</v>
    <v>39</v>
    <v>40</v>
    <v>Itapoá</v>
    <v>7</v>
    <v>41</v>
    <v>Itapoá</v>
    <v>mdp/vdpid/6461762971247837185</v>
  </rv>
  <rv s="0">
    <v>536870912</v>
    <v>São João do Itaperiú</v>
    <v>61b724b5-1dcf-a706-d640-93190195dc13</v>
    <v>pt-BR</v>
    <v>Map</v>
  </rv>
  <rv s="1">
    <fb>151.92599999999999</fb>
    <v>9</v>
  </rv>
  <rv s="2">
    <v>4</v>
    <v>7</v>
    <v>22</v>
    <v>6</v>
    <v>0</v>
    <v>Image of São João do Itaperiú</v>
  </rv>
  <rv s="1">
    <fb>-26.617777777777999</fb>
    <v>10</v>
  </rv>
  <rv s="3">
    <v>https://www.bing.com/search?q=s%c3%a3o+jo%c3%a3o+do+itaperi%c3%ba+santa+catarina&amp;form=skydnc</v>
    <v>Learn more on Bing</v>
  </rv>
  <rv s="1">
    <fb>-48.767777777778001</fb>
    <v>10</v>
  </rv>
  <rv s="1">
    <fb>4463</fb>
    <v>9</v>
  </rv>
  <rv s="4">
    <v>#VALUE!</v>
    <v>pt-BR</v>
    <v>61b724b5-1dcf-a706-d640-93190195dc13</v>
    <v>536870912</v>
    <v>1</v>
    <v>23</v>
    <v>2</v>
    <v>3</v>
    <v>São João do Itaperiú</v>
    <v>5</v>
    <v>6</v>
    <v>Map</v>
    <v>7</v>
    <v>8</v>
    <v>44</v>
    <v>São João do Itaperiú is a municipality in the state of Santa Catarina in the South region of Brazil.</v>
    <v>2</v>
    <v>45</v>
    <v>46</v>
    <v>47</v>
    <v>48</v>
    <v>São João do Itaperiú</v>
    <v>7</v>
    <v>49</v>
    <v>São João do Itaperiú</v>
    <v>mdp/vdpid/6461782074490617857</v>
  </rv>
  <rv s="0">
    <v>536870912</v>
    <v>Rio Negrinho</v>
    <v>d4e3691d-8e48-e28e-44bf-e2a5a4561e0b</v>
    <v>pt-BR</v>
    <v>Map</v>
  </rv>
  <rv s="1">
    <fb>908.39099999999996</fb>
    <v>9</v>
  </rv>
  <rv s="2">
    <v>5</v>
    <v>7</v>
    <v>24</v>
    <v>6</v>
    <v>0</v>
    <v>Image of Rio Negrinho</v>
  </rv>
  <rv s="1">
    <fb>-26.253888888889001</fb>
    <v>10</v>
  </rv>
  <rv s="3">
    <v>https://www.bing.com/search?q=rio+negrinho+santa+catarina&amp;form=skydnc</v>
    <v>Learn more on Bing</v>
  </rv>
  <rv s="1">
    <fb>-49.517777777778001</fb>
    <v>10</v>
  </rv>
  <rv s="1">
    <fb>42495</fb>
    <v>9</v>
  </rv>
  <rv s="9">
    <v>#VALUE!</v>
    <v>pt-BR</v>
    <v>d4e3691d-8e48-e28e-44bf-e2a5a4561e0b</v>
    <v>536870912</v>
    <v>1</v>
    <v>25</v>
    <v>2</v>
    <v>26</v>
    <v>Rio Negrinho</v>
    <v>5</v>
    <v>6</v>
    <v>Map</v>
    <v>7</v>
    <v>27</v>
    <v>52</v>
    <v>Rio Negrinho is a municipality in the state of Santa Catarina in the South region of Brazil that appears in the soap of the same name.</v>
    <v>2</v>
    <v>24</v>
    <v>53</v>
    <v>54</v>
    <v>55</v>
    <v>56</v>
    <v>Rio Negrinho</v>
    <v>7</v>
    <v>57</v>
    <v>Rio Negrinho</v>
    <v>mdp/vdpid/6461658758597574657</v>
  </rv>
  <rv s="0">
    <v>536870912</v>
    <v>São Francisco do Sul</v>
    <v>844ceef0-6f01-287d-005a-e7c1eed1829c</v>
    <v>pt-BR</v>
    <v>Map</v>
  </rv>
  <rv s="1">
    <fb>540.79999999999995</fb>
    <v>9</v>
  </rv>
  <rv s="2">
    <v>6</v>
    <v>7</v>
    <v>28</v>
    <v>6</v>
    <v>0</v>
    <v>Image of São Francisco do Sul</v>
  </rv>
  <rv s="1">
    <fb>-26.242777777777999</fb>
    <v>10</v>
  </rv>
  <rv s="3">
    <v>https://www.bing.com/search?q=s%c3%a3o+francisco+do+sul+brazil&amp;form=skydnc</v>
    <v>Learn more on Bing</v>
  </rv>
  <rv s="1">
    <fb>-48.637777777777998</fb>
    <v>10</v>
  </rv>
  <rv s="1">
    <fb>52674</fb>
    <v>9</v>
  </rv>
  <rv s="4">
    <v>#VALUE!</v>
    <v>pt-BR</v>
    <v>844ceef0-6f01-287d-005a-e7c1eed1829c</v>
    <v>536870912</v>
    <v>1</v>
    <v>29</v>
    <v>2</v>
    <v>3</v>
    <v>São Francisco do Sul</v>
    <v>5</v>
    <v>6</v>
    <v>Map</v>
    <v>7</v>
    <v>8</v>
    <v>60</v>
    <v>São Francisco do Sul is a municipality in the Brazilian state of Santa Catarina. It covers an area of 540 km² and had an estimated population of 53,746 in 2020.</v>
    <v>2</v>
    <v>61</v>
    <v>62</v>
    <v>63</v>
    <v>64</v>
    <v>São Francisco do Sul</v>
    <v>7</v>
    <v>65</v>
    <v>São Francisco do Sul</v>
    <v>mdp/vdpid/6461790322069340161</v>
  </rv>
  <rv s="0">
    <v>536870912</v>
    <v>Barra Velha</v>
    <v>e456e602-1958-4227-4dba-e1c806ccf4bd</v>
    <v>pt-BR</v>
    <v>Map</v>
  </rv>
  <rv s="1">
    <fb>140.16</fb>
    <v>9</v>
  </rv>
  <rv s="2">
    <v>7</v>
    <v>7</v>
    <v>30</v>
    <v>6</v>
    <v>0</v>
    <v>Image of Barra Velha</v>
  </rv>
  <rv s="1">
    <fb>-26.631944444443999</fb>
    <v>10</v>
  </rv>
  <rv s="3">
    <v>https://www.bing.com/search?q=barra+velha+santa+catarina&amp;form=skydnc</v>
    <v>Learn more on Bing</v>
  </rv>
  <rv s="0">
    <v>805306368</v>
    <v>Douglas Elias da Costa (Mayor)</v>
    <v>b61b2d98-ee64-c47a-2bd1-52f20825ce8c</v>
    <v>pt-BR</v>
    <v>Generic</v>
  </rv>
  <rv s="5">
    <v>5</v>
  </rv>
  <rv s="1">
    <fb>-48.685000000000002</fb>
    <v>10</v>
  </rv>
  <rv s="1">
    <fb>45371</fb>
    <v>9</v>
  </rv>
  <rv s="8">
    <v>#VALUE!</v>
    <v>pt-BR</v>
    <v>e456e602-1958-4227-4dba-e1c806ccf4bd</v>
    <v>536870912</v>
    <v>1</v>
    <v>31</v>
    <v>2</v>
    <v>21</v>
    <v>Barra Velha</v>
    <v>5</v>
    <v>6</v>
    <v>Map</v>
    <v>7</v>
    <v>8</v>
    <v>68</v>
    <v>Barra Velha is a resort town and county seat of about 30,000 inhabitants in the Northern region of Santa Catarina, Brazil. Its nine beaches extend from the Rio Itapocu in the North to the resort town of Piçarras on its Southern border. ...</v>
    <v>2</v>
    <v>69</v>
    <v>70</v>
    <v>71</v>
    <v>73</v>
    <v>74</v>
    <v>Barra Velha</v>
    <v>7</v>
    <v>75</v>
    <v>Barra Velha</v>
    <v>mdp/vdpid/6461972791590649857</v>
  </rv>
  <rv s="0">
    <v>536870912</v>
    <v>Garuva</v>
    <v>3946a51c-0bd7-a329-6d25-62afee8177f7</v>
    <v>pt-BR</v>
    <v>Map</v>
  </rv>
  <rv s="1">
    <fb>501.39</fb>
    <v>9</v>
  </rv>
  <rv s="2">
    <v>8</v>
    <v>7</v>
    <v>32</v>
    <v>6</v>
    <v>0</v>
    <v>Image of Garuva</v>
  </rv>
  <rv s="1">
    <fb>-26.026944444443998</fb>
    <v>10</v>
  </rv>
  <rv s="3">
    <v>https://www.bing.com/search?q=garuva+santa+catarina&amp;form=skydnc</v>
    <v>Learn more on Bing</v>
  </rv>
  <rv s="1">
    <fb>-48.854999999999997</fb>
    <v>10</v>
  </rv>
  <rv s="1">
    <fb>18556</fb>
    <v>9</v>
  </rv>
  <rv s="4">
    <v>#VALUE!</v>
    <v>pt-BR</v>
    <v>3946a51c-0bd7-a329-6d25-62afee8177f7</v>
    <v>536870912</v>
    <v>1</v>
    <v>33</v>
    <v>2</v>
    <v>3</v>
    <v>Garuva</v>
    <v>5</v>
    <v>6</v>
    <v>Map</v>
    <v>7</v>
    <v>8</v>
    <v>78</v>
    <v>Garuva is a municipality in the state of Santa Catarina in the South region of Brazil.</v>
    <v>2</v>
    <v>79</v>
    <v>80</v>
    <v>81</v>
    <v>82</v>
    <v>Garuva</v>
    <v>7</v>
    <v>83</v>
    <v>Garuva</v>
    <v>mdp/vdpid/6461759493616173057</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Imagem" t="r"/>
    <k n="Latitude" t="r"/>
    <k n="LearnMoreOnLink" t="r"/>
    <k n="Longitude" t="r"/>
    <k n="Nome" t="s"/>
    <k n="País/região" t="r"/>
    <k n="População" t="r"/>
    <k n="UniqueName" t="s"/>
    <k n="VDPID/VSID"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Área" t="r"/>
    <k n="Capital/Maior Cidade" t="r"/>
    <k n="Descrição" t="s"/>
    <k n="Fusos horários" t="r"/>
    <k n="Imagem" t="r"/>
    <k n="LearnMoreOnLink" t="r"/>
    <k n="Líder(es)" t="r"/>
    <k n="Maior cida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Fusos horários" t="r"/>
    <k n="Imagem" t="r"/>
    <k n="Latitude" t="r"/>
    <k n="LearnMoreOnLink"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Imagem" t="r"/>
    <k n="Latitude" t="r"/>
    <k n="LearnMoreOnLink"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Fusos horários" t="r"/>
    <k n="Imagem" t="r"/>
    <k n="Latitude" t="r"/>
    <k n="LearnMoreOnLink" t="r"/>
    <k n="Longitude" t="r"/>
    <k n="Nome" t="s"/>
    <k n="País/região" t="r"/>
    <k n="População" t="r"/>
    <k n="UniqueName" t="s"/>
    <k n="VDPID/VSID" t="s"/>
  </s>
</rvStructures>
</file>

<file path=xl/richData/rdsupportingpropertybag.xml><?xml version="1.0" encoding="utf-8"?>
<supportingPropertyBags xmlns="http://schemas.microsoft.com/office/spreadsheetml/2017/richdata2">
  <spbArrays count="5">
    <a count="25">
      <v t="s">%EntityServiceId</v>
      <v t="s">%IsRefreshable</v>
      <v t="s">_CanonicalPropertyNames</v>
      <v t="s">%EntityCulture</v>
      <v t="s">%EntityId</v>
      <v t="s">_Icon</v>
      <v t="s">_Provider</v>
      <v t="s">_Attribution</v>
      <v t="s">_Display</v>
      <v t="s">Nome</v>
      <v t="s">_Format</v>
      <v t="s">Divisão administrativa 1 (Estado/província/outro)</v>
      <v t="s">País/região</v>
      <v t="s">_SubLabel</v>
      <v t="s">População</v>
      <v t="s">`Área</v>
      <v t="s">Latitude</v>
      <v t="s">Longitude</v>
      <v t="s">_Flags</v>
      <v t="s">VDPID/VSID</v>
      <v t="s">UniqueName</v>
      <v t="s">_DisplayString</v>
      <v t="s">LearnMoreOnLink</v>
      <v t="s">Imagem</v>
      <v t="s">Descrição</v>
    </a>
    <a count="27">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Abreviação</v>
      <v t="s">Maior cidade</v>
      <v t="s">Fusos horários</v>
      <v t="s">_Flags</v>
      <v t="s">VDPID/VSID</v>
      <v t="s">UniqueName</v>
      <v t="s">_DisplayString</v>
      <v t="s">LearnMoreOnLink</v>
      <v t="s">Imagem</v>
      <v t="s">Descrição</v>
    </a>
    <a count="27">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Fusos horários</v>
      <v t="s">_Flags</v>
      <v t="s">VDPID/VSID</v>
      <v t="s">UniqueName</v>
      <v t="s">_DisplayString</v>
      <v t="s">LearnMoreOnLink</v>
      <v t="s">Imagem</v>
      <v t="s">Descrição</v>
    </a>
    <a count="26">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_Flags</v>
      <v t="s">VDPID/VSID</v>
      <v t="s">UniqueName</v>
      <v t="s">_DisplayString</v>
      <v t="s">LearnMoreOnLink</v>
      <v t="s">Imagem</v>
      <v t="s">Descrição</v>
    </a>
    <a count="26">
      <v t="s">%EntityServiceId</v>
      <v t="s">%IsRefreshable</v>
      <v t="s">_CanonicalPropertyNames</v>
      <v t="s">%EntityCulture</v>
      <v t="s">%EntityId</v>
      <v t="s">_Icon</v>
      <v t="s">_Provider</v>
      <v t="s">_Attribution</v>
      <v t="s">_Display</v>
      <v t="s">Nome</v>
      <v t="s">_Format</v>
      <v t="s">Divisão administrativa 1 (Estado/província/outro)</v>
      <v t="s">País/região</v>
      <v t="s">_SubLabel</v>
      <v t="s">População</v>
      <v t="s">`Área</v>
      <v t="s">Latitude</v>
      <v t="s">Longitude</v>
      <v t="s">Fusos horários</v>
      <v t="s">_Flags</v>
      <v t="s">VDPID/VSID</v>
      <v t="s">UniqueName</v>
      <v t="s">_DisplayString</v>
      <v t="s">LearnMoreOnLink</v>
      <v t="s">Imagem</v>
      <v t="s">Descrição</v>
    </a>
  </spbArrays>
  <spbData count="34">
    <spb s="0">
      <v xml:space="preserve">Wikipedia	</v>
      <v xml:space="preserve">CC BY-SA 3.0	</v>
      <v xml:space="preserve">https://en.wikipedia.org/wiki/Araquari	</v>
      <v xml:space="preserve">https://creativecommons.org/licenses/by-sa/3.0	</v>
    </spb>
    <spb s="1">
      <v>0</v>
      <v>0</v>
      <v>0</v>
      <v>0</v>
      <v>0</v>
      <v>0</v>
      <v>0</v>
      <v>0</v>
      <v>0</v>
    </spb>
    <spb s="2">
      <v>Name</v>
      <v>Area</v>
      <v>Image</v>
      <v>Latitude</v>
      <v>Description</v>
      <v>Longitude</v>
      <v>Population</v>
      <v>UniqueName</v>
      <v>VDPID/VSID</v>
      <v>Country/region</v>
      <v>LearnMoreOnLink</v>
      <v>Admin Division 1 (State/province/other)</v>
    </spb>
    <spb s="3">
      <v>0</v>
      <v>Name</v>
      <v>LearnMoreOnLink</v>
    </spb>
    <spb s="4">
      <v>0</v>
      <v>0</v>
      <v>0</v>
    </spb>
    <spb s="5">
      <v>4</v>
      <v>4</v>
      <v>4</v>
    </spb>
    <spb s="6">
      <v>1</v>
      <v>2</v>
    </spb>
    <spb s="7">
      <v>https://www.bing.com</v>
      <v>https://www.bing.com/th?id=Ga%5Cbing_yt.png&amp;w=100&amp;h=40&amp;c=0&amp;pid=0.1</v>
      <v>Da plataforma Bing</v>
    </spb>
    <spb s="8">
      <v>km quadrado</v>
      <v>2022</v>
    </spb>
    <spb s="9">
      <v>3</v>
    </spb>
    <spb s="9">
      <v>4</v>
    </spb>
    <spb s="0">
      <v xml:space="preserve">Wikipedia	</v>
      <v xml:space="preserve">CC BY-SA 3.0	</v>
      <v xml:space="preserve">https://en.wikipedia.org/wiki/Santa_Catarina_(state)	</v>
      <v xml:space="preserve">https://creativecommons.org/licenses/by-sa/3.0	</v>
    </spb>
    <spb s="0">
      <v xml:space="preserve">Wikipedia	</v>
      <v xml:space="preserve">CC-BY-SA	</v>
      <v xml:space="preserve">http://en.wikipedia.org/wiki/Santa_Catarina_(state)	</v>
      <v xml:space="preserve">http://creativecommons.org/licenses/by-sa/3.0/	</v>
    </spb>
    <spb s="10">
      <v>11</v>
      <v>11</v>
      <v>11</v>
      <v>11</v>
      <v>12</v>
      <v>11</v>
      <v>11</v>
      <v>11</v>
      <v>11</v>
    </spb>
    <spb s="11">
      <v>Name</v>
      <v>Area</v>
      <v>Image</v>
      <v>Description</v>
      <v>Population</v>
      <v>Abbreviation</v>
      <v>UniqueName</v>
      <v>VDPID/VSID</v>
      <v>Country/region</v>
      <v>Largest city</v>
      <v>LearnMoreOnLink</v>
      <v>Capital/Major City</v>
    </spb>
    <spb s="3">
      <v>1</v>
      <v>Name</v>
      <v>LearnMoreOnLink</v>
    </spb>
    <spb s="0">
      <v xml:space="preserve">Wikipedia	</v>
      <v xml:space="preserve">CC BY-SA 3.0	</v>
      <v xml:space="preserve">https://en.wikipedia.org/wiki/Joinville	</v>
      <v xml:space="preserve">https://creativecommons.org/licenses/by-sa/3.0	</v>
    </spb>
    <spb s="1">
      <v>16</v>
      <v>16</v>
      <v>16</v>
      <v>16</v>
      <v>16</v>
      <v>16</v>
      <v>16</v>
      <v>16</v>
      <v>16</v>
    </spb>
    <spb s="3">
      <v>2</v>
      <v>Name</v>
      <v>LearnMoreOnLink</v>
    </spb>
    <spb s="0">
      <v xml:space="preserve">Wikipedia	</v>
      <v xml:space="preserve">CC BY-SA 3.0	</v>
      <v xml:space="preserve">https://en.wikipedia.org/wiki/Itapo%C3%A1	</v>
      <v xml:space="preserve">https://creativecommons.org/licenses/by-sa/3.0	</v>
    </spb>
    <spb s="1">
      <v>19</v>
      <v>19</v>
      <v>19</v>
      <v>19</v>
      <v>19</v>
      <v>19</v>
      <v>19</v>
      <v>19</v>
      <v>19</v>
    </spb>
    <spb s="3">
      <v>3</v>
      <v>Name</v>
      <v>LearnMoreOnLink</v>
    </spb>
    <spb s="0">
      <v xml:space="preserve">Wikipedia	</v>
      <v xml:space="preserve">CC BY-SA 3.0	</v>
      <v xml:space="preserve">https://en.wikipedia.org/wiki/S%C3%A3o_Jo%C3%A3o_do_Itaperi%C3%BA	</v>
      <v xml:space="preserve">https://creativecommons.org/licenses/by-sa/3.0	</v>
    </spb>
    <spb s="1">
      <v>22</v>
      <v>22</v>
      <v>22</v>
      <v>22</v>
      <v>22</v>
      <v>22</v>
      <v>22</v>
      <v>22</v>
      <v>22</v>
    </spb>
    <spb s="0">
      <v xml:space="preserve">Wikipedia	</v>
      <v xml:space="preserve">CC BY-SA 3.0	</v>
      <v xml:space="preserve">https://en.wikipedia.org/wiki/Rio_Negrinho	</v>
      <v xml:space="preserve">https://creativecommons.org/licenses/by-sa/3.0	</v>
    </spb>
    <spb s="1">
      <v>24</v>
      <v>24</v>
      <v>24</v>
      <v>24</v>
      <v>24</v>
      <v>24</v>
      <v>24</v>
      <v>24</v>
      <v>24</v>
    </spb>
    <spb s="3">
      <v>4</v>
      <v>Name</v>
      <v>LearnMoreOnLink</v>
    </spb>
    <spb s="8">
      <v>km quadrado</v>
      <v>2020</v>
    </spb>
    <spb s="0">
      <v xml:space="preserve">Wikipedia	</v>
      <v xml:space="preserve">CC BY-SA 3.0	</v>
      <v xml:space="preserve">https://en.wikipedia.org/wiki/S%C3%A3o_Francisco_do_Sul	</v>
      <v xml:space="preserve">https://creativecommons.org/licenses/by-sa/3.0	</v>
    </spb>
    <spb s="1">
      <v>28</v>
      <v>28</v>
      <v>28</v>
      <v>28</v>
      <v>28</v>
      <v>28</v>
      <v>28</v>
      <v>28</v>
      <v>28</v>
    </spb>
    <spb s="0">
      <v xml:space="preserve">Wikipedia	</v>
      <v xml:space="preserve">CC BY-SA 3.0	</v>
      <v xml:space="preserve">https://en.wikipedia.org/wiki/Barra_Velha	</v>
      <v xml:space="preserve">https://creativecommons.org/licenses/by-sa/3.0	</v>
    </spb>
    <spb s="1">
      <v>30</v>
      <v>30</v>
      <v>30</v>
      <v>30</v>
      <v>30</v>
      <v>30</v>
      <v>30</v>
      <v>30</v>
      <v>30</v>
    </spb>
    <spb s="0">
      <v xml:space="preserve">Wikipedia	</v>
      <v xml:space="preserve">CC BY-SA 3.0	</v>
      <v xml:space="preserve">https://en.wikipedia.org/wiki/Garuva	</v>
      <v xml:space="preserve">https://creativecommons.org/licenses/by-sa/3.0	</v>
    </spb>
    <spb s="1">
      <v>32</v>
      <v>32</v>
      <v>32</v>
      <v>32</v>
      <v>32</v>
      <v>32</v>
      <v>32</v>
      <v>32</v>
      <v>32</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Nome" t="spb"/>
    <k n="`Área" t="spb"/>
    <k n="Latitude" t="spb"/>
    <k n="Descrição" t="spb"/>
    <k n="Longitude" t="spb"/>
    <k n="População" t="spb"/>
    <k n="UniqueName" t="spb"/>
    <k n="País/região" t="spb"/>
    <k n="Divisão administrativa 1 (Estado/província/outro)" t="spb"/>
  </s>
  <s>
    <k n="Nome" t="s"/>
    <k n="Área" t="s"/>
    <k n="Imagem" t="s"/>
    <k n="Latitude" t="s"/>
    <k n="Descrição" t="s"/>
    <k n="Longitude" t="s"/>
    <k n="População" t="s"/>
    <k n="UniqueName" t="s"/>
    <k n="VDPID/VSID" t="s"/>
    <k n="País/região" t="s"/>
    <k n="LearnMoreOnLink" t="s"/>
    <k n="Divisão administrativa 1 (Estado/província/outro)" t="s"/>
  </s>
  <s>
    <k n="^Order" t="spba"/>
    <k n="TitleProperty" t="s"/>
    <k n="SubTitleProperty" t="s"/>
  </s>
  <s>
    <k n="ShowInCardView" t="b"/>
    <k n="ShowInDotNotation" t="b"/>
    <k n="ShowInAutoComplete" t="b"/>
  </s>
  <s>
    <k n="UniqueName" t="spb"/>
    <k n="VDPID/VSID" t="spb"/>
    <k n="LearnMoreOnLink" t="spb"/>
  </s>
  <s>
    <k n="Nome" t="i"/>
    <k n="Imagem" t="i"/>
  </s>
  <s>
    <k n="link" t="s"/>
    <k n="logo" t="s"/>
    <k n="name" t="s"/>
  </s>
  <s>
    <k n="`Área" t="s"/>
    <k n="População" t="s"/>
  </s>
  <s>
    <k n="_Self" t="i"/>
  </s>
  <s>
    <k n="Nome" t="spb"/>
    <k n="`Área" t="spb"/>
    <k n="Descrição" t="spb"/>
    <k n="População" t="spb"/>
    <k n="Abreviação" t="spb"/>
    <k n="UniqueName" t="spb"/>
    <k n="País/região" t="spb"/>
    <k n="Maior cidade" t="spb"/>
    <k n="Capital/Maior Cidade" t="spb"/>
  </s>
  <s>
    <k n="Nome" t="s"/>
    <k n="Área" t="s"/>
    <k n="Imagem" t="s"/>
    <k n="Descrição" t="s"/>
    <k n="População" t="s"/>
    <k n="Abreviação" t="s"/>
    <k n="UniqueName" t="s"/>
    <k n="VDPID/VSID" t="s"/>
    <k n="País/região" t="s"/>
    <k n="Maior cidade" t="s"/>
    <k n="LearnMoreOnLink" t="s"/>
    <k n="Capital/Maior Cidad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ês" xr10:uid="{07968FA0-63AD-4F43-829D-86888F1DFB80}" sourceName="Mês">
  <pivotTables>
    <pivotTable tabId="10" name="Tabela dinâmica6"/>
    <pivotTable tabId="3" name="Tabela dinâmica3"/>
    <pivotTable tabId="5" name="Tabela dinâmica3"/>
    <pivotTable tabId="2" name="Tabela dinâmica3"/>
    <pivotTable tabId="4" name="Tabela dinâmica3"/>
    <pivotTable tabId="6" name="Tabela dinâmica3"/>
    <pivotTable tabId="9" name="Tabela dinâmica5"/>
    <pivotTable tabId="7" name="Tabela dinâmica3"/>
    <pivotTable tabId="13" name="Tabela dinâmica8"/>
  </pivotTables>
  <data>
    <tabular pivotCacheId="451347609">
      <items count="9">
        <i x="3" s="1"/>
        <i x="1" s="1"/>
        <i x="0" s="1"/>
        <i x="4" s="1"/>
        <i x="2" s="1"/>
        <i x="6" s="1" nd="1"/>
        <i x="8" s="1" nd="1"/>
        <i x="7"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Especialidade" xr10:uid="{5533AF4E-C20D-458E-AF7D-22D1B39023F0}" sourceName="Especialidade">
  <pivotTables>
    <pivotTable tabId="10" name="Tabela dinâmica6"/>
    <pivotTable tabId="3" name="Tabela dinâmica3"/>
    <pivotTable tabId="5" name="Tabela dinâmica3"/>
    <pivotTable tabId="2" name="Tabela dinâmica3"/>
    <pivotTable tabId="4" name="Tabela dinâmica3"/>
    <pivotTable tabId="6" name="Tabela dinâmica3"/>
    <pivotTable tabId="9" name="Tabela dinâmica5"/>
    <pivotTable tabId="7" name="Tabela dinâmica3"/>
    <pivotTable tabId="13" name="Tabela dinâmica8"/>
  </pivotTables>
  <data>
    <tabular pivotCacheId="451347609">
      <items count="17">
        <i x="1" s="1"/>
        <i x="3" s="1"/>
        <i x="0" s="1"/>
        <i x="5" s="1"/>
        <i x="2" s="1"/>
        <i x="4" s="1"/>
        <i x="6" s="1" nd="1"/>
        <i x="9" s="1" nd="1"/>
        <i x="16" s="1" nd="1"/>
        <i x="12" s="1" nd="1"/>
        <i x="7" s="1" nd="1"/>
        <i x="14" s="1" nd="1"/>
        <i x="11" s="1" nd="1"/>
        <i x="10" s="1" nd="1"/>
        <i x="13" s="1" nd="1"/>
        <i x="8" s="1" nd="1"/>
        <i x="1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º_da_Pesquisa" xr10:uid="{BBF40DEE-3D15-4C1D-8B8C-DCC0AB6371E9}" sourceName="Nº da Pesquisa">
  <pivotTables>
    <pivotTable tabId="2" name="Tabela dinâmica3"/>
    <pivotTable tabId="3" name="Tabela dinâmica3"/>
    <pivotTable tabId="5" name="Tabela dinâmica3"/>
    <pivotTable tabId="4" name="Tabela dinâmica3"/>
    <pivotTable tabId="6" name="Tabela dinâmica3"/>
    <pivotTable tabId="9" name="Tabela dinâmica5"/>
    <pivotTable tabId="13" name="Tabela dinâmica8"/>
    <pivotTable tabId="10" name="Tabela dinâmica6"/>
    <pivotTable tabId="7" name="Tabela dinâmica3"/>
  </pivotTables>
  <data>
    <tabular pivotCacheId="451347609">
      <items count="5">
        <i x="0" s="1"/>
        <i x="1" s="1"/>
        <i x="2"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ês" xr10:uid="{C270C9C4-EF58-4BD8-9749-4671428D28A3}" cache="SegmentaçãodeDados_Mês" caption="Mês" style="SlicerStyleDark1" rowHeight="234950"/>
  <slicer name="Especialidade" xr10:uid="{C38C44D8-95D4-4990-9DC2-284B93E36086}" cache="SegmentaçãodeDados_Especialidade" caption="Especialidade" style="SlicerStyleDark1" rowHeight="234950"/>
  <slicer name="Nº da Pesquisa" xr10:uid="{87FFAFA8-C568-42D5-BC0E-76026BF2D362}" cache="SegmentaçãodeDados_Nº_da_Pesquisa" caption="Nº da Pesquisa"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DCB732-BFFB-4706-806B-EEF5C43759F7}" name="Tabela1" displayName="Tabela1" ref="A1:K145" totalsRowShown="0" headerRowDxfId="25" dataDxfId="23" headerRowBorderDxfId="24" tableBorderDxfId="22">
  <autoFilter ref="A1:K145" xr:uid="{71DCB732-BFFB-4706-806B-EEF5C43759F7}"/>
  <tableColumns count="11">
    <tableColumn id="1" xr3:uid="{667D50D4-E2CA-41AF-91F5-67ACD96B81C1}" name="Data da Pesquisa" dataDxfId="21"/>
    <tableColumn id="12" xr3:uid="{9DF06508-CD5E-4B5B-A07B-2EA1FCD597ED}" name="Mês" dataDxfId="20">
      <calculatedColumnFormula>IF(Tabela1[[#This Row],[Data da Pesquisa]]="","",TEXT(Tabela1[[#This Row],[Data da Pesquisa]],"mmm-aa"))</calculatedColumnFormula>
    </tableColumn>
    <tableColumn id="2" xr3:uid="{B5D3A937-0787-4CA7-8146-D00B1A64E075}" name="Nº da Pesquisa" dataDxfId="19"/>
    <tableColumn id="3" xr3:uid="{0A1DDEB6-36D4-4E58-8AD0-8D3130F4BD6A}" name="Especialidade" dataDxfId="18"/>
    <tableColumn id="4" xr3:uid="{EB6D5112-BCE6-4FFA-98CE-10780D42C55B}" name="Estado" dataDxfId="17"/>
    <tableColumn id="6" xr3:uid="{FE306383-97BB-4AE0-BAD0-4363EFC283E1}" name="Acessibilidade" dataDxfId="16"/>
    <tableColumn id="7" xr3:uid="{C1FB0879-7338-4CFA-A4C1-E6C827ED4BD9}" name="Estrutura física" dataDxfId="15"/>
    <tableColumn id="8" xr3:uid="{41F08768-4A8D-4581-8522-7635988323D9}" name="Ambiente limpo" dataDxfId="14"/>
    <tableColumn id="9" xr3:uid="{D43C560D-2D30-4136-B871-B57182927A36}" name="Funcionários atenciosos" dataDxfId="13"/>
    <tableColumn id="10" xr3:uid="{1F9B50BA-FAC8-4C22-80E4-09783EECB412}" name="Resolveu seu problema " dataDxfId="12"/>
    <tableColumn id="11" xr3:uid="{ED30420D-4933-4C83-BD21-CC00CA0826E3}" name="Informações claras" dataDxfId="11"/>
  </tableColumns>
  <tableStyleInfo name="TableStyleMedium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D3EC2-B2DE-4661-BB6E-CDF2979159D2}">
  <dimension ref="A1:B8"/>
  <sheetViews>
    <sheetView workbookViewId="0">
      <selection activeCell="A5" sqref="A5"/>
    </sheetView>
  </sheetViews>
  <sheetFormatPr defaultRowHeight="14.4" x14ac:dyDescent="0.3"/>
  <cols>
    <col min="1" max="1" width="23.109375" bestFit="1" customWidth="1"/>
    <col min="2" max="2" width="27.33203125" bestFit="1" customWidth="1"/>
  </cols>
  <sheetData>
    <row r="1" spans="1:2" x14ac:dyDescent="0.3">
      <c r="A1" s="1" t="s">
        <v>0</v>
      </c>
      <c r="B1" t="s">
        <v>1</v>
      </c>
    </row>
    <row r="2" spans="1:2" x14ac:dyDescent="0.3">
      <c r="A2" s="2" t="s">
        <v>62</v>
      </c>
      <c r="B2">
        <v>28</v>
      </c>
    </row>
    <row r="3" spans="1:2" x14ac:dyDescent="0.3">
      <c r="A3" s="2" t="s">
        <v>63</v>
      </c>
      <c r="B3">
        <v>16</v>
      </c>
    </row>
    <row r="4" spans="1:2" x14ac:dyDescent="0.3">
      <c r="A4" s="2" t="s">
        <v>64</v>
      </c>
      <c r="B4">
        <v>11</v>
      </c>
    </row>
    <row r="5" spans="1:2" x14ac:dyDescent="0.3">
      <c r="A5" s="2" t="s">
        <v>66</v>
      </c>
      <c r="B5">
        <v>1</v>
      </c>
    </row>
    <row r="6" spans="1:2" x14ac:dyDescent="0.3">
      <c r="A6" s="2" t="s">
        <v>65</v>
      </c>
      <c r="B6">
        <v>6</v>
      </c>
    </row>
    <row r="7" spans="1:2" x14ac:dyDescent="0.3">
      <c r="A7" s="2" t="s">
        <v>67</v>
      </c>
      <c r="B7">
        <v>82</v>
      </c>
    </row>
    <row r="8" spans="1:2" x14ac:dyDescent="0.3">
      <c r="A8" s="2" t="s">
        <v>2</v>
      </c>
      <c r="B8">
        <v>144</v>
      </c>
    </row>
  </sheetData>
  <pageMargins left="0.511811024" right="0.511811024" top="0.78740157499999996" bottom="0.78740157499999996" header="0.31496062000000002" footer="0.31496062000000002"/>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D9DA-4328-419E-9987-CC1641D89CF9}">
  <dimension ref="A1:B7"/>
  <sheetViews>
    <sheetView workbookViewId="0">
      <selection activeCell="AA31" sqref="AA31"/>
    </sheetView>
  </sheetViews>
  <sheetFormatPr defaultRowHeight="14.4" x14ac:dyDescent="0.3"/>
  <cols>
    <col min="1" max="1" width="17.21875" bestFit="1" customWidth="1"/>
    <col min="2" max="2" width="16.33203125" bestFit="1" customWidth="1"/>
  </cols>
  <sheetData>
    <row r="1" spans="1:2" x14ac:dyDescent="0.3">
      <c r="A1" s="1" t="s">
        <v>0</v>
      </c>
      <c r="B1" t="s">
        <v>3</v>
      </c>
    </row>
    <row r="2" spans="1:2" x14ac:dyDescent="0.3">
      <c r="A2" s="2" t="s">
        <v>4</v>
      </c>
      <c r="B2">
        <v>30</v>
      </c>
    </row>
    <row r="3" spans="1:2" x14ac:dyDescent="0.3">
      <c r="A3" s="2" t="s">
        <v>5</v>
      </c>
      <c r="B3">
        <v>28</v>
      </c>
    </row>
    <row r="4" spans="1:2" x14ac:dyDescent="0.3">
      <c r="A4" s="2" t="s">
        <v>6</v>
      </c>
      <c r="B4">
        <v>31</v>
      </c>
    </row>
    <row r="5" spans="1:2" x14ac:dyDescent="0.3">
      <c r="A5" s="2" t="s">
        <v>7</v>
      </c>
      <c r="B5">
        <v>26</v>
      </c>
    </row>
    <row r="6" spans="1:2" x14ac:dyDescent="0.3">
      <c r="A6" s="2" t="s">
        <v>68</v>
      </c>
      <c r="B6">
        <v>29</v>
      </c>
    </row>
    <row r="7" spans="1:2" x14ac:dyDescent="0.3">
      <c r="A7" s="2" t="s">
        <v>2</v>
      </c>
      <c r="B7">
        <v>144</v>
      </c>
    </row>
  </sheetData>
  <pageMargins left="0.511811024" right="0.511811024" top="0.78740157499999996" bottom="0.78740157499999996" header="0.31496062000000002" footer="0.31496062000000002"/>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28ACD-EDCF-424A-A7AC-76D149D0ABE3}">
  <dimension ref="A1:G15"/>
  <sheetViews>
    <sheetView workbookViewId="0">
      <selection activeCell="B17" sqref="B17"/>
    </sheetView>
  </sheetViews>
  <sheetFormatPr defaultRowHeight="14.4" x14ac:dyDescent="0.3"/>
  <cols>
    <col min="1" max="2" width="25.6640625" bestFit="1" customWidth="1"/>
    <col min="4" max="4" width="18.44140625" bestFit="1" customWidth="1"/>
  </cols>
  <sheetData>
    <row r="1" spans="1:7" x14ac:dyDescent="0.3">
      <c r="A1" t="s">
        <v>8</v>
      </c>
    </row>
    <row r="2" spans="1:7" x14ac:dyDescent="0.3">
      <c r="A2">
        <v>144</v>
      </c>
      <c r="D2">
        <f>IF(IF(IF(A2="(VAZIO)","",A2)="TOTAL GERAL","",IF(A2="(VAZIO)","",A2))=0,"",IF(IF(A2="(VAZIO)","",A2)="TOTAL GERAL","",IF(A2="(VAZIO)","",A2)))</f>
        <v>144</v>
      </c>
      <c r="E2">
        <f>IFERROR(VLOOKUP(D2,A:B,2,0),"")</f>
        <v>0</v>
      </c>
      <c r="G2">
        <f>D2</f>
        <v>144</v>
      </c>
    </row>
    <row r="3" spans="1:7" x14ac:dyDescent="0.3">
      <c r="D3" t="str">
        <f t="shared" ref="D3:D15" si="0">IF(IF(IF(A3="(VAZIO)","",A3)="TOTAL GERAL","",IF(A3="(VAZIO)","",A3))=0,"",IF(IF(A3="(VAZIO)","",A3)="TOTAL GERAL","",IF(A3="(VAZIO)","",A3)))</f>
        <v/>
      </c>
      <c r="E3" t="str">
        <f t="shared" ref="E3:E15" si="1">IFERROR(VLOOKUP(D3,A:B,2,0),"")</f>
        <v/>
      </c>
    </row>
    <row r="4" spans="1:7" x14ac:dyDescent="0.3">
      <c r="D4" t="str">
        <f t="shared" si="0"/>
        <v/>
      </c>
      <c r="E4" t="str">
        <f t="shared" si="1"/>
        <v/>
      </c>
    </row>
    <row r="5" spans="1:7" x14ac:dyDescent="0.3">
      <c r="D5" t="str">
        <f t="shared" si="0"/>
        <v/>
      </c>
      <c r="E5" t="str">
        <f t="shared" si="1"/>
        <v/>
      </c>
    </row>
    <row r="6" spans="1:7" x14ac:dyDescent="0.3">
      <c r="D6" t="str">
        <f t="shared" si="0"/>
        <v/>
      </c>
      <c r="E6" t="str">
        <f t="shared" si="1"/>
        <v/>
      </c>
    </row>
    <row r="7" spans="1:7" x14ac:dyDescent="0.3">
      <c r="D7" t="str">
        <f t="shared" si="0"/>
        <v/>
      </c>
      <c r="E7" t="str">
        <f t="shared" si="1"/>
        <v/>
      </c>
    </row>
    <row r="8" spans="1:7" x14ac:dyDescent="0.3">
      <c r="D8" t="str">
        <f t="shared" si="0"/>
        <v/>
      </c>
      <c r="E8" t="str">
        <f t="shared" si="1"/>
        <v/>
      </c>
    </row>
    <row r="9" spans="1:7" x14ac:dyDescent="0.3">
      <c r="D9" t="str">
        <f t="shared" si="0"/>
        <v/>
      </c>
      <c r="E9" t="str">
        <f t="shared" si="1"/>
        <v/>
      </c>
    </row>
    <row r="10" spans="1:7" x14ac:dyDescent="0.3">
      <c r="D10" t="str">
        <f t="shared" si="0"/>
        <v/>
      </c>
      <c r="E10" t="str">
        <f t="shared" si="1"/>
        <v/>
      </c>
    </row>
    <row r="11" spans="1:7" x14ac:dyDescent="0.3">
      <c r="D11" t="str">
        <f t="shared" si="0"/>
        <v/>
      </c>
      <c r="E11" t="str">
        <f t="shared" si="1"/>
        <v/>
      </c>
    </row>
    <row r="12" spans="1:7" x14ac:dyDescent="0.3">
      <c r="D12" t="str">
        <f t="shared" si="0"/>
        <v/>
      </c>
      <c r="E12" t="str">
        <f t="shared" si="1"/>
        <v/>
      </c>
    </row>
    <row r="13" spans="1:7" x14ac:dyDescent="0.3">
      <c r="D13" t="str">
        <f t="shared" si="0"/>
        <v/>
      </c>
      <c r="E13" t="str">
        <f t="shared" si="1"/>
        <v/>
      </c>
    </row>
    <row r="14" spans="1:7" x14ac:dyDescent="0.3">
      <c r="D14" t="str">
        <f t="shared" si="0"/>
        <v/>
      </c>
      <c r="E14" t="str">
        <f t="shared" si="1"/>
        <v/>
      </c>
    </row>
    <row r="15" spans="1:7" x14ac:dyDescent="0.3">
      <c r="D15" t="str">
        <f t="shared" si="0"/>
        <v/>
      </c>
      <c r="E15" t="str">
        <f t="shared" si="1"/>
        <v/>
      </c>
    </row>
  </sheetData>
  <pageMargins left="0.511811024" right="0.511811024" top="0.78740157499999996" bottom="0.78740157499999996" header="0.31496062000000002" footer="0.31496062000000002"/>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3E20F-1F2A-4590-9C71-9A9DC7D21EA9}">
  <dimension ref="B2:N21"/>
  <sheetViews>
    <sheetView zoomScale="85" zoomScaleNormal="85" workbookViewId="0">
      <selection activeCell="C27" sqref="C27"/>
    </sheetView>
  </sheetViews>
  <sheetFormatPr defaultColWidth="8.88671875" defaultRowHeight="14.4" x14ac:dyDescent="0.3"/>
  <cols>
    <col min="1" max="1" width="2.44140625" style="10" customWidth="1"/>
    <col min="2" max="2" width="23.5546875" style="10" bestFit="1" customWidth="1"/>
    <col min="3" max="3" width="98.44140625" style="10" bestFit="1" customWidth="1"/>
    <col min="4" max="4" width="14.44140625" style="10" bestFit="1" customWidth="1"/>
    <col min="5" max="5" width="5.5546875" style="10" bestFit="1" customWidth="1"/>
    <col min="6" max="6" width="4.109375" style="10" bestFit="1" customWidth="1"/>
    <col min="7" max="7" width="4.5546875" style="10" bestFit="1" customWidth="1"/>
    <col min="8" max="8" width="17.88671875" style="10" bestFit="1" customWidth="1"/>
    <col min="9" max="9" width="11.5546875" style="10" bestFit="1" customWidth="1"/>
    <col min="10" max="10" width="10.5546875" style="10" bestFit="1" customWidth="1"/>
    <col min="11" max="11" width="13" style="10" bestFit="1" customWidth="1"/>
    <col min="12" max="12" width="19.44140625" style="10" bestFit="1" customWidth="1"/>
    <col min="13" max="13" width="31.44140625" style="10" customWidth="1"/>
    <col min="14" max="16384" width="8.88671875" style="10"/>
  </cols>
  <sheetData>
    <row r="2" spans="2:14" ht="30" customHeight="1" x14ac:dyDescent="0.3">
      <c r="B2" s="30" t="s">
        <v>9</v>
      </c>
      <c r="C2" s="30"/>
      <c r="D2" s="30"/>
      <c r="E2" s="30"/>
      <c r="F2" s="30"/>
      <c r="G2" s="30"/>
      <c r="H2" s="30"/>
      <c r="I2" s="30"/>
      <c r="J2" s="30"/>
      <c r="K2" s="30"/>
      <c r="L2" s="30"/>
    </row>
    <row r="4" spans="2:14" s="11" customFormat="1" ht="20.100000000000001" customHeight="1" x14ac:dyDescent="0.3">
      <c r="B4" s="30" t="s">
        <v>10</v>
      </c>
      <c r="C4" s="31" t="s">
        <v>11</v>
      </c>
      <c r="D4" s="31"/>
      <c r="E4" s="31"/>
      <c r="F4" s="31"/>
      <c r="G4" s="31"/>
      <c r="H4" s="31"/>
      <c r="I4" s="31"/>
      <c r="J4" s="31"/>
      <c r="K4" s="31"/>
      <c r="L4" s="31"/>
    </row>
    <row r="5" spans="2:14" s="11" customFormat="1" ht="20.100000000000001" customHeight="1" x14ac:dyDescent="0.3">
      <c r="B5" s="30"/>
      <c r="C5" s="32" t="s">
        <v>12</v>
      </c>
      <c r="D5" s="32"/>
      <c r="E5" s="32"/>
      <c r="F5" s="32"/>
      <c r="G5" s="32"/>
      <c r="H5" s="32"/>
      <c r="I5" s="32"/>
      <c r="J5" s="32"/>
      <c r="K5" s="32"/>
      <c r="L5" s="32"/>
    </row>
    <row r="6" spans="2:14" x14ac:dyDescent="0.3">
      <c r="B6" s="33" t="s">
        <v>13</v>
      </c>
      <c r="C6" s="34"/>
      <c r="D6" s="34"/>
      <c r="E6" s="34"/>
      <c r="F6" s="34"/>
      <c r="G6" s="34"/>
      <c r="H6" s="34"/>
      <c r="I6" s="34"/>
      <c r="J6" s="34"/>
      <c r="K6" s="34"/>
      <c r="L6" s="34"/>
    </row>
    <row r="7" spans="2:14" ht="20.100000000000001" customHeight="1" x14ac:dyDescent="0.3">
      <c r="B7" s="39" t="s">
        <v>14</v>
      </c>
      <c r="C7" s="14" t="s">
        <v>15</v>
      </c>
      <c r="D7" s="40" t="s">
        <v>16</v>
      </c>
      <c r="E7" s="40"/>
      <c r="F7" s="40"/>
      <c r="G7" s="40"/>
      <c r="H7" s="40"/>
      <c r="I7" s="40"/>
      <c r="J7" s="40"/>
      <c r="K7" s="40"/>
      <c r="L7" s="14" t="s">
        <v>17</v>
      </c>
      <c r="M7" s="12"/>
      <c r="N7" s="12"/>
    </row>
    <row r="8" spans="2:14" ht="20.100000000000001" customHeight="1" x14ac:dyDescent="0.3">
      <c r="B8" s="39"/>
      <c r="C8" s="19" t="s">
        <v>18</v>
      </c>
      <c r="D8" s="36" t="s">
        <v>19</v>
      </c>
      <c r="E8" s="36"/>
      <c r="F8" s="36"/>
      <c r="G8" s="36"/>
      <c r="H8" s="36"/>
      <c r="I8" s="36"/>
      <c r="J8" s="36"/>
      <c r="K8" s="36"/>
      <c r="L8" s="15">
        <v>10</v>
      </c>
      <c r="M8" s="13"/>
      <c r="N8" s="13"/>
    </row>
    <row r="9" spans="2:14" ht="20.100000000000001" customHeight="1" x14ac:dyDescent="0.3">
      <c r="B9" s="39"/>
      <c r="C9" s="16" t="s">
        <v>20</v>
      </c>
      <c r="D9" s="36" t="s">
        <v>21</v>
      </c>
      <c r="E9" s="36"/>
      <c r="F9" s="36"/>
      <c r="G9" s="36"/>
      <c r="H9" s="36"/>
      <c r="I9" s="36"/>
      <c r="J9" s="36"/>
      <c r="K9" s="36"/>
      <c r="L9" s="15">
        <v>9</v>
      </c>
      <c r="M9" s="13"/>
      <c r="N9" s="13"/>
    </row>
    <row r="10" spans="2:14" ht="20.100000000000001" customHeight="1" x14ac:dyDescent="0.3">
      <c r="B10" s="39"/>
      <c r="C10" s="17"/>
      <c r="D10" s="36" t="s">
        <v>22</v>
      </c>
      <c r="E10" s="36"/>
      <c r="F10" s="36"/>
      <c r="G10" s="36"/>
      <c r="H10" s="36"/>
      <c r="I10" s="36"/>
      <c r="J10" s="36"/>
      <c r="K10" s="36"/>
      <c r="L10" s="15">
        <v>8</v>
      </c>
      <c r="M10" s="13"/>
      <c r="N10" s="13"/>
    </row>
    <row r="11" spans="2:14" ht="20.100000000000001" customHeight="1" x14ac:dyDescent="0.3">
      <c r="B11" s="39"/>
      <c r="C11" s="17"/>
      <c r="D11" s="36" t="s">
        <v>23</v>
      </c>
      <c r="E11" s="36"/>
      <c r="F11" s="36"/>
      <c r="G11" s="36"/>
      <c r="H11" s="36"/>
      <c r="I11" s="36"/>
      <c r="J11" s="36"/>
      <c r="K11" s="36"/>
      <c r="L11" s="15">
        <v>7</v>
      </c>
      <c r="M11" s="13"/>
      <c r="N11" s="13"/>
    </row>
    <row r="12" spans="2:14" ht="20.100000000000001" customHeight="1" x14ac:dyDescent="0.3">
      <c r="B12" s="39"/>
      <c r="C12" s="17"/>
      <c r="D12" s="36" t="s">
        <v>24</v>
      </c>
      <c r="E12" s="36"/>
      <c r="F12" s="36"/>
      <c r="G12" s="36"/>
      <c r="H12" s="36"/>
      <c r="I12" s="36"/>
      <c r="J12" s="36"/>
      <c r="K12" s="36"/>
      <c r="L12" s="15">
        <v>6</v>
      </c>
      <c r="M12" s="13"/>
      <c r="N12" s="13"/>
    </row>
    <row r="14" spans="2:14" x14ac:dyDescent="0.3">
      <c r="B14" s="37" t="s">
        <v>25</v>
      </c>
      <c r="C14" s="37"/>
      <c r="D14" s="37"/>
      <c r="E14" s="37"/>
      <c r="F14" s="37"/>
      <c r="G14" s="37"/>
      <c r="H14" s="37"/>
      <c r="I14" s="37"/>
      <c r="J14" s="37"/>
      <c r="K14" s="37"/>
      <c r="L14" s="37"/>
    </row>
    <row r="15" spans="2:14" s="13" customFormat="1" ht="20.100000000000001" customHeight="1" x14ac:dyDescent="0.3">
      <c r="B15" s="18" t="s">
        <v>26</v>
      </c>
      <c r="C15" s="18" t="s">
        <v>27</v>
      </c>
      <c r="D15" s="38" t="s">
        <v>28</v>
      </c>
      <c r="E15" s="38"/>
      <c r="F15" s="18" t="str">
        <f>C8</f>
        <v>Sim</v>
      </c>
      <c r="G15" s="18" t="str">
        <f>C9</f>
        <v>Não</v>
      </c>
      <c r="H15" s="18" t="str">
        <f>D8</f>
        <v>Muito Satisfeito(a)</v>
      </c>
      <c r="I15" s="18" t="str">
        <f>D9</f>
        <v>Satisfeito(a)</v>
      </c>
      <c r="J15" s="18" t="str">
        <f>D10</f>
        <v>Indiferente</v>
      </c>
      <c r="K15" s="18" t="str">
        <f>D11</f>
        <v>Insatisfeito(a)</v>
      </c>
      <c r="L15" s="18" t="str">
        <f>D12</f>
        <v>Muito insatisfeito(a)</v>
      </c>
    </row>
    <row r="16" spans="2:14" s="13" customFormat="1" ht="20.100000000000001" customHeight="1" x14ac:dyDescent="0.3">
      <c r="B16" s="20">
        <v>1</v>
      </c>
      <c r="C16" s="21" t="s">
        <v>29</v>
      </c>
      <c r="D16" s="35" t="s">
        <v>30</v>
      </c>
      <c r="E16" s="35"/>
      <c r="F16" s="21" t="str">
        <f t="shared" ref="F16:G21" si="0">IF($D16=$C$7,"","--")</f>
        <v>--</v>
      </c>
      <c r="G16" s="21" t="str">
        <f t="shared" si="0"/>
        <v>--</v>
      </c>
      <c r="H16" s="21" t="str">
        <f>IF($D16=$D$7,"","--")</f>
        <v/>
      </c>
      <c r="I16" s="21" t="str">
        <f>IF($D16=$D$7,"","--")</f>
        <v/>
      </c>
      <c r="J16" s="21" t="str">
        <f>IF($D16=$D$7,"","--")</f>
        <v/>
      </c>
      <c r="K16" s="21" t="str">
        <f>IF($D16=$D$7,"","--")</f>
        <v/>
      </c>
      <c r="L16" s="21" t="str">
        <f>IF($D16=$D$7,"","--")</f>
        <v/>
      </c>
    </row>
    <row r="17" spans="2:12" s="13" customFormat="1" ht="20.100000000000001" customHeight="1" x14ac:dyDescent="0.3">
      <c r="B17" s="20">
        <v>2</v>
      </c>
      <c r="C17" s="21" t="s">
        <v>31</v>
      </c>
      <c r="D17" s="35" t="s">
        <v>30</v>
      </c>
      <c r="E17" s="35"/>
      <c r="F17" s="21" t="str">
        <f t="shared" si="0"/>
        <v>--</v>
      </c>
      <c r="G17" s="21" t="str">
        <f t="shared" si="0"/>
        <v>--</v>
      </c>
      <c r="H17" s="21" t="str">
        <f t="shared" ref="H17:L21" si="1">IF($D17=$D$7,"","--")</f>
        <v/>
      </c>
      <c r="I17" s="21" t="str">
        <f t="shared" si="1"/>
        <v/>
      </c>
      <c r="J17" s="21" t="str">
        <f t="shared" si="1"/>
        <v/>
      </c>
      <c r="K17" s="21" t="str">
        <f t="shared" si="1"/>
        <v/>
      </c>
      <c r="L17" s="21" t="str">
        <f t="shared" si="1"/>
        <v/>
      </c>
    </row>
    <row r="18" spans="2:12" s="13" customFormat="1" ht="20.100000000000001" customHeight="1" x14ac:dyDescent="0.3">
      <c r="B18" s="20">
        <v>3</v>
      </c>
      <c r="C18" s="21" t="s">
        <v>32</v>
      </c>
      <c r="D18" s="35" t="s">
        <v>30</v>
      </c>
      <c r="E18" s="35"/>
      <c r="F18" s="21" t="str">
        <f t="shared" si="0"/>
        <v>--</v>
      </c>
      <c r="G18" s="21" t="str">
        <f t="shared" si="0"/>
        <v>--</v>
      </c>
      <c r="H18" s="21" t="str">
        <f t="shared" si="1"/>
        <v/>
      </c>
      <c r="I18" s="21" t="str">
        <f t="shared" si="1"/>
        <v/>
      </c>
      <c r="J18" s="21" t="str">
        <f t="shared" si="1"/>
        <v/>
      </c>
      <c r="K18" s="21" t="str">
        <f t="shared" si="1"/>
        <v/>
      </c>
      <c r="L18" s="21" t="str">
        <f t="shared" si="1"/>
        <v/>
      </c>
    </row>
    <row r="19" spans="2:12" s="13" customFormat="1" ht="20.100000000000001" customHeight="1" x14ac:dyDescent="0.3">
      <c r="B19" s="20">
        <v>4</v>
      </c>
      <c r="C19" s="21" t="s">
        <v>33</v>
      </c>
      <c r="D19" s="35" t="s">
        <v>30</v>
      </c>
      <c r="E19" s="35"/>
      <c r="F19" s="21" t="str">
        <f t="shared" si="0"/>
        <v>--</v>
      </c>
      <c r="G19" s="21" t="str">
        <f t="shared" si="0"/>
        <v>--</v>
      </c>
      <c r="H19" s="21" t="str">
        <f t="shared" si="1"/>
        <v/>
      </c>
      <c r="I19" s="21" t="str">
        <f t="shared" si="1"/>
        <v/>
      </c>
      <c r="J19" s="21" t="str">
        <f t="shared" si="1"/>
        <v/>
      </c>
      <c r="K19" s="21" t="str">
        <f t="shared" si="1"/>
        <v/>
      </c>
      <c r="L19" s="21" t="str">
        <f t="shared" si="1"/>
        <v/>
      </c>
    </row>
    <row r="20" spans="2:12" s="13" customFormat="1" ht="20.100000000000001" customHeight="1" x14ac:dyDescent="0.3">
      <c r="B20" s="20">
        <v>5</v>
      </c>
      <c r="C20" s="21" t="s">
        <v>34</v>
      </c>
      <c r="D20" s="35" t="s">
        <v>30</v>
      </c>
      <c r="E20" s="35"/>
      <c r="F20" s="21" t="str">
        <f t="shared" si="0"/>
        <v>--</v>
      </c>
      <c r="G20" s="21" t="str">
        <f t="shared" si="0"/>
        <v>--</v>
      </c>
      <c r="H20" s="21" t="str">
        <f t="shared" si="1"/>
        <v/>
      </c>
      <c r="I20" s="21" t="str">
        <f t="shared" si="1"/>
        <v/>
      </c>
      <c r="J20" s="21" t="str">
        <f t="shared" si="1"/>
        <v/>
      </c>
      <c r="K20" s="21" t="str">
        <f t="shared" si="1"/>
        <v/>
      </c>
      <c r="L20" s="21" t="str">
        <f t="shared" si="1"/>
        <v/>
      </c>
    </row>
    <row r="21" spans="2:12" s="13" customFormat="1" ht="20.100000000000001" customHeight="1" x14ac:dyDescent="0.3">
      <c r="B21" s="20">
        <v>6</v>
      </c>
      <c r="C21" s="21" t="s">
        <v>35</v>
      </c>
      <c r="D21" s="35" t="s">
        <v>30</v>
      </c>
      <c r="E21" s="35"/>
      <c r="F21" s="21" t="str">
        <f t="shared" si="0"/>
        <v>--</v>
      </c>
      <c r="G21" s="21" t="str">
        <f t="shared" si="0"/>
        <v>--</v>
      </c>
      <c r="H21" s="21" t="str">
        <f t="shared" si="1"/>
        <v/>
      </c>
      <c r="I21" s="21" t="str">
        <f t="shared" si="1"/>
        <v/>
      </c>
      <c r="J21" s="21" t="str">
        <f t="shared" si="1"/>
        <v/>
      </c>
      <c r="K21" s="21" t="str">
        <f t="shared" si="1"/>
        <v/>
      </c>
      <c r="L21" s="21" t="str">
        <f t="shared" si="1"/>
        <v/>
      </c>
    </row>
  </sheetData>
  <mergeCells count="20">
    <mergeCell ref="D18:E18"/>
    <mergeCell ref="D19:E19"/>
    <mergeCell ref="D20:E20"/>
    <mergeCell ref="D21:E21"/>
    <mergeCell ref="D11:K11"/>
    <mergeCell ref="D12:K12"/>
    <mergeCell ref="B14:L14"/>
    <mergeCell ref="D15:E15"/>
    <mergeCell ref="D16:E16"/>
    <mergeCell ref="D17:E17"/>
    <mergeCell ref="B7:B12"/>
    <mergeCell ref="D7:K7"/>
    <mergeCell ref="D8:K8"/>
    <mergeCell ref="D9:K9"/>
    <mergeCell ref="D10:K10"/>
    <mergeCell ref="B2:L2"/>
    <mergeCell ref="B4:B5"/>
    <mergeCell ref="C4:L4"/>
    <mergeCell ref="C5:L5"/>
    <mergeCell ref="B6:L6"/>
  </mergeCells>
  <conditionalFormatting sqref="C8">
    <cfRule type="containsText" dxfId="10" priority="2" operator="containsText" text="Sim">
      <formula>NOT(ISERROR(SEARCH("Sim",C8)))</formula>
    </cfRule>
  </conditionalFormatting>
  <conditionalFormatting sqref="C9">
    <cfRule type="containsText" dxfId="8" priority="1" operator="containsText" text="Não">
      <formula>NOT(ISERROR(SEARCH("Não",C9)))</formula>
    </cfRule>
  </conditionalFormatting>
  <conditionalFormatting sqref="D16:D21">
    <cfRule type="containsText" dxfId="2" priority="3" operator="containsText" text="Dicotômica">
      <formula>NOT(ISERROR(SEARCH("Dicotômica",D16)))</formula>
    </cfRule>
    <cfRule type="containsText" dxfId="1" priority="4" operator="containsText" text="Escalonada">
      <formula>NOT(ISERROR(SEARCH("Escalonada",D16)))</formula>
    </cfRule>
  </conditionalFormatting>
  <dataValidations count="2">
    <dataValidation type="list" allowBlank="1" showInputMessage="1" showErrorMessage="1" sqref="M21" xr:uid="{CECC99E3-A90A-4CFF-8F25-DC45E0940FE1}">
      <formula1>INDEX(D16:D21,MATCH(#REF!,C16:C21,0))</formula1>
    </dataValidation>
    <dataValidation type="list" allowBlank="1" showInputMessage="1" showErrorMessage="1" sqref="D16:D21" xr:uid="{3439B9EE-CABD-429E-AD58-1DDCF9522B3A}">
      <formula1>"Dicotômica, Escalonada"</formula1>
    </dataValidation>
  </dataValidations>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0" operator="containsText" id="{DC9D00A2-5E80-4547-9AA4-F17B95D6DFDE}">
            <xm:f>NOT(ISERROR(SEARCH($C$8,C8)))</xm:f>
            <xm:f>$C$8</xm:f>
            <x14:dxf>
              <fill>
                <patternFill>
                  <bgColor rgb="FF92D050"/>
                </patternFill>
              </fill>
            </x14:dxf>
          </x14:cfRule>
          <xm:sqref>C8</xm:sqref>
        </x14:conditionalFormatting>
        <x14:conditionalFormatting xmlns:xm="http://schemas.microsoft.com/office/excel/2006/main">
          <x14:cfRule type="containsText" priority="9" operator="containsText" id="{607F612F-45F8-43E3-9D3E-B9BAAE73D828}">
            <xm:f>NOT(ISERROR(SEARCH($D$8,D8)))</xm:f>
            <xm:f>$D$8</xm:f>
            <x14:dxf>
              <fill>
                <patternFill>
                  <bgColor theme="9" tint="0.39994506668294322"/>
                </patternFill>
              </fill>
            </x14:dxf>
          </x14:cfRule>
          <xm:sqref>D8</xm:sqref>
        </x14:conditionalFormatting>
        <x14:conditionalFormatting xmlns:xm="http://schemas.microsoft.com/office/excel/2006/main">
          <x14:cfRule type="containsText" priority="8" operator="containsText" id="{744CF38B-8A0E-4543-B68E-C08C60AA8A92}">
            <xm:f>NOT(ISERROR(SEARCH($D$9,D9)))</xm:f>
            <xm:f>$D$9</xm:f>
            <x14:dxf>
              <fill>
                <patternFill>
                  <bgColor theme="9" tint="0.39994506668294322"/>
                </patternFill>
              </fill>
            </x14:dxf>
          </x14:cfRule>
          <xm:sqref>D9</xm:sqref>
        </x14:conditionalFormatting>
        <x14:conditionalFormatting xmlns:xm="http://schemas.microsoft.com/office/excel/2006/main">
          <x14:cfRule type="containsText" priority="7" operator="containsText" id="{E04B9755-EF48-48A0-901E-AC833E20F6DB}">
            <xm:f>NOT(ISERROR(SEARCH($D$10,D10)))</xm:f>
            <xm:f>$D$10</xm:f>
            <x14:dxf>
              <fill>
                <patternFill>
                  <bgColor rgb="FF757575"/>
                </patternFill>
              </fill>
            </x14:dxf>
          </x14:cfRule>
          <xm:sqref>D10</xm:sqref>
        </x14:conditionalFormatting>
        <x14:conditionalFormatting xmlns:xm="http://schemas.microsoft.com/office/excel/2006/main">
          <x14:cfRule type="containsText" priority="6" operator="containsText" id="{649926CA-F563-4163-9C12-FAE0A4E2CED9}">
            <xm:f>NOT(ISERROR(SEARCH($D$11,D11)))</xm:f>
            <xm:f>$D$11</xm:f>
            <x14:dxf>
              <fill>
                <patternFill>
                  <bgColor rgb="FFFF7575"/>
                </patternFill>
              </fill>
            </x14:dxf>
          </x14:cfRule>
          <xm:sqref>D11</xm:sqref>
        </x14:conditionalFormatting>
        <x14:conditionalFormatting xmlns:xm="http://schemas.microsoft.com/office/excel/2006/main">
          <x14:cfRule type="containsText" priority="5" operator="containsText" id="{398D8930-C70D-4379-BD7F-A95213ACBCFB}">
            <xm:f>NOT(ISERROR(SEARCH($D$12,D12)))</xm:f>
            <xm:f>$D$12</xm:f>
            <x14:dxf>
              <fill>
                <patternFill>
                  <bgColor rgb="FFFF7575"/>
                </patternFill>
              </fill>
            </x14:dxf>
          </x14:cfRule>
          <xm:sqref>D12</xm:sqref>
        </x14:conditionalFormatting>
        <x14:conditionalFormatting xmlns:xm="http://schemas.microsoft.com/office/excel/2006/main">
          <x14:cfRule type="containsText" priority="11" operator="containsText" id="{305AA5E0-51AD-458C-B289-379606D75E86}">
            <xm:f>NOT(ISERROR(SEARCH($F$16,F16)))</xm:f>
            <xm:f>$F$16</xm:f>
            <x14:dxf>
              <fill>
                <patternFill>
                  <bgColor theme="6" tint="0.59996337778862885"/>
                </patternFill>
              </fill>
            </x14:dxf>
          </x14:cfRule>
          <xm:sqref>F16:L21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64E85-4DE3-46BF-8247-6617278545BE}">
  <dimension ref="A1:K145"/>
  <sheetViews>
    <sheetView showGridLines="0" tabSelected="1" zoomScale="70" zoomScaleNormal="70" workbookViewId="0">
      <selection activeCell="M8" sqref="M8"/>
    </sheetView>
  </sheetViews>
  <sheetFormatPr defaultRowHeight="14.4" x14ac:dyDescent="0.3"/>
  <cols>
    <col min="1" max="1" width="23.5546875" bestFit="1" customWidth="1"/>
    <col min="2" max="2" width="12.5546875" hidden="1" customWidth="1"/>
    <col min="3" max="3" width="21.5546875" bestFit="1" customWidth="1"/>
    <col min="4" max="4" width="20.77734375" customWidth="1"/>
    <col min="5" max="5" width="25.6640625" style="4" customWidth="1"/>
    <col min="6" max="7" width="21.5546875" style="4" bestFit="1" customWidth="1"/>
    <col min="8" max="8" width="23.5546875" style="4" bestFit="1" customWidth="1"/>
    <col min="9" max="9" width="30.6640625" style="4" bestFit="1" customWidth="1"/>
    <col min="10" max="10" width="30.109375" style="4" bestFit="1" customWidth="1"/>
    <col min="11" max="11" width="25.44140625" style="4" bestFit="1" customWidth="1"/>
  </cols>
  <sheetData>
    <row r="1" spans="1:11" ht="15.6" x14ac:dyDescent="0.3">
      <c r="A1" s="24" t="s">
        <v>36</v>
      </c>
      <c r="B1" s="25" t="s">
        <v>37</v>
      </c>
      <c r="C1" s="26" t="s">
        <v>38</v>
      </c>
      <c r="D1" s="26" t="s">
        <v>39</v>
      </c>
      <c r="E1" s="26" t="s">
        <v>58</v>
      </c>
      <c r="F1" s="27" t="s">
        <v>29</v>
      </c>
      <c r="G1" s="27" t="s">
        <v>31</v>
      </c>
      <c r="H1" s="27" t="s">
        <v>32</v>
      </c>
      <c r="I1" s="27" t="s">
        <v>33</v>
      </c>
      <c r="J1" s="27" t="s">
        <v>34</v>
      </c>
      <c r="K1" s="27" t="s">
        <v>35</v>
      </c>
    </row>
    <row r="2" spans="1:11" ht="15.6" x14ac:dyDescent="0.3">
      <c r="A2" s="22">
        <v>45658</v>
      </c>
      <c r="B2" s="22" t="str">
        <f>IF(Tabela1[[#This Row],[Data da Pesquisa]]="","",TEXT(Tabela1[[#This Row],[Data da Pesquisa]],"mmm-aa"))</f>
        <v>jan-25</v>
      </c>
      <c r="C2" s="23" t="s">
        <v>40</v>
      </c>
      <c r="D2" s="23" t="s">
        <v>62</v>
      </c>
      <c r="E2" s="23" t="s">
        <v>59</v>
      </c>
      <c r="F2" s="23" t="s">
        <v>19</v>
      </c>
      <c r="G2" s="23" t="s">
        <v>19</v>
      </c>
      <c r="H2" s="23" t="s">
        <v>19</v>
      </c>
      <c r="I2" s="23" t="s">
        <v>19</v>
      </c>
      <c r="J2" s="23" t="s">
        <v>19</v>
      </c>
      <c r="K2" s="23" t="s">
        <v>19</v>
      </c>
    </row>
    <row r="3" spans="1:11" ht="15.6" x14ac:dyDescent="0.3">
      <c r="A3" s="22">
        <v>45658</v>
      </c>
      <c r="B3" s="22" t="str">
        <f>IF(Tabela1[[#This Row],[Data da Pesquisa]]="","",TEXT(Tabela1[[#This Row],[Data da Pesquisa]],"mmm-aa"))</f>
        <v>jan-25</v>
      </c>
      <c r="C3" s="23" t="s">
        <v>40</v>
      </c>
      <c r="D3" s="23" t="s">
        <v>62</v>
      </c>
      <c r="E3" s="23" t="s">
        <v>59</v>
      </c>
      <c r="F3" s="23" t="s">
        <v>19</v>
      </c>
      <c r="G3" s="23" t="s">
        <v>19</v>
      </c>
      <c r="H3" s="23" t="s">
        <v>19</v>
      </c>
      <c r="I3" s="23" t="s">
        <v>19</v>
      </c>
      <c r="J3" s="23" t="s">
        <v>19</v>
      </c>
      <c r="K3" s="23" t="s">
        <v>19</v>
      </c>
    </row>
    <row r="4" spans="1:11" ht="15.6" x14ac:dyDescent="0.3">
      <c r="A4" s="22">
        <v>45658</v>
      </c>
      <c r="B4" s="22" t="str">
        <f>IF(Tabela1[[#This Row],[Data da Pesquisa]]="","",TEXT(Tabela1[[#This Row],[Data da Pesquisa]],"mmm-aa"))</f>
        <v>jan-25</v>
      </c>
      <c r="C4" s="23" t="s">
        <v>40</v>
      </c>
      <c r="D4" s="23" t="s">
        <v>62</v>
      </c>
      <c r="E4" s="23" t="s">
        <v>59</v>
      </c>
      <c r="F4" s="23" t="s">
        <v>19</v>
      </c>
      <c r="G4" s="23" t="s">
        <v>19</v>
      </c>
      <c r="H4" s="23" t="s">
        <v>19</v>
      </c>
      <c r="I4" s="23" t="s">
        <v>19</v>
      </c>
      <c r="J4" s="23" t="s">
        <v>19</v>
      </c>
      <c r="K4" s="23" t="s">
        <v>19</v>
      </c>
    </row>
    <row r="5" spans="1:11" ht="15.6" x14ac:dyDescent="0.3">
      <c r="A5" s="22">
        <v>45658</v>
      </c>
      <c r="B5" s="22" t="str">
        <f>IF(Tabela1[[#This Row],[Data da Pesquisa]]="","",TEXT(Tabela1[[#This Row],[Data da Pesquisa]],"mmm-aa"))</f>
        <v>jan-25</v>
      </c>
      <c r="C5" s="23" t="s">
        <v>40</v>
      </c>
      <c r="D5" s="23" t="s">
        <v>62</v>
      </c>
      <c r="E5" s="23" t="s">
        <v>59</v>
      </c>
      <c r="F5" s="23" t="s">
        <v>19</v>
      </c>
      <c r="G5" s="23" t="s">
        <v>19</v>
      </c>
      <c r="H5" s="23" t="s">
        <v>19</v>
      </c>
      <c r="I5" s="23" t="s">
        <v>19</v>
      </c>
      <c r="J5" s="23" t="s">
        <v>19</v>
      </c>
      <c r="K5" s="23" t="s">
        <v>19</v>
      </c>
    </row>
    <row r="6" spans="1:11" ht="15.6" x14ac:dyDescent="0.3">
      <c r="A6" s="22">
        <v>45658</v>
      </c>
      <c r="B6" s="22" t="str">
        <f>IF(Tabela1[[#This Row],[Data da Pesquisa]]="","",TEXT(Tabela1[[#This Row],[Data da Pesquisa]],"mmm-aa"))</f>
        <v>jan-25</v>
      </c>
      <c r="C6" s="23" t="s">
        <v>40</v>
      </c>
      <c r="D6" s="23" t="s">
        <v>62</v>
      </c>
      <c r="E6" s="23" t="s">
        <v>59</v>
      </c>
      <c r="F6" s="23" t="s">
        <v>19</v>
      </c>
      <c r="G6" s="23" t="s">
        <v>19</v>
      </c>
      <c r="H6" s="23" t="s">
        <v>19</v>
      </c>
      <c r="I6" s="23" t="s">
        <v>19</v>
      </c>
      <c r="J6" s="23" t="s">
        <v>19</v>
      </c>
      <c r="K6" s="23" t="s">
        <v>19</v>
      </c>
    </row>
    <row r="7" spans="1:11" ht="15.6" x14ac:dyDescent="0.3">
      <c r="A7" s="22">
        <v>45658</v>
      </c>
      <c r="B7" s="22" t="str">
        <f>IF(Tabela1[[#This Row],[Data da Pesquisa]]="","",TEXT(Tabela1[[#This Row],[Data da Pesquisa]],"mmm-aa"))</f>
        <v>jan-25</v>
      </c>
      <c r="C7" s="23" t="s">
        <v>40</v>
      </c>
      <c r="D7" s="23" t="s">
        <v>62</v>
      </c>
      <c r="E7" s="23" t="s">
        <v>59</v>
      </c>
      <c r="F7" s="23" t="s">
        <v>19</v>
      </c>
      <c r="G7" s="23" t="s">
        <v>19</v>
      </c>
      <c r="H7" s="23" t="s">
        <v>19</v>
      </c>
      <c r="I7" s="23" t="s">
        <v>19</v>
      </c>
      <c r="J7" s="23" t="s">
        <v>19</v>
      </c>
      <c r="K7" s="23" t="s">
        <v>19</v>
      </c>
    </row>
    <row r="8" spans="1:11" ht="15.6" x14ac:dyDescent="0.3">
      <c r="A8" s="22">
        <v>45658</v>
      </c>
      <c r="B8" s="22" t="str">
        <f>IF(Tabela1[[#This Row],[Data da Pesquisa]]="","",TEXT(Tabela1[[#This Row],[Data da Pesquisa]],"mmm-aa"))</f>
        <v>jan-25</v>
      </c>
      <c r="C8" s="23" t="s">
        <v>40</v>
      </c>
      <c r="D8" s="23" t="s">
        <v>62</v>
      </c>
      <c r="E8" s="23" t="s">
        <v>59</v>
      </c>
      <c r="F8" s="23" t="s">
        <v>19</v>
      </c>
      <c r="G8" s="23" t="s">
        <v>19</v>
      </c>
      <c r="H8" s="23" t="s">
        <v>19</v>
      </c>
      <c r="I8" s="23" t="s">
        <v>19</v>
      </c>
      <c r="J8" s="23" t="s">
        <v>19</v>
      </c>
      <c r="K8" s="23" t="s">
        <v>19</v>
      </c>
    </row>
    <row r="9" spans="1:11" ht="15.6" x14ac:dyDescent="0.3">
      <c r="A9" s="22">
        <v>45658</v>
      </c>
      <c r="B9" s="22" t="str">
        <f>IF(Tabela1[[#This Row],[Data da Pesquisa]]="","",TEXT(Tabela1[[#This Row],[Data da Pesquisa]],"mmm-aa"))</f>
        <v>jan-25</v>
      </c>
      <c r="C9" s="23" t="s">
        <v>40</v>
      </c>
      <c r="D9" s="23" t="s">
        <v>62</v>
      </c>
      <c r="E9" s="23" t="s">
        <v>59</v>
      </c>
      <c r="F9" s="23" t="s">
        <v>19</v>
      </c>
      <c r="G9" s="23" t="s">
        <v>19</v>
      </c>
      <c r="H9" s="23" t="s">
        <v>19</v>
      </c>
      <c r="I9" s="23" t="s">
        <v>19</v>
      </c>
      <c r="J9" s="23" t="s">
        <v>19</v>
      </c>
      <c r="K9" s="23" t="s">
        <v>19</v>
      </c>
    </row>
    <row r="10" spans="1:11" ht="15.6" x14ac:dyDescent="0.3">
      <c r="A10" s="22">
        <v>45658</v>
      </c>
      <c r="B10" s="22" t="str">
        <f>IF(Tabela1[[#This Row],[Data da Pesquisa]]="","",TEXT(Tabela1[[#This Row],[Data da Pesquisa]],"mmm-aa"))</f>
        <v>jan-25</v>
      </c>
      <c r="C10" s="23" t="s">
        <v>40</v>
      </c>
      <c r="D10" s="23" t="s">
        <v>62</v>
      </c>
      <c r="E10" s="23" t="s">
        <v>59</v>
      </c>
      <c r="F10" s="23" t="s">
        <v>70</v>
      </c>
      <c r="G10" s="23" t="s">
        <v>19</v>
      </c>
      <c r="H10" s="23" t="s">
        <v>19</v>
      </c>
      <c r="I10" s="23" t="s">
        <v>19</v>
      </c>
      <c r="J10" s="23" t="s">
        <v>19</v>
      </c>
      <c r="K10" s="23" t="s">
        <v>19</v>
      </c>
    </row>
    <row r="11" spans="1:11" ht="15.6" x14ac:dyDescent="0.3">
      <c r="A11" s="22">
        <v>45658</v>
      </c>
      <c r="B11" s="22" t="str">
        <f>IF(Tabela1[[#This Row],[Data da Pesquisa]]="","",TEXT(Tabela1[[#This Row],[Data da Pesquisa]],"mmm-aa"))</f>
        <v>jan-25</v>
      </c>
      <c r="C11" s="23" t="s">
        <v>40</v>
      </c>
      <c r="D11" s="23" t="s">
        <v>62</v>
      </c>
      <c r="E11" s="23" t="s">
        <v>59</v>
      </c>
      <c r="F11" s="23" t="s">
        <v>19</v>
      </c>
      <c r="G11" s="23" t="s">
        <v>19</v>
      </c>
      <c r="H11" s="23" t="s">
        <v>19</v>
      </c>
      <c r="I11" s="23" t="s">
        <v>19</v>
      </c>
      <c r="J11" s="23" t="s">
        <v>19</v>
      </c>
      <c r="K11" s="23" t="s">
        <v>19</v>
      </c>
    </row>
    <row r="12" spans="1:11" ht="15.6" x14ac:dyDescent="0.3">
      <c r="A12" s="22">
        <v>45658</v>
      </c>
      <c r="B12" s="22" t="str">
        <f>IF(Tabela1[[#This Row],[Data da Pesquisa]]="","",TEXT(Tabela1[[#This Row],[Data da Pesquisa]],"mmm-aa"))</f>
        <v>jan-25</v>
      </c>
      <c r="C12" s="23" t="s">
        <v>40</v>
      </c>
      <c r="D12" s="23" t="s">
        <v>62</v>
      </c>
      <c r="E12" s="23" t="s">
        <v>59</v>
      </c>
      <c r="F12" s="23" t="s">
        <v>19</v>
      </c>
      <c r="G12" s="23" t="s">
        <v>19</v>
      </c>
      <c r="H12" s="23" t="s">
        <v>19</v>
      </c>
      <c r="I12" s="23" t="s">
        <v>19</v>
      </c>
      <c r="J12" s="23" t="s">
        <v>19</v>
      </c>
      <c r="K12" s="23" t="s">
        <v>24</v>
      </c>
    </row>
    <row r="13" spans="1:11" ht="15.6" x14ac:dyDescent="0.3">
      <c r="A13" s="22">
        <v>45658</v>
      </c>
      <c r="B13" s="22" t="str">
        <f>IF(Tabela1[[#This Row],[Data da Pesquisa]]="","",TEXT(Tabela1[[#This Row],[Data da Pesquisa]],"mmm-aa"))</f>
        <v>jan-25</v>
      </c>
      <c r="C13" s="23" t="s">
        <v>40</v>
      </c>
      <c r="D13" s="23" t="s">
        <v>62</v>
      </c>
      <c r="E13" s="23" t="s">
        <v>59</v>
      </c>
      <c r="F13" s="23" t="s">
        <v>19</v>
      </c>
      <c r="G13" s="23" t="s">
        <v>19</v>
      </c>
      <c r="H13" s="23" t="s">
        <v>19</v>
      </c>
      <c r="I13" s="23" t="s">
        <v>23</v>
      </c>
      <c r="J13" s="23" t="s">
        <v>19</v>
      </c>
      <c r="K13" s="23" t="s">
        <v>24</v>
      </c>
    </row>
    <row r="14" spans="1:11" ht="15.6" x14ac:dyDescent="0.3">
      <c r="A14" s="22">
        <v>45658</v>
      </c>
      <c r="B14" s="22" t="str">
        <f>IF(Tabela1[[#This Row],[Data da Pesquisa]]="","",TEXT(Tabela1[[#This Row],[Data da Pesquisa]],"mmm-aa"))</f>
        <v>jan-25</v>
      </c>
      <c r="C14" s="23" t="s">
        <v>40</v>
      </c>
      <c r="D14" s="23" t="s">
        <v>62</v>
      </c>
      <c r="E14" s="23" t="s">
        <v>59</v>
      </c>
      <c r="F14" s="23" t="s">
        <v>19</v>
      </c>
      <c r="G14" s="23" t="s">
        <v>23</v>
      </c>
      <c r="H14" s="23" t="s">
        <v>19</v>
      </c>
      <c r="I14" s="23" t="s">
        <v>19</v>
      </c>
      <c r="J14" s="23" t="s">
        <v>19</v>
      </c>
      <c r="K14" s="23" t="s">
        <v>24</v>
      </c>
    </row>
    <row r="15" spans="1:11" ht="15.6" x14ac:dyDescent="0.3">
      <c r="A15" s="22">
        <v>45658</v>
      </c>
      <c r="B15" s="22" t="str">
        <f>IF(Tabela1[[#This Row],[Data da Pesquisa]]="","",TEXT(Tabela1[[#This Row],[Data da Pesquisa]],"mmm-aa"))</f>
        <v>jan-25</v>
      </c>
      <c r="C15" s="23" t="s">
        <v>40</v>
      </c>
      <c r="D15" s="23" t="s">
        <v>62</v>
      </c>
      <c r="E15" s="23" t="s">
        <v>59</v>
      </c>
      <c r="F15" s="23" t="s">
        <v>70</v>
      </c>
      <c r="G15" s="23" t="s">
        <v>19</v>
      </c>
      <c r="H15" s="23" t="s">
        <v>19</v>
      </c>
      <c r="I15" s="23" t="s">
        <v>19</v>
      </c>
      <c r="J15" s="23" t="s">
        <v>23</v>
      </c>
      <c r="K15" s="23" t="s">
        <v>24</v>
      </c>
    </row>
    <row r="16" spans="1:11" ht="15.6" x14ac:dyDescent="0.3">
      <c r="A16" s="22">
        <v>45658</v>
      </c>
      <c r="B16" s="22" t="str">
        <f>IF(Tabela1[[#This Row],[Data da Pesquisa]]="","",TEXT(Tabela1[[#This Row],[Data da Pesquisa]],"mmm-aa"))</f>
        <v>jan-25</v>
      </c>
      <c r="C16" s="23" t="s">
        <v>40</v>
      </c>
      <c r="D16" s="23" t="s">
        <v>62</v>
      </c>
      <c r="E16" s="23" t="s">
        <v>59</v>
      </c>
      <c r="F16" s="23" t="s">
        <v>19</v>
      </c>
      <c r="G16" s="23" t="s">
        <v>19</v>
      </c>
      <c r="H16" s="23" t="s">
        <v>19</v>
      </c>
      <c r="I16" s="23" t="s">
        <v>19</v>
      </c>
      <c r="J16" s="23" t="s">
        <v>19</v>
      </c>
      <c r="K16" s="23" t="s">
        <v>24</v>
      </c>
    </row>
    <row r="17" spans="1:11" ht="15.6" x14ac:dyDescent="0.3">
      <c r="A17" s="22">
        <v>45658</v>
      </c>
      <c r="B17" s="22" t="str">
        <f>IF(Tabela1[[#This Row],[Data da Pesquisa]]="","",TEXT(Tabela1[[#This Row],[Data da Pesquisa]],"mmm-aa"))</f>
        <v>jan-25</v>
      </c>
      <c r="C17" s="23" t="s">
        <v>41</v>
      </c>
      <c r="D17" s="23" t="s">
        <v>62</v>
      </c>
      <c r="E17" s="23" t="s">
        <v>59</v>
      </c>
      <c r="F17" s="23" t="s">
        <v>69</v>
      </c>
      <c r="G17" s="23" t="s">
        <v>19</v>
      </c>
      <c r="H17" s="23" t="s">
        <v>19</v>
      </c>
      <c r="I17" s="23" t="s">
        <v>19</v>
      </c>
      <c r="J17" s="23" t="s">
        <v>19</v>
      </c>
      <c r="K17" s="23" t="s">
        <v>24</v>
      </c>
    </row>
    <row r="18" spans="1:11" ht="15.6" x14ac:dyDescent="0.3">
      <c r="A18" s="22">
        <v>45658</v>
      </c>
      <c r="B18" s="22" t="str">
        <f>IF(Tabela1[[#This Row],[Data da Pesquisa]]="","",TEXT(Tabela1[[#This Row],[Data da Pesquisa]],"mmm-aa"))</f>
        <v>jan-25</v>
      </c>
      <c r="C18" s="23" t="s">
        <v>41</v>
      </c>
      <c r="D18" s="23" t="s">
        <v>62</v>
      </c>
      <c r="E18" s="23" t="s">
        <v>59</v>
      </c>
      <c r="F18" s="23" t="s">
        <v>19</v>
      </c>
      <c r="G18" s="23" t="s">
        <v>19</v>
      </c>
      <c r="H18" s="23" t="s">
        <v>19</v>
      </c>
      <c r="I18" s="23" t="s">
        <v>19</v>
      </c>
      <c r="J18" s="23" t="s">
        <v>19</v>
      </c>
      <c r="K18" s="23" t="s">
        <v>24</v>
      </c>
    </row>
    <row r="19" spans="1:11" ht="15.6" x14ac:dyDescent="0.3">
      <c r="A19" s="22">
        <v>45658</v>
      </c>
      <c r="B19" s="22" t="str">
        <f>IF(Tabela1[[#This Row],[Data da Pesquisa]]="","",TEXT(Tabela1[[#This Row],[Data da Pesquisa]],"mmm-aa"))</f>
        <v>jan-25</v>
      </c>
      <c r="C19" s="23" t="s">
        <v>41</v>
      </c>
      <c r="D19" s="23" t="s">
        <v>62</v>
      </c>
      <c r="E19" s="23" t="s">
        <v>59</v>
      </c>
      <c r="F19" s="23" t="s">
        <v>19</v>
      </c>
      <c r="G19" s="23" t="s">
        <v>19</v>
      </c>
      <c r="H19" s="23" t="s">
        <v>19</v>
      </c>
      <c r="I19" s="23" t="s">
        <v>19</v>
      </c>
      <c r="J19" s="23" t="s">
        <v>19</v>
      </c>
      <c r="K19" s="23" t="s">
        <v>24</v>
      </c>
    </row>
    <row r="20" spans="1:11" ht="15.6" x14ac:dyDescent="0.3">
      <c r="A20" s="22">
        <v>45658</v>
      </c>
      <c r="B20" s="22" t="str">
        <f>IF(Tabela1[[#This Row],[Data da Pesquisa]]="","",TEXT(Tabela1[[#This Row],[Data da Pesquisa]],"mmm-aa"))</f>
        <v>jan-25</v>
      </c>
      <c r="C20" s="23" t="s">
        <v>41</v>
      </c>
      <c r="D20" s="23" t="s">
        <v>62</v>
      </c>
      <c r="E20" s="23" t="s">
        <v>59</v>
      </c>
      <c r="F20" s="23" t="s">
        <v>19</v>
      </c>
      <c r="G20" s="23" t="s">
        <v>19</v>
      </c>
      <c r="H20" s="23" t="s">
        <v>19</v>
      </c>
      <c r="I20" s="23" t="s">
        <v>19</v>
      </c>
      <c r="J20" s="23" t="s">
        <v>19</v>
      </c>
      <c r="K20" s="23" t="s">
        <v>24</v>
      </c>
    </row>
    <row r="21" spans="1:11" ht="15.6" x14ac:dyDescent="0.3">
      <c r="A21" s="22">
        <v>45658</v>
      </c>
      <c r="B21" s="22" t="str">
        <f>IF(Tabela1[[#This Row],[Data da Pesquisa]]="","",TEXT(Tabela1[[#This Row],[Data da Pesquisa]],"mmm-aa"))</f>
        <v>jan-25</v>
      </c>
      <c r="C21" s="23" t="s">
        <v>41</v>
      </c>
      <c r="D21" s="23" t="s">
        <v>62</v>
      </c>
      <c r="E21" s="23" t="s">
        <v>59</v>
      </c>
      <c r="F21" s="23" t="s">
        <v>19</v>
      </c>
      <c r="G21" s="23" t="s">
        <v>19</v>
      </c>
      <c r="H21" s="23" t="s">
        <v>19</v>
      </c>
      <c r="I21" s="23" t="s">
        <v>19</v>
      </c>
      <c r="J21" s="23" t="s">
        <v>19</v>
      </c>
      <c r="K21" s="23" t="s">
        <v>24</v>
      </c>
    </row>
    <row r="22" spans="1:11" ht="15.6" x14ac:dyDescent="0.3">
      <c r="A22" s="22">
        <v>45658</v>
      </c>
      <c r="B22" s="22" t="str">
        <f>IF(Tabela1[[#This Row],[Data da Pesquisa]]="","",TEXT(Tabela1[[#This Row],[Data da Pesquisa]],"mmm-aa"))</f>
        <v>jan-25</v>
      </c>
      <c r="C22" s="23" t="s">
        <v>41</v>
      </c>
      <c r="D22" s="23" t="s">
        <v>62</v>
      </c>
      <c r="E22" s="23" t="s">
        <v>59</v>
      </c>
      <c r="F22" s="23" t="s">
        <v>19</v>
      </c>
      <c r="G22" s="23" t="s">
        <v>19</v>
      </c>
      <c r="H22" s="23" t="s">
        <v>19</v>
      </c>
      <c r="I22" s="23" t="s">
        <v>19</v>
      </c>
      <c r="J22" s="23" t="s">
        <v>19</v>
      </c>
      <c r="K22" s="23" t="s">
        <v>24</v>
      </c>
    </row>
    <row r="23" spans="1:11" ht="15.6" x14ac:dyDescent="0.3">
      <c r="A23" s="22">
        <v>45658</v>
      </c>
      <c r="B23" s="22" t="str">
        <f>IF(Tabela1[[#This Row],[Data da Pesquisa]]="","",TEXT(Tabela1[[#This Row],[Data da Pesquisa]],"mmm-aa"))</f>
        <v>jan-25</v>
      </c>
      <c r="C23" s="23" t="s">
        <v>41</v>
      </c>
      <c r="D23" s="23" t="s">
        <v>62</v>
      </c>
      <c r="E23" s="23" t="s">
        <v>59</v>
      </c>
      <c r="F23" s="23" t="s">
        <v>19</v>
      </c>
      <c r="G23" s="23" t="s">
        <v>19</v>
      </c>
      <c r="H23" s="23" t="s">
        <v>19</v>
      </c>
      <c r="I23" s="23" t="s">
        <v>19</v>
      </c>
      <c r="J23" s="23" t="s">
        <v>23</v>
      </c>
      <c r="K23" s="23" t="s">
        <v>19</v>
      </c>
    </row>
    <row r="24" spans="1:11" ht="15.6" x14ac:dyDescent="0.3">
      <c r="A24" s="22">
        <v>45658</v>
      </c>
      <c r="B24" s="22" t="str">
        <f>IF(Tabela1[[#This Row],[Data da Pesquisa]]="","",TEXT(Tabela1[[#This Row],[Data da Pesquisa]],"mmm-aa"))</f>
        <v>jan-25</v>
      </c>
      <c r="C24" s="23" t="s">
        <v>41</v>
      </c>
      <c r="D24" s="23" t="s">
        <v>62</v>
      </c>
      <c r="E24" s="23" t="s">
        <v>59</v>
      </c>
      <c r="F24" s="23" t="s">
        <v>19</v>
      </c>
      <c r="G24" s="23" t="s">
        <v>19</v>
      </c>
      <c r="H24" s="23" t="s">
        <v>19</v>
      </c>
      <c r="I24" s="23" t="s">
        <v>19</v>
      </c>
      <c r="J24" s="23" t="s">
        <v>19</v>
      </c>
      <c r="K24" s="23" t="s">
        <v>19</v>
      </c>
    </row>
    <row r="25" spans="1:11" ht="15.6" x14ac:dyDescent="0.3">
      <c r="A25" s="22">
        <v>45658</v>
      </c>
      <c r="B25" s="22" t="str">
        <f>IF(Tabela1[[#This Row],[Data da Pesquisa]]="","",TEXT(Tabela1[[#This Row],[Data da Pesquisa]],"mmm-aa"))</f>
        <v>jan-25</v>
      </c>
      <c r="C25" s="23" t="s">
        <v>41</v>
      </c>
      <c r="D25" s="23" t="s">
        <v>62</v>
      </c>
      <c r="E25" s="23" t="s">
        <v>59</v>
      </c>
      <c r="F25" s="23" t="s">
        <v>19</v>
      </c>
      <c r="G25" s="23" t="s">
        <v>24</v>
      </c>
      <c r="H25" s="23" t="s">
        <v>19</v>
      </c>
      <c r="I25" s="23" t="s">
        <v>23</v>
      </c>
      <c r="J25" s="23" t="s">
        <v>19</v>
      </c>
      <c r="K25" s="23" t="s">
        <v>19</v>
      </c>
    </row>
    <row r="26" spans="1:11" ht="15.6" x14ac:dyDescent="0.3">
      <c r="A26" s="22">
        <v>45658</v>
      </c>
      <c r="B26" s="22" t="str">
        <f>IF(Tabela1[[#This Row],[Data da Pesquisa]]="","",TEXT(Tabela1[[#This Row],[Data da Pesquisa]],"mmm-aa"))</f>
        <v>jan-25</v>
      </c>
      <c r="C26" s="23" t="s">
        <v>41</v>
      </c>
      <c r="D26" s="23" t="s">
        <v>62</v>
      </c>
      <c r="E26" s="23" t="s">
        <v>59</v>
      </c>
      <c r="F26" s="23" t="s">
        <v>19</v>
      </c>
      <c r="G26" s="23" t="s">
        <v>24</v>
      </c>
      <c r="H26" s="23" t="s">
        <v>19</v>
      </c>
      <c r="I26" s="23" t="s">
        <v>23</v>
      </c>
      <c r="J26" s="23" t="s">
        <v>19</v>
      </c>
      <c r="K26" s="23" t="s">
        <v>19</v>
      </c>
    </row>
    <row r="27" spans="1:11" ht="15.6" x14ac:dyDescent="0.3">
      <c r="A27" s="22">
        <v>45658</v>
      </c>
      <c r="B27" s="22" t="str">
        <f>IF(Tabela1[[#This Row],[Data da Pesquisa]]="","",TEXT(Tabela1[[#This Row],[Data da Pesquisa]],"mmm-aa"))</f>
        <v>jan-25</v>
      </c>
      <c r="C27" s="23" t="s">
        <v>41</v>
      </c>
      <c r="D27" s="23" t="s">
        <v>62</v>
      </c>
      <c r="E27" s="23" t="s">
        <v>59</v>
      </c>
      <c r="F27" s="23" t="s">
        <v>19</v>
      </c>
      <c r="G27" s="23" t="s">
        <v>24</v>
      </c>
      <c r="H27" s="23" t="s">
        <v>19</v>
      </c>
      <c r="I27" s="23" t="s">
        <v>23</v>
      </c>
      <c r="J27" s="23" t="s">
        <v>19</v>
      </c>
      <c r="K27" s="23" t="s">
        <v>19</v>
      </c>
    </row>
    <row r="28" spans="1:11" ht="15.6" x14ac:dyDescent="0.3">
      <c r="A28" s="22">
        <v>45658</v>
      </c>
      <c r="B28" s="22" t="str">
        <f>IF(Tabela1[[#This Row],[Data da Pesquisa]]="","",TEXT(Tabela1[[#This Row],[Data da Pesquisa]],"mmm-aa"))</f>
        <v>jan-25</v>
      </c>
      <c r="C28" s="23" t="s">
        <v>41</v>
      </c>
      <c r="D28" s="23" t="s">
        <v>62</v>
      </c>
      <c r="E28" s="23" t="s">
        <v>59</v>
      </c>
      <c r="F28" s="23" t="s">
        <v>19</v>
      </c>
      <c r="G28" s="23" t="s">
        <v>24</v>
      </c>
      <c r="H28" s="23" t="s">
        <v>19</v>
      </c>
      <c r="I28" s="23" t="s">
        <v>23</v>
      </c>
      <c r="J28" s="23" t="s">
        <v>19</v>
      </c>
      <c r="K28" s="23" t="s">
        <v>19</v>
      </c>
    </row>
    <row r="29" spans="1:11" ht="15.6" x14ac:dyDescent="0.3">
      <c r="A29" s="22">
        <v>45658</v>
      </c>
      <c r="B29" s="22" t="str">
        <f>IF(Tabela1[[#This Row],[Data da Pesquisa]]="","",TEXT(Tabela1[[#This Row],[Data da Pesquisa]],"mmm-aa"))</f>
        <v>jan-25</v>
      </c>
      <c r="C29" s="23" t="s">
        <v>41</v>
      </c>
      <c r="D29" s="23" t="s">
        <v>62</v>
      </c>
      <c r="E29" s="23" t="s">
        <v>59</v>
      </c>
      <c r="F29" s="23" t="s">
        <v>19</v>
      </c>
      <c r="G29" s="23" t="s">
        <v>24</v>
      </c>
      <c r="H29" s="23" t="s">
        <v>19</v>
      </c>
      <c r="I29" s="23" t="s">
        <v>23</v>
      </c>
      <c r="J29" s="23" t="s">
        <v>19</v>
      </c>
      <c r="K29" s="23" t="s">
        <v>19</v>
      </c>
    </row>
    <row r="30" spans="1:11" ht="15.6" x14ac:dyDescent="0.3">
      <c r="A30" s="22">
        <v>45658</v>
      </c>
      <c r="B30" s="22" t="str">
        <f>IF(Tabela1[[#This Row],[Data da Pesquisa]]="","",TEXT(Tabela1[[#This Row],[Data da Pesquisa]],"mmm-aa"))</f>
        <v>jan-25</v>
      </c>
      <c r="C30" s="23" t="s">
        <v>41</v>
      </c>
      <c r="D30" s="23" t="s">
        <v>63</v>
      </c>
      <c r="E30" s="23" t="s">
        <v>59</v>
      </c>
      <c r="F30" s="23" t="s">
        <v>19</v>
      </c>
      <c r="G30" s="23" t="s">
        <v>24</v>
      </c>
      <c r="H30" s="23" t="s">
        <v>24</v>
      </c>
      <c r="I30" s="23" t="s">
        <v>23</v>
      </c>
      <c r="J30" s="23" t="s">
        <v>19</v>
      </c>
      <c r="K30" s="23" t="s">
        <v>19</v>
      </c>
    </row>
    <row r="31" spans="1:11" ht="15.6" x14ac:dyDescent="0.3">
      <c r="A31" s="22">
        <v>45658</v>
      </c>
      <c r="B31" s="22" t="str">
        <f>IF(Tabela1[[#This Row],[Data da Pesquisa]]="","",TEXT(Tabela1[[#This Row],[Data da Pesquisa]],"mmm-aa"))</f>
        <v>jan-25</v>
      </c>
      <c r="C31" s="23" t="s">
        <v>41</v>
      </c>
      <c r="D31" s="23" t="s">
        <v>63</v>
      </c>
      <c r="E31" s="23" t="s">
        <v>59</v>
      </c>
      <c r="F31" s="23" t="s">
        <v>19</v>
      </c>
      <c r="G31" s="23" t="s">
        <v>24</v>
      </c>
      <c r="H31" s="23" t="s">
        <v>24</v>
      </c>
      <c r="I31" s="23" t="s">
        <v>23</v>
      </c>
      <c r="J31" s="23" t="s">
        <v>19</v>
      </c>
      <c r="K31" s="23" t="s">
        <v>19</v>
      </c>
    </row>
    <row r="32" spans="1:11" ht="15.6" x14ac:dyDescent="0.3">
      <c r="A32" s="22">
        <v>45689</v>
      </c>
      <c r="B32" s="22" t="str">
        <f>IF(Tabela1[[#This Row],[Data da Pesquisa]]="","",TEXT(Tabela1[[#This Row],[Data da Pesquisa]],"mmm-aa"))</f>
        <v>fev-25</v>
      </c>
      <c r="C32" s="23" t="s">
        <v>41</v>
      </c>
      <c r="D32" s="23" t="s">
        <v>63</v>
      </c>
      <c r="E32" s="23" t="s">
        <v>59</v>
      </c>
      <c r="F32" s="23" t="s">
        <v>19</v>
      </c>
      <c r="G32" s="23" t="s">
        <v>24</v>
      </c>
      <c r="H32" s="23" t="s">
        <v>24</v>
      </c>
      <c r="I32" s="23" t="s">
        <v>23</v>
      </c>
      <c r="J32" s="23" t="s">
        <v>19</v>
      </c>
      <c r="K32" s="23" t="s">
        <v>19</v>
      </c>
    </row>
    <row r="33" spans="1:11" ht="15.6" x14ac:dyDescent="0.3">
      <c r="A33" s="22">
        <v>45690</v>
      </c>
      <c r="B33" s="22" t="str">
        <f>IF(Tabela1[[#This Row],[Data da Pesquisa]]="","",TEXT(Tabela1[[#This Row],[Data da Pesquisa]],"mmm-aa"))</f>
        <v>fev-25</v>
      </c>
      <c r="C33" s="23" t="s">
        <v>41</v>
      </c>
      <c r="D33" s="23" t="s">
        <v>63</v>
      </c>
      <c r="E33" s="23" t="s">
        <v>60</v>
      </c>
      <c r="F33" s="23" t="s">
        <v>19</v>
      </c>
      <c r="G33" s="23" t="s">
        <v>24</v>
      </c>
      <c r="H33" s="23" t="s">
        <v>24</v>
      </c>
      <c r="I33" s="23" t="s">
        <v>23</v>
      </c>
      <c r="J33" s="23" t="s">
        <v>19</v>
      </c>
      <c r="K33" s="23" t="s">
        <v>19</v>
      </c>
    </row>
    <row r="34" spans="1:11" ht="15.6" x14ac:dyDescent="0.3">
      <c r="A34" s="22">
        <v>45691</v>
      </c>
      <c r="B34" s="22" t="str">
        <f>IF(Tabela1[[#This Row],[Data da Pesquisa]]="","",TEXT(Tabela1[[#This Row],[Data da Pesquisa]],"mmm-aa"))</f>
        <v>fev-25</v>
      </c>
      <c r="C34" s="23" t="s">
        <v>41</v>
      </c>
      <c r="D34" s="23" t="s">
        <v>63</v>
      </c>
      <c r="E34" s="23" t="s">
        <v>60</v>
      </c>
      <c r="F34" s="23" t="s">
        <v>19</v>
      </c>
      <c r="G34" s="23" t="s">
        <v>19</v>
      </c>
      <c r="H34" s="23" t="s">
        <v>24</v>
      </c>
      <c r="I34" s="23" t="s">
        <v>23</v>
      </c>
      <c r="J34" s="23" t="s">
        <v>19</v>
      </c>
      <c r="K34" s="23" t="s">
        <v>19</v>
      </c>
    </row>
    <row r="35" spans="1:11" ht="15.6" x14ac:dyDescent="0.3">
      <c r="A35" s="22">
        <v>45692</v>
      </c>
      <c r="B35" s="22" t="str">
        <f>IF(Tabela1[[#This Row],[Data da Pesquisa]]="","",TEXT(Tabela1[[#This Row],[Data da Pesquisa]],"mmm-aa"))</f>
        <v>fev-25</v>
      </c>
      <c r="C35" s="23" t="s">
        <v>41</v>
      </c>
      <c r="D35" s="23" t="s">
        <v>63</v>
      </c>
      <c r="E35" s="23" t="s">
        <v>60</v>
      </c>
      <c r="F35" s="23" t="s">
        <v>19</v>
      </c>
      <c r="G35" s="23" t="s">
        <v>19</v>
      </c>
      <c r="H35" s="23" t="s">
        <v>24</v>
      </c>
      <c r="I35" s="23" t="s">
        <v>23</v>
      </c>
      <c r="J35" s="23" t="s">
        <v>19</v>
      </c>
      <c r="K35" s="23" t="s">
        <v>19</v>
      </c>
    </row>
    <row r="36" spans="1:11" ht="15.6" x14ac:dyDescent="0.3">
      <c r="A36" s="22">
        <v>45693</v>
      </c>
      <c r="B36" s="22" t="str">
        <f>IF(Tabela1[[#This Row],[Data da Pesquisa]]="","",TEXT(Tabela1[[#This Row],[Data da Pesquisa]],"mmm-aa"))</f>
        <v>fev-25</v>
      </c>
      <c r="C36" s="23" t="s">
        <v>41</v>
      </c>
      <c r="D36" s="23" t="s">
        <v>63</v>
      </c>
      <c r="E36" s="23" t="s">
        <v>60</v>
      </c>
      <c r="F36" s="23" t="s">
        <v>19</v>
      </c>
      <c r="G36" s="23" t="s">
        <v>19</v>
      </c>
      <c r="H36" s="23" t="s">
        <v>24</v>
      </c>
      <c r="I36" s="23" t="s">
        <v>19</v>
      </c>
      <c r="J36" s="23" t="s">
        <v>19</v>
      </c>
      <c r="K36" s="23" t="s">
        <v>19</v>
      </c>
    </row>
    <row r="37" spans="1:11" ht="15.6" x14ac:dyDescent="0.3">
      <c r="A37" s="22">
        <v>45694</v>
      </c>
      <c r="B37" s="22" t="str">
        <f>IF(Tabela1[[#This Row],[Data da Pesquisa]]="","",TEXT(Tabela1[[#This Row],[Data da Pesquisa]],"mmm-aa"))</f>
        <v>fev-25</v>
      </c>
      <c r="C37" s="23" t="s">
        <v>41</v>
      </c>
      <c r="D37" s="23" t="s">
        <v>63</v>
      </c>
      <c r="E37" s="23" t="s">
        <v>60</v>
      </c>
      <c r="F37" s="23" t="s">
        <v>19</v>
      </c>
      <c r="G37" s="23" t="s">
        <v>19</v>
      </c>
      <c r="H37" s="23" t="s">
        <v>24</v>
      </c>
      <c r="I37" s="23" t="s">
        <v>19</v>
      </c>
      <c r="J37" s="23" t="s">
        <v>19</v>
      </c>
      <c r="K37" s="23" t="s">
        <v>19</v>
      </c>
    </row>
    <row r="38" spans="1:11" ht="15.6" x14ac:dyDescent="0.3">
      <c r="A38" s="22">
        <v>45695</v>
      </c>
      <c r="B38" s="22" t="str">
        <f>IF(Tabela1[[#This Row],[Data da Pesquisa]]="","",TEXT(Tabela1[[#This Row],[Data da Pesquisa]],"mmm-aa"))</f>
        <v>fev-25</v>
      </c>
      <c r="C38" s="23" t="s">
        <v>41</v>
      </c>
      <c r="D38" s="23" t="s">
        <v>63</v>
      </c>
      <c r="E38" s="23" t="s">
        <v>60</v>
      </c>
      <c r="F38" s="23" t="s">
        <v>19</v>
      </c>
      <c r="G38" s="23" t="s">
        <v>19</v>
      </c>
      <c r="H38" s="23" t="s">
        <v>19</v>
      </c>
      <c r="I38" s="23" t="s">
        <v>19</v>
      </c>
      <c r="J38" s="23" t="s">
        <v>19</v>
      </c>
      <c r="K38" s="23" t="s">
        <v>19</v>
      </c>
    </row>
    <row r="39" spans="1:11" ht="15.6" x14ac:dyDescent="0.3">
      <c r="A39" s="22">
        <v>45696</v>
      </c>
      <c r="B39" s="22" t="str">
        <f>IF(Tabela1[[#This Row],[Data da Pesquisa]]="","",TEXT(Tabela1[[#This Row],[Data da Pesquisa]],"mmm-aa"))</f>
        <v>fev-25</v>
      </c>
      <c r="C39" s="23" t="s">
        <v>41</v>
      </c>
      <c r="D39" s="23" t="s">
        <v>63</v>
      </c>
      <c r="E39" s="23" t="s">
        <v>60</v>
      </c>
      <c r="F39" s="23" t="s">
        <v>19</v>
      </c>
      <c r="G39" s="23" t="s">
        <v>19</v>
      </c>
      <c r="H39" s="23" t="s">
        <v>19</v>
      </c>
      <c r="I39" s="23" t="s">
        <v>19</v>
      </c>
      <c r="J39" s="23" t="s">
        <v>19</v>
      </c>
      <c r="K39" s="23" t="s">
        <v>19</v>
      </c>
    </row>
    <row r="40" spans="1:11" ht="15.6" x14ac:dyDescent="0.3">
      <c r="A40" s="22">
        <v>45697</v>
      </c>
      <c r="B40" s="22" t="str">
        <f>IF(Tabela1[[#This Row],[Data da Pesquisa]]="","",TEXT(Tabela1[[#This Row],[Data da Pesquisa]],"mmm-aa"))</f>
        <v>fev-25</v>
      </c>
      <c r="C40" s="23" t="s">
        <v>41</v>
      </c>
      <c r="D40" s="23" t="s">
        <v>63</v>
      </c>
      <c r="E40" s="23" t="s">
        <v>60</v>
      </c>
      <c r="F40" s="23" t="s">
        <v>19</v>
      </c>
      <c r="G40" s="23" t="s">
        <v>19</v>
      </c>
      <c r="H40" s="23" t="s">
        <v>19</v>
      </c>
      <c r="I40" s="23" t="s">
        <v>19</v>
      </c>
      <c r="J40" s="23" t="s">
        <v>19</v>
      </c>
      <c r="K40" s="23" t="s">
        <v>19</v>
      </c>
    </row>
    <row r="41" spans="1:11" ht="15.6" x14ac:dyDescent="0.3">
      <c r="A41" s="22">
        <v>45698</v>
      </c>
      <c r="B41" s="22" t="str">
        <f>IF(Tabela1[[#This Row],[Data da Pesquisa]]="","",TEXT(Tabela1[[#This Row],[Data da Pesquisa]],"mmm-aa"))</f>
        <v>fev-25</v>
      </c>
      <c r="C41" s="23" t="s">
        <v>41</v>
      </c>
      <c r="D41" s="23" t="s">
        <v>63</v>
      </c>
      <c r="E41" s="23" t="s">
        <v>60</v>
      </c>
      <c r="F41" s="23" t="s">
        <v>19</v>
      </c>
      <c r="G41" s="23" t="s">
        <v>19</v>
      </c>
      <c r="H41" s="23" t="s">
        <v>19</v>
      </c>
      <c r="I41" s="23" t="s">
        <v>19</v>
      </c>
      <c r="J41" s="23" t="s">
        <v>19</v>
      </c>
      <c r="K41" s="23" t="s">
        <v>19</v>
      </c>
    </row>
    <row r="42" spans="1:11" ht="15.6" x14ac:dyDescent="0.3">
      <c r="A42" s="22">
        <v>45699</v>
      </c>
      <c r="B42" s="22" t="str">
        <f>IF(Tabela1[[#This Row],[Data da Pesquisa]]="","",TEXT(Tabela1[[#This Row],[Data da Pesquisa]],"mmm-aa"))</f>
        <v>fev-25</v>
      </c>
      <c r="C42" s="23" t="s">
        <v>41</v>
      </c>
      <c r="D42" s="23" t="s">
        <v>63</v>
      </c>
      <c r="E42" s="23" t="s">
        <v>60</v>
      </c>
      <c r="F42" s="23" t="s">
        <v>19</v>
      </c>
      <c r="G42" s="23" t="s">
        <v>19</v>
      </c>
      <c r="H42" s="23" t="s">
        <v>19</v>
      </c>
      <c r="I42" s="23" t="s">
        <v>19</v>
      </c>
      <c r="J42" s="23" t="s">
        <v>19</v>
      </c>
      <c r="K42" s="23" t="s">
        <v>19</v>
      </c>
    </row>
    <row r="43" spans="1:11" ht="15.6" x14ac:dyDescent="0.3">
      <c r="A43" s="22">
        <v>45700</v>
      </c>
      <c r="B43" s="22" t="str">
        <f>IF(Tabela1[[#This Row],[Data da Pesquisa]]="","",TEXT(Tabela1[[#This Row],[Data da Pesquisa]],"mmm-aa"))</f>
        <v>fev-25</v>
      </c>
      <c r="C43" s="23" t="s">
        <v>41</v>
      </c>
      <c r="D43" s="23" t="s">
        <v>63</v>
      </c>
      <c r="E43" s="23" t="s">
        <v>60</v>
      </c>
      <c r="F43" s="23" t="s">
        <v>19</v>
      </c>
      <c r="G43" s="23" t="s">
        <v>19</v>
      </c>
      <c r="H43" s="23" t="s">
        <v>19</v>
      </c>
      <c r="I43" s="23" t="s">
        <v>19</v>
      </c>
      <c r="J43" s="23" t="s">
        <v>19</v>
      </c>
      <c r="K43" s="23" t="s">
        <v>19</v>
      </c>
    </row>
    <row r="44" spans="1:11" ht="15.6" x14ac:dyDescent="0.3">
      <c r="A44" s="22">
        <v>45701</v>
      </c>
      <c r="B44" s="22" t="str">
        <f>IF(Tabela1[[#This Row],[Data da Pesquisa]]="","",TEXT(Tabela1[[#This Row],[Data da Pesquisa]],"mmm-aa"))</f>
        <v>fev-25</v>
      </c>
      <c r="C44" s="23" t="s">
        <v>41</v>
      </c>
      <c r="D44" s="23" t="s">
        <v>63</v>
      </c>
      <c r="E44" s="23" t="s">
        <v>60</v>
      </c>
      <c r="F44" s="23" t="s">
        <v>19</v>
      </c>
      <c r="G44" s="23" t="s">
        <v>19</v>
      </c>
      <c r="H44" s="23" t="s">
        <v>19</v>
      </c>
      <c r="I44" s="23" t="s">
        <v>19</v>
      </c>
      <c r="J44" s="23" t="s">
        <v>19</v>
      </c>
      <c r="K44" s="23" t="s">
        <v>19</v>
      </c>
    </row>
    <row r="45" spans="1:11" ht="15.6" x14ac:dyDescent="0.3">
      <c r="A45" s="22">
        <v>45702</v>
      </c>
      <c r="B45" s="22" t="str">
        <f>IF(Tabela1[[#This Row],[Data da Pesquisa]]="","",TEXT(Tabela1[[#This Row],[Data da Pesquisa]],"mmm-aa"))</f>
        <v>fev-25</v>
      </c>
      <c r="C45" s="23" t="s">
        <v>41</v>
      </c>
      <c r="D45" s="23" t="s">
        <v>63</v>
      </c>
      <c r="E45" s="23" t="s">
        <v>60</v>
      </c>
      <c r="F45" s="23" t="s">
        <v>19</v>
      </c>
      <c r="G45" s="23" t="s">
        <v>19</v>
      </c>
      <c r="H45" s="23" t="s">
        <v>19</v>
      </c>
      <c r="I45" s="23" t="s">
        <v>19</v>
      </c>
      <c r="J45" s="23" t="s">
        <v>22</v>
      </c>
      <c r="K45" s="23" t="s">
        <v>19</v>
      </c>
    </row>
    <row r="46" spans="1:11" ht="15.6" x14ac:dyDescent="0.3">
      <c r="A46" s="22">
        <v>45703</v>
      </c>
      <c r="B46" s="22" t="str">
        <f>IF(Tabela1[[#This Row],[Data da Pesquisa]]="","",TEXT(Tabela1[[#This Row],[Data da Pesquisa]],"mmm-aa"))</f>
        <v>fev-25</v>
      </c>
      <c r="C46" s="23" t="s">
        <v>41</v>
      </c>
      <c r="D46" s="23" t="s">
        <v>64</v>
      </c>
      <c r="E46" s="23" t="s">
        <v>60</v>
      </c>
      <c r="F46" s="23" t="s">
        <v>19</v>
      </c>
      <c r="G46" s="23" t="s">
        <v>19</v>
      </c>
      <c r="H46" s="23" t="s">
        <v>19</v>
      </c>
      <c r="I46" s="23" t="s">
        <v>19</v>
      </c>
      <c r="J46" s="23" t="s">
        <v>19</v>
      </c>
      <c r="K46" s="23" t="s">
        <v>19</v>
      </c>
    </row>
    <row r="47" spans="1:11" ht="15.6" x14ac:dyDescent="0.3">
      <c r="A47" s="22">
        <v>45704</v>
      </c>
      <c r="B47" s="22" t="str">
        <f>IF(Tabela1[[#This Row],[Data da Pesquisa]]="","",TEXT(Tabela1[[#This Row],[Data da Pesquisa]],"mmm-aa"))</f>
        <v>fev-25</v>
      </c>
      <c r="C47" s="23" t="s">
        <v>41</v>
      </c>
      <c r="D47" s="23" t="s">
        <v>64</v>
      </c>
      <c r="E47" s="23" t="s">
        <v>60</v>
      </c>
      <c r="F47" s="23" t="s">
        <v>19</v>
      </c>
      <c r="G47" s="23" t="s">
        <v>19</v>
      </c>
      <c r="H47" s="23" t="s">
        <v>19</v>
      </c>
      <c r="I47" s="23" t="s">
        <v>19</v>
      </c>
      <c r="J47" s="23" t="s">
        <v>19</v>
      </c>
      <c r="K47" s="23" t="s">
        <v>19</v>
      </c>
    </row>
    <row r="48" spans="1:11" ht="15.6" x14ac:dyDescent="0.3">
      <c r="A48" s="22">
        <v>45705</v>
      </c>
      <c r="B48" s="22" t="str">
        <f>IF(Tabela1[[#This Row],[Data da Pesquisa]]="","",TEXT(Tabela1[[#This Row],[Data da Pesquisa]],"mmm-aa"))</f>
        <v>fev-25</v>
      </c>
      <c r="C48" s="23" t="s">
        <v>41</v>
      </c>
      <c r="D48" s="23" t="s">
        <v>64</v>
      </c>
      <c r="E48" s="23" t="s">
        <v>60</v>
      </c>
      <c r="F48" s="23" t="s">
        <v>19</v>
      </c>
      <c r="G48" s="23" t="s">
        <v>19</v>
      </c>
      <c r="H48" s="23" t="s">
        <v>19</v>
      </c>
      <c r="I48" s="23" t="s">
        <v>19</v>
      </c>
      <c r="J48" s="23" t="s">
        <v>19</v>
      </c>
      <c r="K48" s="23" t="s">
        <v>19</v>
      </c>
    </row>
    <row r="49" spans="1:11" ht="15.6" x14ac:dyDescent="0.3">
      <c r="A49" s="22">
        <v>45706</v>
      </c>
      <c r="B49" s="22" t="str">
        <f>IF(Tabela1[[#This Row],[Data da Pesquisa]]="","",TEXT(Tabela1[[#This Row],[Data da Pesquisa]],"mmm-aa"))</f>
        <v>fev-25</v>
      </c>
      <c r="C49" s="23" t="s">
        <v>41</v>
      </c>
      <c r="D49" s="23" t="s">
        <v>64</v>
      </c>
      <c r="E49" s="23" t="s">
        <v>60</v>
      </c>
      <c r="F49" s="23" t="s">
        <v>19</v>
      </c>
      <c r="G49" s="23" t="s">
        <v>19</v>
      </c>
      <c r="H49" s="23" t="s">
        <v>19</v>
      </c>
      <c r="I49" s="23" t="s">
        <v>19</v>
      </c>
      <c r="J49" s="23" t="s">
        <v>19</v>
      </c>
      <c r="K49" s="23" t="s">
        <v>19</v>
      </c>
    </row>
    <row r="50" spans="1:11" ht="15.6" x14ac:dyDescent="0.3">
      <c r="A50" s="22">
        <v>45707</v>
      </c>
      <c r="B50" s="22" t="str">
        <f>IF(Tabela1[[#This Row],[Data da Pesquisa]]="","",TEXT(Tabela1[[#This Row],[Data da Pesquisa]],"mmm-aa"))</f>
        <v>fev-25</v>
      </c>
      <c r="C50" s="23" t="s">
        <v>41</v>
      </c>
      <c r="D50" s="23" t="s">
        <v>64</v>
      </c>
      <c r="E50" s="23" t="s">
        <v>60</v>
      </c>
      <c r="F50" s="23" t="s">
        <v>19</v>
      </c>
      <c r="G50" s="23" t="s">
        <v>19</v>
      </c>
      <c r="H50" s="23" t="s">
        <v>19</v>
      </c>
      <c r="I50" s="23" t="s">
        <v>19</v>
      </c>
      <c r="J50" s="23" t="s">
        <v>19</v>
      </c>
      <c r="K50" s="23" t="s">
        <v>19</v>
      </c>
    </row>
    <row r="51" spans="1:11" ht="15.6" x14ac:dyDescent="0.3">
      <c r="A51" s="22">
        <v>45708</v>
      </c>
      <c r="B51" s="22" t="str">
        <f>IF(Tabela1[[#This Row],[Data da Pesquisa]]="","",TEXT(Tabela1[[#This Row],[Data da Pesquisa]],"mmm-aa"))</f>
        <v>fev-25</v>
      </c>
      <c r="C51" s="23" t="s">
        <v>41</v>
      </c>
      <c r="D51" s="23" t="s">
        <v>64</v>
      </c>
      <c r="E51" s="23" t="s">
        <v>60</v>
      </c>
      <c r="F51" s="23" t="s">
        <v>19</v>
      </c>
      <c r="G51" s="23" t="s">
        <v>19</v>
      </c>
      <c r="H51" s="23" t="s">
        <v>19</v>
      </c>
      <c r="I51" s="23" t="s">
        <v>19</v>
      </c>
      <c r="J51" s="23" t="s">
        <v>19</v>
      </c>
      <c r="K51" s="23" t="s">
        <v>19</v>
      </c>
    </row>
    <row r="52" spans="1:11" ht="15.6" x14ac:dyDescent="0.3">
      <c r="A52" s="22">
        <v>45709</v>
      </c>
      <c r="B52" s="22" t="str">
        <f>IF(Tabela1[[#This Row],[Data da Pesquisa]]="","",TEXT(Tabela1[[#This Row],[Data da Pesquisa]],"mmm-aa"))</f>
        <v>fev-25</v>
      </c>
      <c r="C52" s="23" t="s">
        <v>41</v>
      </c>
      <c r="D52" s="23" t="s">
        <v>64</v>
      </c>
      <c r="E52" s="23" t="s">
        <v>60</v>
      </c>
      <c r="F52" s="23" t="s">
        <v>19</v>
      </c>
      <c r="G52" s="23" t="s">
        <v>19</v>
      </c>
      <c r="H52" s="23" t="s">
        <v>19</v>
      </c>
      <c r="I52" s="23" t="s">
        <v>19</v>
      </c>
      <c r="J52" s="23" t="s">
        <v>19</v>
      </c>
      <c r="K52" s="23" t="s">
        <v>19</v>
      </c>
    </row>
    <row r="53" spans="1:11" ht="15.6" x14ac:dyDescent="0.3">
      <c r="A53" s="22">
        <v>45710</v>
      </c>
      <c r="B53" s="22" t="str">
        <f>IF(Tabela1[[#This Row],[Data da Pesquisa]]="","",TEXT(Tabela1[[#This Row],[Data da Pesquisa]],"mmm-aa"))</f>
        <v>fev-25</v>
      </c>
      <c r="C53" s="23" t="s">
        <v>41</v>
      </c>
      <c r="D53" s="23" t="s">
        <v>64</v>
      </c>
      <c r="E53" s="23" t="s">
        <v>60</v>
      </c>
      <c r="F53" s="23" t="s">
        <v>19</v>
      </c>
      <c r="G53" s="23" t="s">
        <v>19</v>
      </c>
      <c r="H53" s="23" t="s">
        <v>19</v>
      </c>
      <c r="I53" s="23" t="s">
        <v>19</v>
      </c>
      <c r="J53" s="23" t="s">
        <v>19</v>
      </c>
      <c r="K53" s="23" t="s">
        <v>19</v>
      </c>
    </row>
    <row r="54" spans="1:11" ht="15.6" x14ac:dyDescent="0.3">
      <c r="A54" s="22">
        <v>45711</v>
      </c>
      <c r="B54" s="22" t="str">
        <f>IF(Tabela1[[#This Row],[Data da Pesquisa]]="","",TEXT(Tabela1[[#This Row],[Data da Pesquisa]],"mmm-aa"))</f>
        <v>fev-25</v>
      </c>
      <c r="C54" s="23" t="s">
        <v>41</v>
      </c>
      <c r="D54" s="23" t="s">
        <v>64</v>
      </c>
      <c r="E54" s="23" t="s">
        <v>60</v>
      </c>
      <c r="F54" s="23" t="s">
        <v>19</v>
      </c>
      <c r="G54" s="23" t="s">
        <v>19</v>
      </c>
      <c r="H54" s="23" t="s">
        <v>19</v>
      </c>
      <c r="I54" s="23" t="s">
        <v>19</v>
      </c>
      <c r="J54" s="23" t="s">
        <v>19</v>
      </c>
      <c r="K54" s="23" t="s">
        <v>19</v>
      </c>
    </row>
    <row r="55" spans="1:11" ht="15.6" x14ac:dyDescent="0.3">
      <c r="A55" s="22">
        <v>45712</v>
      </c>
      <c r="B55" s="22" t="str">
        <f>IF(Tabela1[[#This Row],[Data da Pesquisa]]="","",TEXT(Tabela1[[#This Row],[Data da Pesquisa]],"mmm-aa"))</f>
        <v>fev-25</v>
      </c>
      <c r="C55" s="23" t="s">
        <v>41</v>
      </c>
      <c r="D55" s="23" t="s">
        <v>64</v>
      </c>
      <c r="E55" s="23" t="s">
        <v>60</v>
      </c>
      <c r="F55" s="23" t="s">
        <v>19</v>
      </c>
      <c r="G55" s="23" t="s">
        <v>19</v>
      </c>
      <c r="H55" s="23" t="s">
        <v>19</v>
      </c>
      <c r="I55" s="23" t="s">
        <v>19</v>
      </c>
      <c r="J55" s="23" t="s">
        <v>19</v>
      </c>
      <c r="K55" s="23" t="s">
        <v>19</v>
      </c>
    </row>
    <row r="56" spans="1:11" ht="15.6" x14ac:dyDescent="0.3">
      <c r="A56" s="22">
        <v>45713</v>
      </c>
      <c r="B56" s="22" t="str">
        <f>IF(Tabela1[[#This Row],[Data da Pesquisa]]="","",TEXT(Tabela1[[#This Row],[Data da Pesquisa]],"mmm-aa"))</f>
        <v>fev-25</v>
      </c>
      <c r="C56" s="23" t="s">
        <v>41</v>
      </c>
      <c r="D56" s="23" t="s">
        <v>64</v>
      </c>
      <c r="E56" s="23" t="s">
        <v>60</v>
      </c>
      <c r="F56" s="23" t="s">
        <v>19</v>
      </c>
      <c r="G56" s="23" t="s">
        <v>19</v>
      </c>
      <c r="H56" s="23" t="s">
        <v>19</v>
      </c>
      <c r="I56" s="23" t="s">
        <v>19</v>
      </c>
      <c r="J56" s="23" t="s">
        <v>19</v>
      </c>
      <c r="K56" s="23" t="s">
        <v>19</v>
      </c>
    </row>
    <row r="57" spans="1:11" ht="15.6" x14ac:dyDescent="0.3">
      <c r="A57" s="22">
        <v>45714</v>
      </c>
      <c r="B57" s="22" t="str">
        <f>IF(Tabela1[[#This Row],[Data da Pesquisa]]="","",TEXT(Tabela1[[#This Row],[Data da Pesquisa]],"mmm-aa"))</f>
        <v>fev-25</v>
      </c>
      <c r="C57" s="23" t="s">
        <v>41</v>
      </c>
      <c r="D57" s="23" t="s">
        <v>66</v>
      </c>
      <c r="E57" s="23" t="s">
        <v>60</v>
      </c>
      <c r="F57" s="23" t="s">
        <v>19</v>
      </c>
      <c r="G57" s="23" t="s">
        <v>19</v>
      </c>
      <c r="H57" s="23" t="s">
        <v>19</v>
      </c>
      <c r="I57" s="23" t="s">
        <v>19</v>
      </c>
      <c r="J57" s="23" t="s">
        <v>19</v>
      </c>
      <c r="K57" s="23" t="s">
        <v>19</v>
      </c>
    </row>
    <row r="58" spans="1:11" ht="15.6" x14ac:dyDescent="0.3">
      <c r="A58" s="22">
        <v>45715</v>
      </c>
      <c r="B58" s="22" t="str">
        <f>IF(Tabela1[[#This Row],[Data da Pesquisa]]="","",TEXT(Tabela1[[#This Row],[Data da Pesquisa]],"mmm-aa"))</f>
        <v>fev-25</v>
      </c>
      <c r="C58" s="23" t="s">
        <v>41</v>
      </c>
      <c r="D58" s="23" t="s">
        <v>65</v>
      </c>
      <c r="E58" s="23" t="s">
        <v>60</v>
      </c>
      <c r="F58" s="23" t="s">
        <v>19</v>
      </c>
      <c r="G58" s="23" t="s">
        <v>19</v>
      </c>
      <c r="H58" s="23" t="s">
        <v>19</v>
      </c>
      <c r="I58" s="23" t="s">
        <v>19</v>
      </c>
      <c r="J58" s="23" t="s">
        <v>19</v>
      </c>
      <c r="K58" s="23" t="s">
        <v>19</v>
      </c>
    </row>
    <row r="59" spans="1:11" ht="15.6" x14ac:dyDescent="0.3">
      <c r="A59" s="22">
        <v>45716</v>
      </c>
      <c r="B59" s="22" t="str">
        <f>IF(Tabela1[[#This Row],[Data da Pesquisa]]="","",TEXT(Tabela1[[#This Row],[Data da Pesquisa]],"mmm-aa"))</f>
        <v>fev-25</v>
      </c>
      <c r="C59" s="23" t="s">
        <v>41</v>
      </c>
      <c r="D59" s="23" t="s">
        <v>65</v>
      </c>
      <c r="E59" s="23" t="s">
        <v>60</v>
      </c>
      <c r="F59" s="23" t="s">
        <v>19</v>
      </c>
      <c r="G59" s="23" t="s">
        <v>19</v>
      </c>
      <c r="H59" s="23" t="s">
        <v>19</v>
      </c>
      <c r="I59" s="23" t="s">
        <v>19</v>
      </c>
      <c r="J59" s="23" t="s">
        <v>19</v>
      </c>
      <c r="K59" s="23" t="s">
        <v>19</v>
      </c>
    </row>
    <row r="60" spans="1:11" ht="15.6" x14ac:dyDescent="0.3">
      <c r="A60" s="22">
        <v>45717</v>
      </c>
      <c r="B60" s="22" t="str">
        <f>IF(Tabela1[[#This Row],[Data da Pesquisa]]="","",TEXT(Tabela1[[#This Row],[Data da Pesquisa]],"mmm-aa"))</f>
        <v>mar-25</v>
      </c>
      <c r="C60" s="23" t="s">
        <v>41</v>
      </c>
      <c r="D60" s="23" t="s">
        <v>65</v>
      </c>
      <c r="E60" s="23" t="s">
        <v>60</v>
      </c>
      <c r="F60" s="23" t="s">
        <v>19</v>
      </c>
      <c r="G60" s="23" t="s">
        <v>19</v>
      </c>
      <c r="H60" s="23" t="s">
        <v>19</v>
      </c>
      <c r="I60" s="23" t="s">
        <v>19</v>
      </c>
      <c r="J60" s="23" t="s">
        <v>19</v>
      </c>
      <c r="K60" s="23" t="s">
        <v>19</v>
      </c>
    </row>
    <row r="61" spans="1:11" ht="15.6" x14ac:dyDescent="0.3">
      <c r="A61" s="22">
        <v>45718</v>
      </c>
      <c r="B61" s="22" t="str">
        <f>IF(Tabela1[[#This Row],[Data da Pesquisa]]="","",TEXT(Tabela1[[#This Row],[Data da Pesquisa]],"mmm-aa"))</f>
        <v>mar-25</v>
      </c>
      <c r="C61" s="23" t="s">
        <v>41</v>
      </c>
      <c r="D61" s="23" t="s">
        <v>65</v>
      </c>
      <c r="E61" s="23" t="s">
        <v>61</v>
      </c>
      <c r="F61" s="23" t="s">
        <v>19</v>
      </c>
      <c r="G61" s="23" t="s">
        <v>19</v>
      </c>
      <c r="H61" s="23" t="s">
        <v>19</v>
      </c>
      <c r="I61" s="23" t="s">
        <v>19</v>
      </c>
      <c r="J61" s="23" t="s">
        <v>19</v>
      </c>
      <c r="K61" s="23" t="s">
        <v>19</v>
      </c>
    </row>
    <row r="62" spans="1:11" ht="15.6" x14ac:dyDescent="0.3">
      <c r="A62" s="22">
        <v>45719</v>
      </c>
      <c r="B62" s="22" t="str">
        <f>IF(Tabela1[[#This Row],[Data da Pesquisa]]="","",TEXT(Tabela1[[#This Row],[Data da Pesquisa]],"mmm-aa"))</f>
        <v>mar-25</v>
      </c>
      <c r="C62" s="23" t="s">
        <v>41</v>
      </c>
      <c r="D62" s="23" t="s">
        <v>65</v>
      </c>
      <c r="E62" s="23" t="s">
        <v>61</v>
      </c>
      <c r="F62" s="23" t="s">
        <v>19</v>
      </c>
      <c r="G62" s="23" t="s">
        <v>19</v>
      </c>
      <c r="H62" s="23" t="s">
        <v>19</v>
      </c>
      <c r="I62" s="23" t="s">
        <v>19</v>
      </c>
      <c r="J62" s="23" t="s">
        <v>19</v>
      </c>
      <c r="K62" s="23" t="s">
        <v>19</v>
      </c>
    </row>
    <row r="63" spans="1:11" ht="15.6" x14ac:dyDescent="0.3">
      <c r="A63" s="22">
        <v>45720</v>
      </c>
      <c r="B63" s="22" t="str">
        <f>IF(Tabela1[[#This Row],[Data da Pesquisa]]="","",TEXT(Tabela1[[#This Row],[Data da Pesquisa]],"mmm-aa"))</f>
        <v>mar-25</v>
      </c>
      <c r="C63" s="23" t="s">
        <v>41</v>
      </c>
      <c r="D63" s="23" t="s">
        <v>65</v>
      </c>
      <c r="E63" s="23" t="s">
        <v>61</v>
      </c>
      <c r="F63" s="23" t="s">
        <v>19</v>
      </c>
      <c r="G63" s="23" t="s">
        <v>19</v>
      </c>
      <c r="H63" s="23" t="s">
        <v>19</v>
      </c>
      <c r="I63" s="23" t="s">
        <v>19</v>
      </c>
      <c r="J63" s="23" t="s">
        <v>19</v>
      </c>
      <c r="K63" s="23" t="s">
        <v>19</v>
      </c>
    </row>
    <row r="64" spans="1:11" ht="15.6" x14ac:dyDescent="0.3">
      <c r="A64" s="22">
        <v>45721</v>
      </c>
      <c r="B64" s="22" t="str">
        <f>IF(Tabela1[[#This Row],[Data da Pesquisa]]="","",TEXT(Tabela1[[#This Row],[Data da Pesquisa]],"mmm-aa"))</f>
        <v>mar-25</v>
      </c>
      <c r="C64" s="23" t="s">
        <v>41</v>
      </c>
      <c r="D64" s="23" t="s">
        <v>67</v>
      </c>
      <c r="E64" s="23" t="s">
        <v>61</v>
      </c>
      <c r="F64" s="23" t="s">
        <v>19</v>
      </c>
      <c r="G64" s="23" t="s">
        <v>19</v>
      </c>
      <c r="H64" s="23" t="s">
        <v>19</v>
      </c>
      <c r="I64" s="23" t="s">
        <v>19</v>
      </c>
      <c r="J64" s="23" t="s">
        <v>19</v>
      </c>
      <c r="K64" s="23" t="s">
        <v>19</v>
      </c>
    </row>
    <row r="65" spans="1:11" ht="15.6" x14ac:dyDescent="0.3">
      <c r="A65" s="22">
        <v>45722</v>
      </c>
      <c r="B65" s="22" t="str">
        <f>IF(Tabela1[[#This Row],[Data da Pesquisa]]="","",TEXT(Tabela1[[#This Row],[Data da Pesquisa]],"mmm-aa"))</f>
        <v>mar-25</v>
      </c>
      <c r="C65" s="23" t="s">
        <v>41</v>
      </c>
      <c r="D65" s="23" t="s">
        <v>67</v>
      </c>
      <c r="E65" s="23" t="s">
        <v>61</v>
      </c>
      <c r="F65" s="23" t="s">
        <v>19</v>
      </c>
      <c r="G65" s="23" t="s">
        <v>19</v>
      </c>
      <c r="H65" s="23" t="s">
        <v>19</v>
      </c>
      <c r="I65" s="23" t="s">
        <v>19</v>
      </c>
      <c r="J65" s="23" t="s">
        <v>19</v>
      </c>
      <c r="K65" s="23" t="s">
        <v>19</v>
      </c>
    </row>
    <row r="66" spans="1:11" ht="15.6" x14ac:dyDescent="0.3">
      <c r="A66" s="22">
        <v>45723</v>
      </c>
      <c r="B66" s="22" t="str">
        <f>IF(Tabela1[[#This Row],[Data da Pesquisa]]="","",TEXT(Tabela1[[#This Row],[Data da Pesquisa]],"mmm-aa"))</f>
        <v>mar-25</v>
      </c>
      <c r="C66" s="23" t="s">
        <v>41</v>
      </c>
      <c r="D66" s="23" t="s">
        <v>67</v>
      </c>
      <c r="E66" s="23" t="s">
        <v>61</v>
      </c>
      <c r="F66" s="23" t="s">
        <v>19</v>
      </c>
      <c r="G66" s="23" t="s">
        <v>19</v>
      </c>
      <c r="H66" s="23" t="s">
        <v>19</v>
      </c>
      <c r="I66" s="23" t="s">
        <v>19</v>
      </c>
      <c r="J66" s="23" t="s">
        <v>19</v>
      </c>
      <c r="K66" s="23" t="s">
        <v>19</v>
      </c>
    </row>
    <row r="67" spans="1:11" ht="15.6" x14ac:dyDescent="0.3">
      <c r="A67" s="22">
        <v>45724</v>
      </c>
      <c r="B67" s="22" t="str">
        <f>IF(Tabela1[[#This Row],[Data da Pesquisa]]="","",TEXT(Tabela1[[#This Row],[Data da Pesquisa]],"mmm-aa"))</f>
        <v>mar-25</v>
      </c>
      <c r="C67" s="23" t="s">
        <v>41</v>
      </c>
      <c r="D67" s="23" t="s">
        <v>67</v>
      </c>
      <c r="E67" s="23" t="s">
        <v>61</v>
      </c>
      <c r="F67" s="23" t="s">
        <v>19</v>
      </c>
      <c r="G67" s="23" t="s">
        <v>19</v>
      </c>
      <c r="H67" s="23" t="s">
        <v>19</v>
      </c>
      <c r="I67" s="23" t="s">
        <v>19</v>
      </c>
      <c r="J67" s="23" t="s">
        <v>19</v>
      </c>
      <c r="K67" s="23" t="s">
        <v>19</v>
      </c>
    </row>
    <row r="68" spans="1:11" ht="15.6" x14ac:dyDescent="0.3">
      <c r="A68" s="22">
        <v>45725</v>
      </c>
      <c r="B68" s="22" t="str">
        <f>IF(Tabela1[[#This Row],[Data da Pesquisa]]="","",TEXT(Tabela1[[#This Row],[Data da Pesquisa]],"mmm-aa"))</f>
        <v>mar-25</v>
      </c>
      <c r="C68" s="23" t="s">
        <v>41</v>
      </c>
      <c r="D68" s="23" t="s">
        <v>67</v>
      </c>
      <c r="E68" s="23" t="s">
        <v>61</v>
      </c>
      <c r="F68" s="23" t="s">
        <v>19</v>
      </c>
      <c r="G68" s="23" t="s">
        <v>19</v>
      </c>
      <c r="H68" s="23" t="s">
        <v>19</v>
      </c>
      <c r="I68" s="23" t="s">
        <v>19</v>
      </c>
      <c r="J68" s="23" t="s">
        <v>19</v>
      </c>
      <c r="K68" s="23" t="s">
        <v>19</v>
      </c>
    </row>
    <row r="69" spans="1:11" ht="15.6" x14ac:dyDescent="0.3">
      <c r="A69" s="22">
        <v>45726</v>
      </c>
      <c r="B69" s="22" t="str">
        <f>IF(Tabela1[[#This Row],[Data da Pesquisa]]="","",TEXT(Tabela1[[#This Row],[Data da Pesquisa]],"mmm-aa"))</f>
        <v>mar-25</v>
      </c>
      <c r="C69" s="23" t="s">
        <v>41</v>
      </c>
      <c r="D69" s="23" t="s">
        <v>67</v>
      </c>
      <c r="E69" s="23" t="s">
        <v>61</v>
      </c>
      <c r="F69" s="23" t="s">
        <v>19</v>
      </c>
      <c r="G69" s="23" t="s">
        <v>19</v>
      </c>
      <c r="H69" s="23" t="s">
        <v>19</v>
      </c>
      <c r="I69" s="23" t="s">
        <v>19</v>
      </c>
      <c r="J69" s="23" t="s">
        <v>19</v>
      </c>
      <c r="K69" s="23" t="s">
        <v>19</v>
      </c>
    </row>
    <row r="70" spans="1:11" ht="15.6" x14ac:dyDescent="0.3">
      <c r="A70" s="22">
        <v>45727</v>
      </c>
      <c r="B70" s="22" t="str">
        <f>IF(Tabela1[[#This Row],[Data da Pesquisa]]="","",TEXT(Tabela1[[#This Row],[Data da Pesquisa]],"mmm-aa"))</f>
        <v>mar-25</v>
      </c>
      <c r="C70" s="23" t="s">
        <v>41</v>
      </c>
      <c r="D70" s="23" t="s">
        <v>67</v>
      </c>
      <c r="E70" s="23" t="s">
        <v>61</v>
      </c>
      <c r="F70" s="23" t="s">
        <v>19</v>
      </c>
      <c r="G70" s="23" t="s">
        <v>19</v>
      </c>
      <c r="H70" s="23" t="s">
        <v>19</v>
      </c>
      <c r="I70" s="23" t="s">
        <v>19</v>
      </c>
      <c r="J70" s="23" t="s">
        <v>19</v>
      </c>
      <c r="K70" s="23" t="s">
        <v>19</v>
      </c>
    </row>
    <row r="71" spans="1:11" ht="15.6" x14ac:dyDescent="0.3">
      <c r="A71" s="22">
        <v>45728</v>
      </c>
      <c r="B71" s="22" t="str">
        <f>IF(Tabela1[[#This Row],[Data da Pesquisa]]="","",TEXT(Tabela1[[#This Row],[Data da Pesquisa]],"mmm-aa"))</f>
        <v>mar-25</v>
      </c>
      <c r="C71" s="23" t="s">
        <v>41</v>
      </c>
      <c r="D71" s="23" t="s">
        <v>67</v>
      </c>
      <c r="E71" s="23" t="s">
        <v>61</v>
      </c>
      <c r="F71" s="23" t="s">
        <v>19</v>
      </c>
      <c r="G71" s="23" t="s">
        <v>19</v>
      </c>
      <c r="H71" s="23" t="s">
        <v>19</v>
      </c>
      <c r="I71" s="23" t="s">
        <v>19</v>
      </c>
      <c r="J71" s="23" t="s">
        <v>19</v>
      </c>
      <c r="K71" s="23" t="s">
        <v>19</v>
      </c>
    </row>
    <row r="72" spans="1:11" ht="15.6" x14ac:dyDescent="0.3">
      <c r="A72" s="22">
        <v>45729</v>
      </c>
      <c r="B72" s="22" t="str">
        <f>IF(Tabela1[[#This Row],[Data da Pesquisa]]="","",TEXT(Tabela1[[#This Row],[Data da Pesquisa]],"mmm-aa"))</f>
        <v>mar-25</v>
      </c>
      <c r="C72" s="23" t="s">
        <v>41</v>
      </c>
      <c r="D72" s="23" t="s">
        <v>67</v>
      </c>
      <c r="E72" s="23" t="s">
        <v>61</v>
      </c>
      <c r="F72" s="23" t="s">
        <v>19</v>
      </c>
      <c r="G72" s="23" t="s">
        <v>19</v>
      </c>
      <c r="H72" s="23" t="s">
        <v>19</v>
      </c>
      <c r="I72" s="23" t="s">
        <v>19</v>
      </c>
      <c r="J72" s="23" t="s">
        <v>19</v>
      </c>
      <c r="K72" s="23" t="s">
        <v>19</v>
      </c>
    </row>
    <row r="73" spans="1:11" ht="15.6" x14ac:dyDescent="0.3">
      <c r="A73" s="22">
        <v>45730</v>
      </c>
      <c r="B73" s="22" t="str">
        <f>IF(Tabela1[[#This Row],[Data da Pesquisa]]="","",TEXT(Tabela1[[#This Row],[Data da Pesquisa]],"mmm-aa"))</f>
        <v>mar-25</v>
      </c>
      <c r="C73" s="23" t="s">
        <v>41</v>
      </c>
      <c r="D73" s="23" t="s">
        <v>67</v>
      </c>
      <c r="E73" s="23" t="s">
        <v>61</v>
      </c>
      <c r="F73" s="23" t="s">
        <v>19</v>
      </c>
      <c r="G73" s="23" t="s">
        <v>19</v>
      </c>
      <c r="H73" s="23" t="s">
        <v>19</v>
      </c>
      <c r="I73" s="23" t="s">
        <v>19</v>
      </c>
      <c r="J73" s="23" t="s">
        <v>19</v>
      </c>
      <c r="K73" s="23" t="s">
        <v>19</v>
      </c>
    </row>
    <row r="74" spans="1:11" ht="15.6" x14ac:dyDescent="0.3">
      <c r="A74" s="22">
        <v>45731</v>
      </c>
      <c r="B74" s="22" t="str">
        <f>IF(Tabela1[[#This Row],[Data da Pesquisa]]="","",TEXT(Tabela1[[#This Row],[Data da Pesquisa]],"mmm-aa"))</f>
        <v>mar-25</v>
      </c>
      <c r="C74" s="23" t="s">
        <v>41</v>
      </c>
      <c r="D74" s="23" t="s">
        <v>67</v>
      </c>
      <c r="E74" s="23" t="s">
        <v>61</v>
      </c>
      <c r="F74" s="23" t="s">
        <v>19</v>
      </c>
      <c r="G74" s="23" t="s">
        <v>19</v>
      </c>
      <c r="H74" s="23" t="s">
        <v>19</v>
      </c>
      <c r="I74" s="23" t="s">
        <v>19</v>
      </c>
      <c r="J74" s="23" t="s">
        <v>19</v>
      </c>
      <c r="K74" s="23" t="s">
        <v>19</v>
      </c>
    </row>
    <row r="75" spans="1:11" ht="15.6" x14ac:dyDescent="0.3">
      <c r="A75" s="22">
        <v>45732</v>
      </c>
      <c r="B75" s="22" t="str">
        <f>IF(Tabela1[[#This Row],[Data da Pesquisa]]="","",TEXT(Tabela1[[#This Row],[Data da Pesquisa]],"mmm-aa"))</f>
        <v>mar-25</v>
      </c>
      <c r="C75" s="23" t="s">
        <v>41</v>
      </c>
      <c r="D75" s="23" t="s">
        <v>67</v>
      </c>
      <c r="E75" s="23" t="s">
        <v>61</v>
      </c>
      <c r="F75" s="23" t="s">
        <v>19</v>
      </c>
      <c r="G75" s="23" t="s">
        <v>19</v>
      </c>
      <c r="H75" s="23" t="s">
        <v>19</v>
      </c>
      <c r="I75" s="23" t="s">
        <v>19</v>
      </c>
      <c r="J75" s="23" t="s">
        <v>19</v>
      </c>
      <c r="K75" s="23" t="s">
        <v>19</v>
      </c>
    </row>
    <row r="76" spans="1:11" ht="15.6" x14ac:dyDescent="0.3">
      <c r="A76" s="22">
        <v>45733</v>
      </c>
      <c r="B76" s="22" t="str">
        <f>IF(Tabela1[[#This Row],[Data da Pesquisa]]="","",TEXT(Tabela1[[#This Row],[Data da Pesquisa]],"mmm-aa"))</f>
        <v>mar-25</v>
      </c>
      <c r="C76" s="23" t="s">
        <v>41</v>
      </c>
      <c r="D76" s="23" t="s">
        <v>67</v>
      </c>
      <c r="E76" s="23" t="s">
        <v>61</v>
      </c>
      <c r="F76" s="23" t="s">
        <v>19</v>
      </c>
      <c r="G76" s="23" t="s">
        <v>19</v>
      </c>
      <c r="H76" s="23" t="s">
        <v>19</v>
      </c>
      <c r="I76" s="23" t="s">
        <v>19</v>
      </c>
      <c r="J76" s="23" t="s">
        <v>19</v>
      </c>
      <c r="K76" s="23" t="s">
        <v>19</v>
      </c>
    </row>
    <row r="77" spans="1:11" ht="15.6" x14ac:dyDescent="0.3">
      <c r="A77" s="22">
        <v>45734</v>
      </c>
      <c r="B77" s="22" t="str">
        <f>IF(Tabela1[[#This Row],[Data da Pesquisa]]="","",TEXT(Tabela1[[#This Row],[Data da Pesquisa]],"mmm-aa"))</f>
        <v>mar-25</v>
      </c>
      <c r="C77" s="23" t="s">
        <v>41</v>
      </c>
      <c r="D77" s="23" t="s">
        <v>67</v>
      </c>
      <c r="E77" s="23" t="s">
        <v>61</v>
      </c>
      <c r="F77" s="23" t="s">
        <v>19</v>
      </c>
      <c r="G77" s="23" t="s">
        <v>19</v>
      </c>
      <c r="H77" s="23" t="s">
        <v>19</v>
      </c>
      <c r="I77" s="23" t="s">
        <v>19</v>
      </c>
      <c r="J77" s="23" t="s">
        <v>19</v>
      </c>
      <c r="K77" s="23" t="s">
        <v>19</v>
      </c>
    </row>
    <row r="78" spans="1:11" ht="15.6" x14ac:dyDescent="0.3">
      <c r="A78" s="22">
        <v>45735</v>
      </c>
      <c r="B78" s="22" t="str">
        <f>IF(Tabela1[[#This Row],[Data da Pesquisa]]="","",TEXT(Tabela1[[#This Row],[Data da Pesquisa]],"mmm-aa"))</f>
        <v>mar-25</v>
      </c>
      <c r="C78" s="23" t="s">
        <v>41</v>
      </c>
      <c r="D78" s="23" t="s">
        <v>67</v>
      </c>
      <c r="E78" s="23" t="s">
        <v>61</v>
      </c>
      <c r="F78" s="23" t="s">
        <v>19</v>
      </c>
      <c r="G78" s="23" t="s">
        <v>19</v>
      </c>
      <c r="H78" s="23" t="s">
        <v>19</v>
      </c>
      <c r="I78" s="23" t="s">
        <v>19</v>
      </c>
      <c r="J78" s="23" t="s">
        <v>19</v>
      </c>
      <c r="K78" s="23" t="s">
        <v>19</v>
      </c>
    </row>
    <row r="79" spans="1:11" ht="15.6" x14ac:dyDescent="0.3">
      <c r="A79" s="22">
        <v>45736</v>
      </c>
      <c r="B79" s="22" t="str">
        <f>IF(Tabela1[[#This Row],[Data da Pesquisa]]="","",TEXT(Tabela1[[#This Row],[Data da Pesquisa]],"mmm-aa"))</f>
        <v>mar-25</v>
      </c>
      <c r="C79" s="23" t="s">
        <v>41</v>
      </c>
      <c r="D79" s="23" t="s">
        <v>67</v>
      </c>
      <c r="E79" s="23" t="s">
        <v>61</v>
      </c>
      <c r="F79" s="23" t="s">
        <v>19</v>
      </c>
      <c r="G79" s="23" t="s">
        <v>19</v>
      </c>
      <c r="H79" s="23" t="s">
        <v>19</v>
      </c>
      <c r="I79" s="23" t="s">
        <v>19</v>
      </c>
      <c r="J79" s="23" t="s">
        <v>19</v>
      </c>
      <c r="K79" s="23" t="s">
        <v>19</v>
      </c>
    </row>
    <row r="80" spans="1:11" ht="15.6" x14ac:dyDescent="0.3">
      <c r="A80" s="22">
        <v>45737</v>
      </c>
      <c r="B80" s="22" t="str">
        <f>IF(Tabela1[[#This Row],[Data da Pesquisa]]="","",TEXT(Tabela1[[#This Row],[Data da Pesquisa]],"mmm-aa"))</f>
        <v>mar-25</v>
      </c>
      <c r="C80" s="23" t="s">
        <v>41</v>
      </c>
      <c r="D80" s="23" t="s">
        <v>67</v>
      </c>
      <c r="E80" s="23" t="s">
        <v>61</v>
      </c>
      <c r="F80" s="23" t="s">
        <v>19</v>
      </c>
      <c r="G80" s="23" t="s">
        <v>19</v>
      </c>
      <c r="H80" s="23" t="s">
        <v>19</v>
      </c>
      <c r="I80" s="23" t="s">
        <v>19</v>
      </c>
      <c r="J80" s="23" t="s">
        <v>19</v>
      </c>
      <c r="K80" s="23" t="s">
        <v>19</v>
      </c>
    </row>
    <row r="81" spans="1:11" ht="15.6" x14ac:dyDescent="0.3">
      <c r="A81" s="22">
        <v>45738</v>
      </c>
      <c r="B81" s="22" t="str">
        <f>IF(Tabela1[[#This Row],[Data da Pesquisa]]="","",TEXT(Tabela1[[#This Row],[Data da Pesquisa]],"mmm-aa"))</f>
        <v>mar-25</v>
      </c>
      <c r="C81" s="23" t="s">
        <v>42</v>
      </c>
      <c r="D81" s="23" t="s">
        <v>67</v>
      </c>
      <c r="E81" s="23" t="s">
        <v>61</v>
      </c>
      <c r="F81" s="23" t="s">
        <v>19</v>
      </c>
      <c r="G81" s="23" t="s">
        <v>19</v>
      </c>
      <c r="H81" s="23" t="s">
        <v>19</v>
      </c>
      <c r="I81" s="23" t="s">
        <v>19</v>
      </c>
      <c r="J81" s="23" t="s">
        <v>19</v>
      </c>
      <c r="K81" s="23" t="s">
        <v>19</v>
      </c>
    </row>
    <row r="82" spans="1:11" ht="15.6" x14ac:dyDescent="0.3">
      <c r="A82" s="22">
        <v>45739</v>
      </c>
      <c r="B82" s="22" t="str">
        <f>IF(Tabela1[[#This Row],[Data da Pesquisa]]="","",TEXT(Tabela1[[#This Row],[Data da Pesquisa]],"mmm-aa"))</f>
        <v>mar-25</v>
      </c>
      <c r="C82" s="23" t="s">
        <v>42</v>
      </c>
      <c r="D82" s="23" t="s">
        <v>67</v>
      </c>
      <c r="E82" s="23" t="s">
        <v>61</v>
      </c>
      <c r="F82" s="23" t="s">
        <v>19</v>
      </c>
      <c r="G82" s="23" t="s">
        <v>19</v>
      </c>
      <c r="H82" s="23" t="s">
        <v>19</v>
      </c>
      <c r="I82" s="23" t="s">
        <v>19</v>
      </c>
      <c r="J82" s="23" t="s">
        <v>19</v>
      </c>
      <c r="K82" s="23" t="s">
        <v>19</v>
      </c>
    </row>
    <row r="83" spans="1:11" ht="15.6" x14ac:dyDescent="0.3">
      <c r="A83" s="22">
        <v>45740</v>
      </c>
      <c r="B83" s="22" t="str">
        <f>IF(Tabela1[[#This Row],[Data da Pesquisa]]="","",TEXT(Tabela1[[#This Row],[Data da Pesquisa]],"mmm-aa"))</f>
        <v>mar-25</v>
      </c>
      <c r="C83" s="23" t="s">
        <v>42</v>
      </c>
      <c r="D83" s="23" t="s">
        <v>67</v>
      </c>
      <c r="E83" s="23" t="s">
        <v>61</v>
      </c>
      <c r="F83" s="23" t="s">
        <v>19</v>
      </c>
      <c r="G83" s="23" t="s">
        <v>19</v>
      </c>
      <c r="H83" s="23" t="s">
        <v>19</v>
      </c>
      <c r="I83" s="23" t="s">
        <v>19</v>
      </c>
      <c r="J83" s="23" t="s">
        <v>19</v>
      </c>
      <c r="K83" s="23" t="s">
        <v>19</v>
      </c>
    </row>
    <row r="84" spans="1:11" ht="15.6" x14ac:dyDescent="0.3">
      <c r="A84" s="22">
        <v>45741</v>
      </c>
      <c r="B84" s="22" t="str">
        <f>IF(Tabela1[[#This Row],[Data da Pesquisa]]="","",TEXT(Tabela1[[#This Row],[Data da Pesquisa]],"mmm-aa"))</f>
        <v>mar-25</v>
      </c>
      <c r="C84" s="23" t="s">
        <v>42</v>
      </c>
      <c r="D84" s="23" t="s">
        <v>67</v>
      </c>
      <c r="E84" s="23" t="s">
        <v>61</v>
      </c>
      <c r="F84" s="23" t="s">
        <v>19</v>
      </c>
      <c r="G84" s="23" t="s">
        <v>19</v>
      </c>
      <c r="H84" s="23" t="s">
        <v>19</v>
      </c>
      <c r="I84" s="23" t="s">
        <v>19</v>
      </c>
      <c r="J84" s="23" t="s">
        <v>19</v>
      </c>
      <c r="K84" s="23" t="s">
        <v>19</v>
      </c>
    </row>
    <row r="85" spans="1:11" ht="15.6" x14ac:dyDescent="0.3">
      <c r="A85" s="22">
        <v>45742</v>
      </c>
      <c r="B85" s="22" t="str">
        <f>IF(Tabela1[[#This Row],[Data da Pesquisa]]="","",TEXT(Tabela1[[#This Row],[Data da Pesquisa]],"mmm-aa"))</f>
        <v>mar-25</v>
      </c>
      <c r="C85" s="23" t="s">
        <v>42</v>
      </c>
      <c r="D85" s="23" t="s">
        <v>67</v>
      </c>
      <c r="E85" s="23" t="s">
        <v>61</v>
      </c>
      <c r="F85" s="23" t="s">
        <v>19</v>
      </c>
      <c r="G85" s="23" t="s">
        <v>19</v>
      </c>
      <c r="H85" s="23" t="s">
        <v>19</v>
      </c>
      <c r="I85" s="23" t="s">
        <v>19</v>
      </c>
      <c r="J85" s="23" t="s">
        <v>19</v>
      </c>
      <c r="K85" s="23" t="s">
        <v>19</v>
      </c>
    </row>
    <row r="86" spans="1:11" ht="15.6" x14ac:dyDescent="0.3">
      <c r="A86" s="22">
        <v>45743</v>
      </c>
      <c r="B86" s="22" t="str">
        <f>IF(Tabela1[[#This Row],[Data da Pesquisa]]="","",TEXT(Tabela1[[#This Row],[Data da Pesquisa]],"mmm-aa"))</f>
        <v>mar-25</v>
      </c>
      <c r="C86" s="23" t="s">
        <v>42</v>
      </c>
      <c r="D86" s="23" t="s">
        <v>67</v>
      </c>
      <c r="E86" s="23" t="s">
        <v>61</v>
      </c>
      <c r="F86" s="23" t="s">
        <v>19</v>
      </c>
      <c r="G86" s="23" t="s">
        <v>19</v>
      </c>
      <c r="H86" s="23" t="s">
        <v>19</v>
      </c>
      <c r="I86" s="23" t="s">
        <v>19</v>
      </c>
      <c r="J86" s="23" t="s">
        <v>19</v>
      </c>
      <c r="K86" s="23" t="s">
        <v>19</v>
      </c>
    </row>
    <row r="87" spans="1:11" ht="15.6" x14ac:dyDescent="0.3">
      <c r="A87" s="22">
        <v>45744</v>
      </c>
      <c r="B87" s="22" t="str">
        <f>IF(Tabela1[[#This Row],[Data da Pesquisa]]="","",TEXT(Tabela1[[#This Row],[Data da Pesquisa]],"mmm-aa"))</f>
        <v>mar-25</v>
      </c>
      <c r="C87" s="23" t="s">
        <v>42</v>
      </c>
      <c r="D87" s="23" t="s">
        <v>67</v>
      </c>
      <c r="E87" s="23" t="s">
        <v>61</v>
      </c>
      <c r="F87" s="23" t="s">
        <v>19</v>
      </c>
      <c r="G87" s="23" t="s">
        <v>19</v>
      </c>
      <c r="H87" s="23" t="s">
        <v>19</v>
      </c>
      <c r="I87" s="23" t="s">
        <v>19</v>
      </c>
      <c r="J87" s="23" t="s">
        <v>19</v>
      </c>
      <c r="K87" s="23" t="s">
        <v>19</v>
      </c>
    </row>
    <row r="88" spans="1:11" ht="15.6" x14ac:dyDescent="0.3">
      <c r="A88" s="22">
        <v>45745</v>
      </c>
      <c r="B88" s="22" t="str">
        <f>IF(Tabela1[[#This Row],[Data da Pesquisa]]="","",TEXT(Tabela1[[#This Row],[Data da Pesquisa]],"mmm-aa"))</f>
        <v>mar-25</v>
      </c>
      <c r="C88" s="23" t="s">
        <v>42</v>
      </c>
      <c r="D88" s="23" t="s">
        <v>67</v>
      </c>
      <c r="E88" s="23" t="s">
        <v>61</v>
      </c>
      <c r="F88" s="23" t="s">
        <v>19</v>
      </c>
      <c r="G88" s="23" t="s">
        <v>19</v>
      </c>
      <c r="H88" s="23" t="s">
        <v>19</v>
      </c>
      <c r="I88" s="23" t="s">
        <v>19</v>
      </c>
      <c r="J88" s="23" t="s">
        <v>19</v>
      </c>
      <c r="K88" s="23" t="s">
        <v>19</v>
      </c>
    </row>
    <row r="89" spans="1:11" ht="15.6" x14ac:dyDescent="0.3">
      <c r="A89" s="22">
        <v>45746</v>
      </c>
      <c r="B89" s="22" t="str">
        <f>IF(Tabela1[[#This Row],[Data da Pesquisa]]="","",TEXT(Tabela1[[#This Row],[Data da Pesquisa]],"mmm-aa"))</f>
        <v>mar-25</v>
      </c>
      <c r="C89" s="23" t="s">
        <v>42</v>
      </c>
      <c r="D89" s="23" t="s">
        <v>67</v>
      </c>
      <c r="E89" s="23" t="s">
        <v>61</v>
      </c>
      <c r="F89" s="23" t="s">
        <v>19</v>
      </c>
      <c r="G89" s="23" t="s">
        <v>19</v>
      </c>
      <c r="H89" s="23" t="s">
        <v>19</v>
      </c>
      <c r="I89" s="23" t="s">
        <v>19</v>
      </c>
      <c r="J89" s="23" t="s">
        <v>19</v>
      </c>
      <c r="K89" s="23" t="s">
        <v>19</v>
      </c>
    </row>
    <row r="90" spans="1:11" ht="15.6" x14ac:dyDescent="0.3">
      <c r="A90" s="22">
        <v>45747</v>
      </c>
      <c r="B90" s="22" t="str">
        <f>IF(Tabela1[[#This Row],[Data da Pesquisa]]="","",TEXT(Tabela1[[#This Row],[Data da Pesquisa]],"mmm-aa"))</f>
        <v>mar-25</v>
      </c>
      <c r="C90" s="23" t="s">
        <v>42</v>
      </c>
      <c r="D90" s="23" t="s">
        <v>67</v>
      </c>
      <c r="E90" s="23" t="s">
        <v>61</v>
      </c>
      <c r="F90" s="23" t="s">
        <v>19</v>
      </c>
      <c r="G90" s="23" t="s">
        <v>19</v>
      </c>
      <c r="H90" s="23" t="s">
        <v>19</v>
      </c>
      <c r="I90" s="23" t="s">
        <v>19</v>
      </c>
      <c r="J90" s="23" t="s">
        <v>19</v>
      </c>
      <c r="K90" s="23" t="s">
        <v>19</v>
      </c>
    </row>
    <row r="91" spans="1:11" ht="15.6" x14ac:dyDescent="0.3">
      <c r="A91" s="22">
        <v>45748</v>
      </c>
      <c r="B91" s="22" t="str">
        <f>IF(Tabela1[[#This Row],[Data da Pesquisa]]="","",TEXT(Tabela1[[#This Row],[Data da Pesquisa]],"mmm-aa"))</f>
        <v>abr-25</v>
      </c>
      <c r="C91" s="23" t="s">
        <v>42</v>
      </c>
      <c r="D91" s="23" t="s">
        <v>67</v>
      </c>
      <c r="E91" s="23" t="s">
        <v>61</v>
      </c>
      <c r="F91" s="23" t="s">
        <v>19</v>
      </c>
      <c r="G91" s="23" t="s">
        <v>19</v>
      </c>
      <c r="H91" s="23" t="s">
        <v>19</v>
      </c>
      <c r="I91" s="23" t="s">
        <v>19</v>
      </c>
      <c r="J91" s="23" t="s">
        <v>19</v>
      </c>
      <c r="K91" s="23" t="s">
        <v>19</v>
      </c>
    </row>
    <row r="92" spans="1:11" ht="15.6" x14ac:dyDescent="0.3">
      <c r="A92" s="22">
        <v>45749</v>
      </c>
      <c r="B92" s="22" t="str">
        <f>IF(Tabela1[[#This Row],[Data da Pesquisa]]="","",TEXT(Tabela1[[#This Row],[Data da Pesquisa]],"mmm-aa"))</f>
        <v>abr-25</v>
      </c>
      <c r="C92" s="23" t="s">
        <v>42</v>
      </c>
      <c r="D92" s="23" t="s">
        <v>67</v>
      </c>
      <c r="E92" s="23" t="s">
        <v>61</v>
      </c>
      <c r="F92" s="23" t="s">
        <v>19</v>
      </c>
      <c r="G92" s="23" t="s">
        <v>19</v>
      </c>
      <c r="H92" s="23" t="s">
        <v>19</v>
      </c>
      <c r="I92" s="23" t="s">
        <v>19</v>
      </c>
      <c r="J92" s="23" t="s">
        <v>19</v>
      </c>
      <c r="K92" s="23" t="s">
        <v>19</v>
      </c>
    </row>
    <row r="93" spans="1:11" ht="15.6" x14ac:dyDescent="0.3">
      <c r="A93" s="22">
        <v>45750</v>
      </c>
      <c r="B93" s="22" t="str">
        <f>IF(Tabela1[[#This Row],[Data da Pesquisa]]="","",TEXT(Tabela1[[#This Row],[Data da Pesquisa]],"mmm-aa"))</f>
        <v>abr-25</v>
      </c>
      <c r="C93" s="23" t="s">
        <v>42</v>
      </c>
      <c r="D93" s="23" t="s">
        <v>67</v>
      </c>
      <c r="E93" s="23" t="s">
        <v>61</v>
      </c>
      <c r="F93" s="23" t="s">
        <v>19</v>
      </c>
      <c r="G93" s="23" t="s">
        <v>19</v>
      </c>
      <c r="H93" s="23" t="s">
        <v>19</v>
      </c>
      <c r="I93" s="23" t="s">
        <v>19</v>
      </c>
      <c r="J93" s="23" t="s">
        <v>19</v>
      </c>
      <c r="K93" s="23" t="s">
        <v>19</v>
      </c>
    </row>
    <row r="94" spans="1:11" ht="15.6" x14ac:dyDescent="0.3">
      <c r="A94" s="22">
        <v>45751</v>
      </c>
      <c r="B94" s="22" t="str">
        <f>IF(Tabela1[[#This Row],[Data da Pesquisa]]="","",TEXT(Tabela1[[#This Row],[Data da Pesquisa]],"mmm-aa"))</f>
        <v>abr-25</v>
      </c>
      <c r="C94" s="23" t="s">
        <v>42</v>
      </c>
      <c r="D94" s="23" t="s">
        <v>67</v>
      </c>
      <c r="E94" s="23" t="s">
        <v>61</v>
      </c>
      <c r="F94" s="23" t="s">
        <v>19</v>
      </c>
      <c r="G94" s="23" t="s">
        <v>19</v>
      </c>
      <c r="H94" s="23" t="s">
        <v>19</v>
      </c>
      <c r="I94" s="23" t="s">
        <v>19</v>
      </c>
      <c r="J94" s="23" t="s">
        <v>19</v>
      </c>
      <c r="K94" s="23" t="s">
        <v>19</v>
      </c>
    </row>
    <row r="95" spans="1:11" ht="15.6" x14ac:dyDescent="0.3">
      <c r="A95" s="22">
        <v>45752</v>
      </c>
      <c r="B95" s="22" t="str">
        <f>IF(Tabela1[[#This Row],[Data da Pesquisa]]="","",TEXT(Tabela1[[#This Row],[Data da Pesquisa]],"mmm-aa"))</f>
        <v>abr-25</v>
      </c>
      <c r="C95" s="23" t="s">
        <v>42</v>
      </c>
      <c r="D95" s="23" t="s">
        <v>67</v>
      </c>
      <c r="E95" s="23" t="s">
        <v>61</v>
      </c>
      <c r="F95" s="23" t="s">
        <v>19</v>
      </c>
      <c r="G95" s="23" t="s">
        <v>19</v>
      </c>
      <c r="H95" s="23" t="s">
        <v>19</v>
      </c>
      <c r="I95" s="23" t="s">
        <v>19</v>
      </c>
      <c r="J95" s="23" t="s">
        <v>19</v>
      </c>
      <c r="K95" s="23" t="s">
        <v>19</v>
      </c>
    </row>
    <row r="96" spans="1:11" ht="15.6" x14ac:dyDescent="0.3">
      <c r="A96" s="22">
        <v>45753</v>
      </c>
      <c r="B96" s="22" t="str">
        <f>IF(Tabela1[[#This Row],[Data da Pesquisa]]="","",TEXT(Tabela1[[#This Row],[Data da Pesquisa]],"mmm-aa"))</f>
        <v>abr-25</v>
      </c>
      <c r="C96" s="23" t="s">
        <v>42</v>
      </c>
      <c r="D96" s="23" t="s">
        <v>67</v>
      </c>
      <c r="E96" s="23" t="s">
        <v>61</v>
      </c>
      <c r="F96" s="23" t="s">
        <v>19</v>
      </c>
      <c r="G96" s="23" t="s">
        <v>19</v>
      </c>
      <c r="H96" s="23" t="s">
        <v>19</v>
      </c>
      <c r="I96" s="23" t="s">
        <v>19</v>
      </c>
      <c r="J96" s="23" t="s">
        <v>19</v>
      </c>
      <c r="K96" s="23" t="s">
        <v>19</v>
      </c>
    </row>
    <row r="97" spans="1:11" ht="15.6" x14ac:dyDescent="0.3">
      <c r="A97" s="22">
        <v>45754</v>
      </c>
      <c r="B97" s="22" t="str">
        <f>IF(Tabela1[[#This Row],[Data da Pesquisa]]="","",TEXT(Tabela1[[#This Row],[Data da Pesquisa]],"mmm-aa"))</f>
        <v>abr-25</v>
      </c>
      <c r="C97" s="23" t="s">
        <v>42</v>
      </c>
      <c r="D97" s="23" t="s">
        <v>67</v>
      </c>
      <c r="E97" s="23" t="s">
        <v>61</v>
      </c>
      <c r="F97" s="23" t="s">
        <v>19</v>
      </c>
      <c r="G97" s="23" t="s">
        <v>19</v>
      </c>
      <c r="H97" s="23" t="s">
        <v>19</v>
      </c>
      <c r="I97" s="23" t="s">
        <v>19</v>
      </c>
      <c r="J97" s="23" t="s">
        <v>19</v>
      </c>
      <c r="K97" s="23" t="s">
        <v>19</v>
      </c>
    </row>
    <row r="98" spans="1:11" ht="15.6" x14ac:dyDescent="0.3">
      <c r="A98" s="22">
        <v>45755</v>
      </c>
      <c r="B98" s="22" t="str">
        <f>IF(Tabela1[[#This Row],[Data da Pesquisa]]="","",TEXT(Tabela1[[#This Row],[Data da Pesquisa]],"mmm-aa"))</f>
        <v>abr-25</v>
      </c>
      <c r="C98" s="23" t="s">
        <v>42</v>
      </c>
      <c r="D98" s="23" t="s">
        <v>67</v>
      </c>
      <c r="E98" s="23" t="s">
        <v>61</v>
      </c>
      <c r="F98" s="23" t="s">
        <v>19</v>
      </c>
      <c r="G98" s="23" t="s">
        <v>19</v>
      </c>
      <c r="H98" s="23" t="s">
        <v>19</v>
      </c>
      <c r="I98" s="23" t="s">
        <v>19</v>
      </c>
      <c r="J98" s="23" t="s">
        <v>19</v>
      </c>
      <c r="K98" s="23" t="s">
        <v>19</v>
      </c>
    </row>
    <row r="99" spans="1:11" ht="15.6" x14ac:dyDescent="0.3">
      <c r="A99" s="22">
        <v>45756</v>
      </c>
      <c r="B99" s="22" t="str">
        <f>IF(Tabela1[[#This Row],[Data da Pesquisa]]="","",TEXT(Tabela1[[#This Row],[Data da Pesquisa]],"mmm-aa"))</f>
        <v>abr-25</v>
      </c>
      <c r="C99" s="23" t="s">
        <v>42</v>
      </c>
      <c r="D99" s="23" t="s">
        <v>67</v>
      </c>
      <c r="E99" s="23" t="s">
        <v>61</v>
      </c>
      <c r="F99" s="23" t="s">
        <v>19</v>
      </c>
      <c r="G99" s="23" t="s">
        <v>19</v>
      </c>
      <c r="H99" s="23" t="s">
        <v>19</v>
      </c>
      <c r="I99" s="23" t="s">
        <v>19</v>
      </c>
      <c r="J99" s="23" t="s">
        <v>19</v>
      </c>
      <c r="K99" s="23" t="s">
        <v>19</v>
      </c>
    </row>
    <row r="100" spans="1:11" ht="15.6" x14ac:dyDescent="0.3">
      <c r="A100" s="22">
        <v>45757</v>
      </c>
      <c r="B100" s="22" t="str">
        <f>IF(Tabela1[[#This Row],[Data da Pesquisa]]="","",TEXT(Tabela1[[#This Row],[Data da Pesquisa]],"mmm-aa"))</f>
        <v>abr-25</v>
      </c>
      <c r="C100" s="23" t="s">
        <v>42</v>
      </c>
      <c r="D100" s="23" t="s">
        <v>67</v>
      </c>
      <c r="E100" s="23" t="s">
        <v>61</v>
      </c>
      <c r="F100" s="23" t="s">
        <v>19</v>
      </c>
      <c r="G100" s="23" t="s">
        <v>19</v>
      </c>
      <c r="H100" s="23" t="s">
        <v>19</v>
      </c>
      <c r="I100" s="23" t="s">
        <v>19</v>
      </c>
      <c r="J100" s="23" t="s">
        <v>19</v>
      </c>
      <c r="K100" s="23" t="s">
        <v>19</v>
      </c>
    </row>
    <row r="101" spans="1:11" ht="15.6" x14ac:dyDescent="0.3">
      <c r="A101" s="22">
        <v>45758</v>
      </c>
      <c r="B101" s="22" t="str">
        <f>IF(Tabela1[[#This Row],[Data da Pesquisa]]="","",TEXT(Tabela1[[#This Row],[Data da Pesquisa]],"mmm-aa"))</f>
        <v>abr-25</v>
      </c>
      <c r="C101" s="23" t="s">
        <v>42</v>
      </c>
      <c r="D101" s="23" t="s">
        <v>67</v>
      </c>
      <c r="E101" s="23" t="s">
        <v>61</v>
      </c>
      <c r="F101" s="23" t="s">
        <v>19</v>
      </c>
      <c r="G101" s="23" t="s">
        <v>19</v>
      </c>
      <c r="H101" s="23" t="s">
        <v>19</v>
      </c>
      <c r="I101" s="23" t="s">
        <v>19</v>
      </c>
      <c r="J101" s="23" t="s">
        <v>19</v>
      </c>
      <c r="K101" s="23" t="s">
        <v>19</v>
      </c>
    </row>
    <row r="102" spans="1:11" ht="15.6" x14ac:dyDescent="0.3">
      <c r="A102" s="22">
        <v>45759</v>
      </c>
      <c r="B102" s="22" t="str">
        <f>IF(Tabela1[[#This Row],[Data da Pesquisa]]="","",TEXT(Tabela1[[#This Row],[Data da Pesquisa]],"mmm-aa"))</f>
        <v>abr-25</v>
      </c>
      <c r="C102" s="23" t="s">
        <v>42</v>
      </c>
      <c r="D102" s="23" t="s">
        <v>67</v>
      </c>
      <c r="E102" s="23" t="s">
        <v>61</v>
      </c>
      <c r="F102" s="23" t="s">
        <v>19</v>
      </c>
      <c r="G102" s="23" t="s">
        <v>19</v>
      </c>
      <c r="H102" s="23" t="s">
        <v>19</v>
      </c>
      <c r="I102" s="23" t="s">
        <v>19</v>
      </c>
      <c r="J102" s="23" t="s">
        <v>19</v>
      </c>
      <c r="K102" s="23" t="s">
        <v>19</v>
      </c>
    </row>
    <row r="103" spans="1:11" ht="15.6" x14ac:dyDescent="0.3">
      <c r="A103" s="22">
        <v>45760</v>
      </c>
      <c r="B103" s="22" t="str">
        <f>IF(Tabela1[[#This Row],[Data da Pesquisa]]="","",TEXT(Tabela1[[#This Row],[Data da Pesquisa]],"mmm-aa"))</f>
        <v>abr-25</v>
      </c>
      <c r="C103" s="23" t="s">
        <v>42</v>
      </c>
      <c r="D103" s="23" t="s">
        <v>67</v>
      </c>
      <c r="E103" s="23" t="s">
        <v>61</v>
      </c>
      <c r="F103" s="23" t="s">
        <v>19</v>
      </c>
      <c r="G103" s="23" t="s">
        <v>19</v>
      </c>
      <c r="H103" s="23" t="s">
        <v>19</v>
      </c>
      <c r="I103" s="23" t="s">
        <v>19</v>
      </c>
      <c r="J103" s="23" t="s">
        <v>19</v>
      </c>
      <c r="K103" s="23" t="s">
        <v>19</v>
      </c>
    </row>
    <row r="104" spans="1:11" ht="15.6" x14ac:dyDescent="0.3">
      <c r="A104" s="22">
        <v>45761</v>
      </c>
      <c r="B104" s="22" t="str">
        <f>IF(Tabela1[[#This Row],[Data da Pesquisa]]="","",TEXT(Tabela1[[#This Row],[Data da Pesquisa]],"mmm-aa"))</f>
        <v>abr-25</v>
      </c>
      <c r="C104" s="23" t="s">
        <v>42</v>
      </c>
      <c r="D104" s="23" t="s">
        <v>67</v>
      </c>
      <c r="E104" s="23" t="s">
        <v>61</v>
      </c>
      <c r="F104" s="23" t="s">
        <v>19</v>
      </c>
      <c r="G104" s="23" t="s">
        <v>19</v>
      </c>
      <c r="H104" s="23" t="s">
        <v>19</v>
      </c>
      <c r="I104" s="23" t="s">
        <v>19</v>
      </c>
      <c r="J104" s="23" t="s">
        <v>19</v>
      </c>
      <c r="K104" s="23" t="s">
        <v>19</v>
      </c>
    </row>
    <row r="105" spans="1:11" ht="15.6" x14ac:dyDescent="0.3">
      <c r="A105" s="22">
        <v>45762</v>
      </c>
      <c r="B105" s="22" t="str">
        <f>IF(Tabela1[[#This Row],[Data da Pesquisa]]="","",TEXT(Tabela1[[#This Row],[Data da Pesquisa]],"mmm-aa"))</f>
        <v>abr-25</v>
      </c>
      <c r="C105" s="23" t="s">
        <v>42</v>
      </c>
      <c r="D105" s="23" t="s">
        <v>67</v>
      </c>
      <c r="E105" s="23" t="s">
        <v>61</v>
      </c>
      <c r="F105" s="23" t="s">
        <v>19</v>
      </c>
      <c r="G105" s="23" t="s">
        <v>19</v>
      </c>
      <c r="H105" s="23" t="s">
        <v>19</v>
      </c>
      <c r="I105" s="23" t="s">
        <v>19</v>
      </c>
      <c r="J105" s="23" t="s">
        <v>19</v>
      </c>
      <c r="K105" s="23" t="s">
        <v>19</v>
      </c>
    </row>
    <row r="106" spans="1:11" s="28" customFormat="1" ht="15.6" x14ac:dyDescent="0.3">
      <c r="A106" s="22">
        <v>45763</v>
      </c>
      <c r="B106" s="22" t="str">
        <f>IF(Tabela1[[#This Row],[Data da Pesquisa]]="","",TEXT(Tabela1[[#This Row],[Data da Pesquisa]],"mmm-aa"))</f>
        <v>abr-25</v>
      </c>
      <c r="C106" s="23" t="s">
        <v>43</v>
      </c>
      <c r="D106" s="23" t="s">
        <v>67</v>
      </c>
      <c r="E106" s="23" t="s">
        <v>61</v>
      </c>
      <c r="F106" s="23" t="s">
        <v>19</v>
      </c>
      <c r="G106" s="23" t="s">
        <v>19</v>
      </c>
      <c r="H106" s="23" t="s">
        <v>19</v>
      </c>
      <c r="I106" s="23" t="s">
        <v>19</v>
      </c>
      <c r="J106" s="23" t="s">
        <v>19</v>
      </c>
      <c r="K106" s="23" t="s">
        <v>19</v>
      </c>
    </row>
    <row r="107" spans="1:11" ht="15.6" x14ac:dyDescent="0.3">
      <c r="A107" s="22">
        <v>45764</v>
      </c>
      <c r="B107" s="22" t="str">
        <f>IF(Tabela1[[#This Row],[Data da Pesquisa]]="","",TEXT(Tabela1[[#This Row],[Data da Pesquisa]],"mmm-aa"))</f>
        <v>abr-25</v>
      </c>
      <c r="C107" s="23" t="s">
        <v>43</v>
      </c>
      <c r="D107" s="23" t="s">
        <v>67</v>
      </c>
      <c r="E107" s="23" t="s">
        <v>61</v>
      </c>
      <c r="F107" s="23" t="s">
        <v>19</v>
      </c>
      <c r="G107" s="23" t="s">
        <v>19</v>
      </c>
      <c r="H107" s="23" t="s">
        <v>19</v>
      </c>
      <c r="I107" s="23" t="s">
        <v>19</v>
      </c>
      <c r="J107" s="23" t="s">
        <v>19</v>
      </c>
      <c r="K107" s="23" t="s">
        <v>19</v>
      </c>
    </row>
    <row r="108" spans="1:11" ht="15.6" x14ac:dyDescent="0.3">
      <c r="A108" s="22">
        <v>45765</v>
      </c>
      <c r="B108" s="22" t="str">
        <f>IF(Tabela1[[#This Row],[Data da Pesquisa]]="","",TEXT(Tabela1[[#This Row],[Data da Pesquisa]],"mmm-aa"))</f>
        <v>abr-25</v>
      </c>
      <c r="C108" s="23" t="s">
        <v>43</v>
      </c>
      <c r="D108" s="23" t="s">
        <v>67</v>
      </c>
      <c r="E108" s="23" t="s">
        <v>61</v>
      </c>
      <c r="F108" s="23" t="s">
        <v>19</v>
      </c>
      <c r="G108" s="23" t="s">
        <v>19</v>
      </c>
      <c r="H108" s="23" t="s">
        <v>19</v>
      </c>
      <c r="I108" s="23" t="s">
        <v>19</v>
      </c>
      <c r="J108" s="23" t="s">
        <v>19</v>
      </c>
      <c r="K108" s="23" t="s">
        <v>19</v>
      </c>
    </row>
    <row r="109" spans="1:11" ht="15.6" x14ac:dyDescent="0.3">
      <c r="A109" s="22">
        <v>45766</v>
      </c>
      <c r="B109" s="22" t="str">
        <f>IF(Tabela1[[#This Row],[Data da Pesquisa]]="","",TEXT(Tabela1[[#This Row],[Data da Pesquisa]],"mmm-aa"))</f>
        <v>abr-25</v>
      </c>
      <c r="C109" s="23" t="s">
        <v>43</v>
      </c>
      <c r="D109" s="23" t="s">
        <v>67</v>
      </c>
      <c r="E109" s="23" t="s">
        <v>61</v>
      </c>
      <c r="F109" s="23" t="s">
        <v>19</v>
      </c>
      <c r="G109" s="23" t="s">
        <v>19</v>
      </c>
      <c r="H109" s="23" t="s">
        <v>19</v>
      </c>
      <c r="I109" s="23" t="s">
        <v>19</v>
      </c>
      <c r="J109" s="23" t="s">
        <v>19</v>
      </c>
      <c r="K109" s="23" t="s">
        <v>19</v>
      </c>
    </row>
    <row r="110" spans="1:11" ht="15.6" x14ac:dyDescent="0.3">
      <c r="A110" s="22">
        <v>45767</v>
      </c>
      <c r="B110" s="22" t="str">
        <f>IF(Tabela1[[#This Row],[Data da Pesquisa]]="","",TEXT(Tabela1[[#This Row],[Data da Pesquisa]],"mmm-aa"))</f>
        <v>abr-25</v>
      </c>
      <c r="C110" s="23" t="s">
        <v>43</v>
      </c>
      <c r="D110" s="23" t="s">
        <v>67</v>
      </c>
      <c r="E110" s="23" t="s">
        <v>61</v>
      </c>
      <c r="F110" s="23" t="s">
        <v>19</v>
      </c>
      <c r="G110" s="23" t="s">
        <v>19</v>
      </c>
      <c r="H110" s="23" t="s">
        <v>19</v>
      </c>
      <c r="I110" s="23" t="s">
        <v>19</v>
      </c>
      <c r="J110" s="23" t="s">
        <v>19</v>
      </c>
      <c r="K110" s="23" t="s">
        <v>19</v>
      </c>
    </row>
    <row r="111" spans="1:11" ht="15.6" x14ac:dyDescent="0.3">
      <c r="A111" s="22">
        <v>45768</v>
      </c>
      <c r="B111" s="22" t="str">
        <f>IF(Tabela1[[#This Row],[Data da Pesquisa]]="","",TEXT(Tabela1[[#This Row],[Data da Pesquisa]],"mmm-aa"))</f>
        <v>abr-25</v>
      </c>
      <c r="C111" s="23" t="s">
        <v>43</v>
      </c>
      <c r="D111" s="23" t="s">
        <v>67</v>
      </c>
      <c r="E111" s="23" t="s">
        <v>61</v>
      </c>
      <c r="F111" s="23" t="s">
        <v>19</v>
      </c>
      <c r="G111" s="23" t="s">
        <v>19</v>
      </c>
      <c r="H111" s="23" t="s">
        <v>19</v>
      </c>
      <c r="I111" s="23" t="s">
        <v>19</v>
      </c>
      <c r="J111" s="23" t="s">
        <v>19</v>
      </c>
      <c r="K111" s="23" t="s">
        <v>19</v>
      </c>
    </row>
    <row r="112" spans="1:11" ht="15.6" x14ac:dyDescent="0.3">
      <c r="A112" s="22">
        <v>45769</v>
      </c>
      <c r="B112" s="22" t="str">
        <f>IF(Tabela1[[#This Row],[Data da Pesquisa]]="","",TEXT(Tabela1[[#This Row],[Data da Pesquisa]],"mmm-aa"))</f>
        <v>abr-25</v>
      </c>
      <c r="C112" s="23" t="s">
        <v>43</v>
      </c>
      <c r="D112" s="23" t="s">
        <v>67</v>
      </c>
      <c r="E112" s="23" t="s">
        <v>61</v>
      </c>
      <c r="F112" s="23" t="s">
        <v>19</v>
      </c>
      <c r="G112" s="23" t="s">
        <v>19</v>
      </c>
      <c r="H112" s="23" t="s">
        <v>19</v>
      </c>
      <c r="I112" s="23" t="s">
        <v>19</v>
      </c>
      <c r="J112" s="23" t="s">
        <v>19</v>
      </c>
      <c r="K112" s="23" t="s">
        <v>19</v>
      </c>
    </row>
    <row r="113" spans="1:11" ht="15.6" x14ac:dyDescent="0.3">
      <c r="A113" s="22">
        <v>45770</v>
      </c>
      <c r="B113" s="22" t="str">
        <f>IF(Tabela1[[#This Row],[Data da Pesquisa]]="","",TEXT(Tabela1[[#This Row],[Data da Pesquisa]],"mmm-aa"))</f>
        <v>abr-25</v>
      </c>
      <c r="C113" s="23" t="s">
        <v>43</v>
      </c>
      <c r="D113" s="23" t="s">
        <v>67</v>
      </c>
      <c r="E113" s="23" t="s">
        <v>61</v>
      </c>
      <c r="F113" s="23" t="s">
        <v>19</v>
      </c>
      <c r="G113" s="23" t="s">
        <v>19</v>
      </c>
      <c r="H113" s="23" t="s">
        <v>19</v>
      </c>
      <c r="I113" s="23" t="s">
        <v>19</v>
      </c>
      <c r="J113" s="23" t="s">
        <v>19</v>
      </c>
      <c r="K113" s="23" t="s">
        <v>19</v>
      </c>
    </row>
    <row r="114" spans="1:11" ht="15.6" x14ac:dyDescent="0.3">
      <c r="A114" s="22">
        <v>45771</v>
      </c>
      <c r="B114" s="22" t="str">
        <f>IF(Tabela1[[#This Row],[Data da Pesquisa]]="","",TEXT(Tabela1[[#This Row],[Data da Pesquisa]],"mmm-aa"))</f>
        <v>abr-25</v>
      </c>
      <c r="C114" s="23" t="s">
        <v>43</v>
      </c>
      <c r="D114" s="23" t="s">
        <v>67</v>
      </c>
      <c r="E114" s="23" t="s">
        <v>61</v>
      </c>
      <c r="F114" s="23" t="s">
        <v>19</v>
      </c>
      <c r="G114" s="23" t="s">
        <v>19</v>
      </c>
      <c r="H114" s="23" t="s">
        <v>19</v>
      </c>
      <c r="I114" s="23" t="s">
        <v>19</v>
      </c>
      <c r="J114" s="23" t="s">
        <v>19</v>
      </c>
      <c r="K114" s="23" t="s">
        <v>19</v>
      </c>
    </row>
    <row r="115" spans="1:11" ht="15.6" x14ac:dyDescent="0.3">
      <c r="A115" s="22">
        <v>45772</v>
      </c>
      <c r="B115" s="22" t="str">
        <f>IF(Tabela1[[#This Row],[Data da Pesquisa]]="","",TEXT(Tabela1[[#This Row],[Data da Pesquisa]],"mmm-aa"))</f>
        <v>abr-25</v>
      </c>
      <c r="C115" s="23" t="s">
        <v>43</v>
      </c>
      <c r="D115" s="23" t="s">
        <v>67</v>
      </c>
      <c r="E115" s="29" t="s">
        <v>59</v>
      </c>
      <c r="F115" s="23" t="s">
        <v>19</v>
      </c>
      <c r="G115" s="23" t="s">
        <v>19</v>
      </c>
      <c r="H115" s="23" t="s">
        <v>19</v>
      </c>
      <c r="I115" s="23" t="s">
        <v>19</v>
      </c>
      <c r="J115" s="23" t="s">
        <v>19</v>
      </c>
      <c r="K115" s="23" t="s">
        <v>19</v>
      </c>
    </row>
    <row r="116" spans="1:11" ht="15.6" x14ac:dyDescent="0.3">
      <c r="A116" s="22">
        <v>45773</v>
      </c>
      <c r="B116" s="22" t="str">
        <f>IF(Tabela1[[#This Row],[Data da Pesquisa]]="","",TEXT(Tabela1[[#This Row],[Data da Pesquisa]],"mmm-aa"))</f>
        <v>abr-25</v>
      </c>
      <c r="C116" s="23" t="s">
        <v>43</v>
      </c>
      <c r="D116" s="23" t="s">
        <v>67</v>
      </c>
      <c r="E116" s="29" t="s">
        <v>59</v>
      </c>
      <c r="F116" s="23" t="s">
        <v>19</v>
      </c>
      <c r="G116" s="23" t="s">
        <v>19</v>
      </c>
      <c r="H116" s="23" t="s">
        <v>19</v>
      </c>
      <c r="I116" s="23" t="s">
        <v>19</v>
      </c>
      <c r="J116" s="23" t="s">
        <v>19</v>
      </c>
      <c r="K116" s="23" t="s">
        <v>19</v>
      </c>
    </row>
    <row r="117" spans="1:11" ht="15.6" x14ac:dyDescent="0.3">
      <c r="A117" s="22">
        <v>45778</v>
      </c>
      <c r="B117" s="22" t="str">
        <f>IF(Tabela1[[#This Row],[Data da Pesquisa]]="","",TEXT(Tabela1[[#This Row],[Data da Pesquisa]],"mmm-aa"))</f>
        <v>mai-25</v>
      </c>
      <c r="C117" s="23" t="s">
        <v>43</v>
      </c>
      <c r="D117" s="23" t="s">
        <v>67</v>
      </c>
      <c r="E117" s="29" t="s">
        <v>59</v>
      </c>
      <c r="F117" s="23" t="s">
        <v>19</v>
      </c>
      <c r="G117" s="23" t="s">
        <v>19</v>
      </c>
      <c r="H117" s="23" t="s">
        <v>19</v>
      </c>
      <c r="I117" s="23" t="s">
        <v>19</v>
      </c>
      <c r="J117" s="23" t="s">
        <v>19</v>
      </c>
      <c r="K117" s="23" t="s">
        <v>19</v>
      </c>
    </row>
    <row r="118" spans="1:11" ht="15.6" x14ac:dyDescent="0.3">
      <c r="A118" s="22">
        <v>45778</v>
      </c>
      <c r="B118" s="22" t="str">
        <f>IF(Tabela1[[#This Row],[Data da Pesquisa]]="","",TEXT(Tabela1[[#This Row],[Data da Pesquisa]],"mmm-aa"))</f>
        <v>mai-25</v>
      </c>
      <c r="C118" s="23" t="s">
        <v>43</v>
      </c>
      <c r="D118" s="23" t="s">
        <v>67</v>
      </c>
      <c r="E118" s="29" t="s">
        <v>59</v>
      </c>
      <c r="F118" s="23" t="s">
        <v>19</v>
      </c>
      <c r="G118" s="23" t="s">
        <v>19</v>
      </c>
      <c r="H118" s="23" t="s">
        <v>19</v>
      </c>
      <c r="I118" s="23" t="s">
        <v>19</v>
      </c>
      <c r="J118" s="23" t="s">
        <v>19</v>
      </c>
      <c r="K118" s="23" t="s">
        <v>19</v>
      </c>
    </row>
    <row r="119" spans="1:11" ht="15.6" x14ac:dyDescent="0.3">
      <c r="A119" s="22">
        <v>45778</v>
      </c>
      <c r="B119" s="22" t="str">
        <f>IF(Tabela1[[#This Row],[Data da Pesquisa]]="","",TEXT(Tabela1[[#This Row],[Data da Pesquisa]],"mmm-aa"))</f>
        <v>mai-25</v>
      </c>
      <c r="C119" s="23" t="s">
        <v>43</v>
      </c>
      <c r="D119" s="23" t="s">
        <v>67</v>
      </c>
      <c r="E119" s="29" t="s">
        <v>59</v>
      </c>
      <c r="F119" s="23" t="s">
        <v>19</v>
      </c>
      <c r="G119" s="23" t="s">
        <v>19</v>
      </c>
      <c r="H119" s="23" t="s">
        <v>19</v>
      </c>
      <c r="I119" s="23" t="s">
        <v>19</v>
      </c>
      <c r="J119" s="23" t="s">
        <v>19</v>
      </c>
      <c r="K119" s="23" t="s">
        <v>19</v>
      </c>
    </row>
    <row r="120" spans="1:11" ht="15.6" x14ac:dyDescent="0.3">
      <c r="A120" s="22">
        <v>45778</v>
      </c>
      <c r="B120" s="22" t="str">
        <f>IF(Tabela1[[#This Row],[Data da Pesquisa]]="","",TEXT(Tabela1[[#This Row],[Data da Pesquisa]],"mmm-aa"))</f>
        <v>mai-25</v>
      </c>
      <c r="C120" s="23" t="s">
        <v>43</v>
      </c>
      <c r="D120" s="23" t="s">
        <v>67</v>
      </c>
      <c r="E120" s="29" t="s">
        <v>59</v>
      </c>
      <c r="F120" s="23" t="s">
        <v>19</v>
      </c>
      <c r="G120" s="23" t="s">
        <v>19</v>
      </c>
      <c r="H120" s="23" t="s">
        <v>19</v>
      </c>
      <c r="I120" s="23" t="s">
        <v>19</v>
      </c>
      <c r="J120" s="23" t="s">
        <v>19</v>
      </c>
      <c r="K120" s="23" t="s">
        <v>19</v>
      </c>
    </row>
    <row r="121" spans="1:11" ht="15.6" x14ac:dyDescent="0.3">
      <c r="A121" s="22">
        <v>45778</v>
      </c>
      <c r="B121" s="22" t="str">
        <f>IF(Tabela1[[#This Row],[Data da Pesquisa]]="","",TEXT(Tabela1[[#This Row],[Data da Pesquisa]],"mmm-aa"))</f>
        <v>mai-25</v>
      </c>
      <c r="C121" s="23" t="s">
        <v>43</v>
      </c>
      <c r="D121" s="23" t="s">
        <v>67</v>
      </c>
      <c r="E121" s="29" t="s">
        <v>59</v>
      </c>
      <c r="F121" s="23" t="s">
        <v>19</v>
      </c>
      <c r="G121" s="23" t="s">
        <v>19</v>
      </c>
      <c r="H121" s="23" t="s">
        <v>19</v>
      </c>
      <c r="I121" s="23" t="s">
        <v>19</v>
      </c>
      <c r="J121" s="23" t="s">
        <v>19</v>
      </c>
      <c r="K121" s="23" t="s">
        <v>19</v>
      </c>
    </row>
    <row r="122" spans="1:11" ht="15.6" x14ac:dyDescent="0.3">
      <c r="A122" s="22">
        <v>45778</v>
      </c>
      <c r="B122" s="22" t="str">
        <f>IF(Tabela1[[#This Row],[Data da Pesquisa]]="","",TEXT(Tabela1[[#This Row],[Data da Pesquisa]],"mmm-aa"))</f>
        <v>mai-25</v>
      </c>
      <c r="C122" s="23" t="s">
        <v>43</v>
      </c>
      <c r="D122" s="23" t="s">
        <v>67</v>
      </c>
      <c r="E122" s="29" t="s">
        <v>59</v>
      </c>
      <c r="F122" s="23" t="s">
        <v>19</v>
      </c>
      <c r="G122" s="23" t="s">
        <v>19</v>
      </c>
      <c r="H122" s="23" t="s">
        <v>19</v>
      </c>
      <c r="I122" s="23" t="s">
        <v>19</v>
      </c>
      <c r="J122" s="23" t="s">
        <v>19</v>
      </c>
      <c r="K122" s="23" t="s">
        <v>19</v>
      </c>
    </row>
    <row r="123" spans="1:11" ht="15.6" x14ac:dyDescent="0.3">
      <c r="A123" s="22">
        <v>45778</v>
      </c>
      <c r="B123" s="22" t="str">
        <f>IF(Tabela1[[#This Row],[Data da Pesquisa]]="","",TEXT(Tabela1[[#This Row],[Data da Pesquisa]],"mmm-aa"))</f>
        <v>mai-25</v>
      </c>
      <c r="C123" s="23" t="s">
        <v>43</v>
      </c>
      <c r="D123" s="23" t="s">
        <v>67</v>
      </c>
      <c r="E123" s="29" t="s">
        <v>59</v>
      </c>
      <c r="F123" s="23" t="s">
        <v>19</v>
      </c>
      <c r="G123" s="23" t="s">
        <v>19</v>
      </c>
      <c r="H123" s="23" t="s">
        <v>19</v>
      </c>
      <c r="I123" s="23" t="s">
        <v>19</v>
      </c>
      <c r="J123" s="23" t="s">
        <v>19</v>
      </c>
      <c r="K123" s="23" t="s">
        <v>19</v>
      </c>
    </row>
    <row r="124" spans="1:11" ht="15.6" x14ac:dyDescent="0.3">
      <c r="A124" s="22">
        <v>45778</v>
      </c>
      <c r="B124" s="22" t="str">
        <f>IF(Tabela1[[#This Row],[Data da Pesquisa]]="","",TEXT(Tabela1[[#This Row],[Data da Pesquisa]],"mmm-aa"))</f>
        <v>mai-25</v>
      </c>
      <c r="C124" s="23" t="s">
        <v>43</v>
      </c>
      <c r="D124" s="23" t="s">
        <v>67</v>
      </c>
      <c r="E124" s="29" t="s">
        <v>59</v>
      </c>
      <c r="F124" s="23" t="s">
        <v>19</v>
      </c>
      <c r="G124" s="23" t="s">
        <v>19</v>
      </c>
      <c r="H124" s="23" t="s">
        <v>19</v>
      </c>
      <c r="I124" s="23" t="s">
        <v>19</v>
      </c>
      <c r="J124" s="23" t="s">
        <v>19</v>
      </c>
      <c r="K124" s="23" t="s">
        <v>19</v>
      </c>
    </row>
    <row r="125" spans="1:11" ht="15.6" x14ac:dyDescent="0.3">
      <c r="A125" s="22">
        <v>45778</v>
      </c>
      <c r="B125" s="22" t="str">
        <f>IF(Tabela1[[#This Row],[Data da Pesquisa]]="","",TEXT(Tabela1[[#This Row],[Data da Pesquisa]],"mmm-aa"))</f>
        <v>mai-25</v>
      </c>
      <c r="C125" s="23" t="s">
        <v>43</v>
      </c>
      <c r="D125" s="23" t="s">
        <v>67</v>
      </c>
      <c r="E125" s="29" t="s">
        <v>59</v>
      </c>
      <c r="F125" s="23" t="s">
        <v>19</v>
      </c>
      <c r="G125" s="23" t="s">
        <v>19</v>
      </c>
      <c r="H125" s="23" t="s">
        <v>19</v>
      </c>
      <c r="I125" s="23" t="s">
        <v>19</v>
      </c>
      <c r="J125" s="23" t="s">
        <v>19</v>
      </c>
      <c r="K125" s="23" t="s">
        <v>19</v>
      </c>
    </row>
    <row r="126" spans="1:11" ht="15.6" x14ac:dyDescent="0.3">
      <c r="A126" s="22">
        <v>45778</v>
      </c>
      <c r="B126" s="22" t="str">
        <f>IF(Tabela1[[#This Row],[Data da Pesquisa]]="","",TEXT(Tabela1[[#This Row],[Data da Pesquisa]],"mmm-aa"))</f>
        <v>mai-25</v>
      </c>
      <c r="C126" s="23" t="s">
        <v>43</v>
      </c>
      <c r="D126" s="23" t="s">
        <v>67</v>
      </c>
      <c r="E126" s="29" t="s">
        <v>59</v>
      </c>
      <c r="F126" s="23" t="s">
        <v>19</v>
      </c>
      <c r="G126" s="23" t="s">
        <v>19</v>
      </c>
      <c r="H126" s="23" t="s">
        <v>19</v>
      </c>
      <c r="I126" s="23" t="s">
        <v>19</v>
      </c>
      <c r="J126" s="23" t="s">
        <v>19</v>
      </c>
      <c r="K126" s="23" t="s">
        <v>19</v>
      </c>
    </row>
    <row r="127" spans="1:11" ht="15.6" x14ac:dyDescent="0.3">
      <c r="A127" s="22">
        <v>45778</v>
      </c>
      <c r="B127" s="22" t="str">
        <f>IF(Tabela1[[#This Row],[Data da Pesquisa]]="","",TEXT(Tabela1[[#This Row],[Data da Pesquisa]],"mmm-aa"))</f>
        <v>mai-25</v>
      </c>
      <c r="C127" s="23" t="s">
        <v>43</v>
      </c>
      <c r="D127" s="23" t="s">
        <v>67</v>
      </c>
      <c r="E127" s="29" t="s">
        <v>59</v>
      </c>
      <c r="F127" s="23" t="s">
        <v>19</v>
      </c>
      <c r="G127" s="23" t="s">
        <v>19</v>
      </c>
      <c r="H127" s="23" t="s">
        <v>19</v>
      </c>
      <c r="I127" s="23" t="s">
        <v>19</v>
      </c>
      <c r="J127" s="23" t="s">
        <v>19</v>
      </c>
      <c r="K127" s="23" t="s">
        <v>19</v>
      </c>
    </row>
    <row r="128" spans="1:11" ht="15.6" x14ac:dyDescent="0.3">
      <c r="A128" s="22">
        <v>45778</v>
      </c>
      <c r="B128" s="22" t="str">
        <f>IF(Tabela1[[#This Row],[Data da Pesquisa]]="","",TEXT(Tabela1[[#This Row],[Data da Pesquisa]],"mmm-aa"))</f>
        <v>mai-25</v>
      </c>
      <c r="C128" s="23" t="s">
        <v>43</v>
      </c>
      <c r="D128" s="23" t="s">
        <v>67</v>
      </c>
      <c r="E128" s="29" t="s">
        <v>59</v>
      </c>
      <c r="F128" s="23" t="s">
        <v>19</v>
      </c>
      <c r="G128" s="23" t="s">
        <v>19</v>
      </c>
      <c r="H128" s="23" t="s">
        <v>19</v>
      </c>
      <c r="I128" s="23" t="s">
        <v>19</v>
      </c>
      <c r="J128" s="23" t="s">
        <v>19</v>
      </c>
      <c r="K128" s="23" t="s">
        <v>19</v>
      </c>
    </row>
    <row r="129" spans="1:11" ht="15.6" x14ac:dyDescent="0.3">
      <c r="A129" s="22">
        <v>45778</v>
      </c>
      <c r="B129" s="22" t="str">
        <f>IF(Tabela1[[#This Row],[Data da Pesquisa]]="","",TEXT(Tabela1[[#This Row],[Data da Pesquisa]],"mmm-aa"))</f>
        <v>mai-25</v>
      </c>
      <c r="C129" s="23" t="s">
        <v>43</v>
      </c>
      <c r="D129" s="23" t="s">
        <v>67</v>
      </c>
      <c r="E129" s="29" t="s">
        <v>59</v>
      </c>
      <c r="F129" s="23" t="s">
        <v>19</v>
      </c>
      <c r="G129" s="23" t="s">
        <v>19</v>
      </c>
      <c r="H129" s="23" t="s">
        <v>19</v>
      </c>
      <c r="I129" s="23" t="s">
        <v>19</v>
      </c>
      <c r="J129" s="23" t="s">
        <v>19</v>
      </c>
      <c r="K129" s="23" t="s">
        <v>19</v>
      </c>
    </row>
    <row r="130" spans="1:11" ht="15.6" x14ac:dyDescent="0.3">
      <c r="A130" s="22">
        <v>45778</v>
      </c>
      <c r="B130" s="22" t="str">
        <f>IF(Tabela1[[#This Row],[Data da Pesquisa]]="","",TEXT(Tabela1[[#This Row],[Data da Pesquisa]],"mmm-aa"))</f>
        <v>mai-25</v>
      </c>
      <c r="C130" s="23" t="s">
        <v>43</v>
      </c>
      <c r="D130" s="23" t="s">
        <v>67</v>
      </c>
      <c r="E130" s="29" t="s">
        <v>59</v>
      </c>
      <c r="F130" s="23" t="s">
        <v>19</v>
      </c>
      <c r="G130" s="23" t="s">
        <v>19</v>
      </c>
      <c r="H130" s="23" t="s">
        <v>19</v>
      </c>
      <c r="I130" s="23" t="s">
        <v>19</v>
      </c>
      <c r="J130" s="23" t="s">
        <v>19</v>
      </c>
      <c r="K130" s="23" t="s">
        <v>19</v>
      </c>
    </row>
    <row r="131" spans="1:11" ht="15.6" x14ac:dyDescent="0.3">
      <c r="A131" s="22">
        <v>45778</v>
      </c>
      <c r="B131" s="22" t="str">
        <f>IF(Tabela1[[#This Row],[Data da Pesquisa]]="","",TEXT(Tabela1[[#This Row],[Data da Pesquisa]],"mmm-aa"))</f>
        <v>mai-25</v>
      </c>
      <c r="C131" s="23" t="s">
        <v>43</v>
      </c>
      <c r="D131" s="23" t="s">
        <v>67</v>
      </c>
      <c r="E131" s="29" t="s">
        <v>59</v>
      </c>
      <c r="F131" s="23" t="s">
        <v>19</v>
      </c>
      <c r="G131" s="23" t="s">
        <v>19</v>
      </c>
      <c r="H131" s="23" t="s">
        <v>19</v>
      </c>
      <c r="I131" s="23" t="s">
        <v>19</v>
      </c>
      <c r="J131" s="23" t="s">
        <v>19</v>
      </c>
      <c r="K131" s="23" t="s">
        <v>19</v>
      </c>
    </row>
    <row r="132" spans="1:11" ht="15.6" x14ac:dyDescent="0.3">
      <c r="A132" s="22">
        <v>45778</v>
      </c>
      <c r="B132" s="22" t="str">
        <f>IF(Tabela1[[#This Row],[Data da Pesquisa]]="","",TEXT(Tabela1[[#This Row],[Data da Pesquisa]],"mmm-aa"))</f>
        <v>mai-25</v>
      </c>
      <c r="C132" s="23" t="s">
        <v>43</v>
      </c>
      <c r="D132" s="23" t="s">
        <v>67</v>
      </c>
      <c r="E132" s="29" t="s">
        <v>59</v>
      </c>
      <c r="F132" s="23" t="s">
        <v>19</v>
      </c>
      <c r="G132" s="23" t="s">
        <v>19</v>
      </c>
      <c r="H132" s="23" t="s">
        <v>19</v>
      </c>
      <c r="I132" s="23" t="s">
        <v>19</v>
      </c>
      <c r="J132" s="23" t="s">
        <v>19</v>
      </c>
      <c r="K132" s="23" t="s">
        <v>19</v>
      </c>
    </row>
    <row r="133" spans="1:11" ht="15.6" x14ac:dyDescent="0.3">
      <c r="A133" s="22">
        <v>45778</v>
      </c>
      <c r="B133" s="22" t="str">
        <f>IF(Tabela1[[#This Row],[Data da Pesquisa]]="","",TEXT(Tabela1[[#This Row],[Data da Pesquisa]],"mmm-aa"))</f>
        <v>mai-25</v>
      </c>
      <c r="C133" s="23" t="s">
        <v>43</v>
      </c>
      <c r="D133" s="23" t="s">
        <v>67</v>
      </c>
      <c r="E133" s="29" t="s">
        <v>59</v>
      </c>
      <c r="F133" s="23" t="s">
        <v>19</v>
      </c>
      <c r="G133" s="23" t="s">
        <v>19</v>
      </c>
      <c r="H133" s="23" t="s">
        <v>19</v>
      </c>
      <c r="I133" s="23" t="s">
        <v>19</v>
      </c>
      <c r="J133" s="23" t="s">
        <v>19</v>
      </c>
      <c r="K133" s="23" t="s">
        <v>19</v>
      </c>
    </row>
    <row r="134" spans="1:11" ht="15.6" x14ac:dyDescent="0.3">
      <c r="A134" s="22">
        <v>45778</v>
      </c>
      <c r="B134" s="22" t="str">
        <f>IF(Tabela1[[#This Row],[Data da Pesquisa]]="","",TEXT(Tabela1[[#This Row],[Data da Pesquisa]],"mmm-aa"))</f>
        <v>mai-25</v>
      </c>
      <c r="C134" s="23" t="s">
        <v>43</v>
      </c>
      <c r="D134" s="23" t="s">
        <v>67</v>
      </c>
      <c r="E134" s="29" t="s">
        <v>59</v>
      </c>
      <c r="F134" s="23" t="s">
        <v>19</v>
      </c>
      <c r="G134" s="23" t="s">
        <v>19</v>
      </c>
      <c r="H134" s="23" t="s">
        <v>19</v>
      </c>
      <c r="I134" s="23" t="s">
        <v>19</v>
      </c>
      <c r="J134" s="23" t="s">
        <v>19</v>
      </c>
      <c r="K134" s="23" t="s">
        <v>19</v>
      </c>
    </row>
    <row r="135" spans="1:11" ht="15.6" x14ac:dyDescent="0.3">
      <c r="A135" s="22">
        <v>45778</v>
      </c>
      <c r="B135" s="22" t="str">
        <f>IF(Tabela1[[#This Row],[Data da Pesquisa]]="","",TEXT(Tabela1[[#This Row],[Data da Pesquisa]],"mmm-aa"))</f>
        <v>mai-25</v>
      </c>
      <c r="C135" s="23" t="s">
        <v>43</v>
      </c>
      <c r="D135" s="23" t="s">
        <v>67</v>
      </c>
      <c r="E135" s="29" t="s">
        <v>59</v>
      </c>
      <c r="F135" s="23" t="s">
        <v>19</v>
      </c>
      <c r="G135" s="23" t="s">
        <v>19</v>
      </c>
      <c r="H135" s="23" t="s">
        <v>19</v>
      </c>
      <c r="I135" s="23" t="s">
        <v>19</v>
      </c>
      <c r="J135" s="23" t="s">
        <v>19</v>
      </c>
      <c r="K135" s="23" t="s">
        <v>19</v>
      </c>
    </row>
    <row r="136" spans="1:11" ht="15.6" x14ac:dyDescent="0.3">
      <c r="A136" s="22">
        <v>45778</v>
      </c>
      <c r="B136" s="22" t="str">
        <f>IF(Tabela1[[#This Row],[Data da Pesquisa]]="","",TEXT(Tabela1[[#This Row],[Data da Pesquisa]],"mmm-aa"))</f>
        <v>mai-25</v>
      </c>
      <c r="C136" s="23" t="s">
        <v>43</v>
      </c>
      <c r="D136" s="23" t="s">
        <v>67</v>
      </c>
      <c r="E136" s="29" t="s">
        <v>59</v>
      </c>
      <c r="F136" s="23" t="s">
        <v>19</v>
      </c>
      <c r="G136" s="23" t="s">
        <v>19</v>
      </c>
      <c r="H136" s="23" t="s">
        <v>19</v>
      </c>
      <c r="I136" s="23" t="s">
        <v>19</v>
      </c>
      <c r="J136" s="23" t="s">
        <v>19</v>
      </c>
      <c r="K136" s="23" t="s">
        <v>19</v>
      </c>
    </row>
    <row r="137" spans="1:11" ht="15.6" x14ac:dyDescent="0.3">
      <c r="A137" s="22">
        <v>45778</v>
      </c>
      <c r="B137" s="22" t="str">
        <f>IF(Tabela1[[#This Row],[Data da Pesquisa]]="","",TEXT(Tabela1[[#This Row],[Data da Pesquisa]],"mmm-aa"))</f>
        <v>mai-25</v>
      </c>
      <c r="C137" s="23" t="s">
        <v>43</v>
      </c>
      <c r="D137" s="23" t="s">
        <v>67</v>
      </c>
      <c r="E137" s="29" t="s">
        <v>59</v>
      </c>
      <c r="F137" s="23" t="s">
        <v>19</v>
      </c>
      <c r="G137" s="23" t="s">
        <v>19</v>
      </c>
      <c r="H137" s="23" t="s">
        <v>19</v>
      </c>
      <c r="I137" s="23" t="s">
        <v>19</v>
      </c>
      <c r="J137" s="23" t="s">
        <v>19</v>
      </c>
      <c r="K137" s="23" t="s">
        <v>19</v>
      </c>
    </row>
    <row r="138" spans="1:11" ht="15.6" x14ac:dyDescent="0.3">
      <c r="A138" s="22">
        <v>45778</v>
      </c>
      <c r="B138" s="22" t="str">
        <f>IF(Tabela1[[#This Row],[Data da Pesquisa]]="","",TEXT(Tabela1[[#This Row],[Data da Pesquisa]],"mmm-aa"))</f>
        <v>mai-25</v>
      </c>
      <c r="C138" s="23" t="s">
        <v>43</v>
      </c>
      <c r="D138" s="23" t="s">
        <v>67</v>
      </c>
      <c r="E138" s="29" t="s">
        <v>59</v>
      </c>
      <c r="F138" s="23" t="s">
        <v>19</v>
      </c>
      <c r="G138" s="23" t="s">
        <v>19</v>
      </c>
      <c r="H138" s="23" t="s">
        <v>19</v>
      </c>
      <c r="I138" s="23" t="s">
        <v>19</v>
      </c>
      <c r="J138" s="23" t="s">
        <v>19</v>
      </c>
      <c r="K138" s="23" t="s">
        <v>19</v>
      </c>
    </row>
    <row r="139" spans="1:11" ht="15.6" x14ac:dyDescent="0.3">
      <c r="A139" s="22">
        <v>45778</v>
      </c>
      <c r="B139" s="22" t="str">
        <f>IF(Tabela1[[#This Row],[Data da Pesquisa]]="","",TEXT(Tabela1[[#This Row],[Data da Pesquisa]],"mmm-aa"))</f>
        <v>mai-25</v>
      </c>
      <c r="C139" s="23" t="s">
        <v>43</v>
      </c>
      <c r="D139" s="23" t="s">
        <v>67</v>
      </c>
      <c r="E139" s="29" t="s">
        <v>59</v>
      </c>
      <c r="F139" s="23" t="s">
        <v>19</v>
      </c>
      <c r="G139" s="23" t="s">
        <v>19</v>
      </c>
      <c r="H139" s="23" t="s">
        <v>19</v>
      </c>
      <c r="I139" s="23" t="s">
        <v>19</v>
      </c>
      <c r="J139" s="23" t="s">
        <v>19</v>
      </c>
      <c r="K139" s="23" t="s">
        <v>19</v>
      </c>
    </row>
    <row r="140" spans="1:11" ht="15.6" x14ac:dyDescent="0.3">
      <c r="A140" s="22">
        <v>45778</v>
      </c>
      <c r="B140" s="22" t="str">
        <f>IF(Tabela1[[#This Row],[Data da Pesquisa]]="","",TEXT(Tabela1[[#This Row],[Data da Pesquisa]],"mmm-aa"))</f>
        <v>mai-25</v>
      </c>
      <c r="C140" s="23" t="s">
        <v>43</v>
      </c>
      <c r="D140" s="23" t="s">
        <v>67</v>
      </c>
      <c r="E140" s="29" t="s">
        <v>59</v>
      </c>
      <c r="F140" s="23" t="s">
        <v>19</v>
      </c>
      <c r="G140" s="23" t="s">
        <v>19</v>
      </c>
      <c r="H140" s="23" t="s">
        <v>19</v>
      </c>
      <c r="I140" s="23" t="s">
        <v>19</v>
      </c>
      <c r="J140" s="23" t="s">
        <v>19</v>
      </c>
      <c r="K140" s="23" t="s">
        <v>19</v>
      </c>
    </row>
    <row r="141" spans="1:11" ht="15.6" x14ac:dyDescent="0.3">
      <c r="A141" s="22">
        <v>45778</v>
      </c>
      <c r="B141" s="22" t="str">
        <f>IF(Tabela1[[#This Row],[Data da Pesquisa]]="","",TEXT(Tabela1[[#This Row],[Data da Pesquisa]],"mmm-aa"))</f>
        <v>mai-25</v>
      </c>
      <c r="C141" s="23" t="s">
        <v>43</v>
      </c>
      <c r="D141" s="23" t="s">
        <v>67</v>
      </c>
      <c r="E141" s="29" t="s">
        <v>59</v>
      </c>
      <c r="F141" s="23" t="s">
        <v>19</v>
      </c>
      <c r="G141" s="23" t="s">
        <v>19</v>
      </c>
      <c r="H141" s="23" t="s">
        <v>19</v>
      </c>
      <c r="I141" s="23" t="s">
        <v>19</v>
      </c>
      <c r="J141" s="23" t="s">
        <v>19</v>
      </c>
      <c r="K141" s="23" t="s">
        <v>19</v>
      </c>
    </row>
    <row r="142" spans="1:11" ht="15.6" x14ac:dyDescent="0.3">
      <c r="A142" s="22">
        <v>45778</v>
      </c>
      <c r="B142" s="22" t="str">
        <f>IF(Tabela1[[#This Row],[Data da Pesquisa]]="","",TEXT(Tabela1[[#This Row],[Data da Pesquisa]],"mmm-aa"))</f>
        <v>mai-25</v>
      </c>
      <c r="C142" s="23" t="s">
        <v>43</v>
      </c>
      <c r="D142" s="23" t="s">
        <v>67</v>
      </c>
      <c r="E142" s="29" t="s">
        <v>59</v>
      </c>
      <c r="F142" s="23" t="s">
        <v>19</v>
      </c>
      <c r="G142" s="23" t="s">
        <v>19</v>
      </c>
      <c r="H142" s="23" t="s">
        <v>19</v>
      </c>
      <c r="I142" s="23" t="s">
        <v>19</v>
      </c>
      <c r="J142" s="23" t="s">
        <v>19</v>
      </c>
      <c r="K142" s="23" t="s">
        <v>19</v>
      </c>
    </row>
    <row r="143" spans="1:11" ht="15.6" x14ac:dyDescent="0.3">
      <c r="A143" s="22">
        <v>45778</v>
      </c>
      <c r="B143" s="22" t="str">
        <f>IF(Tabela1[[#This Row],[Data da Pesquisa]]="","",TEXT(Tabela1[[#This Row],[Data da Pesquisa]],"mmm-aa"))</f>
        <v>mai-25</v>
      </c>
      <c r="C143" s="23" t="s">
        <v>43</v>
      </c>
      <c r="D143" s="23" t="s">
        <v>67</v>
      </c>
      <c r="E143" s="29" t="s">
        <v>59</v>
      </c>
      <c r="F143" s="23" t="s">
        <v>19</v>
      </c>
      <c r="G143" s="23" t="s">
        <v>19</v>
      </c>
      <c r="H143" s="23" t="s">
        <v>19</v>
      </c>
      <c r="I143" s="23" t="s">
        <v>19</v>
      </c>
      <c r="J143" s="23" t="s">
        <v>19</v>
      </c>
      <c r="K143" s="23" t="s">
        <v>19</v>
      </c>
    </row>
    <row r="144" spans="1:11" ht="15.6" x14ac:dyDescent="0.3">
      <c r="A144" s="22">
        <v>45778</v>
      </c>
      <c r="B144" s="22" t="str">
        <f>IF(Tabela1[[#This Row],[Data da Pesquisa]]="","",TEXT(Tabela1[[#This Row],[Data da Pesquisa]],"mmm-aa"))</f>
        <v>mai-25</v>
      </c>
      <c r="C144" s="23" t="s">
        <v>43</v>
      </c>
      <c r="D144" s="23" t="s">
        <v>67</v>
      </c>
      <c r="E144" s="29" t="s">
        <v>59</v>
      </c>
      <c r="F144" s="23" t="s">
        <v>19</v>
      </c>
      <c r="G144" s="23" t="s">
        <v>19</v>
      </c>
      <c r="H144" s="23" t="s">
        <v>19</v>
      </c>
      <c r="I144" s="23" t="s">
        <v>19</v>
      </c>
      <c r="J144" s="23" t="s">
        <v>19</v>
      </c>
      <c r="K144" s="23" t="s">
        <v>19</v>
      </c>
    </row>
    <row r="145" spans="1:11" ht="15.6" x14ac:dyDescent="0.3">
      <c r="A145" s="22">
        <v>45778</v>
      </c>
      <c r="B145" s="22" t="str">
        <f>IF(Tabela1[[#This Row],[Data da Pesquisa]]="","",TEXT(Tabela1[[#This Row],[Data da Pesquisa]],"mmm-aa"))</f>
        <v>mai-25</v>
      </c>
      <c r="C145" s="23" t="s">
        <v>43</v>
      </c>
      <c r="D145" s="23" t="s">
        <v>67</v>
      </c>
      <c r="E145" s="29" t="s">
        <v>59</v>
      </c>
      <c r="F145" s="23" t="s">
        <v>19</v>
      </c>
      <c r="G145" s="23" t="s">
        <v>19</v>
      </c>
      <c r="H145" s="23" t="s">
        <v>19</v>
      </c>
      <c r="I145" s="23" t="s">
        <v>19</v>
      </c>
      <c r="J145" s="23" t="s">
        <v>19</v>
      </c>
      <c r="K145" s="23" t="s">
        <v>19</v>
      </c>
    </row>
  </sheetData>
  <phoneticPr fontId="11" type="noConversion"/>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F515-A31E-4CE6-AE6F-8B3A9A653AD1}">
  <dimension ref="A1:O21"/>
  <sheetViews>
    <sheetView workbookViewId="0">
      <selection activeCell="K3" sqref="K3"/>
    </sheetView>
  </sheetViews>
  <sheetFormatPr defaultRowHeight="14.4" x14ac:dyDescent="0.3"/>
  <cols>
    <col min="1" max="1" width="17.5546875" bestFit="1" customWidth="1"/>
    <col min="2" max="2" width="12.44140625" bestFit="1" customWidth="1"/>
    <col min="3" max="3" width="13.109375" bestFit="1" customWidth="1"/>
    <col min="4" max="4" width="13.88671875" bestFit="1" customWidth="1"/>
    <col min="5" max="5" width="20.88671875" bestFit="1" customWidth="1"/>
    <col min="6" max="6" width="20.44140625" bestFit="1" customWidth="1"/>
    <col min="7" max="7" width="16.5546875" bestFit="1" customWidth="1"/>
    <col min="9" max="9" width="8.88671875" style="7"/>
    <col min="14" max="14" width="18.5546875" bestFit="1" customWidth="1"/>
    <col min="15" max="15" width="8.6640625" style="4"/>
  </cols>
  <sheetData>
    <row r="1" spans="1:13" x14ac:dyDescent="0.3">
      <c r="H1">
        <f>SUM(H3:H7)</f>
        <v>862</v>
      </c>
      <c r="L1">
        <f>SUM(L3:L9)</f>
        <v>8457</v>
      </c>
      <c r="M1">
        <f>IFERROR(L1/H1,"")</f>
        <v>9.8109048723897914</v>
      </c>
    </row>
    <row r="2" spans="1:13" x14ac:dyDescent="0.3">
      <c r="B2" s="9" t="str">
        <f>Tabela1[[#Headers],[Acessibilidade]]</f>
        <v>Acessibilidade</v>
      </c>
      <c r="C2" t="str">
        <f>Tabela1[[#Headers],[Estrutura física]]</f>
        <v>Estrutura física</v>
      </c>
      <c r="D2" t="str">
        <f>Tabela1[[#Headers],[Ambiente limpo]]</f>
        <v>Ambiente limpo</v>
      </c>
      <c r="E2" t="str">
        <f>Tabela1[[#Headers],[Funcionários atenciosos]]</f>
        <v>Funcionários atenciosos</v>
      </c>
      <c r="F2" t="str">
        <f>Tabela1[[#Headers],[Resolveu seu problema ]]</f>
        <v xml:space="preserve">Resolveu seu problema </v>
      </c>
      <c r="G2" t="str">
        <f>Tabela1[[#Headers],[Informações claras]]</f>
        <v>Informações claras</v>
      </c>
      <c r="H2" t="s">
        <v>44</v>
      </c>
      <c r="I2" s="7" t="s">
        <v>45</v>
      </c>
    </row>
    <row r="3" spans="1:13" x14ac:dyDescent="0.3">
      <c r="A3" s="5" t="s">
        <v>19</v>
      </c>
      <c r="B3">
        <f>IFERROR(VLOOKUP(A3,ACESSIBILIDADE!A:B,2,0),"")</f>
        <v>141</v>
      </c>
      <c r="C3">
        <f>IFERROR(VLOOKUP(A3,'ESTRUTURA FÍSICA'!A:B,2,0),"")</f>
        <v>134</v>
      </c>
      <c r="D3">
        <f>IFERROR(VLOOKUP(A3,'AMBIENTE LIMPO'!A:B,2,0),"")</f>
        <v>136</v>
      </c>
      <c r="E3">
        <f>IFERROR(VLOOKUP(A3,'FUNCIONÁRIOS ATENCIOSOS'!A:B,2,0),"")</f>
        <v>132</v>
      </c>
      <c r="F3">
        <f>IFERROR(VLOOKUP(A3,'RESOLVEU SEU PROBLEMA'!A:B,2,0),"")</f>
        <v>141</v>
      </c>
      <c r="G3">
        <f>IFERROR(VLOOKUP(A3,'INFORMAÇÕES CLARAS'!A:B,2,0),"")</f>
        <v>133</v>
      </c>
      <c r="H3">
        <f>SUM(B3:G3)</f>
        <v>817</v>
      </c>
      <c r="I3" s="7">
        <f>H3/$H$8</f>
        <v>0.94779582366589332</v>
      </c>
      <c r="K3">
        <f>IFERROR(VLOOKUP(A3,A$16:B$21,2,0),"")</f>
        <v>10</v>
      </c>
      <c r="L3">
        <f>K3*H3</f>
        <v>8170</v>
      </c>
    </row>
    <row r="4" spans="1:13" x14ac:dyDescent="0.3">
      <c r="A4" s="5" t="s">
        <v>21</v>
      </c>
      <c r="B4" t="str">
        <f>IFERROR(VLOOKUP(A4,ACESSIBILIDADE!A:B,2,0),"")</f>
        <v/>
      </c>
      <c r="C4" t="str">
        <f>IFERROR(VLOOKUP(A4,'ESTRUTURA FÍSICA'!A:B,2,0),"")</f>
        <v/>
      </c>
      <c r="D4" t="str">
        <f>IFERROR(VLOOKUP(A4,'AMBIENTE LIMPO'!A:B,2,0),"")</f>
        <v/>
      </c>
      <c r="E4" t="str">
        <f>IFERROR(VLOOKUP(A4,'FUNCIONÁRIOS ATENCIOSOS'!A:B,2,0),"")</f>
        <v/>
      </c>
      <c r="F4" t="str">
        <f>IFERROR(VLOOKUP(A4,'RESOLVEU SEU PROBLEMA'!A:B,2,0),"")</f>
        <v/>
      </c>
      <c r="G4" t="str">
        <f>IFERROR(VLOOKUP(A4,'INFORMAÇÕES CLARAS'!A:B,2,0),"")</f>
        <v/>
      </c>
      <c r="H4">
        <f t="shared" ref="H4:H7" si="0">SUM(B4:G4)</f>
        <v>0</v>
      </c>
      <c r="I4" s="7">
        <f t="shared" ref="I4:I7" si="1">H4/$H$8</f>
        <v>0</v>
      </c>
      <c r="K4">
        <f t="shared" ref="K4:K8" si="2">IFERROR(VLOOKUP(A4,A$16:B$21,2,0),"")</f>
        <v>9</v>
      </c>
      <c r="L4">
        <f t="shared" ref="L4:L7" si="3">K4*H4</f>
        <v>0</v>
      </c>
    </row>
    <row r="5" spans="1:13" x14ac:dyDescent="0.3">
      <c r="A5" s="5" t="s">
        <v>23</v>
      </c>
      <c r="B5" t="str">
        <f>IFERROR(VLOOKUP(A5,ACESSIBILIDADE!A:B,2,0),"")</f>
        <v/>
      </c>
      <c r="C5">
        <f>IFERROR(VLOOKUP(A5,'ESTRUTURA FÍSICA'!A:B,2,0),"")</f>
        <v>1</v>
      </c>
      <c r="D5" t="str">
        <f>IFERROR(VLOOKUP(A5,'AMBIENTE LIMPO'!A:B,2,0),"")</f>
        <v/>
      </c>
      <c r="E5">
        <f>IFERROR(VLOOKUP(A5,'FUNCIONÁRIOS ATENCIOSOS'!A:B,2,0),"")</f>
        <v>12</v>
      </c>
      <c r="F5">
        <f>IFERROR(VLOOKUP(A5,'RESOLVEU SEU PROBLEMA'!A:B,2,0),"")</f>
        <v>2</v>
      </c>
      <c r="G5" t="str">
        <f>IFERROR(VLOOKUP(A5,'INFORMAÇÕES CLARAS'!A:B,2,0),"")</f>
        <v/>
      </c>
      <c r="H5">
        <f t="shared" si="0"/>
        <v>15</v>
      </c>
      <c r="I5" s="7">
        <f t="shared" si="1"/>
        <v>1.7401392111368909E-2</v>
      </c>
      <c r="K5">
        <f t="shared" si="2"/>
        <v>7</v>
      </c>
      <c r="L5">
        <f t="shared" si="3"/>
        <v>105</v>
      </c>
    </row>
    <row r="6" spans="1:13" x14ac:dyDescent="0.3">
      <c r="A6" s="5" t="s">
        <v>24</v>
      </c>
      <c r="B6">
        <f>IFERROR(VLOOKUP(A6,ACESSIBILIDADE!A:B,2,0),"")</f>
        <v>1</v>
      </c>
      <c r="C6">
        <f>IFERROR(VLOOKUP(A6,'ESTRUTURA FÍSICA'!A:B,2,0),"")</f>
        <v>9</v>
      </c>
      <c r="D6">
        <f>IFERROR(VLOOKUP(A6,'AMBIENTE LIMPO'!A:B,2,0),"")</f>
        <v>8</v>
      </c>
      <c r="E6" t="str">
        <f>IFERROR(VLOOKUP(A6,'FUNCIONÁRIOS ATENCIOSOS'!A:B,2,0),"")</f>
        <v/>
      </c>
      <c r="F6" t="str">
        <f>IFERROR(VLOOKUP(A6,'RESOLVEU SEU PROBLEMA'!A:B,2,0),"")</f>
        <v/>
      </c>
      <c r="G6">
        <f>IFERROR(VLOOKUP(A6,'INFORMAÇÕES CLARAS'!A:B,2,0),"")</f>
        <v>11</v>
      </c>
      <c r="H6">
        <f t="shared" si="0"/>
        <v>29</v>
      </c>
      <c r="I6" s="7">
        <f t="shared" si="1"/>
        <v>3.3642691415313224E-2</v>
      </c>
      <c r="K6">
        <f t="shared" si="2"/>
        <v>6</v>
      </c>
      <c r="L6">
        <f t="shared" si="3"/>
        <v>174</v>
      </c>
    </row>
    <row r="7" spans="1:13" x14ac:dyDescent="0.3">
      <c r="A7" s="5" t="s">
        <v>22</v>
      </c>
      <c r="B7" t="str">
        <f>IFERROR(VLOOKUP(A7,ACESSIBILIDADE!A:B,2,0),"")</f>
        <v/>
      </c>
      <c r="C7" t="str">
        <f>IFERROR(VLOOKUP(A7,'ESTRUTURA FÍSICA'!A:B,2,0),"")</f>
        <v/>
      </c>
      <c r="D7" t="str">
        <f>IFERROR(VLOOKUP(A7,'AMBIENTE LIMPO'!A:B,2,0),"")</f>
        <v/>
      </c>
      <c r="E7" t="str">
        <f>IFERROR(VLOOKUP(A7,'FUNCIONÁRIOS ATENCIOSOS'!A:B,2,0),"")</f>
        <v/>
      </c>
      <c r="F7">
        <f>IFERROR(VLOOKUP(A7,'RESOLVEU SEU PROBLEMA'!A:B,2,0),"")</f>
        <v>1</v>
      </c>
      <c r="G7" t="str">
        <f>IFERROR(VLOOKUP(A7,'INFORMAÇÕES CLARAS'!A:B,2,0),"")</f>
        <v/>
      </c>
      <c r="H7">
        <f t="shared" si="0"/>
        <v>1</v>
      </c>
      <c r="I7" s="7">
        <f t="shared" si="1"/>
        <v>1.1600928074245939E-3</v>
      </c>
      <c r="K7">
        <f t="shared" si="2"/>
        <v>8</v>
      </c>
      <c r="L7">
        <f t="shared" si="3"/>
        <v>8</v>
      </c>
    </row>
    <row r="8" spans="1:13" x14ac:dyDescent="0.3">
      <c r="A8" s="6"/>
      <c r="B8">
        <f>SUM(B3:B7)</f>
        <v>142</v>
      </c>
      <c r="C8">
        <f t="shared" ref="C8:H8" si="4">SUM(C3:C7)</f>
        <v>144</v>
      </c>
      <c r="D8">
        <f t="shared" si="4"/>
        <v>144</v>
      </c>
      <c r="E8">
        <f t="shared" si="4"/>
        <v>144</v>
      </c>
      <c r="F8">
        <f t="shared" si="4"/>
        <v>144</v>
      </c>
      <c r="G8">
        <f t="shared" si="4"/>
        <v>144</v>
      </c>
      <c r="H8">
        <f t="shared" si="4"/>
        <v>862</v>
      </c>
      <c r="I8" s="7">
        <f>H8/$H$8</f>
        <v>1</v>
      </c>
      <c r="K8" t="str">
        <f t="shared" si="2"/>
        <v/>
      </c>
    </row>
    <row r="16" spans="1:13" x14ac:dyDescent="0.3">
      <c r="A16" t="s">
        <v>16</v>
      </c>
      <c r="B16" s="4" t="s">
        <v>17</v>
      </c>
    </row>
    <row r="17" spans="1:2" x14ac:dyDescent="0.3">
      <c r="A17" t="s">
        <v>19</v>
      </c>
      <c r="B17" s="4">
        <v>10</v>
      </c>
    </row>
    <row r="18" spans="1:2" x14ac:dyDescent="0.3">
      <c r="A18" t="s">
        <v>21</v>
      </c>
      <c r="B18" s="4">
        <v>9</v>
      </c>
    </row>
    <row r="19" spans="1:2" x14ac:dyDescent="0.3">
      <c r="A19" t="s">
        <v>22</v>
      </c>
      <c r="B19" s="4">
        <v>8</v>
      </c>
    </row>
    <row r="20" spans="1:2" x14ac:dyDescent="0.3">
      <c r="A20" t="s">
        <v>23</v>
      </c>
      <c r="B20" s="4">
        <v>7</v>
      </c>
    </row>
    <row r="21" spans="1:2" x14ac:dyDescent="0.3">
      <c r="A21" t="s">
        <v>24</v>
      </c>
      <c r="B21" s="4">
        <v>6</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7C0C1-C606-4584-93CA-B281FD3EF8CE}">
  <sheetPr>
    <tabColor rgb="FFFFC000"/>
    <pageSetUpPr fitToPage="1"/>
  </sheetPr>
  <dimension ref="A1:W13"/>
  <sheetViews>
    <sheetView showGridLines="0" view="pageBreakPreview" zoomScale="50" zoomScaleNormal="70" zoomScaleSheetLayoutView="50" workbookViewId="0">
      <selection activeCell="AM35" sqref="AM35"/>
    </sheetView>
  </sheetViews>
  <sheetFormatPr defaultRowHeight="14.4" x14ac:dyDescent="0.3"/>
  <sheetData>
    <row r="1" spans="1:23" x14ac:dyDescent="0.3">
      <c r="A1" s="3"/>
      <c r="B1" s="3"/>
      <c r="C1" s="3"/>
      <c r="D1" s="3"/>
      <c r="E1" s="3"/>
      <c r="F1" s="3"/>
      <c r="G1" s="3"/>
      <c r="H1" s="3"/>
      <c r="I1" s="3"/>
      <c r="J1" s="3"/>
      <c r="K1" s="3"/>
      <c r="L1" s="3"/>
      <c r="M1" s="3"/>
      <c r="N1" s="3"/>
      <c r="O1" s="3"/>
      <c r="P1" s="3"/>
      <c r="Q1" s="3"/>
      <c r="R1" s="3"/>
      <c r="S1" s="3"/>
      <c r="T1" s="3"/>
      <c r="U1" s="3"/>
      <c r="V1" s="3"/>
      <c r="W1" s="3"/>
    </row>
    <row r="4" spans="1:23" x14ac:dyDescent="0.3">
      <c r="B4" s="41" t="s">
        <v>46</v>
      </c>
      <c r="C4" s="41"/>
      <c r="D4" s="41"/>
      <c r="G4" s="42" t="s">
        <v>47</v>
      </c>
      <c r="H4" s="43"/>
      <c r="I4" s="42" t="s">
        <v>48</v>
      </c>
      <c r="J4" s="49"/>
      <c r="K4" s="43"/>
      <c r="L4" s="42" t="s">
        <v>49</v>
      </c>
      <c r="M4" s="49"/>
      <c r="N4" s="43"/>
    </row>
    <row r="5" spans="1:23" x14ac:dyDescent="0.3">
      <c r="B5" s="46">
        <f>APOIO!M1</f>
        <v>9.8109048723897914</v>
      </c>
      <c r="C5" s="47"/>
      <c r="D5" s="47"/>
    </row>
    <row r="6" spans="1:23" x14ac:dyDescent="0.3">
      <c r="B6" s="48"/>
      <c r="C6" s="48"/>
      <c r="D6" s="48"/>
      <c r="G6" s="44" t="s">
        <v>50</v>
      </c>
      <c r="H6" s="45"/>
      <c r="I6" s="50">
        <f>APOIO!H3+APOIO!H4</f>
        <v>817</v>
      </c>
      <c r="J6" s="50"/>
      <c r="K6" s="50"/>
      <c r="L6" s="51">
        <f>APOIO!I3+APOIO!I4</f>
        <v>0.94779582366589332</v>
      </c>
      <c r="M6" s="51"/>
      <c r="N6" s="51"/>
    </row>
    <row r="7" spans="1:23" x14ac:dyDescent="0.3">
      <c r="B7" s="48"/>
      <c r="C7" s="48"/>
      <c r="D7" s="48"/>
    </row>
    <row r="8" spans="1:23" x14ac:dyDescent="0.3">
      <c r="B8" s="48"/>
      <c r="C8" s="48"/>
      <c r="D8" s="48"/>
      <c r="G8" s="44" t="s">
        <v>51</v>
      </c>
      <c r="H8" s="45"/>
      <c r="I8" s="50">
        <f>APOIO!H5+APOIO!H6</f>
        <v>44</v>
      </c>
      <c r="J8" s="50"/>
      <c r="K8" s="50"/>
      <c r="L8" s="51">
        <f>APOIO!I5+APOIO!I6</f>
        <v>5.1044083526682132E-2</v>
      </c>
      <c r="M8" s="51"/>
      <c r="N8" s="51"/>
    </row>
    <row r="9" spans="1:23" x14ac:dyDescent="0.3">
      <c r="B9" s="48"/>
      <c r="C9" s="48"/>
      <c r="D9" s="48"/>
    </row>
    <row r="10" spans="1:23" x14ac:dyDescent="0.3">
      <c r="G10" s="44" t="s">
        <v>52</v>
      </c>
      <c r="H10" s="45"/>
      <c r="I10" s="50">
        <f>APOIO!H7</f>
        <v>1</v>
      </c>
      <c r="J10" s="50"/>
      <c r="K10" s="50"/>
      <c r="L10" s="51">
        <f>APOIO!I7</f>
        <v>1.1600928074245939E-3</v>
      </c>
      <c r="M10" s="51"/>
      <c r="N10" s="51"/>
    </row>
    <row r="12" spans="1:23" x14ac:dyDescent="0.3">
      <c r="A12" s="8"/>
      <c r="B12" s="8"/>
      <c r="C12" s="8"/>
      <c r="D12" s="8"/>
      <c r="E12" s="8"/>
      <c r="F12" s="8"/>
      <c r="G12" s="8"/>
      <c r="H12" s="8"/>
      <c r="I12" s="8"/>
      <c r="J12" s="8"/>
      <c r="K12" s="8"/>
      <c r="L12" s="8"/>
      <c r="M12" s="8"/>
      <c r="N12" s="8"/>
      <c r="O12" s="8"/>
      <c r="P12" s="8"/>
      <c r="Q12" s="8"/>
      <c r="R12" s="8"/>
      <c r="S12" s="8"/>
      <c r="T12" s="8"/>
      <c r="U12" s="8"/>
      <c r="V12" s="8"/>
      <c r="W12" s="8"/>
    </row>
    <row r="13" spans="1:23" ht="7.5" customHeight="1" x14ac:dyDescent="0.3"/>
  </sheetData>
  <mergeCells count="14">
    <mergeCell ref="I4:K4"/>
    <mergeCell ref="I6:K6"/>
    <mergeCell ref="I8:K8"/>
    <mergeCell ref="I10:K10"/>
    <mergeCell ref="L4:N4"/>
    <mergeCell ref="L6:N6"/>
    <mergeCell ref="L8:N8"/>
    <mergeCell ref="L10:N10"/>
    <mergeCell ref="B4:D4"/>
    <mergeCell ref="G4:H4"/>
    <mergeCell ref="G6:H6"/>
    <mergeCell ref="G8:H8"/>
    <mergeCell ref="G10:H10"/>
    <mergeCell ref="B5:D9"/>
  </mergeCells>
  <conditionalFormatting sqref="I6:K10">
    <cfRule type="colorScale" priority="1">
      <colorScale>
        <cfvo type="min"/>
        <cfvo type="max"/>
        <color rgb="FFFFEF9C"/>
        <color rgb="FF63BE7B"/>
      </colorScale>
    </cfRule>
    <cfRule type="colorScale" priority="3">
      <colorScale>
        <cfvo type="min"/>
        <cfvo type="percentile" val="50"/>
        <cfvo type="max"/>
        <color rgb="FFF8696B"/>
        <color rgb="FFFCFCFF"/>
        <color rgb="FF5A8AC6"/>
      </colorScale>
    </cfRule>
  </conditionalFormatting>
  <conditionalFormatting sqref="L6:N10">
    <cfRule type="colorScale" priority="2">
      <colorScale>
        <cfvo type="min"/>
        <cfvo type="max"/>
        <color rgb="FFFFEF9C"/>
        <color rgb="FF63BE7B"/>
      </colorScale>
    </cfRule>
    <cfRule type="colorScale" priority="4">
      <colorScale>
        <cfvo type="min"/>
        <cfvo type="percentile" val="50"/>
        <cfvo type="max"/>
        <color rgb="FFF8696B"/>
        <color rgb="FFFCFCFF"/>
        <color rgb="FF5A8AC6"/>
      </colorScale>
    </cfRule>
  </conditionalFormatting>
  <pageMargins left="0.51181102362204722" right="0.51181102362204722" top="0.39370078740157483" bottom="0.19685039370078741" header="0.31496062992125984" footer="0.31496062992125984"/>
  <pageSetup paperSize="9" scale="66" fitToHeight="0"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13CD-2A37-4A22-9DF0-6D9CC15BFB72}">
  <dimension ref="A1:B5"/>
  <sheetViews>
    <sheetView workbookViewId="0">
      <selection activeCell="B2" sqref="B2"/>
    </sheetView>
  </sheetViews>
  <sheetFormatPr defaultRowHeight="14.4" x14ac:dyDescent="0.3"/>
  <cols>
    <col min="1" max="1" width="17.77734375" bestFit="1" customWidth="1"/>
    <col min="2" max="2" width="24.77734375" bestFit="1" customWidth="1"/>
  </cols>
  <sheetData>
    <row r="1" spans="1:2" x14ac:dyDescent="0.3">
      <c r="A1" s="1" t="s">
        <v>0</v>
      </c>
      <c r="B1" t="s">
        <v>53</v>
      </c>
    </row>
    <row r="2" spans="1:2" x14ac:dyDescent="0.3">
      <c r="A2" s="2" t="s">
        <v>69</v>
      </c>
      <c r="B2">
        <v>1</v>
      </c>
    </row>
    <row r="3" spans="1:2" x14ac:dyDescent="0.3">
      <c r="A3" s="2" t="s">
        <v>19</v>
      </c>
      <c r="B3">
        <v>141</v>
      </c>
    </row>
    <row r="4" spans="1:2" x14ac:dyDescent="0.3">
      <c r="A4" s="2" t="s">
        <v>70</v>
      </c>
      <c r="B4">
        <v>2</v>
      </c>
    </row>
    <row r="5" spans="1:2" x14ac:dyDescent="0.3">
      <c r="A5" s="2" t="s">
        <v>2</v>
      </c>
      <c r="B5">
        <v>144</v>
      </c>
    </row>
  </sheetData>
  <pageMargins left="0.511811024" right="0.511811024" top="0.78740157499999996" bottom="0.78740157499999996" header="0.31496062000000002" footer="0.31496062000000002"/>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5AD2E-2930-400A-AE2F-5D23CEBD796D}">
  <dimension ref="A1:B5"/>
  <sheetViews>
    <sheetView workbookViewId="0">
      <selection activeCell="B10" sqref="B10"/>
    </sheetView>
  </sheetViews>
  <sheetFormatPr defaultRowHeight="14.4" x14ac:dyDescent="0.3"/>
  <cols>
    <col min="1" max="1" width="17.6640625" bestFit="1" customWidth="1"/>
    <col min="2" max="2" width="25.44140625" bestFit="1" customWidth="1"/>
  </cols>
  <sheetData>
    <row r="1" spans="1:2" x14ac:dyDescent="0.3">
      <c r="A1" s="1" t="s">
        <v>0</v>
      </c>
      <c r="B1" t="s">
        <v>54</v>
      </c>
    </row>
    <row r="2" spans="1:2" x14ac:dyDescent="0.3">
      <c r="A2" s="2" t="s">
        <v>24</v>
      </c>
      <c r="B2">
        <v>9</v>
      </c>
    </row>
    <row r="3" spans="1:2" x14ac:dyDescent="0.3">
      <c r="A3" s="2" t="s">
        <v>19</v>
      </c>
      <c r="B3">
        <v>134</v>
      </c>
    </row>
    <row r="4" spans="1:2" x14ac:dyDescent="0.3">
      <c r="A4" s="2" t="s">
        <v>23</v>
      </c>
      <c r="B4">
        <v>1</v>
      </c>
    </row>
    <row r="5" spans="1:2" x14ac:dyDescent="0.3">
      <c r="A5" s="2" t="s">
        <v>2</v>
      </c>
      <c r="B5">
        <v>144</v>
      </c>
    </row>
  </sheetData>
  <pageMargins left="0.511811024" right="0.511811024" top="0.78740157499999996" bottom="0.78740157499999996" header="0.31496062000000002" footer="0.31496062000000002"/>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1D4D1-0004-4CAE-95E2-929C6DFD140D}">
  <dimension ref="A1:B4"/>
  <sheetViews>
    <sheetView workbookViewId="0">
      <selection activeCell="B22" sqref="B22"/>
    </sheetView>
  </sheetViews>
  <sheetFormatPr defaultRowHeight="14.4" x14ac:dyDescent="0.3"/>
  <cols>
    <col min="1" max="1" width="17.6640625" bestFit="1" customWidth="1"/>
    <col min="2" max="2" width="25.44140625" bestFit="1" customWidth="1"/>
  </cols>
  <sheetData>
    <row r="1" spans="1:2" x14ac:dyDescent="0.3">
      <c r="A1" s="1" t="s">
        <v>0</v>
      </c>
      <c r="B1" t="s">
        <v>54</v>
      </c>
    </row>
    <row r="2" spans="1:2" x14ac:dyDescent="0.3">
      <c r="A2" s="2" t="s">
        <v>24</v>
      </c>
      <c r="B2">
        <v>8</v>
      </c>
    </row>
    <row r="3" spans="1:2" x14ac:dyDescent="0.3">
      <c r="A3" s="2" t="s">
        <v>19</v>
      </c>
      <c r="B3">
        <v>136</v>
      </c>
    </row>
    <row r="4" spans="1:2" x14ac:dyDescent="0.3">
      <c r="A4" s="2" t="s">
        <v>2</v>
      </c>
      <c r="B4">
        <v>144</v>
      </c>
    </row>
  </sheetData>
  <pageMargins left="0.511811024" right="0.511811024" top="0.78740157499999996" bottom="0.78740157499999996" header="0.31496062000000002" footer="0.31496062000000002"/>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E3016-BF8D-4280-B6B7-475CB16A3E19}">
  <dimension ref="A1:B4"/>
  <sheetViews>
    <sheetView workbookViewId="0">
      <selection activeCell="B22" sqref="B22"/>
    </sheetView>
  </sheetViews>
  <sheetFormatPr defaultRowHeight="14.4" x14ac:dyDescent="0.3"/>
  <cols>
    <col min="1" max="1" width="17.21875" bestFit="1" customWidth="1"/>
    <col min="2" max="2" width="33.21875" bestFit="1" customWidth="1"/>
  </cols>
  <sheetData>
    <row r="1" spans="1:2" x14ac:dyDescent="0.3">
      <c r="A1" s="1" t="s">
        <v>0</v>
      </c>
      <c r="B1" t="s">
        <v>55</v>
      </c>
    </row>
    <row r="2" spans="1:2" x14ac:dyDescent="0.3">
      <c r="A2" s="2" t="s">
        <v>19</v>
      </c>
      <c r="B2">
        <v>132</v>
      </c>
    </row>
    <row r="3" spans="1:2" x14ac:dyDescent="0.3">
      <c r="A3" s="2" t="s">
        <v>23</v>
      </c>
      <c r="B3">
        <v>12</v>
      </c>
    </row>
    <row r="4" spans="1:2" x14ac:dyDescent="0.3">
      <c r="A4" s="2" t="s">
        <v>2</v>
      </c>
      <c r="B4">
        <v>144</v>
      </c>
    </row>
  </sheetData>
  <pageMargins left="0.511811024" right="0.511811024" top="0.78740157499999996" bottom="0.78740157499999996" header="0.31496062000000002" footer="0.31496062000000002"/>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E049-E28A-40E9-BA03-A6B7DBBEB5A5}">
  <dimension ref="A1:B5"/>
  <sheetViews>
    <sheetView workbookViewId="0">
      <selection activeCell="B22" sqref="B22"/>
    </sheetView>
  </sheetViews>
  <sheetFormatPr defaultRowHeight="14.4" x14ac:dyDescent="0.3"/>
  <cols>
    <col min="1" max="1" width="17.21875" bestFit="1" customWidth="1"/>
    <col min="2" max="2" width="33.109375" bestFit="1" customWidth="1"/>
  </cols>
  <sheetData>
    <row r="1" spans="1:2" x14ac:dyDescent="0.3">
      <c r="A1" s="1" t="s">
        <v>0</v>
      </c>
      <c r="B1" t="s">
        <v>56</v>
      </c>
    </row>
    <row r="2" spans="1:2" x14ac:dyDescent="0.3">
      <c r="A2" s="2" t="s">
        <v>22</v>
      </c>
      <c r="B2">
        <v>1</v>
      </c>
    </row>
    <row r="3" spans="1:2" x14ac:dyDescent="0.3">
      <c r="A3" s="2" t="s">
        <v>19</v>
      </c>
      <c r="B3">
        <v>141</v>
      </c>
    </row>
    <row r="4" spans="1:2" x14ac:dyDescent="0.3">
      <c r="A4" s="2" t="s">
        <v>23</v>
      </c>
      <c r="B4">
        <v>2</v>
      </c>
    </row>
    <row r="5" spans="1:2" x14ac:dyDescent="0.3">
      <c r="A5" s="2" t="s">
        <v>2</v>
      </c>
      <c r="B5">
        <v>144</v>
      </c>
    </row>
  </sheetData>
  <pageMargins left="0.511811024" right="0.511811024" top="0.78740157499999996" bottom="0.78740157499999996" header="0.31496062000000002" footer="0.31496062000000002"/>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4D90F-7B2E-405D-A009-663D1D9CF1EB}">
  <dimension ref="A1:B4"/>
  <sheetViews>
    <sheetView workbookViewId="0">
      <selection activeCell="I25" sqref="I25"/>
    </sheetView>
  </sheetViews>
  <sheetFormatPr defaultRowHeight="14.4" x14ac:dyDescent="0.3"/>
  <cols>
    <col min="1" max="1" width="17.6640625" bestFit="1" customWidth="1"/>
    <col min="2" max="2" width="28.88671875" bestFit="1" customWidth="1"/>
  </cols>
  <sheetData>
    <row r="1" spans="1:2" x14ac:dyDescent="0.3">
      <c r="A1" s="1" t="s">
        <v>0</v>
      </c>
      <c r="B1" t="s">
        <v>57</v>
      </c>
    </row>
    <row r="2" spans="1:2" x14ac:dyDescent="0.3">
      <c r="A2" s="2" t="s">
        <v>24</v>
      </c>
      <c r="B2">
        <v>11</v>
      </c>
    </row>
    <row r="3" spans="1:2" x14ac:dyDescent="0.3">
      <c r="A3" s="2" t="s">
        <v>19</v>
      </c>
      <c r="B3">
        <v>133</v>
      </c>
    </row>
    <row r="4" spans="1:2" x14ac:dyDescent="0.3">
      <c r="A4" s="2" t="s">
        <v>2</v>
      </c>
      <c r="B4">
        <v>144</v>
      </c>
    </row>
  </sheetData>
  <pageMargins left="0.511811024" right="0.511811024" top="0.78740157499999996" bottom="0.78740157499999996" header="0.31496062000000002" footer="0.31496062000000002"/>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6741b59-57e5-4189-a030-398f374c4d95">
      <Terms xmlns="http://schemas.microsoft.com/office/infopath/2007/PartnerControls"/>
    </lcf76f155ced4ddcb4097134ff3c332f>
    <TaxCatchAll xmlns="042518b4-ff96-46b0-a19b-8245231505b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3449FAC672DCD45BAC834896FD426A5" ma:contentTypeVersion="16" ma:contentTypeDescription="Create a new document." ma:contentTypeScope="" ma:versionID="9fd217f8e91d7d7187ad93792ab78bdc">
  <xsd:schema xmlns:xsd="http://www.w3.org/2001/XMLSchema" xmlns:xs="http://www.w3.org/2001/XMLSchema" xmlns:p="http://schemas.microsoft.com/office/2006/metadata/properties" xmlns:ns2="56741b59-57e5-4189-a030-398f374c4d95" xmlns:ns3="042518b4-ff96-46b0-a19b-8245231505b1" targetNamespace="http://schemas.microsoft.com/office/2006/metadata/properties" ma:root="true" ma:fieldsID="a614fa6f5611d17bcb613b0c095c19d2" ns2:_="" ns3:_="">
    <xsd:import namespace="56741b59-57e5-4189-a030-398f374c4d95"/>
    <xsd:import namespace="042518b4-ff96-46b0-a19b-8245231505b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ObjectDetectorVersion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41b59-57e5-4189-a030-398f374c4d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abd3df3-db9b-46ca-b07f-13c267e85697"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2518b4-ff96-46b0-a19b-8245231505b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e7c13af-5476-4715-bdea-49dde58f8844}" ma:internalName="TaxCatchAll" ma:showField="CatchAllData" ma:web="042518b4-ff96-46b0-a19b-8245231505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2D4683-43F7-4D95-B61D-957FB90A1F4F}">
  <ds:schemaRefs>
    <ds:schemaRef ds:uri="http://schemas.microsoft.com/office/2006/metadata/properties"/>
    <ds:schemaRef ds:uri="http://schemas.microsoft.com/office/infopath/2007/PartnerControls"/>
    <ds:schemaRef ds:uri="56741b59-57e5-4189-a030-398f374c4d95"/>
    <ds:schemaRef ds:uri="042518b4-ff96-46b0-a19b-8245231505b1"/>
  </ds:schemaRefs>
</ds:datastoreItem>
</file>

<file path=customXml/itemProps2.xml><?xml version="1.0" encoding="utf-8"?>
<ds:datastoreItem xmlns:ds="http://schemas.openxmlformats.org/officeDocument/2006/customXml" ds:itemID="{907847C0-BE49-40D9-82CD-4D1EAC503F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741b59-57e5-4189-a030-398f374c4d95"/>
    <ds:schemaRef ds:uri="042518b4-ff96-46b0-a19b-8245231505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06DDDC-0AA2-42E3-AD2D-07D22CB978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13</vt:i4>
      </vt:variant>
      <vt:variant>
        <vt:lpstr>Intervalos Nomeados</vt:lpstr>
      </vt:variant>
      <vt:variant>
        <vt:i4>1</vt:i4>
      </vt:variant>
    </vt:vector>
  </HeadingPairs>
  <TitlesOfParts>
    <vt:vector size="14" baseType="lpstr">
      <vt:lpstr>Especialidades MAIS PROCURADAS</vt:lpstr>
      <vt:lpstr>MES</vt:lpstr>
      <vt:lpstr>MAPA</vt:lpstr>
      <vt:lpstr>PESQUISA DE SATISFAÇÃO </vt:lpstr>
      <vt:lpstr>TABELA</vt:lpstr>
      <vt:lpstr>APOIO</vt:lpstr>
      <vt:lpstr>DASHBOARD</vt:lpstr>
      <vt:lpstr>ACESSIBILIDADE</vt:lpstr>
      <vt:lpstr>ESTRUTURA FÍSICA</vt:lpstr>
      <vt:lpstr>AMBIENTE LIMPO</vt:lpstr>
      <vt:lpstr>FUNCIONÁRIOS ATENCIOSOS</vt:lpstr>
      <vt:lpstr>RESOLVEU SEU PROBLEMA</vt:lpstr>
      <vt:lpstr>INFORMAÇÕES CLARAS</vt:lpstr>
      <vt:lpstr>DASHBOARD!Area_de_impressao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Franciele Klaumann</dc:creator>
  <cp:keywords/>
  <dc:description/>
  <cp:lastModifiedBy>Franciele Klaumann</cp:lastModifiedBy>
  <cp:revision/>
  <cp:lastPrinted>2025-05-13T23:45:00Z</cp:lastPrinted>
  <dcterms:created xsi:type="dcterms:W3CDTF">2025-05-06T01:21:56Z</dcterms:created>
  <dcterms:modified xsi:type="dcterms:W3CDTF">2025-05-18T17:33:02Z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0x010100B3449FAC672DCD45BAC834896FD426A5</vt:lpwstr>
  </property>
  <property fmtid="{D5CDD505-2E9C-101B-9397-08002B2CF9AE}" pid="3" name="MediaServiceImageTags">
    <vt:lpwstr/>
  </property>
</Properties>
</file>