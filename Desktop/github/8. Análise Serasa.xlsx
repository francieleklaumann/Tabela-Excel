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"/>
    </mc:Choice>
  </mc:AlternateContent>
  <xr:revisionPtr revIDLastSave="0" documentId="13_ncr:1_{65EBB9D3-CFE9-47B6-90DF-7E80AD8EBD57}" xr6:coauthVersionLast="47" xr6:coauthVersionMax="47" xr10:uidLastSave="{00000000-0000-0000-0000-000000000000}"/>
  <bookViews>
    <workbookView xWindow="-108" yWindow="-108" windowWidth="23256" windowHeight="12456" firstSheet="3" activeTab="3" xr2:uid="{D1F46CD5-53DD-4021-8E0C-84D1CD2C61BE}"/>
  </bookViews>
  <sheets>
    <sheet name="Tabela de Natureza Jurídica " sheetId="3" state="hidden" r:id="rId1"/>
    <sheet name="CNAE_Cód.Atividade Econômica" sheetId="5" state="hidden" r:id="rId2"/>
    <sheet name="TAB.AUXILIAR" sheetId="4" state="hidden" r:id="rId3"/>
    <sheet name="CONTROLE DIÁRIO DE CONSULTAS" sheetId="7" r:id="rId4"/>
    <sheet name="ANÁLISE SERASA" sheetId="2" r:id="rId5"/>
    <sheet name="RELATÓRIO DE CONSULTAS - SERASA" sheetId="1" r:id="rId6"/>
    <sheet name="GRÁFICO" sheetId="6" r:id="rId7"/>
  </sheets>
  <definedNames>
    <definedName name="_xlnm._FilterDatabase" localSheetId="3" hidden="1">'CONTROLE DIÁRIO DE CONSULTAS'!$D$9:$K$9</definedName>
    <definedName name="Tabela10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2" l="1"/>
  <c r="C57" i="2"/>
  <c r="E66" i="2"/>
  <c r="E18" i="2" l="1"/>
  <c r="AE551" i="7"/>
  <c r="AC551" i="7"/>
  <c r="M10" i="7" l="1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E21" i="2"/>
  <c r="E23" i="2"/>
  <c r="C6" i="4" l="1"/>
  <c r="C7" i="4"/>
  <c r="C8" i="4"/>
  <c r="C9" i="4"/>
  <c r="C10" i="4"/>
  <c r="N36" i="7"/>
  <c r="O36" i="7" s="1"/>
  <c r="N37" i="7"/>
  <c r="O37" i="7" s="1"/>
  <c r="N38" i="7"/>
  <c r="O38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O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 s="1"/>
  <c r="N65" i="7"/>
  <c r="O65" i="7" s="1"/>
  <c r="N66" i="7"/>
  <c r="O66" i="7" s="1"/>
  <c r="N67" i="7"/>
  <c r="O67" i="7" s="1"/>
  <c r="N68" i="7"/>
  <c r="O68" i="7" s="1"/>
  <c r="N69" i="7"/>
  <c r="O69" i="7" s="1"/>
  <c r="N70" i="7"/>
  <c r="O70" i="7" s="1"/>
  <c r="N71" i="7"/>
  <c r="O71" i="7" s="1"/>
  <c r="N72" i="7"/>
  <c r="O72" i="7" s="1"/>
  <c r="N73" i="7"/>
  <c r="O73" i="7" s="1"/>
  <c r="N74" i="7"/>
  <c r="O74" i="7" s="1"/>
  <c r="N75" i="7"/>
  <c r="O75" i="7" s="1"/>
  <c r="N76" i="7"/>
  <c r="O76" i="7" s="1"/>
  <c r="N77" i="7"/>
  <c r="O77" i="7" s="1"/>
  <c r="N78" i="7"/>
  <c r="O78" i="7" s="1"/>
  <c r="N79" i="7"/>
  <c r="O79" i="7" s="1"/>
  <c r="N80" i="7"/>
  <c r="O80" i="7" s="1"/>
  <c r="N81" i="7"/>
  <c r="O81" i="7" s="1"/>
  <c r="N82" i="7"/>
  <c r="O82" i="7" s="1"/>
  <c r="N83" i="7"/>
  <c r="O83" i="7" s="1"/>
  <c r="N84" i="7"/>
  <c r="O84" i="7" s="1"/>
  <c r="N85" i="7"/>
  <c r="O85" i="7" s="1"/>
  <c r="N86" i="7"/>
  <c r="O86" i="7" s="1"/>
  <c r="N87" i="7"/>
  <c r="O87" i="7" s="1"/>
  <c r="N88" i="7"/>
  <c r="O88" i="7" s="1"/>
  <c r="N89" i="7"/>
  <c r="O89" i="7" s="1"/>
  <c r="N90" i="7"/>
  <c r="O90" i="7" s="1"/>
  <c r="N91" i="7"/>
  <c r="O91" i="7" s="1"/>
  <c r="N92" i="7"/>
  <c r="O92" i="7" s="1"/>
  <c r="N93" i="7"/>
  <c r="O93" i="7" s="1"/>
  <c r="N94" i="7"/>
  <c r="O94" i="7" s="1"/>
  <c r="N95" i="7"/>
  <c r="O95" i="7" s="1"/>
  <c r="N96" i="7"/>
  <c r="O96" i="7" s="1"/>
  <c r="N97" i="7"/>
  <c r="O97" i="7" s="1"/>
  <c r="N98" i="7"/>
  <c r="O98" i="7" s="1"/>
  <c r="N99" i="7"/>
  <c r="O99" i="7" s="1"/>
  <c r="N100" i="7"/>
  <c r="O100" i="7" s="1"/>
  <c r="N101" i="7"/>
  <c r="O101" i="7" s="1"/>
  <c r="N102" i="7"/>
  <c r="O102" i="7" s="1"/>
  <c r="N103" i="7"/>
  <c r="O103" i="7" s="1"/>
  <c r="N104" i="7"/>
  <c r="O104" i="7" s="1"/>
  <c r="N105" i="7"/>
  <c r="O105" i="7" s="1"/>
  <c r="N106" i="7"/>
  <c r="O106" i="7" s="1"/>
  <c r="N107" i="7"/>
  <c r="O107" i="7" s="1"/>
  <c r="N108" i="7"/>
  <c r="O108" i="7" s="1"/>
  <c r="N109" i="7"/>
  <c r="O109" i="7" s="1"/>
  <c r="N110" i="7"/>
  <c r="O110" i="7" s="1"/>
  <c r="N111" i="7"/>
  <c r="O111" i="7" s="1"/>
  <c r="N112" i="7"/>
  <c r="O112" i="7" s="1"/>
  <c r="N113" i="7"/>
  <c r="O113" i="7" s="1"/>
  <c r="N114" i="7"/>
  <c r="O114" i="7" s="1"/>
  <c r="N115" i="7"/>
  <c r="O115" i="7" s="1"/>
  <c r="N116" i="7"/>
  <c r="O116" i="7" s="1"/>
  <c r="N117" i="7"/>
  <c r="O117" i="7" s="1"/>
  <c r="N118" i="7"/>
  <c r="O118" i="7" s="1"/>
  <c r="N119" i="7"/>
  <c r="O119" i="7" s="1"/>
  <c r="N120" i="7"/>
  <c r="O120" i="7" s="1"/>
  <c r="N121" i="7"/>
  <c r="O121" i="7" s="1"/>
  <c r="N122" i="7"/>
  <c r="O122" i="7" s="1"/>
  <c r="N123" i="7"/>
  <c r="O123" i="7" s="1"/>
  <c r="N124" i="7"/>
  <c r="O124" i="7" s="1"/>
  <c r="N125" i="7"/>
  <c r="O125" i="7" s="1"/>
  <c r="N126" i="7"/>
  <c r="O126" i="7" s="1"/>
  <c r="N127" i="7"/>
  <c r="O127" i="7" s="1"/>
  <c r="N128" i="7"/>
  <c r="O128" i="7" s="1"/>
  <c r="N129" i="7"/>
  <c r="O129" i="7" s="1"/>
  <c r="N130" i="7"/>
  <c r="O130" i="7" s="1"/>
  <c r="N131" i="7"/>
  <c r="O131" i="7" s="1"/>
  <c r="N132" i="7"/>
  <c r="O132" i="7" s="1"/>
  <c r="N133" i="7"/>
  <c r="O133" i="7" s="1"/>
  <c r="N134" i="7"/>
  <c r="O134" i="7" s="1"/>
  <c r="N135" i="7"/>
  <c r="O135" i="7" s="1"/>
  <c r="N136" i="7"/>
  <c r="O136" i="7" s="1"/>
  <c r="N137" i="7"/>
  <c r="O137" i="7" s="1"/>
  <c r="N138" i="7"/>
  <c r="O138" i="7" s="1"/>
  <c r="N139" i="7"/>
  <c r="O139" i="7" s="1"/>
  <c r="N140" i="7"/>
  <c r="O140" i="7" s="1"/>
  <c r="N141" i="7"/>
  <c r="O141" i="7" s="1"/>
  <c r="N142" i="7"/>
  <c r="O142" i="7" s="1"/>
  <c r="N143" i="7"/>
  <c r="O143" i="7" s="1"/>
  <c r="N144" i="7"/>
  <c r="O144" i="7" s="1"/>
  <c r="N145" i="7"/>
  <c r="O145" i="7" s="1"/>
  <c r="N146" i="7"/>
  <c r="O146" i="7" s="1"/>
  <c r="N147" i="7"/>
  <c r="O147" i="7" s="1"/>
  <c r="N148" i="7"/>
  <c r="O148" i="7" s="1"/>
  <c r="N149" i="7"/>
  <c r="O149" i="7" s="1"/>
  <c r="N150" i="7"/>
  <c r="O150" i="7" s="1"/>
  <c r="N151" i="7"/>
  <c r="O151" i="7" s="1"/>
  <c r="N152" i="7"/>
  <c r="O152" i="7" s="1"/>
  <c r="N153" i="7"/>
  <c r="O153" i="7" s="1"/>
  <c r="N154" i="7"/>
  <c r="O154" i="7" s="1"/>
  <c r="N155" i="7"/>
  <c r="O155" i="7" s="1"/>
  <c r="N156" i="7"/>
  <c r="O156" i="7" s="1"/>
  <c r="N157" i="7"/>
  <c r="O157" i="7" s="1"/>
  <c r="N158" i="7"/>
  <c r="O158" i="7" s="1"/>
  <c r="N159" i="7"/>
  <c r="O159" i="7" s="1"/>
  <c r="N160" i="7"/>
  <c r="O160" i="7" s="1"/>
  <c r="N161" i="7"/>
  <c r="O161" i="7" s="1"/>
  <c r="N162" i="7"/>
  <c r="O162" i="7" s="1"/>
  <c r="N163" i="7"/>
  <c r="O163" i="7" s="1"/>
  <c r="N164" i="7"/>
  <c r="O164" i="7" s="1"/>
  <c r="N165" i="7"/>
  <c r="O165" i="7" s="1"/>
  <c r="N166" i="7"/>
  <c r="O166" i="7" s="1"/>
  <c r="N167" i="7"/>
  <c r="O167" i="7" s="1"/>
  <c r="N168" i="7"/>
  <c r="O168" i="7" s="1"/>
  <c r="N169" i="7"/>
  <c r="O169" i="7" s="1"/>
  <c r="N170" i="7"/>
  <c r="O170" i="7" s="1"/>
  <c r="N171" i="7"/>
  <c r="O171" i="7" s="1"/>
  <c r="N172" i="7"/>
  <c r="O172" i="7" s="1"/>
  <c r="N173" i="7"/>
  <c r="O173" i="7" s="1"/>
  <c r="N174" i="7"/>
  <c r="O174" i="7" s="1"/>
  <c r="N175" i="7"/>
  <c r="O175" i="7" s="1"/>
  <c r="N176" i="7"/>
  <c r="O176" i="7" s="1"/>
  <c r="N177" i="7"/>
  <c r="O177" i="7" s="1"/>
  <c r="N178" i="7"/>
  <c r="O178" i="7" s="1"/>
  <c r="N179" i="7"/>
  <c r="O179" i="7" s="1"/>
  <c r="N180" i="7"/>
  <c r="O180" i="7" s="1"/>
  <c r="N181" i="7"/>
  <c r="O181" i="7" s="1"/>
  <c r="N182" i="7"/>
  <c r="O182" i="7" s="1"/>
  <c r="N183" i="7"/>
  <c r="O183" i="7" s="1"/>
  <c r="N184" i="7"/>
  <c r="O184" i="7" s="1"/>
  <c r="N185" i="7"/>
  <c r="O185" i="7" s="1"/>
  <c r="N186" i="7"/>
  <c r="O186" i="7" s="1"/>
  <c r="N187" i="7"/>
  <c r="O187" i="7" s="1"/>
  <c r="N188" i="7"/>
  <c r="O188" i="7" s="1"/>
  <c r="N189" i="7"/>
  <c r="O189" i="7" s="1"/>
  <c r="N190" i="7"/>
  <c r="O190" i="7" s="1"/>
  <c r="N191" i="7"/>
  <c r="O191" i="7" s="1"/>
  <c r="N192" i="7"/>
  <c r="O192" i="7" s="1"/>
  <c r="N193" i="7"/>
  <c r="O193" i="7" s="1"/>
  <c r="N194" i="7"/>
  <c r="O194" i="7" s="1"/>
  <c r="N195" i="7"/>
  <c r="O195" i="7" s="1"/>
  <c r="N196" i="7"/>
  <c r="O196" i="7" s="1"/>
  <c r="N197" i="7"/>
  <c r="O197" i="7" s="1"/>
  <c r="N198" i="7"/>
  <c r="O198" i="7" s="1"/>
  <c r="N199" i="7"/>
  <c r="O199" i="7" s="1"/>
  <c r="N200" i="7"/>
  <c r="O200" i="7" s="1"/>
  <c r="N201" i="7"/>
  <c r="O201" i="7" s="1"/>
  <c r="N202" i="7"/>
  <c r="O202" i="7" s="1"/>
  <c r="N203" i="7"/>
  <c r="O203" i="7" s="1"/>
  <c r="N204" i="7"/>
  <c r="O204" i="7" s="1"/>
  <c r="N205" i="7"/>
  <c r="O205" i="7" s="1"/>
  <c r="N206" i="7"/>
  <c r="O206" i="7" s="1"/>
  <c r="N207" i="7"/>
  <c r="O207" i="7" s="1"/>
  <c r="N208" i="7"/>
  <c r="O208" i="7" s="1"/>
  <c r="N209" i="7"/>
  <c r="O209" i="7" s="1"/>
  <c r="N210" i="7"/>
  <c r="O210" i="7" s="1"/>
  <c r="N211" i="7"/>
  <c r="O211" i="7" s="1"/>
  <c r="N212" i="7"/>
  <c r="O212" i="7" s="1"/>
  <c r="N213" i="7"/>
  <c r="O213" i="7" s="1"/>
  <c r="N214" i="7"/>
  <c r="O214" i="7" s="1"/>
  <c r="N215" i="7"/>
  <c r="O215" i="7" s="1"/>
  <c r="N216" i="7"/>
  <c r="O216" i="7" s="1"/>
  <c r="N217" i="7"/>
  <c r="O217" i="7" s="1"/>
  <c r="N218" i="7"/>
  <c r="O218" i="7" s="1"/>
  <c r="N219" i="7"/>
  <c r="O219" i="7" s="1"/>
  <c r="N220" i="7"/>
  <c r="O220" i="7" s="1"/>
  <c r="N221" i="7"/>
  <c r="O221" i="7" s="1"/>
  <c r="N222" i="7"/>
  <c r="O222" i="7" s="1"/>
  <c r="N223" i="7"/>
  <c r="O223" i="7" s="1"/>
  <c r="N224" i="7"/>
  <c r="O224" i="7" s="1"/>
  <c r="N225" i="7"/>
  <c r="O225" i="7" s="1"/>
  <c r="N226" i="7"/>
  <c r="O226" i="7" s="1"/>
  <c r="N227" i="7"/>
  <c r="O227" i="7" s="1"/>
  <c r="N228" i="7"/>
  <c r="O228" i="7" s="1"/>
  <c r="N229" i="7"/>
  <c r="O229" i="7" s="1"/>
  <c r="N230" i="7"/>
  <c r="O230" i="7" s="1"/>
  <c r="N231" i="7"/>
  <c r="O231" i="7" s="1"/>
  <c r="N232" i="7"/>
  <c r="O232" i="7" s="1"/>
  <c r="N233" i="7"/>
  <c r="O233" i="7" s="1"/>
  <c r="N234" i="7"/>
  <c r="O234" i="7" s="1"/>
  <c r="N235" i="7"/>
  <c r="O235" i="7" s="1"/>
  <c r="N236" i="7"/>
  <c r="O236" i="7" s="1"/>
  <c r="N237" i="7"/>
  <c r="O237" i="7" s="1"/>
  <c r="N238" i="7"/>
  <c r="O238" i="7" s="1"/>
  <c r="N239" i="7"/>
  <c r="O239" i="7" s="1"/>
  <c r="N240" i="7"/>
  <c r="O240" i="7" s="1"/>
  <c r="N241" i="7"/>
  <c r="O241" i="7" s="1"/>
  <c r="N242" i="7"/>
  <c r="O242" i="7" s="1"/>
  <c r="N243" i="7"/>
  <c r="O243" i="7" s="1"/>
  <c r="N244" i="7"/>
  <c r="O244" i="7" s="1"/>
  <c r="N245" i="7"/>
  <c r="O245" i="7" s="1"/>
  <c r="N246" i="7"/>
  <c r="O246" i="7" s="1"/>
  <c r="N247" i="7"/>
  <c r="O247" i="7" s="1"/>
  <c r="N248" i="7"/>
  <c r="O248" i="7" s="1"/>
  <c r="N249" i="7"/>
  <c r="O249" i="7" s="1"/>
  <c r="N250" i="7"/>
  <c r="O250" i="7" s="1"/>
  <c r="N251" i="7"/>
  <c r="O251" i="7" s="1"/>
  <c r="N252" i="7"/>
  <c r="O252" i="7" s="1"/>
  <c r="N253" i="7"/>
  <c r="O253" i="7" s="1"/>
  <c r="N254" i="7"/>
  <c r="O254" i="7" s="1"/>
  <c r="N255" i="7"/>
  <c r="O255" i="7" s="1"/>
  <c r="N256" i="7"/>
  <c r="O256" i="7" s="1"/>
  <c r="N257" i="7"/>
  <c r="O257" i="7" s="1"/>
  <c r="N258" i="7"/>
  <c r="O258" i="7" s="1"/>
  <c r="N259" i="7"/>
  <c r="O259" i="7" s="1"/>
  <c r="N260" i="7"/>
  <c r="O260" i="7" s="1"/>
  <c r="N261" i="7"/>
  <c r="O261" i="7" s="1"/>
  <c r="N262" i="7"/>
  <c r="O262" i="7" s="1"/>
  <c r="N263" i="7"/>
  <c r="O263" i="7" s="1"/>
  <c r="N264" i="7"/>
  <c r="O264" i="7" s="1"/>
  <c r="N265" i="7"/>
  <c r="O265" i="7" s="1"/>
  <c r="N266" i="7"/>
  <c r="O266" i="7" s="1"/>
  <c r="N267" i="7"/>
  <c r="O267" i="7" s="1"/>
  <c r="N268" i="7"/>
  <c r="O268" i="7" s="1"/>
  <c r="N269" i="7"/>
  <c r="O269" i="7" s="1"/>
  <c r="N270" i="7"/>
  <c r="O270" i="7" s="1"/>
  <c r="N271" i="7"/>
  <c r="O271" i="7" s="1"/>
  <c r="N272" i="7"/>
  <c r="O272" i="7" s="1"/>
  <c r="N273" i="7"/>
  <c r="O273" i="7" s="1"/>
  <c r="N274" i="7"/>
  <c r="O274" i="7" s="1"/>
  <c r="N275" i="7"/>
  <c r="O275" i="7" s="1"/>
  <c r="N276" i="7"/>
  <c r="O276" i="7" s="1"/>
  <c r="N277" i="7"/>
  <c r="O277" i="7" s="1"/>
  <c r="N278" i="7"/>
  <c r="O278" i="7" s="1"/>
  <c r="N279" i="7"/>
  <c r="O279" i="7" s="1"/>
  <c r="N280" i="7"/>
  <c r="O280" i="7" s="1"/>
  <c r="N281" i="7"/>
  <c r="O281" i="7" s="1"/>
  <c r="N282" i="7"/>
  <c r="O282" i="7" s="1"/>
  <c r="N283" i="7"/>
  <c r="O283" i="7" s="1"/>
  <c r="N284" i="7"/>
  <c r="O284" i="7" s="1"/>
  <c r="N285" i="7"/>
  <c r="O285" i="7" s="1"/>
  <c r="N286" i="7"/>
  <c r="O286" i="7" s="1"/>
  <c r="N287" i="7"/>
  <c r="O287" i="7" s="1"/>
  <c r="N288" i="7"/>
  <c r="O288" i="7" s="1"/>
  <c r="N289" i="7"/>
  <c r="O289" i="7" s="1"/>
  <c r="N290" i="7"/>
  <c r="O290" i="7" s="1"/>
  <c r="N291" i="7"/>
  <c r="O291" i="7" s="1"/>
  <c r="N292" i="7"/>
  <c r="O292" i="7" s="1"/>
  <c r="N293" i="7"/>
  <c r="O293" i="7" s="1"/>
  <c r="N294" i="7"/>
  <c r="O294" i="7" s="1"/>
  <c r="N295" i="7"/>
  <c r="O295" i="7" s="1"/>
  <c r="N296" i="7"/>
  <c r="O296" i="7" s="1"/>
  <c r="N297" i="7"/>
  <c r="O297" i="7" s="1"/>
  <c r="N298" i="7"/>
  <c r="O298" i="7" s="1"/>
  <c r="N299" i="7"/>
  <c r="O299" i="7" s="1"/>
  <c r="N300" i="7"/>
  <c r="O300" i="7" s="1"/>
  <c r="N301" i="7"/>
  <c r="O301" i="7" s="1"/>
  <c r="N302" i="7"/>
  <c r="O302" i="7" s="1"/>
  <c r="N303" i="7"/>
  <c r="O303" i="7" s="1"/>
  <c r="N304" i="7"/>
  <c r="O304" i="7" s="1"/>
  <c r="N305" i="7"/>
  <c r="O305" i="7" s="1"/>
  <c r="N306" i="7"/>
  <c r="O306" i="7" s="1"/>
  <c r="N307" i="7"/>
  <c r="O307" i="7" s="1"/>
  <c r="N308" i="7"/>
  <c r="O308" i="7" s="1"/>
  <c r="N309" i="7"/>
  <c r="O309" i="7" s="1"/>
  <c r="N310" i="7"/>
  <c r="O310" i="7" s="1"/>
  <c r="N311" i="7"/>
  <c r="O311" i="7" s="1"/>
  <c r="N312" i="7"/>
  <c r="O312" i="7" s="1"/>
  <c r="N313" i="7"/>
  <c r="O313" i="7" s="1"/>
  <c r="N314" i="7"/>
  <c r="O314" i="7" s="1"/>
  <c r="N315" i="7"/>
  <c r="O315" i="7" s="1"/>
  <c r="N316" i="7"/>
  <c r="O316" i="7" s="1"/>
  <c r="N317" i="7"/>
  <c r="O317" i="7" s="1"/>
  <c r="N318" i="7"/>
  <c r="O318" i="7" s="1"/>
  <c r="N319" i="7"/>
  <c r="O319" i="7" s="1"/>
  <c r="N320" i="7"/>
  <c r="O320" i="7" s="1"/>
  <c r="N321" i="7"/>
  <c r="O321" i="7" s="1"/>
  <c r="N322" i="7"/>
  <c r="O322" i="7" s="1"/>
  <c r="N323" i="7"/>
  <c r="O323" i="7" s="1"/>
  <c r="N324" i="7"/>
  <c r="O324" i="7" s="1"/>
  <c r="N325" i="7"/>
  <c r="O325" i="7" s="1"/>
  <c r="N326" i="7"/>
  <c r="O326" i="7" s="1"/>
  <c r="N327" i="7"/>
  <c r="O327" i="7" s="1"/>
  <c r="N328" i="7"/>
  <c r="O328" i="7" s="1"/>
  <c r="N329" i="7"/>
  <c r="O329" i="7" s="1"/>
  <c r="N330" i="7"/>
  <c r="O330" i="7" s="1"/>
  <c r="N331" i="7"/>
  <c r="O331" i="7" s="1"/>
  <c r="N332" i="7"/>
  <c r="O332" i="7" s="1"/>
  <c r="N333" i="7"/>
  <c r="O333" i="7" s="1"/>
  <c r="N334" i="7"/>
  <c r="O334" i="7" s="1"/>
  <c r="N335" i="7"/>
  <c r="O335" i="7" s="1"/>
  <c r="N336" i="7"/>
  <c r="O336" i="7" s="1"/>
  <c r="N337" i="7"/>
  <c r="O337" i="7" s="1"/>
  <c r="N338" i="7"/>
  <c r="O338" i="7" s="1"/>
  <c r="N339" i="7"/>
  <c r="O339" i="7" s="1"/>
  <c r="N340" i="7"/>
  <c r="O340" i="7" s="1"/>
  <c r="N341" i="7"/>
  <c r="O341" i="7" s="1"/>
  <c r="N342" i="7"/>
  <c r="O342" i="7" s="1"/>
  <c r="N343" i="7"/>
  <c r="O343" i="7" s="1"/>
  <c r="N344" i="7"/>
  <c r="O344" i="7" s="1"/>
  <c r="N345" i="7"/>
  <c r="O345" i="7" s="1"/>
  <c r="N346" i="7"/>
  <c r="O346" i="7" s="1"/>
  <c r="N347" i="7"/>
  <c r="O347" i="7" s="1"/>
  <c r="N348" i="7"/>
  <c r="O348" i="7" s="1"/>
  <c r="N349" i="7"/>
  <c r="O349" i="7" s="1"/>
  <c r="N350" i="7"/>
  <c r="O350" i="7" s="1"/>
  <c r="N351" i="7"/>
  <c r="O351" i="7" s="1"/>
  <c r="N352" i="7"/>
  <c r="O352" i="7" s="1"/>
  <c r="N353" i="7"/>
  <c r="O353" i="7" s="1"/>
  <c r="N354" i="7"/>
  <c r="O354" i="7" s="1"/>
  <c r="N355" i="7"/>
  <c r="O355" i="7" s="1"/>
  <c r="N356" i="7"/>
  <c r="O356" i="7" s="1"/>
  <c r="N357" i="7"/>
  <c r="O357" i="7" s="1"/>
  <c r="N358" i="7"/>
  <c r="O358" i="7" s="1"/>
  <c r="N359" i="7"/>
  <c r="O359" i="7" s="1"/>
  <c r="N360" i="7"/>
  <c r="O360" i="7" s="1"/>
  <c r="N361" i="7"/>
  <c r="O361" i="7" s="1"/>
  <c r="N362" i="7"/>
  <c r="O362" i="7" s="1"/>
  <c r="N363" i="7"/>
  <c r="O363" i="7" s="1"/>
  <c r="N364" i="7"/>
  <c r="O364" i="7" s="1"/>
  <c r="N365" i="7"/>
  <c r="O365" i="7" s="1"/>
  <c r="N366" i="7"/>
  <c r="O366" i="7" s="1"/>
  <c r="N367" i="7"/>
  <c r="O367" i="7" s="1"/>
  <c r="N368" i="7"/>
  <c r="O368" i="7" s="1"/>
  <c r="N369" i="7"/>
  <c r="O369" i="7" s="1"/>
  <c r="N370" i="7"/>
  <c r="O370" i="7" s="1"/>
  <c r="N371" i="7"/>
  <c r="O371" i="7" s="1"/>
  <c r="N372" i="7"/>
  <c r="O372" i="7" s="1"/>
  <c r="N373" i="7"/>
  <c r="O373" i="7" s="1"/>
  <c r="N374" i="7"/>
  <c r="O374" i="7" s="1"/>
  <c r="N375" i="7"/>
  <c r="O375" i="7" s="1"/>
  <c r="N376" i="7"/>
  <c r="O376" i="7" s="1"/>
  <c r="N377" i="7"/>
  <c r="O377" i="7" s="1"/>
  <c r="N378" i="7"/>
  <c r="O378" i="7" s="1"/>
  <c r="N379" i="7"/>
  <c r="O379" i="7" s="1"/>
  <c r="N380" i="7"/>
  <c r="O380" i="7" s="1"/>
  <c r="N381" i="7"/>
  <c r="O381" i="7" s="1"/>
  <c r="N382" i="7"/>
  <c r="O382" i="7" s="1"/>
  <c r="N383" i="7"/>
  <c r="O383" i="7" s="1"/>
  <c r="N384" i="7"/>
  <c r="O384" i="7" s="1"/>
  <c r="N385" i="7"/>
  <c r="O385" i="7" s="1"/>
  <c r="N386" i="7"/>
  <c r="O386" i="7" s="1"/>
  <c r="N387" i="7"/>
  <c r="O387" i="7" s="1"/>
  <c r="N388" i="7"/>
  <c r="O388" i="7" s="1"/>
  <c r="N389" i="7"/>
  <c r="O389" i="7" s="1"/>
  <c r="N390" i="7"/>
  <c r="O390" i="7" s="1"/>
  <c r="N391" i="7"/>
  <c r="O391" i="7" s="1"/>
  <c r="N392" i="7"/>
  <c r="O392" i="7" s="1"/>
  <c r="N393" i="7"/>
  <c r="O393" i="7" s="1"/>
  <c r="N394" i="7"/>
  <c r="O394" i="7" s="1"/>
  <c r="N395" i="7"/>
  <c r="O395" i="7" s="1"/>
  <c r="N396" i="7"/>
  <c r="O396" i="7" s="1"/>
  <c r="N397" i="7"/>
  <c r="O397" i="7" s="1"/>
  <c r="N398" i="7"/>
  <c r="O398" i="7" s="1"/>
  <c r="N399" i="7"/>
  <c r="O399" i="7" s="1"/>
  <c r="N400" i="7"/>
  <c r="O400" i="7" s="1"/>
  <c r="N401" i="7"/>
  <c r="O401" i="7" s="1"/>
  <c r="N402" i="7"/>
  <c r="O402" i="7" s="1"/>
  <c r="N403" i="7"/>
  <c r="O403" i="7" s="1"/>
  <c r="N404" i="7"/>
  <c r="O404" i="7" s="1"/>
  <c r="N405" i="7"/>
  <c r="O405" i="7" s="1"/>
  <c r="N406" i="7"/>
  <c r="O406" i="7" s="1"/>
  <c r="N407" i="7"/>
  <c r="O407" i="7" s="1"/>
  <c r="N408" i="7"/>
  <c r="O408" i="7" s="1"/>
  <c r="N409" i="7"/>
  <c r="O409" i="7" s="1"/>
  <c r="N410" i="7"/>
  <c r="O410" i="7" s="1"/>
  <c r="N411" i="7"/>
  <c r="O411" i="7" s="1"/>
  <c r="N412" i="7"/>
  <c r="O412" i="7" s="1"/>
  <c r="N413" i="7"/>
  <c r="O413" i="7" s="1"/>
  <c r="N414" i="7"/>
  <c r="O414" i="7" s="1"/>
  <c r="N415" i="7"/>
  <c r="O415" i="7" s="1"/>
  <c r="N416" i="7"/>
  <c r="O416" i="7" s="1"/>
  <c r="N417" i="7"/>
  <c r="O417" i="7" s="1"/>
  <c r="N418" i="7"/>
  <c r="O418" i="7" s="1"/>
  <c r="N419" i="7"/>
  <c r="O419" i="7" s="1"/>
  <c r="N420" i="7"/>
  <c r="O420" i="7" s="1"/>
  <c r="N421" i="7"/>
  <c r="O421" i="7" s="1"/>
  <c r="N422" i="7"/>
  <c r="O422" i="7" s="1"/>
  <c r="N423" i="7"/>
  <c r="O423" i="7" s="1"/>
  <c r="N424" i="7"/>
  <c r="O424" i="7" s="1"/>
  <c r="N425" i="7"/>
  <c r="O425" i="7" s="1"/>
  <c r="N426" i="7"/>
  <c r="O426" i="7" s="1"/>
  <c r="N427" i="7"/>
  <c r="O427" i="7" s="1"/>
  <c r="N428" i="7"/>
  <c r="O428" i="7" s="1"/>
  <c r="N429" i="7"/>
  <c r="O429" i="7" s="1"/>
  <c r="N430" i="7"/>
  <c r="O430" i="7" s="1"/>
  <c r="N431" i="7"/>
  <c r="O431" i="7" s="1"/>
  <c r="N432" i="7"/>
  <c r="O432" i="7" s="1"/>
  <c r="N433" i="7"/>
  <c r="O433" i="7" s="1"/>
  <c r="N434" i="7"/>
  <c r="O434" i="7" s="1"/>
  <c r="N435" i="7"/>
  <c r="O435" i="7" s="1"/>
  <c r="N436" i="7"/>
  <c r="O436" i="7" s="1"/>
  <c r="N437" i="7"/>
  <c r="O437" i="7" s="1"/>
  <c r="N438" i="7"/>
  <c r="O438" i="7" s="1"/>
  <c r="N439" i="7"/>
  <c r="O439" i="7" s="1"/>
  <c r="N440" i="7"/>
  <c r="O440" i="7" s="1"/>
  <c r="N441" i="7"/>
  <c r="O441" i="7" s="1"/>
  <c r="N442" i="7"/>
  <c r="O442" i="7" s="1"/>
  <c r="N443" i="7"/>
  <c r="O443" i="7" s="1"/>
  <c r="N444" i="7"/>
  <c r="O444" i="7" s="1"/>
  <c r="N445" i="7"/>
  <c r="O445" i="7" s="1"/>
  <c r="N446" i="7"/>
  <c r="O446" i="7" s="1"/>
  <c r="N447" i="7"/>
  <c r="O447" i="7" s="1"/>
  <c r="N448" i="7"/>
  <c r="O448" i="7" s="1"/>
  <c r="N449" i="7"/>
  <c r="O449" i="7" s="1"/>
  <c r="N450" i="7"/>
  <c r="O450" i="7" s="1"/>
  <c r="N451" i="7"/>
  <c r="O451" i="7" s="1"/>
  <c r="N452" i="7"/>
  <c r="O452" i="7" s="1"/>
  <c r="N453" i="7"/>
  <c r="O453" i="7" s="1"/>
  <c r="N454" i="7"/>
  <c r="O454" i="7" s="1"/>
  <c r="N455" i="7"/>
  <c r="O455" i="7" s="1"/>
  <c r="N456" i="7"/>
  <c r="O456" i="7" s="1"/>
  <c r="N457" i="7"/>
  <c r="O457" i="7" s="1"/>
  <c r="N458" i="7"/>
  <c r="O458" i="7" s="1"/>
  <c r="N459" i="7"/>
  <c r="O459" i="7" s="1"/>
  <c r="N460" i="7"/>
  <c r="O460" i="7" s="1"/>
  <c r="N461" i="7"/>
  <c r="O461" i="7" s="1"/>
  <c r="N462" i="7"/>
  <c r="O462" i="7" s="1"/>
  <c r="N463" i="7"/>
  <c r="O463" i="7" s="1"/>
  <c r="N464" i="7"/>
  <c r="O464" i="7" s="1"/>
  <c r="N465" i="7"/>
  <c r="O465" i="7" s="1"/>
  <c r="N466" i="7"/>
  <c r="O466" i="7" s="1"/>
  <c r="N467" i="7"/>
  <c r="O467" i="7" s="1"/>
  <c r="N468" i="7"/>
  <c r="O468" i="7" s="1"/>
  <c r="N469" i="7"/>
  <c r="O469" i="7" s="1"/>
  <c r="N470" i="7"/>
  <c r="O470" i="7" s="1"/>
  <c r="N471" i="7"/>
  <c r="O471" i="7" s="1"/>
  <c r="N472" i="7"/>
  <c r="O472" i="7" s="1"/>
  <c r="N473" i="7"/>
  <c r="O473" i="7" s="1"/>
  <c r="N474" i="7"/>
  <c r="O474" i="7" s="1"/>
  <c r="N475" i="7"/>
  <c r="O475" i="7" s="1"/>
  <c r="N476" i="7"/>
  <c r="O476" i="7" s="1"/>
  <c r="N477" i="7"/>
  <c r="O477" i="7" s="1"/>
  <c r="N478" i="7"/>
  <c r="O478" i="7" s="1"/>
  <c r="N479" i="7"/>
  <c r="O479" i="7" s="1"/>
  <c r="N480" i="7"/>
  <c r="O480" i="7" s="1"/>
  <c r="N481" i="7"/>
  <c r="O481" i="7" s="1"/>
  <c r="N482" i="7"/>
  <c r="O482" i="7" s="1"/>
  <c r="N483" i="7"/>
  <c r="O483" i="7" s="1"/>
  <c r="N484" i="7"/>
  <c r="O484" i="7" s="1"/>
  <c r="N485" i="7"/>
  <c r="O485" i="7" s="1"/>
  <c r="N486" i="7"/>
  <c r="O486" i="7" s="1"/>
  <c r="N487" i="7"/>
  <c r="O487" i="7" s="1"/>
  <c r="N488" i="7"/>
  <c r="O488" i="7" s="1"/>
  <c r="N489" i="7"/>
  <c r="O489" i="7" s="1"/>
  <c r="N490" i="7"/>
  <c r="O490" i="7" s="1"/>
  <c r="N491" i="7"/>
  <c r="O491" i="7" s="1"/>
  <c r="N492" i="7"/>
  <c r="O492" i="7" s="1"/>
  <c r="N493" i="7"/>
  <c r="O493" i="7" s="1"/>
  <c r="N494" i="7"/>
  <c r="O494" i="7" s="1"/>
  <c r="N495" i="7"/>
  <c r="O495" i="7" s="1"/>
  <c r="N496" i="7"/>
  <c r="O496" i="7" s="1"/>
  <c r="N497" i="7"/>
  <c r="O497" i="7" s="1"/>
  <c r="N498" i="7"/>
  <c r="O498" i="7" s="1"/>
  <c r="N499" i="7"/>
  <c r="O499" i="7" s="1"/>
  <c r="N500" i="7"/>
  <c r="O500" i="7" s="1"/>
  <c r="N501" i="7"/>
  <c r="O501" i="7" s="1"/>
  <c r="N502" i="7"/>
  <c r="O502" i="7" s="1"/>
  <c r="N503" i="7"/>
  <c r="O503" i="7" s="1"/>
  <c r="N504" i="7"/>
  <c r="O504" i="7" s="1"/>
  <c r="N505" i="7"/>
  <c r="O505" i="7" s="1"/>
  <c r="N506" i="7"/>
  <c r="O506" i="7" s="1"/>
  <c r="N507" i="7"/>
  <c r="O507" i="7" s="1"/>
  <c r="N508" i="7"/>
  <c r="O508" i="7" s="1"/>
  <c r="N509" i="7"/>
  <c r="O509" i="7" s="1"/>
  <c r="N510" i="7"/>
  <c r="O510" i="7" s="1"/>
  <c r="N511" i="7"/>
  <c r="O511" i="7" s="1"/>
  <c r="N512" i="7"/>
  <c r="O512" i="7" s="1"/>
  <c r="N513" i="7"/>
  <c r="O513" i="7" s="1"/>
  <c r="N514" i="7"/>
  <c r="O514" i="7" s="1"/>
  <c r="N515" i="7"/>
  <c r="O515" i="7" s="1"/>
  <c r="N516" i="7"/>
  <c r="O516" i="7" s="1"/>
  <c r="N517" i="7"/>
  <c r="O517" i="7" s="1"/>
  <c r="N518" i="7"/>
  <c r="O518" i="7" s="1"/>
  <c r="N519" i="7"/>
  <c r="O519" i="7" s="1"/>
  <c r="N520" i="7"/>
  <c r="O520" i="7" s="1"/>
  <c r="N521" i="7"/>
  <c r="O521" i="7" s="1"/>
  <c r="N522" i="7"/>
  <c r="O522" i="7" s="1"/>
  <c r="N523" i="7"/>
  <c r="O523" i="7" s="1"/>
  <c r="N524" i="7"/>
  <c r="O524" i="7" s="1"/>
  <c r="N525" i="7"/>
  <c r="O525" i="7" s="1"/>
  <c r="N526" i="7"/>
  <c r="O526" i="7" s="1"/>
  <c r="N527" i="7"/>
  <c r="O527" i="7" s="1"/>
  <c r="N528" i="7"/>
  <c r="O528" i="7" s="1"/>
  <c r="N529" i="7"/>
  <c r="O529" i="7" s="1"/>
  <c r="N530" i="7"/>
  <c r="O530" i="7" s="1"/>
  <c r="N531" i="7"/>
  <c r="O531" i="7" s="1"/>
  <c r="N532" i="7"/>
  <c r="O532" i="7" s="1"/>
  <c r="N533" i="7"/>
  <c r="O533" i="7" s="1"/>
  <c r="N534" i="7"/>
  <c r="O534" i="7" s="1"/>
  <c r="N535" i="7"/>
  <c r="O535" i="7" s="1"/>
  <c r="N536" i="7"/>
  <c r="O536" i="7" s="1"/>
  <c r="N537" i="7"/>
  <c r="O537" i="7" s="1"/>
  <c r="N538" i="7"/>
  <c r="O538" i="7" s="1"/>
  <c r="N539" i="7"/>
  <c r="O539" i="7" s="1"/>
  <c r="N540" i="7"/>
  <c r="O540" i="7" s="1"/>
  <c r="N541" i="7"/>
  <c r="O541" i="7" s="1"/>
  <c r="N542" i="7"/>
  <c r="O542" i="7" s="1"/>
  <c r="N543" i="7"/>
  <c r="O543" i="7" s="1"/>
  <c r="N544" i="7"/>
  <c r="O544" i="7" s="1"/>
  <c r="N545" i="7"/>
  <c r="O545" i="7" s="1"/>
  <c r="N546" i="7"/>
  <c r="O546" i="7" s="1"/>
  <c r="N547" i="7"/>
  <c r="O547" i="7" s="1"/>
  <c r="N548" i="7"/>
  <c r="O548" i="7" s="1"/>
  <c r="N549" i="7"/>
  <c r="O549" i="7" s="1"/>
  <c r="N550" i="7"/>
  <c r="O550" i="7" s="1"/>
  <c r="S55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E24" i="2"/>
  <c r="B25" i="2" s="1"/>
  <c r="E64" i="2"/>
  <c r="E33" i="2"/>
  <c r="E32" i="2"/>
  <c r="E31" i="2"/>
  <c r="E30" i="2"/>
  <c r="E22" i="2"/>
  <c r="E62" i="2" l="1"/>
  <c r="E48" i="2"/>
  <c r="E38" i="2"/>
  <c r="C11" i="2"/>
  <c r="D33" i="2"/>
  <c r="D32" i="2"/>
  <c r="B34" i="2"/>
  <c r="Q25" i="7"/>
  <c r="S25" i="7" s="1"/>
  <c r="Q26" i="7"/>
  <c r="S26" i="7" s="1"/>
  <c r="Q27" i="7"/>
  <c r="S27" i="7" s="1"/>
  <c r="Q28" i="7"/>
  <c r="S28" i="7" s="1"/>
  <c r="Q22" i="7"/>
  <c r="S22" i="7" s="1"/>
  <c r="Q29" i="7"/>
  <c r="S29" i="7" s="1"/>
  <c r="Q30" i="7"/>
  <c r="S30" i="7" s="1"/>
  <c r="Q31" i="7"/>
  <c r="S31" i="7" s="1"/>
  <c r="Q32" i="7"/>
  <c r="S32" i="7" s="1"/>
  <c r="Q33" i="7"/>
  <c r="S33" i="7" s="1"/>
  <c r="Q34" i="7"/>
  <c r="S34" i="7" s="1"/>
  <c r="Q35" i="7"/>
  <c r="S35" i="7" s="1"/>
  <c r="Q36" i="7"/>
  <c r="S36" i="7" s="1"/>
  <c r="Q37" i="7"/>
  <c r="S37" i="7" s="1"/>
  <c r="Q38" i="7"/>
  <c r="S38" i="7" s="1"/>
  <c r="Q39" i="7"/>
  <c r="S39" i="7" s="1"/>
  <c r="Q40" i="7"/>
  <c r="S40" i="7" s="1"/>
  <c r="Q41" i="7"/>
  <c r="S41" i="7" s="1"/>
  <c r="Q42" i="7"/>
  <c r="S42" i="7" s="1"/>
  <c r="Q43" i="7"/>
  <c r="S43" i="7" s="1"/>
  <c r="Q44" i="7"/>
  <c r="S44" i="7" s="1"/>
  <c r="Q45" i="7"/>
  <c r="S45" i="7" s="1"/>
  <c r="Q46" i="7"/>
  <c r="S46" i="7" s="1"/>
  <c r="Q47" i="7"/>
  <c r="S47" i="7" s="1"/>
  <c r="Q48" i="7"/>
  <c r="S48" i="7" s="1"/>
  <c r="Q49" i="7"/>
  <c r="S49" i="7" s="1"/>
  <c r="Q50" i="7"/>
  <c r="S50" i="7" s="1"/>
  <c r="Q51" i="7"/>
  <c r="S51" i="7" s="1"/>
  <c r="Q52" i="7"/>
  <c r="S52" i="7" s="1"/>
  <c r="Q53" i="7"/>
  <c r="S53" i="7" s="1"/>
  <c r="Q54" i="7"/>
  <c r="S54" i="7" s="1"/>
  <c r="Q55" i="7"/>
  <c r="S55" i="7" s="1"/>
  <c r="Q56" i="7"/>
  <c r="S56" i="7" s="1"/>
  <c r="Q57" i="7"/>
  <c r="S57" i="7" s="1"/>
  <c r="Q58" i="7"/>
  <c r="S58" i="7" s="1"/>
  <c r="Q59" i="7"/>
  <c r="S59" i="7" s="1"/>
  <c r="Q60" i="7"/>
  <c r="S60" i="7" s="1"/>
  <c r="Q61" i="7"/>
  <c r="S61" i="7" s="1"/>
  <c r="Q62" i="7"/>
  <c r="S62" i="7" s="1"/>
  <c r="Q63" i="7"/>
  <c r="S63" i="7" s="1"/>
  <c r="Q64" i="7"/>
  <c r="S64" i="7" s="1"/>
  <c r="Q65" i="7"/>
  <c r="S65" i="7" s="1"/>
  <c r="Q66" i="7"/>
  <c r="S66" i="7" s="1"/>
  <c r="Q67" i="7"/>
  <c r="S67" i="7" s="1"/>
  <c r="Q68" i="7"/>
  <c r="S68" i="7" s="1"/>
  <c r="Q69" i="7"/>
  <c r="S69" i="7" s="1"/>
  <c r="Q70" i="7"/>
  <c r="S70" i="7" s="1"/>
  <c r="Q71" i="7"/>
  <c r="S71" i="7" s="1"/>
  <c r="Q72" i="7"/>
  <c r="S72" i="7" s="1"/>
  <c r="Q73" i="7"/>
  <c r="S73" i="7" s="1"/>
  <c r="Q74" i="7"/>
  <c r="S74" i="7" s="1"/>
  <c r="Q75" i="7"/>
  <c r="S75" i="7" s="1"/>
  <c r="Q76" i="7"/>
  <c r="S76" i="7" s="1"/>
  <c r="Q77" i="7"/>
  <c r="S77" i="7" s="1"/>
  <c r="Q78" i="7"/>
  <c r="S78" i="7" s="1"/>
  <c r="Q79" i="7"/>
  <c r="S79" i="7" s="1"/>
  <c r="Q80" i="7"/>
  <c r="S80" i="7" s="1"/>
  <c r="Q81" i="7"/>
  <c r="S81" i="7" s="1"/>
  <c r="Q82" i="7"/>
  <c r="S82" i="7" s="1"/>
  <c r="Q83" i="7"/>
  <c r="S83" i="7" s="1"/>
  <c r="Q84" i="7"/>
  <c r="S84" i="7" s="1"/>
  <c r="Q85" i="7"/>
  <c r="S85" i="7" s="1"/>
  <c r="Q86" i="7"/>
  <c r="S86" i="7" s="1"/>
  <c r="Q87" i="7"/>
  <c r="S87" i="7" s="1"/>
  <c r="Q88" i="7"/>
  <c r="S88" i="7" s="1"/>
  <c r="Q13" i="7"/>
  <c r="S13" i="7" s="1"/>
  <c r="Q89" i="7"/>
  <c r="S89" i="7" s="1"/>
  <c r="Q90" i="7"/>
  <c r="S90" i="7" s="1"/>
  <c r="Q91" i="7"/>
  <c r="S91" i="7" s="1"/>
  <c r="Q92" i="7"/>
  <c r="S92" i="7" s="1"/>
  <c r="Q93" i="7"/>
  <c r="S93" i="7" s="1"/>
  <c r="Q94" i="7"/>
  <c r="S94" i="7" s="1"/>
  <c r="Q95" i="7"/>
  <c r="S95" i="7" s="1"/>
  <c r="Q96" i="7"/>
  <c r="S96" i="7" s="1"/>
  <c r="Q97" i="7"/>
  <c r="S97" i="7" s="1"/>
  <c r="Q98" i="7"/>
  <c r="S98" i="7" s="1"/>
  <c r="Q99" i="7"/>
  <c r="S99" i="7" s="1"/>
  <c r="Q100" i="7"/>
  <c r="S100" i="7" s="1"/>
  <c r="Q101" i="7"/>
  <c r="S101" i="7" s="1"/>
  <c r="Q102" i="7"/>
  <c r="S102" i="7" s="1"/>
  <c r="Q103" i="7"/>
  <c r="S103" i="7" s="1"/>
  <c r="Q104" i="7"/>
  <c r="S104" i="7" s="1"/>
  <c r="Q105" i="7"/>
  <c r="S105" i="7" s="1"/>
  <c r="Q106" i="7"/>
  <c r="S106" i="7" s="1"/>
  <c r="Q107" i="7"/>
  <c r="S107" i="7" s="1"/>
  <c r="Q108" i="7"/>
  <c r="S108" i="7" s="1"/>
  <c r="Q109" i="7"/>
  <c r="S109" i="7" s="1"/>
  <c r="Q110" i="7"/>
  <c r="S110" i="7" s="1"/>
  <c r="Q111" i="7"/>
  <c r="S111" i="7" s="1"/>
  <c r="Q112" i="7"/>
  <c r="S112" i="7" s="1"/>
  <c r="Q113" i="7"/>
  <c r="S113" i="7" s="1"/>
  <c r="Q114" i="7"/>
  <c r="S114" i="7" s="1"/>
  <c r="Q115" i="7"/>
  <c r="S115" i="7" s="1"/>
  <c r="Q116" i="7"/>
  <c r="S116" i="7" s="1"/>
  <c r="Q117" i="7"/>
  <c r="S117" i="7" s="1"/>
  <c r="Q118" i="7"/>
  <c r="S118" i="7" s="1"/>
  <c r="Q119" i="7"/>
  <c r="S119" i="7" s="1"/>
  <c r="Q120" i="7"/>
  <c r="S120" i="7" s="1"/>
  <c r="Q121" i="7"/>
  <c r="S121" i="7" s="1"/>
  <c r="Q122" i="7"/>
  <c r="S122" i="7" s="1"/>
  <c r="Q123" i="7"/>
  <c r="S123" i="7" s="1"/>
  <c r="Q124" i="7"/>
  <c r="S124" i="7" s="1"/>
  <c r="Q125" i="7"/>
  <c r="S125" i="7" s="1"/>
  <c r="Q126" i="7"/>
  <c r="S126" i="7" s="1"/>
  <c r="Q127" i="7"/>
  <c r="S127" i="7" s="1"/>
  <c r="Q128" i="7"/>
  <c r="S128" i="7" s="1"/>
  <c r="Q129" i="7"/>
  <c r="S129" i="7" s="1"/>
  <c r="Q130" i="7"/>
  <c r="S130" i="7" s="1"/>
  <c r="Q131" i="7"/>
  <c r="S131" i="7" s="1"/>
  <c r="Q132" i="7"/>
  <c r="S132" i="7" s="1"/>
  <c r="Q133" i="7"/>
  <c r="S133" i="7" s="1"/>
  <c r="Q134" i="7"/>
  <c r="S134" i="7" s="1"/>
  <c r="Q135" i="7"/>
  <c r="S135" i="7" s="1"/>
  <c r="Q136" i="7"/>
  <c r="S136" i="7" s="1"/>
  <c r="Q137" i="7"/>
  <c r="S137" i="7" s="1"/>
  <c r="Q138" i="7"/>
  <c r="S138" i="7" s="1"/>
  <c r="Q139" i="7"/>
  <c r="S139" i="7" s="1"/>
  <c r="Q140" i="7"/>
  <c r="S140" i="7" s="1"/>
  <c r="Q141" i="7"/>
  <c r="S141" i="7" s="1"/>
  <c r="Q142" i="7"/>
  <c r="S142" i="7" s="1"/>
  <c r="Q143" i="7"/>
  <c r="S143" i="7" s="1"/>
  <c r="Q144" i="7"/>
  <c r="S144" i="7" s="1"/>
  <c r="Q145" i="7"/>
  <c r="S145" i="7" s="1"/>
  <c r="Q146" i="7"/>
  <c r="S146" i="7" s="1"/>
  <c r="Q147" i="7"/>
  <c r="S147" i="7" s="1"/>
  <c r="Q148" i="7"/>
  <c r="S148" i="7" s="1"/>
  <c r="Q149" i="7"/>
  <c r="S149" i="7" s="1"/>
  <c r="Q150" i="7"/>
  <c r="S150" i="7" s="1"/>
  <c r="Q151" i="7"/>
  <c r="S151" i="7" s="1"/>
  <c r="Q152" i="7"/>
  <c r="S152" i="7" s="1"/>
  <c r="Q153" i="7"/>
  <c r="S153" i="7" s="1"/>
  <c r="Q154" i="7"/>
  <c r="S154" i="7" s="1"/>
  <c r="Q155" i="7"/>
  <c r="S155" i="7" s="1"/>
  <c r="Q156" i="7"/>
  <c r="S156" i="7" s="1"/>
  <c r="Q157" i="7"/>
  <c r="S157" i="7" s="1"/>
  <c r="Q158" i="7"/>
  <c r="S158" i="7" s="1"/>
  <c r="Q159" i="7"/>
  <c r="S159" i="7" s="1"/>
  <c r="Q160" i="7"/>
  <c r="S160" i="7" s="1"/>
  <c r="Q161" i="7"/>
  <c r="S161" i="7" s="1"/>
  <c r="Q162" i="7"/>
  <c r="S162" i="7" s="1"/>
  <c r="Q163" i="7"/>
  <c r="S163" i="7" s="1"/>
  <c r="Q164" i="7"/>
  <c r="S164" i="7" s="1"/>
  <c r="Q165" i="7"/>
  <c r="S165" i="7" s="1"/>
  <c r="Q166" i="7"/>
  <c r="S166" i="7" s="1"/>
  <c r="Q167" i="7"/>
  <c r="S167" i="7" s="1"/>
  <c r="Q12" i="7"/>
  <c r="S12" i="7" s="1"/>
  <c r="Q11" i="7"/>
  <c r="S11" i="7" s="1"/>
  <c r="Q16" i="7"/>
  <c r="S16" i="7" s="1"/>
  <c r="Q17" i="7"/>
  <c r="S17" i="7" s="1"/>
  <c r="Q10" i="7"/>
  <c r="Q18" i="7"/>
  <c r="S18" i="7" s="1"/>
  <c r="Q168" i="7"/>
  <c r="S168" i="7" s="1"/>
  <c r="Q169" i="7"/>
  <c r="S169" i="7" s="1"/>
  <c r="Q170" i="7"/>
  <c r="S170" i="7" s="1"/>
  <c r="Q171" i="7"/>
  <c r="S171" i="7" s="1"/>
  <c r="Q24" i="7"/>
  <c r="S24" i="7" s="1"/>
  <c r="Q172" i="7"/>
  <c r="S172" i="7" s="1"/>
  <c r="Q15" i="7"/>
  <c r="S15" i="7" s="1"/>
  <c r="Q173" i="7"/>
  <c r="S173" i="7" s="1"/>
  <c r="Q174" i="7"/>
  <c r="S174" i="7" s="1"/>
  <c r="Q175" i="7"/>
  <c r="S175" i="7" s="1"/>
  <c r="Q176" i="7"/>
  <c r="S176" i="7" s="1"/>
  <c r="Q177" i="7"/>
  <c r="S177" i="7" s="1"/>
  <c r="Q178" i="7"/>
  <c r="S178" i="7" s="1"/>
  <c r="Q14" i="7"/>
  <c r="S14" i="7" s="1"/>
  <c r="Q179" i="7"/>
  <c r="S179" i="7" s="1"/>
  <c r="Q180" i="7"/>
  <c r="S180" i="7" s="1"/>
  <c r="Q181" i="7"/>
  <c r="S181" i="7" s="1"/>
  <c r="Q182" i="7"/>
  <c r="S182" i="7" s="1"/>
  <c r="Q183" i="7"/>
  <c r="S183" i="7" s="1"/>
  <c r="Q184" i="7"/>
  <c r="S184" i="7" s="1"/>
  <c r="Q185" i="7"/>
  <c r="S185" i="7" s="1"/>
  <c r="Q186" i="7"/>
  <c r="S186" i="7" s="1"/>
  <c r="Q187" i="7"/>
  <c r="S187" i="7" s="1"/>
  <c r="Q188" i="7"/>
  <c r="S188" i="7" s="1"/>
  <c r="Q189" i="7"/>
  <c r="S189" i="7" s="1"/>
  <c r="Q190" i="7"/>
  <c r="S190" i="7" s="1"/>
  <c r="Q191" i="7"/>
  <c r="S191" i="7" s="1"/>
  <c r="Q192" i="7"/>
  <c r="S192" i="7" s="1"/>
  <c r="Q193" i="7"/>
  <c r="S193" i="7" s="1"/>
  <c r="Q194" i="7"/>
  <c r="S194" i="7" s="1"/>
  <c r="Q195" i="7"/>
  <c r="S195" i="7" s="1"/>
  <c r="Q196" i="7"/>
  <c r="S196" i="7" s="1"/>
  <c r="Q197" i="7"/>
  <c r="S197" i="7" s="1"/>
  <c r="Q198" i="7"/>
  <c r="S198" i="7" s="1"/>
  <c r="Q199" i="7"/>
  <c r="S199" i="7" s="1"/>
  <c r="Q200" i="7"/>
  <c r="S200" i="7" s="1"/>
  <c r="Q201" i="7"/>
  <c r="S201" i="7" s="1"/>
  <c r="Q202" i="7"/>
  <c r="S202" i="7" s="1"/>
  <c r="Q203" i="7"/>
  <c r="S203" i="7" s="1"/>
  <c r="Q204" i="7"/>
  <c r="S204" i="7" s="1"/>
  <c r="Q205" i="7"/>
  <c r="S205" i="7" s="1"/>
  <c r="Q206" i="7"/>
  <c r="S206" i="7" s="1"/>
  <c r="Q207" i="7"/>
  <c r="S207" i="7" s="1"/>
  <c r="Q208" i="7"/>
  <c r="S208" i="7" s="1"/>
  <c r="Q209" i="7"/>
  <c r="S209" i="7" s="1"/>
  <c r="Q210" i="7"/>
  <c r="S210" i="7" s="1"/>
  <c r="Q211" i="7"/>
  <c r="S211" i="7" s="1"/>
  <c r="Q212" i="7"/>
  <c r="S212" i="7" s="1"/>
  <c r="Q213" i="7"/>
  <c r="S213" i="7" s="1"/>
  <c r="Q214" i="7"/>
  <c r="S214" i="7" s="1"/>
  <c r="Q215" i="7"/>
  <c r="S215" i="7" s="1"/>
  <c r="Q216" i="7"/>
  <c r="S216" i="7" s="1"/>
  <c r="Q217" i="7"/>
  <c r="S217" i="7" s="1"/>
  <c r="Q218" i="7"/>
  <c r="S218" i="7" s="1"/>
  <c r="Q219" i="7"/>
  <c r="S219" i="7" s="1"/>
  <c r="Q220" i="7"/>
  <c r="S220" i="7" s="1"/>
  <c r="Q221" i="7"/>
  <c r="S221" i="7" s="1"/>
  <c r="Q222" i="7"/>
  <c r="S222" i="7" s="1"/>
  <c r="Q223" i="7"/>
  <c r="S223" i="7" s="1"/>
  <c r="Q224" i="7"/>
  <c r="S224" i="7" s="1"/>
  <c r="Q225" i="7"/>
  <c r="S225" i="7" s="1"/>
  <c r="Q226" i="7"/>
  <c r="S226" i="7" s="1"/>
  <c r="Q227" i="7"/>
  <c r="S227" i="7" s="1"/>
  <c r="Q228" i="7"/>
  <c r="S228" i="7" s="1"/>
  <c r="Q229" i="7"/>
  <c r="S229" i="7" s="1"/>
  <c r="Q230" i="7"/>
  <c r="S230" i="7" s="1"/>
  <c r="Q231" i="7"/>
  <c r="S231" i="7" s="1"/>
  <c r="Q232" i="7"/>
  <c r="S232" i="7" s="1"/>
  <c r="Q233" i="7"/>
  <c r="S233" i="7" s="1"/>
  <c r="Q234" i="7"/>
  <c r="S234" i="7" s="1"/>
  <c r="Q235" i="7"/>
  <c r="S235" i="7" s="1"/>
  <c r="Q236" i="7"/>
  <c r="S236" i="7" s="1"/>
  <c r="Q237" i="7"/>
  <c r="S237" i="7" s="1"/>
  <c r="Q238" i="7"/>
  <c r="S238" i="7" s="1"/>
  <c r="Q239" i="7"/>
  <c r="S239" i="7" s="1"/>
  <c r="Q240" i="7"/>
  <c r="S240" i="7" s="1"/>
  <c r="Q241" i="7"/>
  <c r="S241" i="7" s="1"/>
  <c r="Q242" i="7"/>
  <c r="S242" i="7" s="1"/>
  <c r="Q243" i="7"/>
  <c r="S243" i="7" s="1"/>
  <c r="Q244" i="7"/>
  <c r="S244" i="7" s="1"/>
  <c r="Q245" i="7"/>
  <c r="S245" i="7" s="1"/>
  <c r="Q246" i="7"/>
  <c r="S246" i="7" s="1"/>
  <c r="Q247" i="7"/>
  <c r="S247" i="7" s="1"/>
  <c r="Q248" i="7"/>
  <c r="S248" i="7" s="1"/>
  <c r="Q249" i="7"/>
  <c r="S249" i="7" s="1"/>
  <c r="Q250" i="7"/>
  <c r="S250" i="7" s="1"/>
  <c r="Q251" i="7"/>
  <c r="S251" i="7" s="1"/>
  <c r="Q252" i="7"/>
  <c r="S252" i="7" s="1"/>
  <c r="Q253" i="7"/>
  <c r="S253" i="7" s="1"/>
  <c r="Q254" i="7"/>
  <c r="S254" i="7" s="1"/>
  <c r="Q255" i="7"/>
  <c r="S255" i="7" s="1"/>
  <c r="Q256" i="7"/>
  <c r="S256" i="7" s="1"/>
  <c r="Q257" i="7"/>
  <c r="S257" i="7" s="1"/>
  <c r="Q258" i="7"/>
  <c r="S258" i="7" s="1"/>
  <c r="Q259" i="7"/>
  <c r="S259" i="7" s="1"/>
  <c r="Q260" i="7"/>
  <c r="S260" i="7" s="1"/>
  <c r="Q261" i="7"/>
  <c r="S261" i="7" s="1"/>
  <c r="Q262" i="7"/>
  <c r="S262" i="7" s="1"/>
  <c r="Q263" i="7"/>
  <c r="S263" i="7" s="1"/>
  <c r="Q264" i="7"/>
  <c r="S264" i="7" s="1"/>
  <c r="Q265" i="7"/>
  <c r="S265" i="7" s="1"/>
  <c r="Q266" i="7"/>
  <c r="S266" i="7" s="1"/>
  <c r="Q267" i="7"/>
  <c r="S267" i="7" s="1"/>
  <c r="Q268" i="7"/>
  <c r="S268" i="7" s="1"/>
  <c r="Q269" i="7"/>
  <c r="S269" i="7" s="1"/>
  <c r="Q270" i="7"/>
  <c r="S270" i="7" s="1"/>
  <c r="Q271" i="7"/>
  <c r="S271" i="7" s="1"/>
  <c r="Q272" i="7"/>
  <c r="S272" i="7" s="1"/>
  <c r="Q273" i="7"/>
  <c r="S273" i="7" s="1"/>
  <c r="Q274" i="7"/>
  <c r="S274" i="7" s="1"/>
  <c r="Q275" i="7"/>
  <c r="S275" i="7" s="1"/>
  <c r="Q276" i="7"/>
  <c r="S276" i="7" s="1"/>
  <c r="Q277" i="7"/>
  <c r="S277" i="7" s="1"/>
  <c r="Q278" i="7"/>
  <c r="S278" i="7" s="1"/>
  <c r="Q279" i="7"/>
  <c r="S279" i="7" s="1"/>
  <c r="Q280" i="7"/>
  <c r="S280" i="7" s="1"/>
  <c r="Q281" i="7"/>
  <c r="S281" i="7" s="1"/>
  <c r="Q282" i="7"/>
  <c r="S282" i="7" s="1"/>
  <c r="Q283" i="7"/>
  <c r="S283" i="7" s="1"/>
  <c r="Q284" i="7"/>
  <c r="S284" i="7" s="1"/>
  <c r="Q285" i="7"/>
  <c r="S285" i="7" s="1"/>
  <c r="Q286" i="7"/>
  <c r="S286" i="7" s="1"/>
  <c r="Q287" i="7"/>
  <c r="S287" i="7" s="1"/>
  <c r="Q288" i="7"/>
  <c r="S288" i="7" s="1"/>
  <c r="Q289" i="7"/>
  <c r="S289" i="7" s="1"/>
  <c r="Q290" i="7"/>
  <c r="S290" i="7" s="1"/>
  <c r="Q291" i="7"/>
  <c r="S291" i="7" s="1"/>
  <c r="Q292" i="7"/>
  <c r="S292" i="7" s="1"/>
  <c r="Q293" i="7"/>
  <c r="S293" i="7" s="1"/>
  <c r="Q294" i="7"/>
  <c r="S294" i="7" s="1"/>
  <c r="Q295" i="7"/>
  <c r="S295" i="7" s="1"/>
  <c r="Q296" i="7"/>
  <c r="S296" i="7" s="1"/>
  <c r="Q297" i="7"/>
  <c r="S297" i="7" s="1"/>
  <c r="Q298" i="7"/>
  <c r="S298" i="7" s="1"/>
  <c r="Q299" i="7"/>
  <c r="S299" i="7" s="1"/>
  <c r="Q300" i="7"/>
  <c r="S300" i="7" s="1"/>
  <c r="Q301" i="7"/>
  <c r="S301" i="7" s="1"/>
  <c r="Q302" i="7"/>
  <c r="S302" i="7" s="1"/>
  <c r="Q303" i="7"/>
  <c r="S303" i="7" s="1"/>
  <c r="Q304" i="7"/>
  <c r="S304" i="7" s="1"/>
  <c r="Q305" i="7"/>
  <c r="S305" i="7" s="1"/>
  <c r="Q306" i="7"/>
  <c r="S306" i="7" s="1"/>
  <c r="Q307" i="7"/>
  <c r="S307" i="7" s="1"/>
  <c r="Q308" i="7"/>
  <c r="S308" i="7" s="1"/>
  <c r="Q309" i="7"/>
  <c r="S309" i="7" s="1"/>
  <c r="Q310" i="7"/>
  <c r="S310" i="7" s="1"/>
  <c r="Q311" i="7"/>
  <c r="S311" i="7" s="1"/>
  <c r="Q312" i="7"/>
  <c r="S312" i="7" s="1"/>
  <c r="Q313" i="7"/>
  <c r="S313" i="7" s="1"/>
  <c r="Q314" i="7"/>
  <c r="S314" i="7" s="1"/>
  <c r="Q315" i="7"/>
  <c r="S315" i="7" s="1"/>
  <c r="Q316" i="7"/>
  <c r="S316" i="7" s="1"/>
  <c r="Q317" i="7"/>
  <c r="S317" i="7" s="1"/>
  <c r="Q318" i="7"/>
  <c r="S318" i="7" s="1"/>
  <c r="Q319" i="7"/>
  <c r="S319" i="7" s="1"/>
  <c r="Q320" i="7"/>
  <c r="S320" i="7" s="1"/>
  <c r="Q321" i="7"/>
  <c r="S321" i="7" s="1"/>
  <c r="Q322" i="7"/>
  <c r="S322" i="7" s="1"/>
  <c r="Q323" i="7"/>
  <c r="S323" i="7" s="1"/>
  <c r="Q324" i="7"/>
  <c r="S324" i="7" s="1"/>
  <c r="Q325" i="7"/>
  <c r="S325" i="7" s="1"/>
  <c r="Q326" i="7"/>
  <c r="S326" i="7" s="1"/>
  <c r="Q327" i="7"/>
  <c r="S327" i="7" s="1"/>
  <c r="Q328" i="7"/>
  <c r="S328" i="7" s="1"/>
  <c r="Q329" i="7"/>
  <c r="S329" i="7" s="1"/>
  <c r="Q330" i="7"/>
  <c r="S330" i="7" s="1"/>
  <c r="Q331" i="7"/>
  <c r="S331" i="7" s="1"/>
  <c r="Q332" i="7"/>
  <c r="S332" i="7" s="1"/>
  <c r="Q333" i="7"/>
  <c r="S333" i="7" s="1"/>
  <c r="Q334" i="7"/>
  <c r="S334" i="7" s="1"/>
  <c r="Q335" i="7"/>
  <c r="S335" i="7" s="1"/>
  <c r="Q336" i="7"/>
  <c r="S336" i="7" s="1"/>
  <c r="Q337" i="7"/>
  <c r="S337" i="7" s="1"/>
  <c r="Q338" i="7"/>
  <c r="S338" i="7" s="1"/>
  <c r="Q339" i="7"/>
  <c r="S339" i="7" s="1"/>
  <c r="Q340" i="7"/>
  <c r="S340" i="7" s="1"/>
  <c r="Q341" i="7"/>
  <c r="S341" i="7" s="1"/>
  <c r="Q342" i="7"/>
  <c r="S342" i="7" s="1"/>
  <c r="Q343" i="7"/>
  <c r="S343" i="7" s="1"/>
  <c r="Q344" i="7"/>
  <c r="S344" i="7" s="1"/>
  <c r="Q345" i="7"/>
  <c r="S345" i="7" s="1"/>
  <c r="Q346" i="7"/>
  <c r="S346" i="7" s="1"/>
  <c r="Q347" i="7"/>
  <c r="S347" i="7" s="1"/>
  <c r="Q348" i="7"/>
  <c r="S348" i="7" s="1"/>
  <c r="Q349" i="7"/>
  <c r="S349" i="7" s="1"/>
  <c r="Q350" i="7"/>
  <c r="S350" i="7" s="1"/>
  <c r="Q351" i="7"/>
  <c r="S351" i="7" s="1"/>
  <c r="Q352" i="7"/>
  <c r="S352" i="7" s="1"/>
  <c r="Q353" i="7"/>
  <c r="S353" i="7" s="1"/>
  <c r="Q354" i="7"/>
  <c r="S354" i="7" s="1"/>
  <c r="Q355" i="7"/>
  <c r="S355" i="7" s="1"/>
  <c r="Q356" i="7"/>
  <c r="S356" i="7" s="1"/>
  <c r="Q357" i="7"/>
  <c r="S357" i="7" s="1"/>
  <c r="Q358" i="7"/>
  <c r="S358" i="7" s="1"/>
  <c r="Q359" i="7"/>
  <c r="S359" i="7" s="1"/>
  <c r="Q360" i="7"/>
  <c r="S360" i="7" s="1"/>
  <c r="Q361" i="7"/>
  <c r="S361" i="7" s="1"/>
  <c r="Q362" i="7"/>
  <c r="S362" i="7" s="1"/>
  <c r="Q363" i="7"/>
  <c r="S363" i="7" s="1"/>
  <c r="Q364" i="7"/>
  <c r="S364" i="7" s="1"/>
  <c r="Q365" i="7"/>
  <c r="S365" i="7" s="1"/>
  <c r="Q366" i="7"/>
  <c r="S366" i="7" s="1"/>
  <c r="Q367" i="7"/>
  <c r="S367" i="7" s="1"/>
  <c r="Q368" i="7"/>
  <c r="S368" i="7" s="1"/>
  <c r="Q369" i="7"/>
  <c r="S369" i="7" s="1"/>
  <c r="Q370" i="7"/>
  <c r="S370" i="7" s="1"/>
  <c r="Q371" i="7"/>
  <c r="S371" i="7" s="1"/>
  <c r="Q372" i="7"/>
  <c r="S372" i="7" s="1"/>
  <c r="Q373" i="7"/>
  <c r="S373" i="7" s="1"/>
  <c r="Q374" i="7"/>
  <c r="S374" i="7" s="1"/>
  <c r="Q375" i="7"/>
  <c r="S375" i="7" s="1"/>
  <c r="Q376" i="7"/>
  <c r="S376" i="7" s="1"/>
  <c r="Q377" i="7"/>
  <c r="S377" i="7" s="1"/>
  <c r="Q378" i="7"/>
  <c r="S378" i="7" s="1"/>
  <c r="Q379" i="7"/>
  <c r="S379" i="7" s="1"/>
  <c r="Q380" i="7"/>
  <c r="S380" i="7" s="1"/>
  <c r="Q381" i="7"/>
  <c r="S381" i="7" s="1"/>
  <c r="Q382" i="7"/>
  <c r="S382" i="7" s="1"/>
  <c r="Q383" i="7"/>
  <c r="S383" i="7" s="1"/>
  <c r="Q384" i="7"/>
  <c r="S384" i="7" s="1"/>
  <c r="Q385" i="7"/>
  <c r="S385" i="7" s="1"/>
  <c r="Q386" i="7"/>
  <c r="S386" i="7" s="1"/>
  <c r="Q387" i="7"/>
  <c r="S387" i="7" s="1"/>
  <c r="Q388" i="7"/>
  <c r="S388" i="7" s="1"/>
  <c r="Q389" i="7"/>
  <c r="S389" i="7" s="1"/>
  <c r="Q390" i="7"/>
  <c r="S390" i="7" s="1"/>
  <c r="Q391" i="7"/>
  <c r="S391" i="7" s="1"/>
  <c r="Q392" i="7"/>
  <c r="S392" i="7" s="1"/>
  <c r="Q393" i="7"/>
  <c r="S393" i="7" s="1"/>
  <c r="Q394" i="7"/>
  <c r="S394" i="7" s="1"/>
  <c r="Q395" i="7"/>
  <c r="S395" i="7" s="1"/>
  <c r="Q396" i="7"/>
  <c r="S396" i="7" s="1"/>
  <c r="Q20" i="7"/>
  <c r="S20" i="7" s="1"/>
  <c r="Q397" i="7"/>
  <c r="S397" i="7" s="1"/>
  <c r="Q21" i="7"/>
  <c r="S21" i="7" s="1"/>
  <c r="Q23" i="7"/>
  <c r="S23" i="7" s="1"/>
  <c r="Q398" i="7"/>
  <c r="S398" i="7" s="1"/>
  <c r="Q399" i="7"/>
  <c r="S399" i="7" s="1"/>
  <c r="Q400" i="7"/>
  <c r="S400" i="7" s="1"/>
  <c r="Q19" i="7"/>
  <c r="S19" i="7" s="1"/>
  <c r="S10" i="7" l="1"/>
  <c r="N11" i="7" l="1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N22" i="7"/>
  <c r="O22" i="7" s="1"/>
  <c r="N10" i="7"/>
  <c r="O10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O29" i="7" s="1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D12" i="1"/>
  <c r="E12" i="1"/>
  <c r="F12" i="1"/>
  <c r="G12" i="1"/>
  <c r="H12" i="1"/>
  <c r="I12" i="1"/>
  <c r="J12" i="1"/>
  <c r="K12" i="1"/>
  <c r="L12" i="1"/>
  <c r="M12" i="1"/>
  <c r="N12" i="1"/>
  <c r="D11" i="1"/>
  <c r="E11" i="1"/>
  <c r="F11" i="1"/>
  <c r="G11" i="1"/>
  <c r="H11" i="1"/>
  <c r="I11" i="1"/>
  <c r="J11" i="1"/>
  <c r="K11" i="1"/>
  <c r="L11" i="1"/>
  <c r="M11" i="1"/>
  <c r="N11" i="1"/>
  <c r="D9" i="1"/>
  <c r="E9" i="1"/>
  <c r="F9" i="1"/>
  <c r="G9" i="1"/>
  <c r="H9" i="1"/>
  <c r="I9" i="1"/>
  <c r="J9" i="1"/>
  <c r="K9" i="1"/>
  <c r="L9" i="1"/>
  <c r="M9" i="1"/>
  <c r="N9" i="1"/>
  <c r="C12" i="1"/>
  <c r="O12" i="1" s="1"/>
  <c r="C11" i="1"/>
  <c r="C9" i="1"/>
  <c r="C6" i="1"/>
  <c r="D7" i="7"/>
  <c r="O11" i="1" l="1"/>
  <c r="O5" i="7"/>
  <c r="O7" i="7"/>
  <c r="O6" i="7"/>
  <c r="J10" i="1"/>
  <c r="O9" i="1"/>
  <c r="K6" i="1"/>
  <c r="I6" i="1"/>
  <c r="L6" i="1"/>
  <c r="D7" i="1"/>
  <c r="J6" i="1"/>
  <c r="I10" i="1"/>
  <c r="H10" i="1"/>
  <c r="G10" i="1"/>
  <c r="N10" i="1"/>
  <c r="F10" i="1"/>
  <c r="M10" i="1"/>
  <c r="E10" i="1"/>
  <c r="H6" i="1"/>
  <c r="F8" i="1"/>
  <c r="D6" i="1"/>
  <c r="G6" i="1"/>
  <c r="N6" i="1"/>
  <c r="F6" i="1"/>
  <c r="L10" i="1"/>
  <c r="D10" i="1"/>
  <c r="M6" i="1"/>
  <c r="E6" i="1"/>
  <c r="K10" i="1"/>
  <c r="C10" i="1"/>
  <c r="M8" i="1"/>
  <c r="E8" i="1"/>
  <c r="L8" i="1"/>
  <c r="D8" i="1"/>
  <c r="K8" i="1"/>
  <c r="C8" i="1"/>
  <c r="J8" i="1"/>
  <c r="N8" i="1"/>
  <c r="I8" i="1"/>
  <c r="H8" i="1"/>
  <c r="G8" i="1"/>
  <c r="K7" i="1"/>
  <c r="J7" i="1"/>
  <c r="I7" i="1"/>
  <c r="H7" i="1"/>
  <c r="J13" i="1"/>
  <c r="G7" i="1"/>
  <c r="N7" i="1"/>
  <c r="F7" i="1"/>
  <c r="M7" i="1"/>
  <c r="E7" i="1"/>
  <c r="C7" i="1"/>
  <c r="L7" i="1"/>
  <c r="F13" i="1"/>
  <c r="N13" i="1"/>
  <c r="I13" i="1"/>
  <c r="H13" i="1"/>
  <c r="C13" i="1"/>
  <c r="G13" i="1"/>
  <c r="M13" i="1"/>
  <c r="L13" i="1"/>
  <c r="D13" i="1"/>
  <c r="E13" i="1"/>
  <c r="K13" i="1"/>
  <c r="C74" i="2"/>
  <c r="E57" i="2"/>
  <c r="B58" i="2" s="1"/>
  <c r="R10" i="7" l="1"/>
  <c r="R550" i="7"/>
  <c r="R11" i="7"/>
  <c r="R20" i="7"/>
  <c r="R28" i="7"/>
  <c r="R36" i="7"/>
  <c r="R44" i="7"/>
  <c r="R52" i="7"/>
  <c r="R60" i="7"/>
  <c r="R68" i="7"/>
  <c r="R76" i="7"/>
  <c r="R84" i="7"/>
  <c r="R92" i="7"/>
  <c r="R100" i="7"/>
  <c r="R108" i="7"/>
  <c r="R116" i="7"/>
  <c r="R124" i="7"/>
  <c r="R132" i="7"/>
  <c r="R140" i="7"/>
  <c r="R148" i="7"/>
  <c r="R156" i="7"/>
  <c r="R164" i="7"/>
  <c r="R172" i="7"/>
  <c r="R179" i="7"/>
  <c r="R187" i="7"/>
  <c r="R195" i="7"/>
  <c r="R203" i="7"/>
  <c r="R211" i="7"/>
  <c r="R219" i="7"/>
  <c r="R227" i="7"/>
  <c r="R235" i="7"/>
  <c r="R243" i="7"/>
  <c r="R251" i="7"/>
  <c r="R259" i="7"/>
  <c r="R267" i="7"/>
  <c r="R275" i="7"/>
  <c r="R283" i="7"/>
  <c r="R291" i="7"/>
  <c r="R299" i="7"/>
  <c r="R307" i="7"/>
  <c r="R315" i="7"/>
  <c r="R323" i="7"/>
  <c r="R331" i="7"/>
  <c r="R339" i="7"/>
  <c r="R347" i="7"/>
  <c r="R355" i="7"/>
  <c r="R363" i="7"/>
  <c r="R371" i="7"/>
  <c r="R379" i="7"/>
  <c r="R387" i="7"/>
  <c r="R395" i="7"/>
  <c r="R403" i="7"/>
  <c r="R411" i="7"/>
  <c r="R419" i="7"/>
  <c r="R427" i="7"/>
  <c r="R435" i="7"/>
  <c r="R443" i="7"/>
  <c r="R451" i="7"/>
  <c r="R459" i="7"/>
  <c r="R467" i="7"/>
  <c r="R475" i="7"/>
  <c r="R483" i="7"/>
  <c r="R491" i="7"/>
  <c r="R499" i="7"/>
  <c r="R507" i="7"/>
  <c r="R515" i="7"/>
  <c r="R523" i="7"/>
  <c r="R531" i="7"/>
  <c r="R539" i="7"/>
  <c r="R547" i="7"/>
  <c r="R406" i="7"/>
  <c r="R306" i="7"/>
  <c r="R466" i="7"/>
  <c r="R12" i="7"/>
  <c r="R21" i="7"/>
  <c r="R29" i="7"/>
  <c r="R37" i="7"/>
  <c r="R45" i="7"/>
  <c r="R53" i="7"/>
  <c r="R61" i="7"/>
  <c r="R69" i="7"/>
  <c r="R77" i="7"/>
  <c r="R85" i="7"/>
  <c r="R93" i="7"/>
  <c r="R101" i="7"/>
  <c r="R109" i="7"/>
  <c r="R117" i="7"/>
  <c r="R125" i="7"/>
  <c r="R133" i="7"/>
  <c r="R141" i="7"/>
  <c r="R149" i="7"/>
  <c r="R157" i="7"/>
  <c r="R165" i="7"/>
  <c r="R15" i="7"/>
  <c r="R180" i="7"/>
  <c r="R188" i="7"/>
  <c r="R196" i="7"/>
  <c r="R204" i="7"/>
  <c r="R212" i="7"/>
  <c r="R220" i="7"/>
  <c r="R228" i="7"/>
  <c r="R236" i="7"/>
  <c r="R244" i="7"/>
  <c r="R252" i="7"/>
  <c r="R260" i="7"/>
  <c r="R268" i="7"/>
  <c r="R276" i="7"/>
  <c r="R284" i="7"/>
  <c r="R292" i="7"/>
  <c r="R300" i="7"/>
  <c r="R308" i="7"/>
  <c r="R316" i="7"/>
  <c r="R324" i="7"/>
  <c r="R332" i="7"/>
  <c r="R340" i="7"/>
  <c r="R348" i="7"/>
  <c r="R356" i="7"/>
  <c r="R364" i="7"/>
  <c r="R372" i="7"/>
  <c r="R380" i="7"/>
  <c r="R388" i="7"/>
  <c r="R396" i="7"/>
  <c r="R404" i="7"/>
  <c r="R412" i="7"/>
  <c r="R420" i="7"/>
  <c r="R428" i="7"/>
  <c r="R436" i="7"/>
  <c r="R444" i="7"/>
  <c r="R452" i="7"/>
  <c r="R460" i="7"/>
  <c r="R468" i="7"/>
  <c r="R476" i="7"/>
  <c r="R484" i="7"/>
  <c r="R492" i="7"/>
  <c r="R500" i="7"/>
  <c r="R508" i="7"/>
  <c r="R516" i="7"/>
  <c r="R524" i="7"/>
  <c r="R532" i="7"/>
  <c r="R540" i="7"/>
  <c r="R548" i="7"/>
  <c r="R286" i="7"/>
  <c r="R334" i="7"/>
  <c r="R358" i="7"/>
  <c r="R382" i="7"/>
  <c r="R414" i="7"/>
  <c r="R430" i="7"/>
  <c r="R446" i="7"/>
  <c r="R470" i="7"/>
  <c r="R494" i="7"/>
  <c r="R510" i="7"/>
  <c r="R534" i="7"/>
  <c r="R298" i="7"/>
  <c r="R426" i="7"/>
  <c r="R13" i="7"/>
  <c r="R22" i="7"/>
  <c r="R30" i="7"/>
  <c r="R38" i="7"/>
  <c r="R46" i="7"/>
  <c r="R54" i="7"/>
  <c r="R62" i="7"/>
  <c r="R70" i="7"/>
  <c r="R78" i="7"/>
  <c r="R86" i="7"/>
  <c r="R94" i="7"/>
  <c r="R102" i="7"/>
  <c r="R110" i="7"/>
  <c r="R118" i="7"/>
  <c r="R126" i="7"/>
  <c r="R134" i="7"/>
  <c r="R142" i="7"/>
  <c r="R150" i="7"/>
  <c r="R158" i="7"/>
  <c r="R166" i="7"/>
  <c r="R173" i="7"/>
  <c r="R181" i="7"/>
  <c r="R189" i="7"/>
  <c r="R197" i="7"/>
  <c r="R205" i="7"/>
  <c r="R213" i="7"/>
  <c r="R221" i="7"/>
  <c r="R229" i="7"/>
  <c r="R237" i="7"/>
  <c r="R245" i="7"/>
  <c r="R253" i="7"/>
  <c r="R261" i="7"/>
  <c r="R269" i="7"/>
  <c r="R277" i="7"/>
  <c r="R285" i="7"/>
  <c r="R293" i="7"/>
  <c r="R301" i="7"/>
  <c r="R309" i="7"/>
  <c r="R317" i="7"/>
  <c r="R325" i="7"/>
  <c r="R333" i="7"/>
  <c r="R341" i="7"/>
  <c r="R349" i="7"/>
  <c r="R357" i="7"/>
  <c r="R365" i="7"/>
  <c r="R373" i="7"/>
  <c r="R381" i="7"/>
  <c r="R389" i="7"/>
  <c r="R397" i="7"/>
  <c r="R405" i="7"/>
  <c r="R413" i="7"/>
  <c r="R421" i="7"/>
  <c r="R429" i="7"/>
  <c r="R437" i="7"/>
  <c r="R445" i="7"/>
  <c r="R453" i="7"/>
  <c r="R461" i="7"/>
  <c r="R469" i="7"/>
  <c r="R477" i="7"/>
  <c r="R485" i="7"/>
  <c r="R493" i="7"/>
  <c r="R501" i="7"/>
  <c r="R509" i="7"/>
  <c r="R517" i="7"/>
  <c r="R525" i="7"/>
  <c r="R533" i="7"/>
  <c r="R541" i="7"/>
  <c r="R549" i="7"/>
  <c r="R278" i="7"/>
  <c r="R326" i="7"/>
  <c r="R350" i="7"/>
  <c r="R374" i="7"/>
  <c r="R398" i="7"/>
  <c r="R438" i="7"/>
  <c r="R462" i="7"/>
  <c r="R478" i="7"/>
  <c r="R502" i="7"/>
  <c r="R526" i="7"/>
  <c r="R290" i="7"/>
  <c r="R16" i="7"/>
  <c r="R23" i="7"/>
  <c r="R31" i="7"/>
  <c r="R39" i="7"/>
  <c r="R47" i="7"/>
  <c r="R55" i="7"/>
  <c r="R63" i="7"/>
  <c r="R71" i="7"/>
  <c r="R79" i="7"/>
  <c r="R87" i="7"/>
  <c r="R95" i="7"/>
  <c r="R103" i="7"/>
  <c r="R111" i="7"/>
  <c r="R119" i="7"/>
  <c r="R127" i="7"/>
  <c r="R135" i="7"/>
  <c r="R143" i="7"/>
  <c r="R151" i="7"/>
  <c r="R159" i="7"/>
  <c r="R167" i="7"/>
  <c r="R174" i="7"/>
  <c r="R182" i="7"/>
  <c r="R190" i="7"/>
  <c r="R198" i="7"/>
  <c r="R206" i="7"/>
  <c r="R214" i="7"/>
  <c r="R222" i="7"/>
  <c r="R230" i="7"/>
  <c r="R238" i="7"/>
  <c r="R246" i="7"/>
  <c r="R254" i="7"/>
  <c r="R262" i="7"/>
  <c r="R270" i="7"/>
  <c r="R294" i="7"/>
  <c r="R302" i="7"/>
  <c r="R310" i="7"/>
  <c r="R318" i="7"/>
  <c r="R342" i="7"/>
  <c r="R366" i="7"/>
  <c r="R390" i="7"/>
  <c r="R422" i="7"/>
  <c r="R454" i="7"/>
  <c r="R486" i="7"/>
  <c r="R518" i="7"/>
  <c r="R542" i="7"/>
  <c r="R314" i="7"/>
  <c r="R14" i="7"/>
  <c r="R24" i="7"/>
  <c r="R32" i="7"/>
  <c r="R40" i="7"/>
  <c r="R48" i="7"/>
  <c r="R56" i="7"/>
  <c r="R64" i="7"/>
  <c r="R72" i="7"/>
  <c r="R80" i="7"/>
  <c r="R88" i="7"/>
  <c r="R96" i="7"/>
  <c r="R104" i="7"/>
  <c r="R112" i="7"/>
  <c r="R120" i="7"/>
  <c r="R128" i="7"/>
  <c r="R136" i="7"/>
  <c r="R144" i="7"/>
  <c r="R152" i="7"/>
  <c r="R160" i="7"/>
  <c r="R168" i="7"/>
  <c r="R175" i="7"/>
  <c r="R183" i="7"/>
  <c r="R191" i="7"/>
  <c r="R199" i="7"/>
  <c r="R207" i="7"/>
  <c r="R215" i="7"/>
  <c r="R223" i="7"/>
  <c r="R231" i="7"/>
  <c r="R239" i="7"/>
  <c r="R247" i="7"/>
  <c r="R255" i="7"/>
  <c r="R263" i="7"/>
  <c r="R271" i="7"/>
  <c r="R279" i="7"/>
  <c r="R287" i="7"/>
  <c r="R295" i="7"/>
  <c r="R303" i="7"/>
  <c r="R311" i="7"/>
  <c r="R319" i="7"/>
  <c r="R327" i="7"/>
  <c r="R335" i="7"/>
  <c r="R343" i="7"/>
  <c r="R351" i="7"/>
  <c r="R359" i="7"/>
  <c r="R367" i="7"/>
  <c r="R375" i="7"/>
  <c r="R383" i="7"/>
  <c r="R391" i="7"/>
  <c r="R399" i="7"/>
  <c r="R407" i="7"/>
  <c r="R415" i="7"/>
  <c r="R423" i="7"/>
  <c r="R431" i="7"/>
  <c r="R439" i="7"/>
  <c r="R447" i="7"/>
  <c r="R455" i="7"/>
  <c r="R463" i="7"/>
  <c r="R471" i="7"/>
  <c r="R479" i="7"/>
  <c r="R487" i="7"/>
  <c r="R495" i="7"/>
  <c r="R503" i="7"/>
  <c r="R511" i="7"/>
  <c r="R519" i="7"/>
  <c r="R527" i="7"/>
  <c r="R535" i="7"/>
  <c r="R543" i="7"/>
  <c r="R35" i="7"/>
  <c r="R91" i="7"/>
  <c r="R115" i="7"/>
  <c r="R155" i="7"/>
  <c r="R178" i="7"/>
  <c r="R202" i="7"/>
  <c r="R226" i="7"/>
  <c r="R250" i="7"/>
  <c r="R274" i="7"/>
  <c r="R330" i="7"/>
  <c r="R354" i="7"/>
  <c r="R378" i="7"/>
  <c r="R402" i="7"/>
  <c r="R418" i="7"/>
  <c r="R442" i="7"/>
  <c r="R17" i="7"/>
  <c r="R25" i="7"/>
  <c r="R33" i="7"/>
  <c r="R41" i="7"/>
  <c r="R49" i="7"/>
  <c r="R57" i="7"/>
  <c r="R65" i="7"/>
  <c r="R73" i="7"/>
  <c r="R81" i="7"/>
  <c r="R89" i="7"/>
  <c r="R97" i="7"/>
  <c r="R105" i="7"/>
  <c r="R113" i="7"/>
  <c r="R121" i="7"/>
  <c r="R129" i="7"/>
  <c r="R137" i="7"/>
  <c r="R145" i="7"/>
  <c r="R153" i="7"/>
  <c r="R161" i="7"/>
  <c r="R169" i="7"/>
  <c r="R176" i="7"/>
  <c r="R184" i="7"/>
  <c r="R192" i="7"/>
  <c r="R200" i="7"/>
  <c r="R208" i="7"/>
  <c r="R216" i="7"/>
  <c r="R224" i="7"/>
  <c r="R232" i="7"/>
  <c r="R240" i="7"/>
  <c r="R248" i="7"/>
  <c r="R256" i="7"/>
  <c r="R264" i="7"/>
  <c r="R272" i="7"/>
  <c r="R280" i="7"/>
  <c r="R288" i="7"/>
  <c r="R296" i="7"/>
  <c r="R304" i="7"/>
  <c r="R312" i="7"/>
  <c r="R320" i="7"/>
  <c r="R328" i="7"/>
  <c r="R336" i="7"/>
  <c r="R344" i="7"/>
  <c r="R352" i="7"/>
  <c r="R360" i="7"/>
  <c r="R368" i="7"/>
  <c r="R376" i="7"/>
  <c r="R384" i="7"/>
  <c r="R392" i="7"/>
  <c r="R400" i="7"/>
  <c r="R408" i="7"/>
  <c r="R416" i="7"/>
  <c r="R424" i="7"/>
  <c r="R432" i="7"/>
  <c r="R440" i="7"/>
  <c r="R448" i="7"/>
  <c r="R456" i="7"/>
  <c r="R464" i="7"/>
  <c r="R472" i="7"/>
  <c r="R480" i="7"/>
  <c r="R488" i="7"/>
  <c r="R496" i="7"/>
  <c r="R504" i="7"/>
  <c r="R512" i="7"/>
  <c r="R520" i="7"/>
  <c r="R528" i="7"/>
  <c r="R536" i="7"/>
  <c r="R544" i="7"/>
  <c r="R18" i="7"/>
  <c r="R51" i="7"/>
  <c r="R67" i="7"/>
  <c r="R83" i="7"/>
  <c r="R99" i="7"/>
  <c r="R123" i="7"/>
  <c r="R139" i="7"/>
  <c r="R171" i="7"/>
  <c r="R194" i="7"/>
  <c r="R218" i="7"/>
  <c r="R242" i="7"/>
  <c r="R266" i="7"/>
  <c r="R322" i="7"/>
  <c r="R346" i="7"/>
  <c r="R370" i="7"/>
  <c r="R394" i="7"/>
  <c r="R458" i="7"/>
  <c r="R19" i="7"/>
  <c r="R26" i="7"/>
  <c r="R34" i="7"/>
  <c r="R42" i="7"/>
  <c r="R50" i="7"/>
  <c r="R58" i="7"/>
  <c r="R66" i="7"/>
  <c r="R74" i="7"/>
  <c r="R82" i="7"/>
  <c r="R90" i="7"/>
  <c r="R98" i="7"/>
  <c r="R106" i="7"/>
  <c r="R114" i="7"/>
  <c r="R122" i="7"/>
  <c r="R130" i="7"/>
  <c r="R138" i="7"/>
  <c r="R146" i="7"/>
  <c r="R154" i="7"/>
  <c r="R162" i="7"/>
  <c r="R170" i="7"/>
  <c r="R177" i="7"/>
  <c r="R185" i="7"/>
  <c r="R193" i="7"/>
  <c r="R201" i="7"/>
  <c r="R209" i="7"/>
  <c r="R217" i="7"/>
  <c r="R225" i="7"/>
  <c r="R233" i="7"/>
  <c r="R241" i="7"/>
  <c r="R249" i="7"/>
  <c r="R257" i="7"/>
  <c r="R265" i="7"/>
  <c r="R273" i="7"/>
  <c r="R281" i="7"/>
  <c r="R289" i="7"/>
  <c r="R297" i="7"/>
  <c r="R305" i="7"/>
  <c r="R313" i="7"/>
  <c r="R321" i="7"/>
  <c r="R329" i="7"/>
  <c r="R337" i="7"/>
  <c r="R345" i="7"/>
  <c r="R353" i="7"/>
  <c r="R361" i="7"/>
  <c r="R369" i="7"/>
  <c r="R377" i="7"/>
  <c r="R385" i="7"/>
  <c r="R393" i="7"/>
  <c r="R401" i="7"/>
  <c r="R409" i="7"/>
  <c r="R417" i="7"/>
  <c r="R425" i="7"/>
  <c r="R433" i="7"/>
  <c r="R441" i="7"/>
  <c r="R449" i="7"/>
  <c r="R457" i="7"/>
  <c r="R465" i="7"/>
  <c r="R473" i="7"/>
  <c r="R481" i="7"/>
  <c r="R489" i="7"/>
  <c r="R497" i="7"/>
  <c r="R505" i="7"/>
  <c r="R513" i="7"/>
  <c r="R521" i="7"/>
  <c r="R529" i="7"/>
  <c r="R537" i="7"/>
  <c r="R545" i="7"/>
  <c r="R27" i="7"/>
  <c r="R43" i="7"/>
  <c r="R59" i="7"/>
  <c r="R75" i="7"/>
  <c r="R107" i="7"/>
  <c r="R131" i="7"/>
  <c r="R147" i="7"/>
  <c r="R163" i="7"/>
  <c r="R186" i="7"/>
  <c r="R210" i="7"/>
  <c r="R234" i="7"/>
  <c r="R258" i="7"/>
  <c r="R282" i="7"/>
  <c r="R338" i="7"/>
  <c r="R362" i="7"/>
  <c r="R386" i="7"/>
  <c r="R410" i="7"/>
  <c r="R434" i="7"/>
  <c r="R474" i="7"/>
  <c r="R538" i="7"/>
  <c r="R482" i="7"/>
  <c r="R546" i="7"/>
  <c r="R490" i="7"/>
  <c r="R498" i="7"/>
  <c r="R514" i="7"/>
  <c r="R506" i="7"/>
  <c r="R522" i="7"/>
  <c r="R450" i="7"/>
  <c r="R530" i="7"/>
  <c r="E67" i="2"/>
  <c r="B68" i="2" s="1"/>
  <c r="O10" i="1"/>
  <c r="O6" i="1"/>
  <c r="O7" i="1"/>
  <c r="O8" i="1"/>
  <c r="O13" i="1"/>
  <c r="E51" i="2"/>
  <c r="E49" i="2"/>
  <c r="E39" i="2"/>
  <c r="E40" i="2"/>
  <c r="E41" i="2"/>
  <c r="E42" i="2"/>
  <c r="E43" i="2"/>
  <c r="AB417" i="7" l="1"/>
  <c r="AB26" i="7"/>
  <c r="AB498" i="7"/>
  <c r="AB545" i="7"/>
  <c r="AB207" i="7"/>
  <c r="AB386" i="7"/>
  <c r="AB481" i="7"/>
  <c r="AB163" i="7"/>
  <c r="AB13" i="7"/>
  <c r="AB289" i="7"/>
  <c r="AB512" i="7"/>
  <c r="AB192" i="7"/>
  <c r="AB127" i="7"/>
  <c r="AB373" i="7"/>
  <c r="AB118" i="7"/>
  <c r="AB380" i="7"/>
  <c r="AB316" i="7"/>
  <c r="AB252" i="7"/>
  <c r="AB188" i="7"/>
  <c r="AB125" i="7"/>
  <c r="AB61" i="7"/>
  <c r="AB306" i="7"/>
  <c r="AB499" i="7"/>
  <c r="AB435" i="7"/>
  <c r="AB371" i="7"/>
  <c r="AB307" i="7"/>
  <c r="AB243" i="7"/>
  <c r="AB179" i="7"/>
  <c r="AB116" i="7"/>
  <c r="AB52" i="7"/>
  <c r="AB242" i="7"/>
  <c r="AB67" i="7"/>
  <c r="AB504" i="7"/>
  <c r="AB440" i="7"/>
  <c r="AB376" i="7"/>
  <c r="AB312" i="7"/>
  <c r="AB248" i="7"/>
  <c r="AB184" i="7"/>
  <c r="AB121" i="7"/>
  <c r="AB57" i="7"/>
  <c r="AB402" i="7"/>
  <c r="AB178" i="7"/>
  <c r="AB519" i="7"/>
  <c r="AB455" i="7"/>
  <c r="AB391" i="7"/>
  <c r="AB327" i="7"/>
  <c r="AB263" i="7"/>
  <c r="AB199" i="7"/>
  <c r="AB136" i="7"/>
  <c r="AB72" i="7"/>
  <c r="AB314" i="7"/>
  <c r="AB342" i="7"/>
  <c r="AB246" i="7"/>
  <c r="AB182" i="7"/>
  <c r="AB119" i="7"/>
  <c r="AB55" i="7"/>
  <c r="AB502" i="7"/>
  <c r="AB278" i="7"/>
  <c r="AB493" i="7"/>
  <c r="AB429" i="7"/>
  <c r="AB365" i="7"/>
  <c r="AB301" i="7"/>
  <c r="AB237" i="7"/>
  <c r="AB173" i="7"/>
  <c r="AB110" i="7"/>
  <c r="AB46" i="7"/>
  <c r="AB510" i="7"/>
  <c r="AB334" i="7"/>
  <c r="AB500" i="7"/>
  <c r="AB436" i="7"/>
  <c r="AB372" i="7"/>
  <c r="AB308" i="7"/>
  <c r="AB244" i="7"/>
  <c r="AB180" i="7"/>
  <c r="AB117" i="7"/>
  <c r="AB53" i="7"/>
  <c r="AB406" i="7"/>
  <c r="AB491" i="7"/>
  <c r="AB427" i="7"/>
  <c r="AB363" i="7"/>
  <c r="AB299" i="7"/>
  <c r="AB235" i="7"/>
  <c r="AB172" i="7"/>
  <c r="AB108" i="7"/>
  <c r="AB44" i="7"/>
  <c r="AB353" i="7"/>
  <c r="AB266" i="7"/>
  <c r="AB384" i="7"/>
  <c r="AB129" i="7"/>
  <c r="AB202" i="7"/>
  <c r="AB399" i="7"/>
  <c r="AB144" i="7"/>
  <c r="AB254" i="7"/>
  <c r="AB326" i="7"/>
  <c r="AB309" i="7"/>
  <c r="AB358" i="7"/>
  <c r="AB147" i="7"/>
  <c r="AB473" i="7"/>
  <c r="AB409" i="7"/>
  <c r="AB281" i="7"/>
  <c r="AB217" i="7"/>
  <c r="AB154" i="7"/>
  <c r="AB90" i="7"/>
  <c r="AB546" i="7"/>
  <c r="AB338" i="7"/>
  <c r="AB131" i="7"/>
  <c r="AB529" i="7"/>
  <c r="AB465" i="7"/>
  <c r="AB401" i="7"/>
  <c r="AB337" i="7"/>
  <c r="AB273" i="7"/>
  <c r="AB209" i="7"/>
  <c r="AB146" i="7"/>
  <c r="AB82" i="7"/>
  <c r="AB19" i="7"/>
  <c r="AB218" i="7"/>
  <c r="AB51" i="7"/>
  <c r="AB496" i="7"/>
  <c r="AB432" i="7"/>
  <c r="AB368" i="7"/>
  <c r="AB304" i="7"/>
  <c r="AB240" i="7"/>
  <c r="AB176" i="7"/>
  <c r="AB113" i="7"/>
  <c r="AB49" i="7"/>
  <c r="AB378" i="7"/>
  <c r="AB155" i="7"/>
  <c r="AB511" i="7"/>
  <c r="AB447" i="7"/>
  <c r="AB383" i="7"/>
  <c r="AB319" i="7"/>
  <c r="AB255" i="7"/>
  <c r="AB191" i="7"/>
  <c r="AB128" i="7"/>
  <c r="AB64" i="7"/>
  <c r="AB542" i="7"/>
  <c r="AB318" i="7"/>
  <c r="AB238" i="7"/>
  <c r="AB174" i="7"/>
  <c r="AB111" i="7"/>
  <c r="AB47" i="7"/>
  <c r="AB478" i="7"/>
  <c r="AB549" i="7"/>
  <c r="AB485" i="7"/>
  <c r="AB421" i="7"/>
  <c r="AB357" i="7"/>
  <c r="AB293" i="7"/>
  <c r="AB229" i="7"/>
  <c r="AB166" i="7"/>
  <c r="AB102" i="7"/>
  <c r="AB38" i="7"/>
  <c r="AB494" i="7"/>
  <c r="AB286" i="7"/>
  <c r="AB492" i="7"/>
  <c r="AB428" i="7"/>
  <c r="AB364" i="7"/>
  <c r="AB300" i="7"/>
  <c r="AB236" i="7"/>
  <c r="AB15" i="7"/>
  <c r="AB109" i="7"/>
  <c r="AB45" i="7"/>
  <c r="AB547" i="7"/>
  <c r="AB483" i="7"/>
  <c r="AB419" i="7"/>
  <c r="AB355" i="7"/>
  <c r="AB291" i="7"/>
  <c r="AB227" i="7"/>
  <c r="AB164" i="7"/>
  <c r="AB100" i="7"/>
  <c r="AB36" i="7"/>
  <c r="AB366" i="7"/>
  <c r="AB526" i="7"/>
  <c r="AB245" i="7"/>
  <c r="AB534" i="7"/>
  <c r="AB490" i="7"/>
  <c r="AB537" i="7"/>
  <c r="AB345" i="7"/>
  <c r="AB530" i="7"/>
  <c r="AB482" i="7"/>
  <c r="AB282" i="7"/>
  <c r="AB107" i="7"/>
  <c r="AB521" i="7"/>
  <c r="AB457" i="7"/>
  <c r="AB393" i="7"/>
  <c r="AB329" i="7"/>
  <c r="AB265" i="7"/>
  <c r="AB201" i="7"/>
  <c r="AB138" i="7"/>
  <c r="AB74" i="7"/>
  <c r="AB458" i="7"/>
  <c r="AB194" i="7"/>
  <c r="AB18" i="7"/>
  <c r="AB488" i="7"/>
  <c r="AB424" i="7"/>
  <c r="AB360" i="7"/>
  <c r="AB296" i="7"/>
  <c r="AB232" i="7"/>
  <c r="AB169" i="7"/>
  <c r="AB105" i="7"/>
  <c r="AB41" i="7"/>
  <c r="AB354" i="7"/>
  <c r="AB115" i="7"/>
  <c r="AB503" i="7"/>
  <c r="AB439" i="7"/>
  <c r="AB375" i="7"/>
  <c r="AB311" i="7"/>
  <c r="AB247" i="7"/>
  <c r="AB183" i="7"/>
  <c r="AB120" i="7"/>
  <c r="AB56" i="7"/>
  <c r="AB518" i="7"/>
  <c r="AB310" i="7"/>
  <c r="AB230" i="7"/>
  <c r="AB167" i="7"/>
  <c r="AB103" i="7"/>
  <c r="AB39" i="7"/>
  <c r="AB462" i="7"/>
  <c r="AB541" i="7"/>
  <c r="AB477" i="7"/>
  <c r="AB413" i="7"/>
  <c r="AB349" i="7"/>
  <c r="AB285" i="7"/>
  <c r="AB221" i="7"/>
  <c r="AB158" i="7"/>
  <c r="AB94" i="7"/>
  <c r="AB30" i="7"/>
  <c r="AB470" i="7"/>
  <c r="AB548" i="7"/>
  <c r="AB484" i="7"/>
  <c r="AB420" i="7"/>
  <c r="AB356" i="7"/>
  <c r="AB292" i="7"/>
  <c r="AB228" i="7"/>
  <c r="AB165" i="7"/>
  <c r="AB101" i="7"/>
  <c r="AB37" i="7"/>
  <c r="AB539" i="7"/>
  <c r="AB475" i="7"/>
  <c r="AB411" i="7"/>
  <c r="AB347" i="7"/>
  <c r="AB283" i="7"/>
  <c r="AB219" i="7"/>
  <c r="AB156" i="7"/>
  <c r="AB92" i="7"/>
  <c r="AB28" i="7"/>
  <c r="AB225" i="7"/>
  <c r="AB34" i="7"/>
  <c r="AB448" i="7"/>
  <c r="AB256" i="7"/>
  <c r="AB418" i="7"/>
  <c r="AB463" i="7"/>
  <c r="AB271" i="7"/>
  <c r="AA14" i="7"/>
  <c r="AB14" i="7"/>
  <c r="AB63" i="7"/>
  <c r="AB437" i="7"/>
  <c r="AB54" i="7"/>
  <c r="AB444" i="7"/>
  <c r="AB362" i="7"/>
  <c r="AB538" i="7"/>
  <c r="AB75" i="7"/>
  <c r="AB513" i="7"/>
  <c r="AB449" i="7"/>
  <c r="AB385" i="7"/>
  <c r="AB321" i="7"/>
  <c r="AB257" i="7"/>
  <c r="AB193" i="7"/>
  <c r="AB130" i="7"/>
  <c r="AB66" i="7"/>
  <c r="AB394" i="7"/>
  <c r="AB171" i="7"/>
  <c r="AB544" i="7"/>
  <c r="AB480" i="7"/>
  <c r="AB416" i="7"/>
  <c r="AB352" i="7"/>
  <c r="AB288" i="7"/>
  <c r="AB224" i="7"/>
  <c r="AB161" i="7"/>
  <c r="AB97" i="7"/>
  <c r="AB33" i="7"/>
  <c r="AB330" i="7"/>
  <c r="AB91" i="7"/>
  <c r="AB495" i="7"/>
  <c r="AB431" i="7"/>
  <c r="AB367" i="7"/>
  <c r="AB303" i="7"/>
  <c r="AB239" i="7"/>
  <c r="AB175" i="7"/>
  <c r="AB112" i="7"/>
  <c r="AB48" i="7"/>
  <c r="AB486" i="7"/>
  <c r="AB302" i="7"/>
  <c r="AB222" i="7"/>
  <c r="AB159" i="7"/>
  <c r="AB95" i="7"/>
  <c r="AB31" i="7"/>
  <c r="AB438" i="7"/>
  <c r="AB533" i="7"/>
  <c r="AB469" i="7"/>
  <c r="AB405" i="7"/>
  <c r="AB341" i="7"/>
  <c r="AB277" i="7"/>
  <c r="AB213" i="7"/>
  <c r="AB150" i="7"/>
  <c r="AB86" i="7"/>
  <c r="AB22" i="7"/>
  <c r="AB446" i="7"/>
  <c r="AB540" i="7"/>
  <c r="AB476" i="7"/>
  <c r="AB412" i="7"/>
  <c r="AB348" i="7"/>
  <c r="AB284" i="7"/>
  <c r="AB220" i="7"/>
  <c r="AB157" i="7"/>
  <c r="AB93" i="7"/>
  <c r="AB29" i="7"/>
  <c r="AB531" i="7"/>
  <c r="AB467" i="7"/>
  <c r="AB403" i="7"/>
  <c r="AB339" i="7"/>
  <c r="AB275" i="7"/>
  <c r="AB211" i="7"/>
  <c r="AB148" i="7"/>
  <c r="AB84" i="7"/>
  <c r="AB20" i="7"/>
  <c r="AB162" i="7"/>
  <c r="AB83" i="7"/>
  <c r="AB320" i="7"/>
  <c r="AB65" i="7"/>
  <c r="AB527" i="7"/>
  <c r="AB335" i="7"/>
  <c r="AB80" i="7"/>
  <c r="AB190" i="7"/>
  <c r="AB501" i="7"/>
  <c r="AB181" i="7"/>
  <c r="AB508" i="7"/>
  <c r="AB450" i="7"/>
  <c r="AB258" i="7"/>
  <c r="AB522" i="7"/>
  <c r="AB474" i="7"/>
  <c r="AB234" i="7"/>
  <c r="AB59" i="7"/>
  <c r="AB505" i="7"/>
  <c r="AB441" i="7"/>
  <c r="AB377" i="7"/>
  <c r="AB313" i="7"/>
  <c r="AB249" i="7"/>
  <c r="AB185" i="7"/>
  <c r="AB122" i="7"/>
  <c r="AB58" i="7"/>
  <c r="AB370" i="7"/>
  <c r="AB139" i="7"/>
  <c r="AB536" i="7"/>
  <c r="AB472" i="7"/>
  <c r="AB408" i="7"/>
  <c r="AB344" i="7"/>
  <c r="AB280" i="7"/>
  <c r="AB216" i="7"/>
  <c r="AB153" i="7"/>
  <c r="AB89" i="7"/>
  <c r="AB25" i="7"/>
  <c r="AB274" i="7"/>
  <c r="AB35" i="7"/>
  <c r="AB487" i="7"/>
  <c r="AB423" i="7"/>
  <c r="AB359" i="7"/>
  <c r="AB295" i="7"/>
  <c r="AB231" i="7"/>
  <c r="AB168" i="7"/>
  <c r="AB104" i="7"/>
  <c r="AB40" i="7"/>
  <c r="AB454" i="7"/>
  <c r="AB294" i="7"/>
  <c r="AB214" i="7"/>
  <c r="AB151" i="7"/>
  <c r="AB87" i="7"/>
  <c r="AB23" i="7"/>
  <c r="AB398" i="7"/>
  <c r="AB525" i="7"/>
  <c r="AB461" i="7"/>
  <c r="AB397" i="7"/>
  <c r="AB333" i="7"/>
  <c r="AB269" i="7"/>
  <c r="AB205" i="7"/>
  <c r="AB142" i="7"/>
  <c r="AB78" i="7"/>
  <c r="AB430" i="7"/>
  <c r="AB532" i="7"/>
  <c r="AB468" i="7"/>
  <c r="AB404" i="7"/>
  <c r="AB340" i="7"/>
  <c r="AB276" i="7"/>
  <c r="AB212" i="7"/>
  <c r="AB149" i="7"/>
  <c r="AB85" i="7"/>
  <c r="AB21" i="7"/>
  <c r="AB523" i="7"/>
  <c r="AB459" i="7"/>
  <c r="AB395" i="7"/>
  <c r="AB331" i="7"/>
  <c r="AB267" i="7"/>
  <c r="AB203" i="7"/>
  <c r="AB140" i="7"/>
  <c r="AB76" i="7"/>
  <c r="AB11" i="7"/>
  <c r="AB98" i="7"/>
  <c r="AB506" i="7"/>
  <c r="AB434" i="7"/>
  <c r="AB43" i="7"/>
  <c r="AB369" i="7"/>
  <c r="AB241" i="7"/>
  <c r="AB114" i="7"/>
  <c r="AB346" i="7"/>
  <c r="AB528" i="7"/>
  <c r="AB400" i="7"/>
  <c r="AB272" i="7"/>
  <c r="AB145" i="7"/>
  <c r="AB17" i="7"/>
  <c r="AB543" i="7"/>
  <c r="AB415" i="7"/>
  <c r="AB287" i="7"/>
  <c r="AB160" i="7"/>
  <c r="AB96" i="7"/>
  <c r="AB32" i="7"/>
  <c r="AB422" i="7"/>
  <c r="AB270" i="7"/>
  <c r="AB206" i="7"/>
  <c r="AB143" i="7"/>
  <c r="AB79" i="7"/>
  <c r="AB16" i="7"/>
  <c r="AB374" i="7"/>
  <c r="AB517" i="7"/>
  <c r="AB453" i="7"/>
  <c r="AB389" i="7"/>
  <c r="AB325" i="7"/>
  <c r="AB261" i="7"/>
  <c r="AB197" i="7"/>
  <c r="AB134" i="7"/>
  <c r="AB70" i="7"/>
  <c r="AB426" i="7"/>
  <c r="AB414" i="7"/>
  <c r="AB524" i="7"/>
  <c r="AB460" i="7"/>
  <c r="AB396" i="7"/>
  <c r="AB332" i="7"/>
  <c r="AB268" i="7"/>
  <c r="AB204" i="7"/>
  <c r="AB141" i="7"/>
  <c r="AB77" i="7"/>
  <c r="AA12" i="7"/>
  <c r="AB12" i="7"/>
  <c r="AB515" i="7"/>
  <c r="AB451" i="7"/>
  <c r="AB387" i="7"/>
  <c r="AB323" i="7"/>
  <c r="AB259" i="7"/>
  <c r="AB195" i="7"/>
  <c r="AB132" i="7"/>
  <c r="AB68" i="7"/>
  <c r="AB550" i="7"/>
  <c r="AB210" i="7"/>
  <c r="AB497" i="7"/>
  <c r="AB433" i="7"/>
  <c r="AB305" i="7"/>
  <c r="AB177" i="7"/>
  <c r="AB50" i="7"/>
  <c r="AB123" i="7"/>
  <c r="AB464" i="7"/>
  <c r="AB336" i="7"/>
  <c r="AB208" i="7"/>
  <c r="AB81" i="7"/>
  <c r="AB250" i="7"/>
  <c r="AB479" i="7"/>
  <c r="AB351" i="7"/>
  <c r="AB223" i="7"/>
  <c r="AB514" i="7"/>
  <c r="AB410" i="7"/>
  <c r="AB186" i="7"/>
  <c r="AB27" i="7"/>
  <c r="AB489" i="7"/>
  <c r="AB425" i="7"/>
  <c r="AB361" i="7"/>
  <c r="AB297" i="7"/>
  <c r="AB233" i="7"/>
  <c r="AB170" i="7"/>
  <c r="AB106" i="7"/>
  <c r="AB42" i="7"/>
  <c r="AB322" i="7"/>
  <c r="AB99" i="7"/>
  <c r="AB520" i="7"/>
  <c r="AB456" i="7"/>
  <c r="AB392" i="7"/>
  <c r="AB328" i="7"/>
  <c r="AB264" i="7"/>
  <c r="AB200" i="7"/>
  <c r="AB137" i="7"/>
  <c r="AB73" i="7"/>
  <c r="AB442" i="7"/>
  <c r="AB226" i="7"/>
  <c r="AB535" i="7"/>
  <c r="AB471" i="7"/>
  <c r="AB407" i="7"/>
  <c r="AB343" i="7"/>
  <c r="AB279" i="7"/>
  <c r="AB215" i="7"/>
  <c r="AB152" i="7"/>
  <c r="AB88" i="7"/>
  <c r="AB24" i="7"/>
  <c r="AB390" i="7"/>
  <c r="AB262" i="7"/>
  <c r="AB198" i="7"/>
  <c r="AB135" i="7"/>
  <c r="AB71" i="7"/>
  <c r="AB290" i="7"/>
  <c r="AB350" i="7"/>
  <c r="AB509" i="7"/>
  <c r="AB445" i="7"/>
  <c r="AB381" i="7"/>
  <c r="AB317" i="7"/>
  <c r="AB253" i="7"/>
  <c r="AB189" i="7"/>
  <c r="AB126" i="7"/>
  <c r="AB62" i="7"/>
  <c r="AB298" i="7"/>
  <c r="AB382" i="7"/>
  <c r="AB516" i="7"/>
  <c r="AB452" i="7"/>
  <c r="AB388" i="7"/>
  <c r="AB324" i="7"/>
  <c r="AB260" i="7"/>
  <c r="AB196" i="7"/>
  <c r="AB133" i="7"/>
  <c r="AB69" i="7"/>
  <c r="AB466" i="7"/>
  <c r="AB507" i="7"/>
  <c r="AB443" i="7"/>
  <c r="AB379" i="7"/>
  <c r="AB315" i="7"/>
  <c r="AB251" i="7"/>
  <c r="AB187" i="7"/>
  <c r="AB124" i="7"/>
  <c r="AB60" i="7"/>
  <c r="AB10" i="7"/>
  <c r="AA13" i="7"/>
  <c r="AA11" i="7"/>
  <c r="Z11" i="7"/>
  <c r="AE11" i="7" s="1"/>
  <c r="Z19" i="7"/>
  <c r="AE19" i="7" s="1"/>
  <c r="Z27" i="7"/>
  <c r="AE27" i="7" s="1"/>
  <c r="Z35" i="7"/>
  <c r="AE35" i="7" s="1"/>
  <c r="Z43" i="7"/>
  <c r="AE43" i="7" s="1"/>
  <c r="Z51" i="7"/>
  <c r="AE51" i="7" s="1"/>
  <c r="Z59" i="7"/>
  <c r="AE59" i="7" s="1"/>
  <c r="Z67" i="7"/>
  <c r="AE67" i="7" s="1"/>
  <c r="Z75" i="7"/>
  <c r="AE75" i="7" s="1"/>
  <c r="Z83" i="7"/>
  <c r="AE83" i="7" s="1"/>
  <c r="Z91" i="7"/>
  <c r="AE91" i="7" s="1"/>
  <c r="Z99" i="7"/>
  <c r="AE99" i="7" s="1"/>
  <c r="Z107" i="7"/>
  <c r="AE107" i="7" s="1"/>
  <c r="Z115" i="7"/>
  <c r="AE115" i="7" s="1"/>
  <c r="Z123" i="7"/>
  <c r="AE123" i="7" s="1"/>
  <c r="Z131" i="7"/>
  <c r="AE131" i="7" s="1"/>
  <c r="Z139" i="7"/>
  <c r="AE139" i="7" s="1"/>
  <c r="Z147" i="7"/>
  <c r="AE147" i="7" s="1"/>
  <c r="Z155" i="7"/>
  <c r="AE155" i="7" s="1"/>
  <c r="Z163" i="7"/>
  <c r="AE163" i="7" s="1"/>
  <c r="Z171" i="7"/>
  <c r="AE171" i="7" s="1"/>
  <c r="Z179" i="7"/>
  <c r="AE179" i="7" s="1"/>
  <c r="Z187" i="7"/>
  <c r="AE187" i="7" s="1"/>
  <c r="Z195" i="7"/>
  <c r="AE195" i="7" s="1"/>
  <c r="Z203" i="7"/>
  <c r="AE203" i="7" s="1"/>
  <c r="Z211" i="7"/>
  <c r="AE211" i="7" s="1"/>
  <c r="Z219" i="7"/>
  <c r="AE219" i="7" s="1"/>
  <c r="Z227" i="7"/>
  <c r="AE227" i="7" s="1"/>
  <c r="Z235" i="7"/>
  <c r="AE235" i="7" s="1"/>
  <c r="Z243" i="7"/>
  <c r="AE243" i="7" s="1"/>
  <c r="Z251" i="7"/>
  <c r="AE251" i="7" s="1"/>
  <c r="Z259" i="7"/>
  <c r="AE259" i="7" s="1"/>
  <c r="Z267" i="7"/>
  <c r="AE267" i="7" s="1"/>
  <c r="Z275" i="7"/>
  <c r="AE275" i="7" s="1"/>
  <c r="Z283" i="7"/>
  <c r="AE283" i="7" s="1"/>
  <c r="Z291" i="7"/>
  <c r="AE291" i="7" s="1"/>
  <c r="Z299" i="7"/>
  <c r="AE299" i="7" s="1"/>
  <c r="Z307" i="7"/>
  <c r="AE307" i="7" s="1"/>
  <c r="Z315" i="7"/>
  <c r="AE315" i="7" s="1"/>
  <c r="Z323" i="7"/>
  <c r="AE323" i="7" s="1"/>
  <c r="Z331" i="7"/>
  <c r="AE331" i="7" s="1"/>
  <c r="Z339" i="7"/>
  <c r="AE339" i="7" s="1"/>
  <c r="Z347" i="7"/>
  <c r="AE347" i="7" s="1"/>
  <c r="Z355" i="7"/>
  <c r="AE355" i="7" s="1"/>
  <c r="Z363" i="7"/>
  <c r="AE363" i="7" s="1"/>
  <c r="Z371" i="7"/>
  <c r="AE371" i="7" s="1"/>
  <c r="Z379" i="7"/>
  <c r="AE379" i="7" s="1"/>
  <c r="Z387" i="7"/>
  <c r="AE387" i="7" s="1"/>
  <c r="Z395" i="7"/>
  <c r="AE395" i="7" s="1"/>
  <c r="Z403" i="7"/>
  <c r="AE403" i="7" s="1"/>
  <c r="Z411" i="7"/>
  <c r="AE411" i="7" s="1"/>
  <c r="Z419" i="7"/>
  <c r="AE419" i="7" s="1"/>
  <c r="Z427" i="7"/>
  <c r="AE427" i="7" s="1"/>
  <c r="Z435" i="7"/>
  <c r="AE435" i="7" s="1"/>
  <c r="Z443" i="7"/>
  <c r="AE443" i="7" s="1"/>
  <c r="Z451" i="7"/>
  <c r="AE451" i="7" s="1"/>
  <c r="Z459" i="7"/>
  <c r="AE459" i="7" s="1"/>
  <c r="Z467" i="7"/>
  <c r="AE467" i="7" s="1"/>
  <c r="Z12" i="7"/>
  <c r="AE12" i="7" s="1"/>
  <c r="Z20" i="7"/>
  <c r="AE20" i="7" s="1"/>
  <c r="Z28" i="7"/>
  <c r="AE28" i="7" s="1"/>
  <c r="Z36" i="7"/>
  <c r="AE36" i="7" s="1"/>
  <c r="Z44" i="7"/>
  <c r="AE44" i="7" s="1"/>
  <c r="Z52" i="7"/>
  <c r="AE52" i="7" s="1"/>
  <c r="Z60" i="7"/>
  <c r="AE60" i="7" s="1"/>
  <c r="Z68" i="7"/>
  <c r="AE68" i="7" s="1"/>
  <c r="Z76" i="7"/>
  <c r="AE76" i="7" s="1"/>
  <c r="Z84" i="7"/>
  <c r="AE84" i="7" s="1"/>
  <c r="Z92" i="7"/>
  <c r="AE92" i="7" s="1"/>
  <c r="Z100" i="7"/>
  <c r="AE100" i="7" s="1"/>
  <c r="Z108" i="7"/>
  <c r="AE108" i="7" s="1"/>
  <c r="Z116" i="7"/>
  <c r="AE116" i="7" s="1"/>
  <c r="Z124" i="7"/>
  <c r="AE124" i="7" s="1"/>
  <c r="Z132" i="7"/>
  <c r="AE132" i="7" s="1"/>
  <c r="Z140" i="7"/>
  <c r="AE140" i="7" s="1"/>
  <c r="Z148" i="7"/>
  <c r="AE148" i="7" s="1"/>
  <c r="Z156" i="7"/>
  <c r="AE156" i="7" s="1"/>
  <c r="Z164" i="7"/>
  <c r="AE164" i="7" s="1"/>
  <c r="Z172" i="7"/>
  <c r="AE172" i="7" s="1"/>
  <c r="Z180" i="7"/>
  <c r="AE180" i="7" s="1"/>
  <c r="Z188" i="7"/>
  <c r="AE188" i="7" s="1"/>
  <c r="Z196" i="7"/>
  <c r="AE196" i="7" s="1"/>
  <c r="Z204" i="7"/>
  <c r="AE204" i="7" s="1"/>
  <c r="Z212" i="7"/>
  <c r="AE212" i="7" s="1"/>
  <c r="Z220" i="7"/>
  <c r="AE220" i="7" s="1"/>
  <c r="Z228" i="7"/>
  <c r="AE228" i="7" s="1"/>
  <c r="Z236" i="7"/>
  <c r="AE236" i="7" s="1"/>
  <c r="Z244" i="7"/>
  <c r="AE244" i="7" s="1"/>
  <c r="Z252" i="7"/>
  <c r="AE252" i="7" s="1"/>
  <c r="Z260" i="7"/>
  <c r="AE260" i="7" s="1"/>
  <c r="Z268" i="7"/>
  <c r="AE268" i="7" s="1"/>
  <c r="Z276" i="7"/>
  <c r="AE276" i="7" s="1"/>
  <c r="Z284" i="7"/>
  <c r="AE284" i="7" s="1"/>
  <c r="Z292" i="7"/>
  <c r="AE292" i="7" s="1"/>
  <c r="Z300" i="7"/>
  <c r="AE300" i="7" s="1"/>
  <c r="Z308" i="7"/>
  <c r="AE308" i="7" s="1"/>
  <c r="Z316" i="7"/>
  <c r="AE316" i="7" s="1"/>
  <c r="Z324" i="7"/>
  <c r="AE324" i="7" s="1"/>
  <c r="Z332" i="7"/>
  <c r="AE332" i="7" s="1"/>
  <c r="Z340" i="7"/>
  <c r="AE340" i="7" s="1"/>
  <c r="Z348" i="7"/>
  <c r="AE348" i="7" s="1"/>
  <c r="Z356" i="7"/>
  <c r="AE356" i="7" s="1"/>
  <c r="Z364" i="7"/>
  <c r="AE364" i="7" s="1"/>
  <c r="Z372" i="7"/>
  <c r="AE372" i="7" s="1"/>
  <c r="Z380" i="7"/>
  <c r="AE380" i="7" s="1"/>
  <c r="Z388" i="7"/>
  <c r="AE388" i="7" s="1"/>
  <c r="Z396" i="7"/>
  <c r="AE396" i="7" s="1"/>
  <c r="Z404" i="7"/>
  <c r="AE404" i="7" s="1"/>
  <c r="Z412" i="7"/>
  <c r="AE412" i="7" s="1"/>
  <c r="Z420" i="7"/>
  <c r="AE420" i="7" s="1"/>
  <c r="Z428" i="7"/>
  <c r="AE428" i="7" s="1"/>
  <c r="Z436" i="7"/>
  <c r="AE436" i="7" s="1"/>
  <c r="Z444" i="7"/>
  <c r="AE444" i="7" s="1"/>
  <c r="Z452" i="7"/>
  <c r="AE452" i="7" s="1"/>
  <c r="Z460" i="7"/>
  <c r="AE460" i="7" s="1"/>
  <c r="Z468" i="7"/>
  <c r="AE468" i="7" s="1"/>
  <c r="Z13" i="7"/>
  <c r="AE13" i="7" s="1"/>
  <c r="Z21" i="7"/>
  <c r="AE21" i="7" s="1"/>
  <c r="Z29" i="7"/>
  <c r="AE29" i="7" s="1"/>
  <c r="Z37" i="7"/>
  <c r="AE37" i="7" s="1"/>
  <c r="Z45" i="7"/>
  <c r="AE45" i="7" s="1"/>
  <c r="Z53" i="7"/>
  <c r="AE53" i="7" s="1"/>
  <c r="Z61" i="7"/>
  <c r="AE61" i="7" s="1"/>
  <c r="Z69" i="7"/>
  <c r="AE69" i="7" s="1"/>
  <c r="Z77" i="7"/>
  <c r="AE77" i="7" s="1"/>
  <c r="Z85" i="7"/>
  <c r="AE85" i="7" s="1"/>
  <c r="Z93" i="7"/>
  <c r="AE93" i="7" s="1"/>
  <c r="Z101" i="7"/>
  <c r="AE101" i="7" s="1"/>
  <c r="Z109" i="7"/>
  <c r="AE109" i="7" s="1"/>
  <c r="Z117" i="7"/>
  <c r="AE117" i="7" s="1"/>
  <c r="Z125" i="7"/>
  <c r="AE125" i="7" s="1"/>
  <c r="Z133" i="7"/>
  <c r="AE133" i="7" s="1"/>
  <c r="Z141" i="7"/>
  <c r="AE141" i="7" s="1"/>
  <c r="Z149" i="7"/>
  <c r="AE149" i="7" s="1"/>
  <c r="Z157" i="7"/>
  <c r="AE157" i="7" s="1"/>
  <c r="Z165" i="7"/>
  <c r="AE165" i="7" s="1"/>
  <c r="Z173" i="7"/>
  <c r="AE173" i="7" s="1"/>
  <c r="Z181" i="7"/>
  <c r="AE181" i="7" s="1"/>
  <c r="Z189" i="7"/>
  <c r="AE189" i="7" s="1"/>
  <c r="Z197" i="7"/>
  <c r="AE197" i="7" s="1"/>
  <c r="Z205" i="7"/>
  <c r="AE205" i="7" s="1"/>
  <c r="Z213" i="7"/>
  <c r="AE213" i="7" s="1"/>
  <c r="Z221" i="7"/>
  <c r="AE221" i="7" s="1"/>
  <c r="Z229" i="7"/>
  <c r="AE229" i="7" s="1"/>
  <c r="Z237" i="7"/>
  <c r="AE237" i="7" s="1"/>
  <c r="Z245" i="7"/>
  <c r="AE245" i="7" s="1"/>
  <c r="Z253" i="7"/>
  <c r="AE253" i="7" s="1"/>
  <c r="Z261" i="7"/>
  <c r="AE261" i="7" s="1"/>
  <c r="Z269" i="7"/>
  <c r="AE269" i="7" s="1"/>
  <c r="Z277" i="7"/>
  <c r="AE277" i="7" s="1"/>
  <c r="Z285" i="7"/>
  <c r="AE285" i="7" s="1"/>
  <c r="Z293" i="7"/>
  <c r="AE293" i="7" s="1"/>
  <c r="Z301" i="7"/>
  <c r="AE301" i="7" s="1"/>
  <c r="Z309" i="7"/>
  <c r="AE309" i="7" s="1"/>
  <c r="Z317" i="7"/>
  <c r="AE317" i="7" s="1"/>
  <c r="Z325" i="7"/>
  <c r="AE325" i="7" s="1"/>
  <c r="Z333" i="7"/>
  <c r="AE333" i="7" s="1"/>
  <c r="Z341" i="7"/>
  <c r="AE341" i="7" s="1"/>
  <c r="Z349" i="7"/>
  <c r="AE349" i="7" s="1"/>
  <c r="Z357" i="7"/>
  <c r="AE357" i="7" s="1"/>
  <c r="Z365" i="7"/>
  <c r="AE365" i="7" s="1"/>
  <c r="Z373" i="7"/>
  <c r="AE373" i="7" s="1"/>
  <c r="Z381" i="7"/>
  <c r="AE381" i="7" s="1"/>
  <c r="Z389" i="7"/>
  <c r="AE389" i="7" s="1"/>
  <c r="Z397" i="7"/>
  <c r="AE397" i="7" s="1"/>
  <c r="Z405" i="7"/>
  <c r="AE405" i="7" s="1"/>
  <c r="Z413" i="7"/>
  <c r="AE413" i="7" s="1"/>
  <c r="Z421" i="7"/>
  <c r="AE421" i="7" s="1"/>
  <c r="Z429" i="7"/>
  <c r="AE429" i="7" s="1"/>
  <c r="Z437" i="7"/>
  <c r="AE437" i="7" s="1"/>
  <c r="Z445" i="7"/>
  <c r="AE445" i="7" s="1"/>
  <c r="Z453" i="7"/>
  <c r="AE453" i="7" s="1"/>
  <c r="Z461" i="7"/>
  <c r="AE461" i="7" s="1"/>
  <c r="Z469" i="7"/>
  <c r="AE469" i="7" s="1"/>
  <c r="Z477" i="7"/>
  <c r="AE477" i="7" s="1"/>
  <c r="Z485" i="7"/>
  <c r="AE485" i="7" s="1"/>
  <c r="Z493" i="7"/>
  <c r="AE493" i="7" s="1"/>
  <c r="Z501" i="7"/>
  <c r="AE501" i="7" s="1"/>
  <c r="Z509" i="7"/>
  <c r="AE509" i="7" s="1"/>
  <c r="Z517" i="7"/>
  <c r="AE517" i="7" s="1"/>
  <c r="Z525" i="7"/>
  <c r="AE525" i="7" s="1"/>
  <c r="Z533" i="7"/>
  <c r="AE533" i="7" s="1"/>
  <c r="Z541" i="7"/>
  <c r="AE541" i="7" s="1"/>
  <c r="Z549" i="7"/>
  <c r="AE549" i="7" s="1"/>
  <c r="Z270" i="7"/>
  <c r="AE270" i="7" s="1"/>
  <c r="Z286" i="7"/>
  <c r="AE286" i="7" s="1"/>
  <c r="Z294" i="7"/>
  <c r="AE294" i="7" s="1"/>
  <c r="Z302" i="7"/>
  <c r="AE302" i="7" s="1"/>
  <c r="Z310" i="7"/>
  <c r="AE310" i="7" s="1"/>
  <c r="Z318" i="7"/>
  <c r="AE318" i="7" s="1"/>
  <c r="Z326" i="7"/>
  <c r="AE326" i="7" s="1"/>
  <c r="Z334" i="7"/>
  <c r="AE334" i="7" s="1"/>
  <c r="Z350" i="7"/>
  <c r="AE350" i="7" s="1"/>
  <c r="Z366" i="7"/>
  <c r="AE366" i="7" s="1"/>
  <c r="Z382" i="7"/>
  <c r="AE382" i="7" s="1"/>
  <c r="Z398" i="7"/>
  <c r="AE398" i="7" s="1"/>
  <c r="Z414" i="7"/>
  <c r="AE414" i="7" s="1"/>
  <c r="Z430" i="7"/>
  <c r="AE430" i="7" s="1"/>
  <c r="Z446" i="7"/>
  <c r="AE446" i="7" s="1"/>
  <c r="Z462" i="7"/>
  <c r="AE462" i="7" s="1"/>
  <c r="Z478" i="7"/>
  <c r="AE478" i="7" s="1"/>
  <c r="Z14" i="7"/>
  <c r="AE14" i="7" s="1"/>
  <c r="Z22" i="7"/>
  <c r="AE22" i="7" s="1"/>
  <c r="Z30" i="7"/>
  <c r="AE30" i="7" s="1"/>
  <c r="Z38" i="7"/>
  <c r="AE38" i="7" s="1"/>
  <c r="Z46" i="7"/>
  <c r="AE46" i="7" s="1"/>
  <c r="Z54" i="7"/>
  <c r="AE54" i="7" s="1"/>
  <c r="Z62" i="7"/>
  <c r="AE62" i="7" s="1"/>
  <c r="Z70" i="7"/>
  <c r="AE70" i="7" s="1"/>
  <c r="Z78" i="7"/>
  <c r="AE78" i="7" s="1"/>
  <c r="Z86" i="7"/>
  <c r="AE86" i="7" s="1"/>
  <c r="Z94" i="7"/>
  <c r="AE94" i="7" s="1"/>
  <c r="Z102" i="7"/>
  <c r="AE102" i="7" s="1"/>
  <c r="Z110" i="7"/>
  <c r="AE110" i="7" s="1"/>
  <c r="Z118" i="7"/>
  <c r="AE118" i="7" s="1"/>
  <c r="Z126" i="7"/>
  <c r="AE126" i="7" s="1"/>
  <c r="Z134" i="7"/>
  <c r="AE134" i="7" s="1"/>
  <c r="Z142" i="7"/>
  <c r="AE142" i="7" s="1"/>
  <c r="Z150" i="7"/>
  <c r="AE150" i="7" s="1"/>
  <c r="Z158" i="7"/>
  <c r="AE158" i="7" s="1"/>
  <c r="Z166" i="7"/>
  <c r="AE166" i="7" s="1"/>
  <c r="Z174" i="7"/>
  <c r="AE174" i="7" s="1"/>
  <c r="Z182" i="7"/>
  <c r="AE182" i="7" s="1"/>
  <c r="Z190" i="7"/>
  <c r="AE190" i="7" s="1"/>
  <c r="Z198" i="7"/>
  <c r="AE198" i="7" s="1"/>
  <c r="Z206" i="7"/>
  <c r="AE206" i="7" s="1"/>
  <c r="Z214" i="7"/>
  <c r="AE214" i="7" s="1"/>
  <c r="Z222" i="7"/>
  <c r="AE222" i="7" s="1"/>
  <c r="Z230" i="7"/>
  <c r="AE230" i="7" s="1"/>
  <c r="Z238" i="7"/>
  <c r="AE238" i="7" s="1"/>
  <c r="Z246" i="7"/>
  <c r="AE246" i="7" s="1"/>
  <c r="Z254" i="7"/>
  <c r="AE254" i="7" s="1"/>
  <c r="Z262" i="7"/>
  <c r="AE262" i="7" s="1"/>
  <c r="Z278" i="7"/>
  <c r="AE278" i="7" s="1"/>
  <c r="Z342" i="7"/>
  <c r="AE342" i="7" s="1"/>
  <c r="Z358" i="7"/>
  <c r="AE358" i="7" s="1"/>
  <c r="Z374" i="7"/>
  <c r="AE374" i="7" s="1"/>
  <c r="Z390" i="7"/>
  <c r="AE390" i="7" s="1"/>
  <c r="Z406" i="7"/>
  <c r="AE406" i="7" s="1"/>
  <c r="Z422" i="7"/>
  <c r="AE422" i="7" s="1"/>
  <c r="Z438" i="7"/>
  <c r="AE438" i="7" s="1"/>
  <c r="Z454" i="7"/>
  <c r="AE454" i="7" s="1"/>
  <c r="Z470" i="7"/>
  <c r="AE470" i="7" s="1"/>
  <c r="Z486" i="7"/>
  <c r="AE486" i="7" s="1"/>
  <c r="Z15" i="7"/>
  <c r="AE15" i="7" s="1"/>
  <c r="Z23" i="7"/>
  <c r="AE23" i="7" s="1"/>
  <c r="Z31" i="7"/>
  <c r="AE31" i="7" s="1"/>
  <c r="Z39" i="7"/>
  <c r="AE39" i="7" s="1"/>
  <c r="Z47" i="7"/>
  <c r="AE47" i="7" s="1"/>
  <c r="Z55" i="7"/>
  <c r="AE55" i="7" s="1"/>
  <c r="Z63" i="7"/>
  <c r="AE63" i="7" s="1"/>
  <c r="Z71" i="7"/>
  <c r="AE71" i="7" s="1"/>
  <c r="Z79" i="7"/>
  <c r="AE79" i="7" s="1"/>
  <c r="Z87" i="7"/>
  <c r="AE87" i="7" s="1"/>
  <c r="Z95" i="7"/>
  <c r="AE95" i="7" s="1"/>
  <c r="Z103" i="7"/>
  <c r="AE103" i="7" s="1"/>
  <c r="Z111" i="7"/>
  <c r="AE111" i="7" s="1"/>
  <c r="Z119" i="7"/>
  <c r="AE119" i="7" s="1"/>
  <c r="Z127" i="7"/>
  <c r="AE127" i="7" s="1"/>
  <c r="Z135" i="7"/>
  <c r="AE135" i="7" s="1"/>
  <c r="Z143" i="7"/>
  <c r="AE143" i="7" s="1"/>
  <c r="Z151" i="7"/>
  <c r="AE151" i="7" s="1"/>
  <c r="Z159" i="7"/>
  <c r="AE159" i="7" s="1"/>
  <c r="Z167" i="7"/>
  <c r="AE167" i="7" s="1"/>
  <c r="Z175" i="7"/>
  <c r="AE175" i="7" s="1"/>
  <c r="Z183" i="7"/>
  <c r="AE183" i="7" s="1"/>
  <c r="Z191" i="7"/>
  <c r="AE191" i="7" s="1"/>
  <c r="Z199" i="7"/>
  <c r="AE199" i="7" s="1"/>
  <c r="Z207" i="7"/>
  <c r="AE207" i="7" s="1"/>
  <c r="Z215" i="7"/>
  <c r="AE215" i="7" s="1"/>
  <c r="Z223" i="7"/>
  <c r="AE223" i="7" s="1"/>
  <c r="Z231" i="7"/>
  <c r="AE231" i="7" s="1"/>
  <c r="Z239" i="7"/>
  <c r="AE239" i="7" s="1"/>
  <c r="Z247" i="7"/>
  <c r="AE247" i="7" s="1"/>
  <c r="Z255" i="7"/>
  <c r="AE255" i="7" s="1"/>
  <c r="Z263" i="7"/>
  <c r="AE263" i="7" s="1"/>
  <c r="Z271" i="7"/>
  <c r="AE271" i="7" s="1"/>
  <c r="Z279" i="7"/>
  <c r="AE279" i="7" s="1"/>
  <c r="Z287" i="7"/>
  <c r="AE287" i="7" s="1"/>
  <c r="Z295" i="7"/>
  <c r="AE295" i="7" s="1"/>
  <c r="Z303" i="7"/>
  <c r="AE303" i="7" s="1"/>
  <c r="Z311" i="7"/>
  <c r="AE311" i="7" s="1"/>
  <c r="Z319" i="7"/>
  <c r="AE319" i="7" s="1"/>
  <c r="Z327" i="7"/>
  <c r="AE327" i="7" s="1"/>
  <c r="Z335" i="7"/>
  <c r="AE335" i="7" s="1"/>
  <c r="Z343" i="7"/>
  <c r="AE343" i="7" s="1"/>
  <c r="Z351" i="7"/>
  <c r="AE351" i="7" s="1"/>
  <c r="Z359" i="7"/>
  <c r="AE359" i="7" s="1"/>
  <c r="Z367" i="7"/>
  <c r="AE367" i="7" s="1"/>
  <c r="Z375" i="7"/>
  <c r="AE375" i="7" s="1"/>
  <c r="Z383" i="7"/>
  <c r="AE383" i="7" s="1"/>
  <c r="Z391" i="7"/>
  <c r="AE391" i="7" s="1"/>
  <c r="Z399" i="7"/>
  <c r="AE399" i="7" s="1"/>
  <c r="Z407" i="7"/>
  <c r="AE407" i="7" s="1"/>
  <c r="Z415" i="7"/>
  <c r="AE415" i="7" s="1"/>
  <c r="Z423" i="7"/>
  <c r="AE423" i="7" s="1"/>
  <c r="Z431" i="7"/>
  <c r="AE431" i="7" s="1"/>
  <c r="Z439" i="7"/>
  <c r="AE439" i="7" s="1"/>
  <c r="Z447" i="7"/>
  <c r="AE447" i="7" s="1"/>
  <c r="Z455" i="7"/>
  <c r="AE455" i="7" s="1"/>
  <c r="Z463" i="7"/>
  <c r="AE463" i="7" s="1"/>
  <c r="Z471" i="7"/>
  <c r="AE471" i="7" s="1"/>
  <c r="Z479" i="7"/>
  <c r="AE479" i="7" s="1"/>
  <c r="Z487" i="7"/>
  <c r="AE487" i="7" s="1"/>
  <c r="Z495" i="7"/>
  <c r="AE495" i="7" s="1"/>
  <c r="Z503" i="7"/>
  <c r="AE503" i="7" s="1"/>
  <c r="Z511" i="7"/>
  <c r="AE511" i="7" s="1"/>
  <c r="Z519" i="7"/>
  <c r="AE519" i="7" s="1"/>
  <c r="Z527" i="7"/>
  <c r="AE527" i="7" s="1"/>
  <c r="Z535" i="7"/>
  <c r="AE535" i="7" s="1"/>
  <c r="Z543" i="7"/>
  <c r="AE543" i="7" s="1"/>
  <c r="Z16" i="7"/>
  <c r="AE16" i="7" s="1"/>
  <c r="Z24" i="7"/>
  <c r="AE24" i="7" s="1"/>
  <c r="Z32" i="7"/>
  <c r="AE32" i="7" s="1"/>
  <c r="Z40" i="7"/>
  <c r="AE40" i="7" s="1"/>
  <c r="Z48" i="7"/>
  <c r="AE48" i="7" s="1"/>
  <c r="Z56" i="7"/>
  <c r="AE56" i="7" s="1"/>
  <c r="Z64" i="7"/>
  <c r="AE64" i="7" s="1"/>
  <c r="Z72" i="7"/>
  <c r="AE72" i="7" s="1"/>
  <c r="Z80" i="7"/>
  <c r="AE80" i="7" s="1"/>
  <c r="Z88" i="7"/>
  <c r="AE88" i="7" s="1"/>
  <c r="Z96" i="7"/>
  <c r="AE96" i="7" s="1"/>
  <c r="Z104" i="7"/>
  <c r="AE104" i="7" s="1"/>
  <c r="Z112" i="7"/>
  <c r="AE112" i="7" s="1"/>
  <c r="Z120" i="7"/>
  <c r="AE120" i="7" s="1"/>
  <c r="Z128" i="7"/>
  <c r="AE128" i="7" s="1"/>
  <c r="Z136" i="7"/>
  <c r="AE136" i="7" s="1"/>
  <c r="Z144" i="7"/>
  <c r="AE144" i="7" s="1"/>
  <c r="Z152" i="7"/>
  <c r="AE152" i="7" s="1"/>
  <c r="Z17" i="7"/>
  <c r="AE17" i="7" s="1"/>
  <c r="Z25" i="7"/>
  <c r="AE25" i="7" s="1"/>
  <c r="Z33" i="7"/>
  <c r="AE33" i="7" s="1"/>
  <c r="Z41" i="7"/>
  <c r="AE41" i="7" s="1"/>
  <c r="Z49" i="7"/>
  <c r="AE49" i="7" s="1"/>
  <c r="Z57" i="7"/>
  <c r="AE57" i="7" s="1"/>
  <c r="Z65" i="7"/>
  <c r="AE65" i="7" s="1"/>
  <c r="Z73" i="7"/>
  <c r="AE73" i="7" s="1"/>
  <c r="Z81" i="7"/>
  <c r="AE81" i="7" s="1"/>
  <c r="Z89" i="7"/>
  <c r="AE89" i="7" s="1"/>
  <c r="Z97" i="7"/>
  <c r="AE97" i="7" s="1"/>
  <c r="Z105" i="7"/>
  <c r="AE105" i="7" s="1"/>
  <c r="Z113" i="7"/>
  <c r="AE113" i="7" s="1"/>
  <c r="Z121" i="7"/>
  <c r="AE121" i="7" s="1"/>
  <c r="Z129" i="7"/>
  <c r="AE129" i="7" s="1"/>
  <c r="Z137" i="7"/>
  <c r="AE137" i="7" s="1"/>
  <c r="Z145" i="7"/>
  <c r="AE145" i="7" s="1"/>
  <c r="Z153" i="7"/>
  <c r="AE153" i="7" s="1"/>
  <c r="Z161" i="7"/>
  <c r="AE161" i="7" s="1"/>
  <c r="Z169" i="7"/>
  <c r="AE169" i="7" s="1"/>
  <c r="Z177" i="7"/>
  <c r="AE177" i="7" s="1"/>
  <c r="Z185" i="7"/>
  <c r="AE185" i="7" s="1"/>
  <c r="Z193" i="7"/>
  <c r="AE193" i="7" s="1"/>
  <c r="Z201" i="7"/>
  <c r="AE201" i="7" s="1"/>
  <c r="Z209" i="7"/>
  <c r="AE209" i="7" s="1"/>
  <c r="Z217" i="7"/>
  <c r="AE217" i="7" s="1"/>
  <c r="Z225" i="7"/>
  <c r="AE225" i="7" s="1"/>
  <c r="Z233" i="7"/>
  <c r="AE233" i="7" s="1"/>
  <c r="Z241" i="7"/>
  <c r="AE241" i="7" s="1"/>
  <c r="Z249" i="7"/>
  <c r="AE249" i="7" s="1"/>
  <c r="Z257" i="7"/>
  <c r="AE257" i="7" s="1"/>
  <c r="Z265" i="7"/>
  <c r="AE265" i="7" s="1"/>
  <c r="Z273" i="7"/>
  <c r="AE273" i="7" s="1"/>
  <c r="Z281" i="7"/>
  <c r="AE281" i="7" s="1"/>
  <c r="Z289" i="7"/>
  <c r="AE289" i="7" s="1"/>
  <c r="Z297" i="7"/>
  <c r="AE297" i="7" s="1"/>
  <c r="Z305" i="7"/>
  <c r="AE305" i="7" s="1"/>
  <c r="Z313" i="7"/>
  <c r="AE313" i="7" s="1"/>
  <c r="Z321" i="7"/>
  <c r="AE321" i="7" s="1"/>
  <c r="Z329" i="7"/>
  <c r="AE329" i="7" s="1"/>
  <c r="Z337" i="7"/>
  <c r="AE337" i="7" s="1"/>
  <c r="Z345" i="7"/>
  <c r="AE345" i="7" s="1"/>
  <c r="Z353" i="7"/>
  <c r="AE353" i="7" s="1"/>
  <c r="Z361" i="7"/>
  <c r="AE361" i="7" s="1"/>
  <c r="Z369" i="7"/>
  <c r="AE369" i="7" s="1"/>
  <c r="Z377" i="7"/>
  <c r="AE377" i="7" s="1"/>
  <c r="Z385" i="7"/>
  <c r="AE385" i="7" s="1"/>
  <c r="Z393" i="7"/>
  <c r="AE393" i="7" s="1"/>
  <c r="Z401" i="7"/>
  <c r="AE401" i="7" s="1"/>
  <c r="Z409" i="7"/>
  <c r="AE409" i="7" s="1"/>
  <c r="Z417" i="7"/>
  <c r="AE417" i="7" s="1"/>
  <c r="Z425" i="7"/>
  <c r="AE425" i="7" s="1"/>
  <c r="Z433" i="7"/>
  <c r="AE433" i="7" s="1"/>
  <c r="Z441" i="7"/>
  <c r="AE441" i="7" s="1"/>
  <c r="Z449" i="7"/>
  <c r="AE449" i="7" s="1"/>
  <c r="Z457" i="7"/>
  <c r="AE457" i="7" s="1"/>
  <c r="Z465" i="7"/>
  <c r="AE465" i="7" s="1"/>
  <c r="Z473" i="7"/>
  <c r="AE473" i="7" s="1"/>
  <c r="Z481" i="7"/>
  <c r="AE481" i="7" s="1"/>
  <c r="Z489" i="7"/>
  <c r="AE489" i="7" s="1"/>
  <c r="Z497" i="7"/>
  <c r="AE497" i="7" s="1"/>
  <c r="Z505" i="7"/>
  <c r="AE505" i="7" s="1"/>
  <c r="Z513" i="7"/>
  <c r="AE513" i="7" s="1"/>
  <c r="Z521" i="7"/>
  <c r="AE521" i="7" s="1"/>
  <c r="Z529" i="7"/>
  <c r="AE529" i="7" s="1"/>
  <c r="Z537" i="7"/>
  <c r="AE537" i="7" s="1"/>
  <c r="Z545" i="7"/>
  <c r="AE545" i="7" s="1"/>
  <c r="Z18" i="7"/>
  <c r="AE18" i="7" s="1"/>
  <c r="Z26" i="7"/>
  <c r="AE26" i="7" s="1"/>
  <c r="Z34" i="7"/>
  <c r="AE34" i="7" s="1"/>
  <c r="Z42" i="7"/>
  <c r="AE42" i="7" s="1"/>
  <c r="Z50" i="7"/>
  <c r="AE50" i="7" s="1"/>
  <c r="Z58" i="7"/>
  <c r="AE58" i="7" s="1"/>
  <c r="Z66" i="7"/>
  <c r="AE66" i="7" s="1"/>
  <c r="Z74" i="7"/>
  <c r="AE74" i="7" s="1"/>
  <c r="Z82" i="7"/>
  <c r="AE82" i="7" s="1"/>
  <c r="Z90" i="7"/>
  <c r="AE90" i="7" s="1"/>
  <c r="Z98" i="7"/>
  <c r="AE98" i="7" s="1"/>
  <c r="Z106" i="7"/>
  <c r="AE106" i="7" s="1"/>
  <c r="Z114" i="7"/>
  <c r="AE114" i="7" s="1"/>
  <c r="Z122" i="7"/>
  <c r="AE122" i="7" s="1"/>
  <c r="Z130" i="7"/>
  <c r="AE130" i="7" s="1"/>
  <c r="Z138" i="7"/>
  <c r="AE138" i="7" s="1"/>
  <c r="Z146" i="7"/>
  <c r="AE146" i="7" s="1"/>
  <c r="Z154" i="7"/>
  <c r="AE154" i="7" s="1"/>
  <c r="Z494" i="7"/>
  <c r="AE494" i="7" s="1"/>
  <c r="Z170" i="7"/>
  <c r="AE170" i="7" s="1"/>
  <c r="Z202" i="7"/>
  <c r="AE202" i="7" s="1"/>
  <c r="Z234" i="7"/>
  <c r="AE234" i="7" s="1"/>
  <c r="Z266" i="7"/>
  <c r="AE266" i="7" s="1"/>
  <c r="Z298" i="7"/>
  <c r="AE298" i="7" s="1"/>
  <c r="Z330" i="7"/>
  <c r="AE330" i="7" s="1"/>
  <c r="Z362" i="7"/>
  <c r="AE362" i="7" s="1"/>
  <c r="Z394" i="7"/>
  <c r="AE394" i="7" s="1"/>
  <c r="Z426" i="7"/>
  <c r="AE426" i="7" s="1"/>
  <c r="Z458" i="7"/>
  <c r="AE458" i="7" s="1"/>
  <c r="Z482" i="7"/>
  <c r="AE482" i="7" s="1"/>
  <c r="Z496" i="7"/>
  <c r="AE496" i="7" s="1"/>
  <c r="Z508" i="7"/>
  <c r="AE508" i="7" s="1"/>
  <c r="Z522" i="7"/>
  <c r="AE522" i="7" s="1"/>
  <c r="Z534" i="7"/>
  <c r="AE534" i="7" s="1"/>
  <c r="Z547" i="7"/>
  <c r="AE547" i="7" s="1"/>
  <c r="Z523" i="7"/>
  <c r="AE523" i="7" s="1"/>
  <c r="Z536" i="7"/>
  <c r="AE536" i="7" s="1"/>
  <c r="Z178" i="7"/>
  <c r="AE178" i="7" s="1"/>
  <c r="Z274" i="7"/>
  <c r="AE274" i="7" s="1"/>
  <c r="Z338" i="7"/>
  <c r="AE338" i="7" s="1"/>
  <c r="Z402" i="7"/>
  <c r="AE402" i="7" s="1"/>
  <c r="Z466" i="7"/>
  <c r="AE466" i="7" s="1"/>
  <c r="Z499" i="7"/>
  <c r="AE499" i="7" s="1"/>
  <c r="Z524" i="7"/>
  <c r="AE524" i="7" s="1"/>
  <c r="Z550" i="7"/>
  <c r="AE550" i="7" s="1"/>
  <c r="Z515" i="7"/>
  <c r="AE515" i="7" s="1"/>
  <c r="Z192" i="7"/>
  <c r="AE192" i="7" s="1"/>
  <c r="Z352" i="7"/>
  <c r="AE352" i="7" s="1"/>
  <c r="Z448" i="7"/>
  <c r="AE448" i="7" s="1"/>
  <c r="Z530" i="7"/>
  <c r="AE530" i="7" s="1"/>
  <c r="Z194" i="7"/>
  <c r="AE194" i="7" s="1"/>
  <c r="Z322" i="7"/>
  <c r="AE322" i="7" s="1"/>
  <c r="Z418" i="7"/>
  <c r="AE418" i="7" s="1"/>
  <c r="Z450" i="7"/>
  <c r="AE450" i="7" s="1"/>
  <c r="Z506" i="7"/>
  <c r="AE506" i="7" s="1"/>
  <c r="Z200" i="7"/>
  <c r="AE200" i="7" s="1"/>
  <c r="Z328" i="7"/>
  <c r="AE328" i="7" s="1"/>
  <c r="Z456" i="7"/>
  <c r="AE456" i="7" s="1"/>
  <c r="Z532" i="7"/>
  <c r="AE532" i="7" s="1"/>
  <c r="Z176" i="7"/>
  <c r="AE176" i="7" s="1"/>
  <c r="Z208" i="7"/>
  <c r="AE208" i="7" s="1"/>
  <c r="Z240" i="7"/>
  <c r="AE240" i="7" s="1"/>
  <c r="Z272" i="7"/>
  <c r="AE272" i="7" s="1"/>
  <c r="Z304" i="7"/>
  <c r="AE304" i="7" s="1"/>
  <c r="Z336" i="7"/>
  <c r="AE336" i="7" s="1"/>
  <c r="Z368" i="7"/>
  <c r="AE368" i="7" s="1"/>
  <c r="Z400" i="7"/>
  <c r="AE400" i="7" s="1"/>
  <c r="Z432" i="7"/>
  <c r="AE432" i="7" s="1"/>
  <c r="Z464" i="7"/>
  <c r="AE464" i="7" s="1"/>
  <c r="Z483" i="7"/>
  <c r="AE483" i="7" s="1"/>
  <c r="Z498" i="7"/>
  <c r="AE498" i="7" s="1"/>
  <c r="Z510" i="7"/>
  <c r="AE510" i="7" s="1"/>
  <c r="Z548" i="7"/>
  <c r="AE548" i="7" s="1"/>
  <c r="Z210" i="7"/>
  <c r="AE210" i="7" s="1"/>
  <c r="Z242" i="7"/>
  <c r="AE242" i="7" s="1"/>
  <c r="Z306" i="7"/>
  <c r="AE306" i="7" s="1"/>
  <c r="Z370" i="7"/>
  <c r="AE370" i="7" s="1"/>
  <c r="Z434" i="7"/>
  <c r="AE434" i="7" s="1"/>
  <c r="Z484" i="7"/>
  <c r="AE484" i="7" s="1"/>
  <c r="Z512" i="7"/>
  <c r="AE512" i="7" s="1"/>
  <c r="Z538" i="7"/>
  <c r="AE538" i="7" s="1"/>
  <c r="Z502" i="7"/>
  <c r="AE502" i="7" s="1"/>
  <c r="Z540" i="7"/>
  <c r="AE540" i="7" s="1"/>
  <c r="Z224" i="7"/>
  <c r="AE224" i="7" s="1"/>
  <c r="Z256" i="7"/>
  <c r="AE256" i="7" s="1"/>
  <c r="Z320" i="7"/>
  <c r="AE320" i="7" s="1"/>
  <c r="Z416" i="7"/>
  <c r="AE416" i="7" s="1"/>
  <c r="Z475" i="7"/>
  <c r="AE475" i="7" s="1"/>
  <c r="Z504" i="7"/>
  <c r="AE504" i="7" s="1"/>
  <c r="Z542" i="7"/>
  <c r="AE542" i="7" s="1"/>
  <c r="Z226" i="7"/>
  <c r="AE226" i="7" s="1"/>
  <c r="Z290" i="7"/>
  <c r="AE290" i="7" s="1"/>
  <c r="Z386" i="7"/>
  <c r="AE386" i="7" s="1"/>
  <c r="Z492" i="7"/>
  <c r="AE492" i="7" s="1"/>
  <c r="Z531" i="7"/>
  <c r="AE531" i="7" s="1"/>
  <c r="Z544" i="7"/>
  <c r="AE544" i="7" s="1"/>
  <c r="Z232" i="7"/>
  <c r="AE232" i="7" s="1"/>
  <c r="Z264" i="7"/>
  <c r="AE264" i="7" s="1"/>
  <c r="Z360" i="7"/>
  <c r="AE360" i="7" s="1"/>
  <c r="Z424" i="7"/>
  <c r="AE424" i="7" s="1"/>
  <c r="Z507" i="7"/>
  <c r="AE507" i="7" s="1"/>
  <c r="Z520" i="7"/>
  <c r="AE520" i="7" s="1"/>
  <c r="Z184" i="7"/>
  <c r="AE184" i="7" s="1"/>
  <c r="Z216" i="7"/>
  <c r="AE216" i="7" s="1"/>
  <c r="Z248" i="7"/>
  <c r="AE248" i="7" s="1"/>
  <c r="Z280" i="7"/>
  <c r="AE280" i="7" s="1"/>
  <c r="Z312" i="7"/>
  <c r="AE312" i="7" s="1"/>
  <c r="Z344" i="7"/>
  <c r="AE344" i="7" s="1"/>
  <c r="Z376" i="7"/>
  <c r="AE376" i="7" s="1"/>
  <c r="Z408" i="7"/>
  <c r="AE408" i="7" s="1"/>
  <c r="Z440" i="7"/>
  <c r="AE440" i="7" s="1"/>
  <c r="Z472" i="7"/>
  <c r="AE472" i="7" s="1"/>
  <c r="Z488" i="7"/>
  <c r="AE488" i="7" s="1"/>
  <c r="Z500" i="7"/>
  <c r="AE500" i="7" s="1"/>
  <c r="Z514" i="7"/>
  <c r="AE514" i="7" s="1"/>
  <c r="Z526" i="7"/>
  <c r="AE526" i="7" s="1"/>
  <c r="Z539" i="7"/>
  <c r="AE539" i="7" s="1"/>
  <c r="Z186" i="7"/>
  <c r="AE186" i="7" s="1"/>
  <c r="Z218" i="7"/>
  <c r="AE218" i="7" s="1"/>
  <c r="Z250" i="7"/>
  <c r="AE250" i="7" s="1"/>
  <c r="Z282" i="7"/>
  <c r="AE282" i="7" s="1"/>
  <c r="Z314" i="7"/>
  <c r="AE314" i="7" s="1"/>
  <c r="Z346" i="7"/>
  <c r="AE346" i="7" s="1"/>
  <c r="Z378" i="7"/>
  <c r="AE378" i="7" s="1"/>
  <c r="Z410" i="7"/>
  <c r="AE410" i="7" s="1"/>
  <c r="Z442" i="7"/>
  <c r="AE442" i="7" s="1"/>
  <c r="Z474" i="7"/>
  <c r="AE474" i="7" s="1"/>
  <c r="Z490" i="7"/>
  <c r="AE490" i="7" s="1"/>
  <c r="Z528" i="7"/>
  <c r="AE528" i="7" s="1"/>
  <c r="Z160" i="7"/>
  <c r="AE160" i="7" s="1"/>
  <c r="Z288" i="7"/>
  <c r="AE288" i="7" s="1"/>
  <c r="Z384" i="7"/>
  <c r="AE384" i="7" s="1"/>
  <c r="Z491" i="7"/>
  <c r="AE491" i="7" s="1"/>
  <c r="Z516" i="7"/>
  <c r="AE516" i="7" s="1"/>
  <c r="Z162" i="7"/>
  <c r="AE162" i="7" s="1"/>
  <c r="Z258" i="7"/>
  <c r="AE258" i="7" s="1"/>
  <c r="Z354" i="7"/>
  <c r="AE354" i="7" s="1"/>
  <c r="Z476" i="7"/>
  <c r="AE476" i="7" s="1"/>
  <c r="Z518" i="7"/>
  <c r="AE518" i="7" s="1"/>
  <c r="Z168" i="7"/>
  <c r="AE168" i="7" s="1"/>
  <c r="Z296" i="7"/>
  <c r="AE296" i="7" s="1"/>
  <c r="Z392" i="7"/>
  <c r="AE392" i="7" s="1"/>
  <c r="Z480" i="7"/>
  <c r="AE480" i="7" s="1"/>
  <c r="Z546" i="7"/>
  <c r="AE546" i="7" s="1"/>
  <c r="AA131" i="7"/>
  <c r="AA146" i="7"/>
  <c r="AA401" i="7"/>
  <c r="AA19" i="7"/>
  <c r="AA18" i="7"/>
  <c r="AA465" i="7"/>
  <c r="AA82" i="7"/>
  <c r="AA338" i="7"/>
  <c r="AA273" i="7"/>
  <c r="AA529" i="7"/>
  <c r="AA209" i="7"/>
  <c r="AA546" i="7"/>
  <c r="AA337" i="7"/>
  <c r="Z10" i="7"/>
  <c r="AE10" i="7" s="1"/>
  <c r="AA218" i="7"/>
  <c r="AA236" i="7"/>
  <c r="AA496" i="7"/>
  <c r="AA49" i="7"/>
  <c r="AA319" i="7"/>
  <c r="AA238" i="7"/>
  <c r="AA357" i="7"/>
  <c r="AA75" i="7"/>
  <c r="AA257" i="7"/>
  <c r="AA480" i="7"/>
  <c r="AA224" i="7"/>
  <c r="AA514" i="7"/>
  <c r="AA27" i="7"/>
  <c r="AA361" i="7"/>
  <c r="AA170" i="7"/>
  <c r="AA322" i="7"/>
  <c r="AA386" i="7"/>
  <c r="AA545" i="7"/>
  <c r="AA353" i="7"/>
  <c r="AA289" i="7"/>
  <c r="AA162" i="7"/>
  <c r="AA34" i="7"/>
  <c r="AA83" i="7"/>
  <c r="AA384" i="7"/>
  <c r="AA320" i="7"/>
  <c r="AA192" i="7"/>
  <c r="AA129" i="7"/>
  <c r="AA65" i="7"/>
  <c r="AA418" i="7"/>
  <c r="AA202" i="7"/>
  <c r="AA527" i="7"/>
  <c r="AA463" i="7"/>
  <c r="AA399" i="7"/>
  <c r="AA335" i="7"/>
  <c r="AA271" i="7"/>
  <c r="AA207" i="7"/>
  <c r="AA144" i="7"/>
  <c r="AA80" i="7"/>
  <c r="AA366" i="7"/>
  <c r="AA254" i="7"/>
  <c r="AA190" i="7"/>
  <c r="AA127" i="7"/>
  <c r="AA63" i="7"/>
  <c r="AA526" i="7"/>
  <c r="AA326" i="7"/>
  <c r="AA501" i="7"/>
  <c r="AA437" i="7"/>
  <c r="AA373" i="7"/>
  <c r="AA309" i="7"/>
  <c r="AA245" i="7"/>
  <c r="AA181" i="7"/>
  <c r="AA118" i="7"/>
  <c r="AA54" i="7"/>
  <c r="AA534" i="7"/>
  <c r="AA358" i="7"/>
  <c r="AA508" i="7"/>
  <c r="AA444" i="7"/>
  <c r="AA380" i="7"/>
  <c r="AA316" i="7"/>
  <c r="AA252" i="7"/>
  <c r="AA188" i="7"/>
  <c r="AA125" i="7"/>
  <c r="AA61" i="7"/>
  <c r="AA306" i="7"/>
  <c r="AA499" i="7"/>
  <c r="AA435" i="7"/>
  <c r="AA371" i="7"/>
  <c r="AA307" i="7"/>
  <c r="AA243" i="7"/>
  <c r="AA179" i="7"/>
  <c r="AA116" i="7"/>
  <c r="AA52" i="7"/>
  <c r="AA432" i="7"/>
  <c r="AA378" i="7"/>
  <c r="AA255" i="7"/>
  <c r="AA174" i="7"/>
  <c r="AA421" i="7"/>
  <c r="AA258" i="7"/>
  <c r="AA193" i="7"/>
  <c r="AA544" i="7"/>
  <c r="AA161" i="7"/>
  <c r="AA410" i="7"/>
  <c r="AA489" i="7"/>
  <c r="AA297" i="7"/>
  <c r="AA106" i="7"/>
  <c r="AA498" i="7"/>
  <c r="AA163" i="7"/>
  <c r="AA481" i="7"/>
  <c r="AA417" i="7"/>
  <c r="AA225" i="7"/>
  <c r="AA98" i="7"/>
  <c r="AA266" i="7"/>
  <c r="AA512" i="7"/>
  <c r="AA448" i="7"/>
  <c r="AA256" i="7"/>
  <c r="AA490" i="7"/>
  <c r="AA362" i="7"/>
  <c r="AA147" i="7"/>
  <c r="AA537" i="7"/>
  <c r="AA473" i="7"/>
  <c r="AA409" i="7"/>
  <c r="AA345" i="7"/>
  <c r="AA281" i="7"/>
  <c r="AA217" i="7"/>
  <c r="AA154" i="7"/>
  <c r="AA90" i="7"/>
  <c r="AA26" i="7"/>
  <c r="AA242" i="7"/>
  <c r="AA67" i="7"/>
  <c r="AA504" i="7"/>
  <c r="AA440" i="7"/>
  <c r="AA376" i="7"/>
  <c r="AA312" i="7"/>
  <c r="AA248" i="7"/>
  <c r="AA184" i="7"/>
  <c r="AA121" i="7"/>
  <c r="AA57" i="7"/>
  <c r="AA402" i="7"/>
  <c r="AA178" i="7"/>
  <c r="AA519" i="7"/>
  <c r="AA455" i="7"/>
  <c r="AA391" i="7"/>
  <c r="AA327" i="7"/>
  <c r="AA263" i="7"/>
  <c r="AA199" i="7"/>
  <c r="AA136" i="7"/>
  <c r="AA72" i="7"/>
  <c r="AA314" i="7"/>
  <c r="AA342" i="7"/>
  <c r="AA246" i="7"/>
  <c r="AA182" i="7"/>
  <c r="AA119" i="7"/>
  <c r="AA55" i="7"/>
  <c r="AA502" i="7"/>
  <c r="AA278" i="7"/>
  <c r="AA493" i="7"/>
  <c r="AA429" i="7"/>
  <c r="AA365" i="7"/>
  <c r="AA301" i="7"/>
  <c r="AA237" i="7"/>
  <c r="AA173" i="7"/>
  <c r="AA110" i="7"/>
  <c r="AA46" i="7"/>
  <c r="AA510" i="7"/>
  <c r="AA334" i="7"/>
  <c r="AA500" i="7"/>
  <c r="AA436" i="7"/>
  <c r="AA372" i="7"/>
  <c r="AA308" i="7"/>
  <c r="AA244" i="7"/>
  <c r="AA180" i="7"/>
  <c r="AA117" i="7"/>
  <c r="AA53" i="7"/>
  <c r="AA406" i="7"/>
  <c r="AA491" i="7"/>
  <c r="AA427" i="7"/>
  <c r="AA363" i="7"/>
  <c r="AA299" i="7"/>
  <c r="AA235" i="7"/>
  <c r="AA172" i="7"/>
  <c r="AA108" i="7"/>
  <c r="AA44" i="7"/>
  <c r="AA15" i="7"/>
  <c r="AA109" i="7"/>
  <c r="AA45" i="7"/>
  <c r="AA547" i="7"/>
  <c r="AA483" i="7"/>
  <c r="AA419" i="7"/>
  <c r="AA355" i="7"/>
  <c r="AA291" i="7"/>
  <c r="AA227" i="7"/>
  <c r="AA164" i="7"/>
  <c r="AA100" i="7"/>
  <c r="AA36" i="7"/>
  <c r="AA240" i="7"/>
  <c r="AA511" i="7"/>
  <c r="AA64" i="7"/>
  <c r="AA478" i="7"/>
  <c r="AA166" i="7"/>
  <c r="AA102" i="7"/>
  <c r="AA38" i="7"/>
  <c r="AA494" i="7"/>
  <c r="AA286" i="7"/>
  <c r="AA492" i="7"/>
  <c r="AA428" i="7"/>
  <c r="AA364" i="7"/>
  <c r="AA300" i="7"/>
  <c r="AA530" i="7"/>
  <c r="AA482" i="7"/>
  <c r="AA282" i="7"/>
  <c r="AA107" i="7"/>
  <c r="AA521" i="7"/>
  <c r="AA457" i="7"/>
  <c r="AA393" i="7"/>
  <c r="AA329" i="7"/>
  <c r="AA265" i="7"/>
  <c r="AA201" i="7"/>
  <c r="AA138" i="7"/>
  <c r="AA74" i="7"/>
  <c r="AA458" i="7"/>
  <c r="AA194" i="7"/>
  <c r="AA488" i="7"/>
  <c r="AA424" i="7"/>
  <c r="AA360" i="7"/>
  <c r="AA296" i="7"/>
  <c r="AA232" i="7"/>
  <c r="AA169" i="7"/>
  <c r="AA105" i="7"/>
  <c r="AA41" i="7"/>
  <c r="AA354" i="7"/>
  <c r="AA115" i="7"/>
  <c r="AA503" i="7"/>
  <c r="AA439" i="7"/>
  <c r="AA375" i="7"/>
  <c r="AA311" i="7"/>
  <c r="AA247" i="7"/>
  <c r="AA183" i="7"/>
  <c r="AA120" i="7"/>
  <c r="AA56" i="7"/>
  <c r="AA518" i="7"/>
  <c r="AA310" i="7"/>
  <c r="AA230" i="7"/>
  <c r="AA167" i="7"/>
  <c r="AA103" i="7"/>
  <c r="AA39" i="7"/>
  <c r="AA462" i="7"/>
  <c r="AA541" i="7"/>
  <c r="AA477" i="7"/>
  <c r="AA413" i="7"/>
  <c r="AA349" i="7"/>
  <c r="AA285" i="7"/>
  <c r="AA221" i="7"/>
  <c r="AA158" i="7"/>
  <c r="AA94" i="7"/>
  <c r="AA30" i="7"/>
  <c r="AA470" i="7"/>
  <c r="AA548" i="7"/>
  <c r="AA484" i="7"/>
  <c r="AA420" i="7"/>
  <c r="AA356" i="7"/>
  <c r="AA292" i="7"/>
  <c r="AA228" i="7"/>
  <c r="AA165" i="7"/>
  <c r="AA101" i="7"/>
  <c r="AA37" i="7"/>
  <c r="AA539" i="7"/>
  <c r="AA475" i="7"/>
  <c r="AA411" i="7"/>
  <c r="AA347" i="7"/>
  <c r="AA283" i="7"/>
  <c r="AA219" i="7"/>
  <c r="AA156" i="7"/>
  <c r="AA92" i="7"/>
  <c r="AA28" i="7"/>
  <c r="AA304" i="7"/>
  <c r="AA447" i="7"/>
  <c r="AA318" i="7"/>
  <c r="AA485" i="7"/>
  <c r="AA538" i="7"/>
  <c r="AA321" i="7"/>
  <c r="AA394" i="7"/>
  <c r="AA288" i="7"/>
  <c r="AA330" i="7"/>
  <c r="AA367" i="7"/>
  <c r="AA175" i="7"/>
  <c r="AA486" i="7"/>
  <c r="AA222" i="7"/>
  <c r="AA31" i="7"/>
  <c r="AA533" i="7"/>
  <c r="AA469" i="7"/>
  <c r="AA405" i="7"/>
  <c r="AA341" i="7"/>
  <c r="AA277" i="7"/>
  <c r="AA213" i="7"/>
  <c r="AA150" i="7"/>
  <c r="AA86" i="7"/>
  <c r="AA22" i="7"/>
  <c r="AA446" i="7"/>
  <c r="AA540" i="7"/>
  <c r="AA476" i="7"/>
  <c r="AA412" i="7"/>
  <c r="AA348" i="7"/>
  <c r="AA284" i="7"/>
  <c r="AA220" i="7"/>
  <c r="AA157" i="7"/>
  <c r="AA93" i="7"/>
  <c r="AA29" i="7"/>
  <c r="AA531" i="7"/>
  <c r="AA467" i="7"/>
  <c r="AA403" i="7"/>
  <c r="AA339" i="7"/>
  <c r="AA275" i="7"/>
  <c r="AA211" i="7"/>
  <c r="AA148" i="7"/>
  <c r="AA84" i="7"/>
  <c r="AA20" i="7"/>
  <c r="AA51" i="7"/>
  <c r="AA176" i="7"/>
  <c r="AA383" i="7"/>
  <c r="AA542" i="7"/>
  <c r="AA549" i="7"/>
  <c r="AA450" i="7"/>
  <c r="AA449" i="7"/>
  <c r="AA130" i="7"/>
  <c r="AA352" i="7"/>
  <c r="AA91" i="7"/>
  <c r="AA431" i="7"/>
  <c r="AA239" i="7"/>
  <c r="AA48" i="7"/>
  <c r="AA302" i="7"/>
  <c r="AA95" i="7"/>
  <c r="AA522" i="7"/>
  <c r="AA234" i="7"/>
  <c r="AA59" i="7"/>
  <c r="AA505" i="7"/>
  <c r="AA441" i="7"/>
  <c r="AA377" i="7"/>
  <c r="AA313" i="7"/>
  <c r="AA249" i="7"/>
  <c r="AA185" i="7"/>
  <c r="AA122" i="7"/>
  <c r="AA58" i="7"/>
  <c r="AA370" i="7"/>
  <c r="AA139" i="7"/>
  <c r="AA536" i="7"/>
  <c r="AA472" i="7"/>
  <c r="AA408" i="7"/>
  <c r="AA344" i="7"/>
  <c r="AA280" i="7"/>
  <c r="AA216" i="7"/>
  <c r="AA153" i="7"/>
  <c r="AA89" i="7"/>
  <c r="AA25" i="7"/>
  <c r="AA274" i="7"/>
  <c r="AA35" i="7"/>
  <c r="AA487" i="7"/>
  <c r="AA423" i="7"/>
  <c r="AA359" i="7"/>
  <c r="AA295" i="7"/>
  <c r="AA231" i="7"/>
  <c r="AA168" i="7"/>
  <c r="AA104" i="7"/>
  <c r="AA40" i="7"/>
  <c r="AA454" i="7"/>
  <c r="AA294" i="7"/>
  <c r="AA214" i="7"/>
  <c r="AA151" i="7"/>
  <c r="AA87" i="7"/>
  <c r="AA23" i="7"/>
  <c r="AA398" i="7"/>
  <c r="AA525" i="7"/>
  <c r="AA461" i="7"/>
  <c r="AA397" i="7"/>
  <c r="AA333" i="7"/>
  <c r="AA269" i="7"/>
  <c r="AA205" i="7"/>
  <c r="AA142" i="7"/>
  <c r="AA78" i="7"/>
  <c r="AA430" i="7"/>
  <c r="AA532" i="7"/>
  <c r="AA468" i="7"/>
  <c r="AA404" i="7"/>
  <c r="AA340" i="7"/>
  <c r="AA276" i="7"/>
  <c r="AA212" i="7"/>
  <c r="AA149" i="7"/>
  <c r="AA85" i="7"/>
  <c r="AA21" i="7"/>
  <c r="AA523" i="7"/>
  <c r="AA459" i="7"/>
  <c r="AA395" i="7"/>
  <c r="AA331" i="7"/>
  <c r="AA267" i="7"/>
  <c r="AA203" i="7"/>
  <c r="AA140" i="7"/>
  <c r="AA76" i="7"/>
  <c r="AA113" i="7"/>
  <c r="AA191" i="7"/>
  <c r="AA111" i="7"/>
  <c r="AA293" i="7"/>
  <c r="AA513" i="7"/>
  <c r="AA171" i="7"/>
  <c r="AA97" i="7"/>
  <c r="AA495" i="7"/>
  <c r="AA303" i="7"/>
  <c r="AA112" i="7"/>
  <c r="AA159" i="7"/>
  <c r="AA438" i="7"/>
  <c r="AA474" i="7"/>
  <c r="AA506" i="7"/>
  <c r="AA434" i="7"/>
  <c r="AA210" i="7"/>
  <c r="AA43" i="7"/>
  <c r="AA497" i="7"/>
  <c r="AA433" i="7"/>
  <c r="AA369" i="7"/>
  <c r="AA305" i="7"/>
  <c r="AA241" i="7"/>
  <c r="AA177" i="7"/>
  <c r="AA114" i="7"/>
  <c r="AA50" i="7"/>
  <c r="AA346" i="7"/>
  <c r="AA123" i="7"/>
  <c r="AA528" i="7"/>
  <c r="AA464" i="7"/>
  <c r="AA400" i="7"/>
  <c r="AA336" i="7"/>
  <c r="AA272" i="7"/>
  <c r="AA208" i="7"/>
  <c r="AA145" i="7"/>
  <c r="AA81" i="7"/>
  <c r="AA17" i="7"/>
  <c r="AA250" i="7"/>
  <c r="AA543" i="7"/>
  <c r="AA479" i="7"/>
  <c r="AA415" i="7"/>
  <c r="AA351" i="7"/>
  <c r="AA287" i="7"/>
  <c r="AA223" i="7"/>
  <c r="AA160" i="7"/>
  <c r="AA96" i="7"/>
  <c r="AA32" i="7"/>
  <c r="AA422" i="7"/>
  <c r="AA270" i="7"/>
  <c r="AA206" i="7"/>
  <c r="AA143" i="7"/>
  <c r="AA79" i="7"/>
  <c r="AA16" i="7"/>
  <c r="AA374" i="7"/>
  <c r="AA517" i="7"/>
  <c r="AA453" i="7"/>
  <c r="AA389" i="7"/>
  <c r="AA325" i="7"/>
  <c r="AA261" i="7"/>
  <c r="AA197" i="7"/>
  <c r="AA134" i="7"/>
  <c r="AA70" i="7"/>
  <c r="AA426" i="7"/>
  <c r="AA414" i="7"/>
  <c r="AA524" i="7"/>
  <c r="AA460" i="7"/>
  <c r="AA396" i="7"/>
  <c r="AA332" i="7"/>
  <c r="AA268" i="7"/>
  <c r="AA204" i="7"/>
  <c r="AA141" i="7"/>
  <c r="AA77" i="7"/>
  <c r="AA515" i="7"/>
  <c r="AA451" i="7"/>
  <c r="AA387" i="7"/>
  <c r="AA323" i="7"/>
  <c r="AA259" i="7"/>
  <c r="AA195" i="7"/>
  <c r="AA132" i="7"/>
  <c r="AA68" i="7"/>
  <c r="AA550" i="7"/>
  <c r="AA368" i="7"/>
  <c r="AA155" i="7"/>
  <c r="AA128" i="7"/>
  <c r="AA47" i="7"/>
  <c r="AA229" i="7"/>
  <c r="AA385" i="7"/>
  <c r="AA66" i="7"/>
  <c r="AA416" i="7"/>
  <c r="AA33" i="7"/>
  <c r="AA186" i="7"/>
  <c r="AA425" i="7"/>
  <c r="AA233" i="7"/>
  <c r="AA42" i="7"/>
  <c r="AA99" i="7"/>
  <c r="AA520" i="7"/>
  <c r="AA456" i="7"/>
  <c r="AA392" i="7"/>
  <c r="AA328" i="7"/>
  <c r="AA264" i="7"/>
  <c r="AA200" i="7"/>
  <c r="AA137" i="7"/>
  <c r="AA73" i="7"/>
  <c r="AA442" i="7"/>
  <c r="AA226" i="7"/>
  <c r="AA535" i="7"/>
  <c r="AA471" i="7"/>
  <c r="AA407" i="7"/>
  <c r="AA343" i="7"/>
  <c r="AA279" i="7"/>
  <c r="AA215" i="7"/>
  <c r="AA152" i="7"/>
  <c r="AA88" i="7"/>
  <c r="AA24" i="7"/>
  <c r="AA390" i="7"/>
  <c r="AA262" i="7"/>
  <c r="AA198" i="7"/>
  <c r="AA135" i="7"/>
  <c r="AA71" i="7"/>
  <c r="AA290" i="7"/>
  <c r="AA350" i="7"/>
  <c r="AA509" i="7"/>
  <c r="AA445" i="7"/>
  <c r="AA381" i="7"/>
  <c r="AA317" i="7"/>
  <c r="AA253" i="7"/>
  <c r="AA189" i="7"/>
  <c r="AA126" i="7"/>
  <c r="AA62" i="7"/>
  <c r="AA298" i="7"/>
  <c r="AA382" i="7"/>
  <c r="AA516" i="7"/>
  <c r="AA452" i="7"/>
  <c r="AA388" i="7"/>
  <c r="AA324" i="7"/>
  <c r="AA260" i="7"/>
  <c r="AA196" i="7"/>
  <c r="AA133" i="7"/>
  <c r="AA69" i="7"/>
  <c r="AA466" i="7"/>
  <c r="AA507" i="7"/>
  <c r="AA443" i="7"/>
  <c r="AA379" i="7"/>
  <c r="AA315" i="7"/>
  <c r="AA251" i="7"/>
  <c r="AA187" i="7"/>
  <c r="AA124" i="7"/>
  <c r="AA60" i="7"/>
  <c r="AA10" i="7"/>
  <c r="U498" i="7"/>
  <c r="V498" i="7" s="1"/>
  <c r="U162" i="7"/>
  <c r="V162" i="7" s="1"/>
  <c r="U33" i="7"/>
  <c r="V33" i="7" s="1"/>
  <c r="U82" i="7"/>
  <c r="V82" i="7" s="1"/>
  <c r="U506" i="7"/>
  <c r="V506" i="7" s="1"/>
  <c r="U210" i="7"/>
  <c r="V210" i="7" s="1"/>
  <c r="U497" i="7"/>
  <c r="V497" i="7" s="1"/>
  <c r="U369" i="7"/>
  <c r="V369" i="7" s="1"/>
  <c r="U241" i="7"/>
  <c r="V241" i="7" s="1"/>
  <c r="U113" i="7"/>
  <c r="V113" i="7" s="1"/>
  <c r="U346" i="7"/>
  <c r="V346" i="7" s="1"/>
  <c r="U514" i="7"/>
  <c r="V514" i="7" s="1"/>
  <c r="U410" i="7"/>
  <c r="V410" i="7" s="1"/>
  <c r="U186" i="7"/>
  <c r="V186" i="7" s="1"/>
  <c r="U26" i="7"/>
  <c r="V26" i="7" s="1"/>
  <c r="U489" i="7"/>
  <c r="V489" i="7" s="1"/>
  <c r="U425" i="7"/>
  <c r="V425" i="7" s="1"/>
  <c r="U361" i="7"/>
  <c r="V361" i="7" s="1"/>
  <c r="U297" i="7"/>
  <c r="V297" i="7" s="1"/>
  <c r="U233" i="7"/>
  <c r="V233" i="7" s="1"/>
  <c r="U169" i="7"/>
  <c r="V169" i="7" s="1"/>
  <c r="U105" i="7"/>
  <c r="V105" i="7" s="1"/>
  <c r="U41" i="7"/>
  <c r="V41" i="7" s="1"/>
  <c r="U322" i="7"/>
  <c r="V322" i="7" s="1"/>
  <c r="U98" i="7"/>
  <c r="V98" i="7" s="1"/>
  <c r="U520" i="7"/>
  <c r="V520" i="7" s="1"/>
  <c r="U456" i="7"/>
  <c r="V456" i="7" s="1"/>
  <c r="U392" i="7"/>
  <c r="V392" i="7" s="1"/>
  <c r="U328" i="7"/>
  <c r="V328" i="7" s="1"/>
  <c r="U264" i="7"/>
  <c r="V264" i="7" s="1"/>
  <c r="U200" i="7"/>
  <c r="V200" i="7" s="1"/>
  <c r="U136" i="7"/>
  <c r="V136" i="7" s="1"/>
  <c r="U72" i="7"/>
  <c r="V72" i="7" s="1"/>
  <c r="U442" i="7"/>
  <c r="V442" i="7" s="1"/>
  <c r="U226" i="7"/>
  <c r="V226" i="7" s="1"/>
  <c r="U535" i="7"/>
  <c r="V535" i="7" s="1"/>
  <c r="U471" i="7"/>
  <c r="V471" i="7" s="1"/>
  <c r="U407" i="7"/>
  <c r="V407" i="7" s="1"/>
  <c r="U343" i="7"/>
  <c r="V343" i="7" s="1"/>
  <c r="U279" i="7"/>
  <c r="V279" i="7" s="1"/>
  <c r="U215" i="7"/>
  <c r="V215" i="7" s="1"/>
  <c r="U151" i="7"/>
  <c r="V151" i="7" s="1"/>
  <c r="U87" i="7"/>
  <c r="V87" i="7" s="1"/>
  <c r="U23" i="7"/>
  <c r="V23" i="7" s="1"/>
  <c r="U390" i="7"/>
  <c r="V390" i="7" s="1"/>
  <c r="U262" i="7"/>
  <c r="V262" i="7" s="1"/>
  <c r="U198" i="7"/>
  <c r="V198" i="7" s="1"/>
  <c r="U134" i="7"/>
  <c r="V134" i="7" s="1"/>
  <c r="U70" i="7"/>
  <c r="V70" i="7" s="1"/>
  <c r="U290" i="7"/>
  <c r="V290" i="7" s="1"/>
  <c r="U350" i="7"/>
  <c r="V350" i="7" s="1"/>
  <c r="U509" i="7"/>
  <c r="V509" i="7" s="1"/>
  <c r="U445" i="7"/>
  <c r="V445" i="7" s="1"/>
  <c r="U381" i="7"/>
  <c r="V381" i="7" s="1"/>
  <c r="U317" i="7"/>
  <c r="V317" i="7" s="1"/>
  <c r="U253" i="7"/>
  <c r="V253" i="7" s="1"/>
  <c r="U189" i="7"/>
  <c r="V189" i="7" s="1"/>
  <c r="U125" i="7"/>
  <c r="V125" i="7" s="1"/>
  <c r="U61" i="7"/>
  <c r="V61" i="7" s="1"/>
  <c r="U298" i="7"/>
  <c r="V298" i="7" s="1"/>
  <c r="U382" i="7"/>
  <c r="V382" i="7" s="1"/>
  <c r="U516" i="7"/>
  <c r="V516" i="7" s="1"/>
  <c r="U452" i="7"/>
  <c r="V452" i="7" s="1"/>
  <c r="U388" i="7"/>
  <c r="V388" i="7" s="1"/>
  <c r="U324" i="7"/>
  <c r="V324" i="7" s="1"/>
  <c r="U260" i="7"/>
  <c r="V260" i="7" s="1"/>
  <c r="U196" i="7"/>
  <c r="V196" i="7" s="1"/>
  <c r="U132" i="7"/>
  <c r="V132" i="7" s="1"/>
  <c r="U68" i="7"/>
  <c r="V68" i="7" s="1"/>
  <c r="U466" i="7"/>
  <c r="V466" i="7" s="1"/>
  <c r="U507" i="7"/>
  <c r="V507" i="7" s="1"/>
  <c r="U443" i="7"/>
  <c r="V443" i="7" s="1"/>
  <c r="U379" i="7"/>
  <c r="V379" i="7" s="1"/>
  <c r="U315" i="7"/>
  <c r="V315" i="7" s="1"/>
  <c r="U251" i="7"/>
  <c r="V251" i="7" s="1"/>
  <c r="U187" i="7"/>
  <c r="V187" i="7" s="1"/>
  <c r="U123" i="7"/>
  <c r="V123" i="7" s="1"/>
  <c r="U59" i="7"/>
  <c r="V59" i="7" s="1"/>
  <c r="U481" i="7"/>
  <c r="V481" i="7" s="1"/>
  <c r="U161" i="7"/>
  <c r="V161" i="7" s="1"/>
  <c r="U512" i="7"/>
  <c r="V512" i="7" s="1"/>
  <c r="U384" i="7"/>
  <c r="V384" i="7" s="1"/>
  <c r="U128" i="7"/>
  <c r="V128" i="7" s="1"/>
  <c r="U64" i="7"/>
  <c r="V64" i="7" s="1"/>
  <c r="U418" i="7"/>
  <c r="V418" i="7" s="1"/>
  <c r="U202" i="7"/>
  <c r="V202" i="7" s="1"/>
  <c r="U527" i="7"/>
  <c r="V527" i="7" s="1"/>
  <c r="U463" i="7"/>
  <c r="V463" i="7" s="1"/>
  <c r="U399" i="7"/>
  <c r="V399" i="7" s="1"/>
  <c r="U335" i="7"/>
  <c r="V335" i="7" s="1"/>
  <c r="U271" i="7"/>
  <c r="V271" i="7" s="1"/>
  <c r="U207" i="7"/>
  <c r="V207" i="7" s="1"/>
  <c r="U143" i="7"/>
  <c r="V143" i="7" s="1"/>
  <c r="U79" i="7"/>
  <c r="V79" i="7" s="1"/>
  <c r="U15" i="7"/>
  <c r="V15" i="7" s="1"/>
  <c r="U366" i="7"/>
  <c r="V366" i="7" s="1"/>
  <c r="U254" i="7"/>
  <c r="V254" i="7" s="1"/>
  <c r="U190" i="7"/>
  <c r="V190" i="7" s="1"/>
  <c r="U126" i="7"/>
  <c r="V126" i="7" s="1"/>
  <c r="U62" i="7"/>
  <c r="V62" i="7" s="1"/>
  <c r="U526" i="7"/>
  <c r="V526" i="7" s="1"/>
  <c r="U326" i="7"/>
  <c r="V326" i="7" s="1"/>
  <c r="U501" i="7"/>
  <c r="V501" i="7" s="1"/>
  <c r="U437" i="7"/>
  <c r="V437" i="7" s="1"/>
  <c r="U373" i="7"/>
  <c r="V373" i="7" s="1"/>
  <c r="U309" i="7"/>
  <c r="V309" i="7" s="1"/>
  <c r="U245" i="7"/>
  <c r="V245" i="7" s="1"/>
  <c r="U181" i="7"/>
  <c r="V181" i="7" s="1"/>
  <c r="U117" i="7"/>
  <c r="V117" i="7" s="1"/>
  <c r="U53" i="7"/>
  <c r="V53" i="7" s="1"/>
  <c r="U534" i="7"/>
  <c r="V534" i="7" s="1"/>
  <c r="U358" i="7"/>
  <c r="V358" i="7" s="1"/>
  <c r="U508" i="7"/>
  <c r="V508" i="7" s="1"/>
  <c r="U444" i="7"/>
  <c r="V444" i="7" s="1"/>
  <c r="U380" i="7"/>
  <c r="V380" i="7" s="1"/>
  <c r="U316" i="7"/>
  <c r="V316" i="7" s="1"/>
  <c r="U252" i="7"/>
  <c r="V252" i="7" s="1"/>
  <c r="U188" i="7"/>
  <c r="V188" i="7" s="1"/>
  <c r="U124" i="7"/>
  <c r="V124" i="7" s="1"/>
  <c r="U60" i="7"/>
  <c r="V60" i="7" s="1"/>
  <c r="U306" i="7"/>
  <c r="V306" i="7" s="1"/>
  <c r="U499" i="7"/>
  <c r="V499" i="7" s="1"/>
  <c r="U435" i="7"/>
  <c r="V435" i="7" s="1"/>
  <c r="U371" i="7"/>
  <c r="V371" i="7" s="1"/>
  <c r="U307" i="7"/>
  <c r="V307" i="7" s="1"/>
  <c r="U243" i="7"/>
  <c r="V243" i="7" s="1"/>
  <c r="U179" i="7"/>
  <c r="V179" i="7" s="1"/>
  <c r="U115" i="7"/>
  <c r="V115" i="7" s="1"/>
  <c r="U51" i="7"/>
  <c r="V51" i="7" s="1"/>
  <c r="U192" i="7"/>
  <c r="V192" i="7" s="1"/>
  <c r="U490" i="7"/>
  <c r="V490" i="7" s="1"/>
  <c r="U146" i="7"/>
  <c r="V146" i="7" s="1"/>
  <c r="U473" i="7"/>
  <c r="V473" i="7" s="1"/>
  <c r="U409" i="7"/>
  <c r="V409" i="7" s="1"/>
  <c r="U345" i="7"/>
  <c r="V345" i="7" s="1"/>
  <c r="U281" i="7"/>
  <c r="V281" i="7" s="1"/>
  <c r="U217" i="7"/>
  <c r="V217" i="7" s="1"/>
  <c r="U153" i="7"/>
  <c r="V153" i="7" s="1"/>
  <c r="U89" i="7"/>
  <c r="V89" i="7" s="1"/>
  <c r="U25" i="7"/>
  <c r="V25" i="7" s="1"/>
  <c r="U242" i="7"/>
  <c r="V242" i="7" s="1"/>
  <c r="U66" i="7"/>
  <c r="V66" i="7" s="1"/>
  <c r="U504" i="7"/>
  <c r="V504" i="7" s="1"/>
  <c r="U440" i="7"/>
  <c r="V440" i="7" s="1"/>
  <c r="U376" i="7"/>
  <c r="V376" i="7" s="1"/>
  <c r="U312" i="7"/>
  <c r="V312" i="7" s="1"/>
  <c r="U248" i="7"/>
  <c r="V248" i="7" s="1"/>
  <c r="U184" i="7"/>
  <c r="V184" i="7" s="1"/>
  <c r="U120" i="7"/>
  <c r="V120" i="7" s="1"/>
  <c r="U56" i="7"/>
  <c r="V56" i="7" s="1"/>
  <c r="U402" i="7"/>
  <c r="V402" i="7" s="1"/>
  <c r="U178" i="7"/>
  <c r="V178" i="7" s="1"/>
  <c r="U519" i="7"/>
  <c r="V519" i="7" s="1"/>
  <c r="U455" i="7"/>
  <c r="V455" i="7" s="1"/>
  <c r="U391" i="7"/>
  <c r="V391" i="7" s="1"/>
  <c r="U327" i="7"/>
  <c r="V327" i="7" s="1"/>
  <c r="U263" i="7"/>
  <c r="V263" i="7" s="1"/>
  <c r="U199" i="7"/>
  <c r="V199" i="7" s="1"/>
  <c r="U135" i="7"/>
  <c r="V135" i="7" s="1"/>
  <c r="U71" i="7"/>
  <c r="V71" i="7" s="1"/>
  <c r="U314" i="7"/>
  <c r="V314" i="7" s="1"/>
  <c r="U342" i="7"/>
  <c r="V342" i="7" s="1"/>
  <c r="U246" i="7"/>
  <c r="V246" i="7" s="1"/>
  <c r="U182" i="7"/>
  <c r="V182" i="7" s="1"/>
  <c r="U118" i="7"/>
  <c r="V118" i="7" s="1"/>
  <c r="U54" i="7"/>
  <c r="V54" i="7" s="1"/>
  <c r="U502" i="7"/>
  <c r="V502" i="7" s="1"/>
  <c r="U278" i="7"/>
  <c r="V278" i="7" s="1"/>
  <c r="U493" i="7"/>
  <c r="V493" i="7" s="1"/>
  <c r="U429" i="7"/>
  <c r="V429" i="7" s="1"/>
  <c r="U365" i="7"/>
  <c r="V365" i="7" s="1"/>
  <c r="U301" i="7"/>
  <c r="V301" i="7" s="1"/>
  <c r="U237" i="7"/>
  <c r="V237" i="7" s="1"/>
  <c r="U173" i="7"/>
  <c r="V173" i="7" s="1"/>
  <c r="U109" i="7"/>
  <c r="V109" i="7" s="1"/>
  <c r="U45" i="7"/>
  <c r="V45" i="7" s="1"/>
  <c r="U510" i="7"/>
  <c r="V510" i="7" s="1"/>
  <c r="U334" i="7"/>
  <c r="V334" i="7" s="1"/>
  <c r="U500" i="7"/>
  <c r="V500" i="7" s="1"/>
  <c r="U436" i="7"/>
  <c r="V436" i="7" s="1"/>
  <c r="U372" i="7"/>
  <c r="V372" i="7" s="1"/>
  <c r="U308" i="7"/>
  <c r="V308" i="7" s="1"/>
  <c r="U244" i="7"/>
  <c r="V244" i="7" s="1"/>
  <c r="U180" i="7"/>
  <c r="V180" i="7" s="1"/>
  <c r="U116" i="7"/>
  <c r="V116" i="7" s="1"/>
  <c r="U52" i="7"/>
  <c r="V52" i="7" s="1"/>
  <c r="U406" i="7"/>
  <c r="V406" i="7" s="1"/>
  <c r="U491" i="7"/>
  <c r="V491" i="7" s="1"/>
  <c r="U427" i="7"/>
  <c r="V427" i="7" s="1"/>
  <c r="U363" i="7"/>
  <c r="V363" i="7" s="1"/>
  <c r="U299" i="7"/>
  <c r="V299" i="7" s="1"/>
  <c r="U235" i="7"/>
  <c r="V235" i="7" s="1"/>
  <c r="U171" i="7"/>
  <c r="V171" i="7" s="1"/>
  <c r="U107" i="7"/>
  <c r="V107" i="7" s="1"/>
  <c r="U43" i="7"/>
  <c r="V43" i="7" s="1"/>
  <c r="U417" i="7"/>
  <c r="V417" i="7" s="1"/>
  <c r="U97" i="7"/>
  <c r="V97" i="7" s="1"/>
  <c r="U448" i="7"/>
  <c r="V448" i="7" s="1"/>
  <c r="U362" i="7"/>
  <c r="V362" i="7" s="1"/>
  <c r="U537" i="7"/>
  <c r="V537" i="7" s="1"/>
  <c r="U546" i="7"/>
  <c r="V546" i="7" s="1"/>
  <c r="U338" i="7"/>
  <c r="V338" i="7" s="1"/>
  <c r="U130" i="7"/>
  <c r="V130" i="7" s="1"/>
  <c r="U529" i="7"/>
  <c r="V529" i="7" s="1"/>
  <c r="U465" i="7"/>
  <c r="V465" i="7" s="1"/>
  <c r="U401" i="7"/>
  <c r="V401" i="7" s="1"/>
  <c r="U337" i="7"/>
  <c r="V337" i="7" s="1"/>
  <c r="U273" i="7"/>
  <c r="V273" i="7" s="1"/>
  <c r="U209" i="7"/>
  <c r="V209" i="7" s="1"/>
  <c r="U145" i="7"/>
  <c r="V145" i="7" s="1"/>
  <c r="U81" i="7"/>
  <c r="V81" i="7" s="1"/>
  <c r="U17" i="7"/>
  <c r="V17" i="7" s="1"/>
  <c r="U218" i="7"/>
  <c r="V218" i="7" s="1"/>
  <c r="U50" i="7"/>
  <c r="V50" i="7" s="1"/>
  <c r="U496" i="7"/>
  <c r="V496" i="7" s="1"/>
  <c r="U432" i="7"/>
  <c r="V432" i="7" s="1"/>
  <c r="U368" i="7"/>
  <c r="V368" i="7" s="1"/>
  <c r="U304" i="7"/>
  <c r="V304" i="7" s="1"/>
  <c r="U240" i="7"/>
  <c r="V240" i="7" s="1"/>
  <c r="U176" i="7"/>
  <c r="V176" i="7" s="1"/>
  <c r="U112" i="7"/>
  <c r="V112" i="7" s="1"/>
  <c r="U48" i="7"/>
  <c r="V48" i="7" s="1"/>
  <c r="U378" i="7"/>
  <c r="V378" i="7" s="1"/>
  <c r="U154" i="7"/>
  <c r="V154" i="7" s="1"/>
  <c r="U511" i="7"/>
  <c r="V511" i="7" s="1"/>
  <c r="U447" i="7"/>
  <c r="V447" i="7" s="1"/>
  <c r="U383" i="7"/>
  <c r="V383" i="7" s="1"/>
  <c r="U319" i="7"/>
  <c r="V319" i="7" s="1"/>
  <c r="U255" i="7"/>
  <c r="V255" i="7" s="1"/>
  <c r="U191" i="7"/>
  <c r="V191" i="7" s="1"/>
  <c r="U127" i="7"/>
  <c r="V127" i="7" s="1"/>
  <c r="U63" i="7"/>
  <c r="V63" i="7" s="1"/>
  <c r="U542" i="7"/>
  <c r="V542" i="7" s="1"/>
  <c r="U318" i="7"/>
  <c r="V318" i="7" s="1"/>
  <c r="U238" i="7"/>
  <c r="V238" i="7" s="1"/>
  <c r="U174" i="7"/>
  <c r="V174" i="7" s="1"/>
  <c r="U110" i="7"/>
  <c r="V110" i="7" s="1"/>
  <c r="U46" i="7"/>
  <c r="V46" i="7" s="1"/>
  <c r="U478" i="7"/>
  <c r="V478" i="7" s="1"/>
  <c r="U549" i="7"/>
  <c r="V549" i="7" s="1"/>
  <c r="U485" i="7"/>
  <c r="V485" i="7" s="1"/>
  <c r="U421" i="7"/>
  <c r="V421" i="7" s="1"/>
  <c r="U357" i="7"/>
  <c r="V357" i="7" s="1"/>
  <c r="U293" i="7"/>
  <c r="V293" i="7" s="1"/>
  <c r="U229" i="7"/>
  <c r="V229" i="7" s="1"/>
  <c r="U165" i="7"/>
  <c r="V165" i="7" s="1"/>
  <c r="U101" i="7"/>
  <c r="V101" i="7" s="1"/>
  <c r="U37" i="7"/>
  <c r="V37" i="7" s="1"/>
  <c r="U494" i="7"/>
  <c r="V494" i="7" s="1"/>
  <c r="U286" i="7"/>
  <c r="V286" i="7" s="1"/>
  <c r="U492" i="7"/>
  <c r="V492" i="7" s="1"/>
  <c r="U428" i="7"/>
  <c r="V428" i="7" s="1"/>
  <c r="U364" i="7"/>
  <c r="V364" i="7" s="1"/>
  <c r="U300" i="7"/>
  <c r="V300" i="7" s="1"/>
  <c r="U236" i="7"/>
  <c r="V236" i="7" s="1"/>
  <c r="U172" i="7"/>
  <c r="V172" i="7" s="1"/>
  <c r="U108" i="7"/>
  <c r="V108" i="7" s="1"/>
  <c r="U44" i="7"/>
  <c r="V44" i="7" s="1"/>
  <c r="U547" i="7"/>
  <c r="V547" i="7" s="1"/>
  <c r="U483" i="7"/>
  <c r="V483" i="7" s="1"/>
  <c r="U419" i="7"/>
  <c r="V419" i="7" s="1"/>
  <c r="U355" i="7"/>
  <c r="V355" i="7" s="1"/>
  <c r="U291" i="7"/>
  <c r="V291" i="7" s="1"/>
  <c r="U227" i="7"/>
  <c r="V227" i="7" s="1"/>
  <c r="U163" i="7"/>
  <c r="V163" i="7" s="1"/>
  <c r="U99" i="7"/>
  <c r="V99" i="7" s="1"/>
  <c r="U35" i="7"/>
  <c r="V35" i="7" s="1"/>
  <c r="U386" i="7"/>
  <c r="V386" i="7" s="1"/>
  <c r="U225" i="7"/>
  <c r="V225" i="7" s="1"/>
  <c r="U256" i="7"/>
  <c r="V256" i="7" s="1"/>
  <c r="U530" i="7"/>
  <c r="V530" i="7" s="1"/>
  <c r="U282" i="7"/>
  <c r="V282" i="7" s="1"/>
  <c r="U521" i="7"/>
  <c r="V521" i="7" s="1"/>
  <c r="U457" i="7"/>
  <c r="V457" i="7" s="1"/>
  <c r="U393" i="7"/>
  <c r="V393" i="7" s="1"/>
  <c r="U329" i="7"/>
  <c r="V329" i="7" s="1"/>
  <c r="U265" i="7"/>
  <c r="V265" i="7" s="1"/>
  <c r="U201" i="7"/>
  <c r="V201" i="7" s="1"/>
  <c r="U137" i="7"/>
  <c r="V137" i="7" s="1"/>
  <c r="U73" i="7"/>
  <c r="V73" i="7" s="1"/>
  <c r="U458" i="7"/>
  <c r="V458" i="7" s="1"/>
  <c r="U194" i="7"/>
  <c r="V194" i="7" s="1"/>
  <c r="U18" i="7"/>
  <c r="V18" i="7" s="1"/>
  <c r="U488" i="7"/>
  <c r="V488" i="7" s="1"/>
  <c r="U424" i="7"/>
  <c r="V424" i="7" s="1"/>
  <c r="U360" i="7"/>
  <c r="V360" i="7" s="1"/>
  <c r="U296" i="7"/>
  <c r="V296" i="7" s="1"/>
  <c r="U232" i="7"/>
  <c r="V232" i="7" s="1"/>
  <c r="U168" i="7"/>
  <c r="V168" i="7" s="1"/>
  <c r="U104" i="7"/>
  <c r="V104" i="7" s="1"/>
  <c r="U40" i="7"/>
  <c r="V40" i="7" s="1"/>
  <c r="U354" i="7"/>
  <c r="V354" i="7" s="1"/>
  <c r="U114" i="7"/>
  <c r="V114" i="7" s="1"/>
  <c r="U503" i="7"/>
  <c r="V503" i="7" s="1"/>
  <c r="U439" i="7"/>
  <c r="V439" i="7" s="1"/>
  <c r="U375" i="7"/>
  <c r="V375" i="7" s="1"/>
  <c r="U311" i="7"/>
  <c r="V311" i="7" s="1"/>
  <c r="U247" i="7"/>
  <c r="V247" i="7" s="1"/>
  <c r="U183" i="7"/>
  <c r="V183" i="7" s="1"/>
  <c r="U119" i="7"/>
  <c r="V119" i="7" s="1"/>
  <c r="U55" i="7"/>
  <c r="V55" i="7" s="1"/>
  <c r="U518" i="7"/>
  <c r="V518" i="7" s="1"/>
  <c r="U310" i="7"/>
  <c r="V310" i="7" s="1"/>
  <c r="U230" i="7"/>
  <c r="V230" i="7" s="1"/>
  <c r="U166" i="7"/>
  <c r="V166" i="7" s="1"/>
  <c r="U102" i="7"/>
  <c r="V102" i="7" s="1"/>
  <c r="U38" i="7"/>
  <c r="V38" i="7" s="1"/>
  <c r="U462" i="7"/>
  <c r="V462" i="7" s="1"/>
  <c r="U541" i="7"/>
  <c r="V541" i="7" s="1"/>
  <c r="U477" i="7"/>
  <c r="V477" i="7" s="1"/>
  <c r="U413" i="7"/>
  <c r="V413" i="7" s="1"/>
  <c r="U349" i="7"/>
  <c r="V349" i="7" s="1"/>
  <c r="U285" i="7"/>
  <c r="V285" i="7" s="1"/>
  <c r="U221" i="7"/>
  <c r="V221" i="7" s="1"/>
  <c r="U157" i="7"/>
  <c r="V157" i="7" s="1"/>
  <c r="U93" i="7"/>
  <c r="V93" i="7" s="1"/>
  <c r="U29" i="7"/>
  <c r="V29" i="7" s="1"/>
  <c r="U470" i="7"/>
  <c r="V470" i="7" s="1"/>
  <c r="U548" i="7"/>
  <c r="V548" i="7" s="1"/>
  <c r="U484" i="7"/>
  <c r="V484" i="7" s="1"/>
  <c r="U420" i="7"/>
  <c r="V420" i="7" s="1"/>
  <c r="U356" i="7"/>
  <c r="V356" i="7" s="1"/>
  <c r="U292" i="7"/>
  <c r="V292" i="7" s="1"/>
  <c r="U228" i="7"/>
  <c r="V228" i="7" s="1"/>
  <c r="U164" i="7"/>
  <c r="V164" i="7" s="1"/>
  <c r="U100" i="7"/>
  <c r="V100" i="7" s="1"/>
  <c r="U36" i="7"/>
  <c r="V36" i="7" s="1"/>
  <c r="U539" i="7"/>
  <c r="V539" i="7" s="1"/>
  <c r="U475" i="7"/>
  <c r="V475" i="7" s="1"/>
  <c r="U411" i="7"/>
  <c r="V411" i="7" s="1"/>
  <c r="U347" i="7"/>
  <c r="V347" i="7" s="1"/>
  <c r="U283" i="7"/>
  <c r="V283" i="7" s="1"/>
  <c r="U219" i="7"/>
  <c r="V219" i="7" s="1"/>
  <c r="U155" i="7"/>
  <c r="V155" i="7" s="1"/>
  <c r="U91" i="7"/>
  <c r="V91" i="7" s="1"/>
  <c r="U27" i="7"/>
  <c r="V27" i="7" s="1"/>
  <c r="U545" i="7"/>
  <c r="V545" i="7" s="1"/>
  <c r="U353" i="7"/>
  <c r="V353" i="7" s="1"/>
  <c r="U266" i="7"/>
  <c r="V266" i="7" s="1"/>
  <c r="U320" i="7"/>
  <c r="V320" i="7" s="1"/>
  <c r="U482" i="7"/>
  <c r="V482" i="7" s="1"/>
  <c r="U106" i="7"/>
  <c r="V106" i="7" s="1"/>
  <c r="U450" i="7"/>
  <c r="V450" i="7" s="1"/>
  <c r="U538" i="7"/>
  <c r="V538" i="7" s="1"/>
  <c r="U258" i="7"/>
  <c r="V258" i="7" s="1"/>
  <c r="U74" i="7"/>
  <c r="V74" i="7" s="1"/>
  <c r="U513" i="7"/>
  <c r="V513" i="7" s="1"/>
  <c r="U449" i="7"/>
  <c r="V449" i="7" s="1"/>
  <c r="U385" i="7"/>
  <c r="V385" i="7" s="1"/>
  <c r="U321" i="7"/>
  <c r="V321" i="7" s="1"/>
  <c r="U257" i="7"/>
  <c r="V257" i="7" s="1"/>
  <c r="U193" i="7"/>
  <c r="V193" i="7" s="1"/>
  <c r="U129" i="7"/>
  <c r="V129" i="7" s="1"/>
  <c r="U65" i="7"/>
  <c r="V65" i="7" s="1"/>
  <c r="U394" i="7"/>
  <c r="V394" i="7" s="1"/>
  <c r="U170" i="7"/>
  <c r="V170" i="7" s="1"/>
  <c r="U544" i="7"/>
  <c r="V544" i="7" s="1"/>
  <c r="U480" i="7"/>
  <c r="V480" i="7" s="1"/>
  <c r="U416" i="7"/>
  <c r="V416" i="7" s="1"/>
  <c r="U352" i="7"/>
  <c r="V352" i="7" s="1"/>
  <c r="U288" i="7"/>
  <c r="V288" i="7" s="1"/>
  <c r="U224" i="7"/>
  <c r="V224" i="7" s="1"/>
  <c r="U160" i="7"/>
  <c r="V160" i="7" s="1"/>
  <c r="U96" i="7"/>
  <c r="V96" i="7" s="1"/>
  <c r="U32" i="7"/>
  <c r="V32" i="7" s="1"/>
  <c r="U330" i="7"/>
  <c r="V330" i="7" s="1"/>
  <c r="U90" i="7"/>
  <c r="V90" i="7" s="1"/>
  <c r="U495" i="7"/>
  <c r="V495" i="7" s="1"/>
  <c r="U431" i="7"/>
  <c r="V431" i="7" s="1"/>
  <c r="U367" i="7"/>
  <c r="V367" i="7" s="1"/>
  <c r="U303" i="7"/>
  <c r="V303" i="7" s="1"/>
  <c r="U239" i="7"/>
  <c r="V239" i="7" s="1"/>
  <c r="U175" i="7"/>
  <c r="V175" i="7" s="1"/>
  <c r="U111" i="7"/>
  <c r="V111" i="7" s="1"/>
  <c r="U47" i="7"/>
  <c r="V47" i="7" s="1"/>
  <c r="U486" i="7"/>
  <c r="V486" i="7" s="1"/>
  <c r="U302" i="7"/>
  <c r="V302" i="7" s="1"/>
  <c r="U222" i="7"/>
  <c r="V222" i="7" s="1"/>
  <c r="U158" i="7"/>
  <c r="V158" i="7" s="1"/>
  <c r="U94" i="7"/>
  <c r="V94" i="7" s="1"/>
  <c r="U30" i="7"/>
  <c r="V30" i="7" s="1"/>
  <c r="U438" i="7"/>
  <c r="V438" i="7" s="1"/>
  <c r="U533" i="7"/>
  <c r="V533" i="7" s="1"/>
  <c r="U469" i="7"/>
  <c r="V469" i="7" s="1"/>
  <c r="U405" i="7"/>
  <c r="V405" i="7" s="1"/>
  <c r="U341" i="7"/>
  <c r="V341" i="7" s="1"/>
  <c r="U277" i="7"/>
  <c r="V277" i="7" s="1"/>
  <c r="U213" i="7"/>
  <c r="V213" i="7" s="1"/>
  <c r="U149" i="7"/>
  <c r="V149" i="7" s="1"/>
  <c r="U85" i="7"/>
  <c r="V85" i="7" s="1"/>
  <c r="U21" i="7"/>
  <c r="V21" i="7" s="1"/>
  <c r="U446" i="7"/>
  <c r="V446" i="7" s="1"/>
  <c r="U540" i="7"/>
  <c r="V540" i="7" s="1"/>
  <c r="U476" i="7"/>
  <c r="V476" i="7" s="1"/>
  <c r="U412" i="7"/>
  <c r="V412" i="7" s="1"/>
  <c r="U348" i="7"/>
  <c r="V348" i="7" s="1"/>
  <c r="U284" i="7"/>
  <c r="V284" i="7" s="1"/>
  <c r="U220" i="7"/>
  <c r="V220" i="7" s="1"/>
  <c r="U156" i="7"/>
  <c r="V156" i="7" s="1"/>
  <c r="U92" i="7"/>
  <c r="V92" i="7" s="1"/>
  <c r="U28" i="7"/>
  <c r="V28" i="7" s="1"/>
  <c r="U531" i="7"/>
  <c r="V531" i="7" s="1"/>
  <c r="U467" i="7"/>
  <c r="V467" i="7" s="1"/>
  <c r="U403" i="7"/>
  <c r="V403" i="7" s="1"/>
  <c r="U339" i="7"/>
  <c r="V339" i="7" s="1"/>
  <c r="U275" i="7"/>
  <c r="V275" i="7" s="1"/>
  <c r="U211" i="7"/>
  <c r="V211" i="7" s="1"/>
  <c r="U147" i="7"/>
  <c r="V147" i="7" s="1"/>
  <c r="U83" i="7"/>
  <c r="V83" i="7" s="1"/>
  <c r="U19" i="7"/>
  <c r="V19" i="7" s="1"/>
  <c r="U289" i="7"/>
  <c r="V289" i="7" s="1"/>
  <c r="U522" i="7"/>
  <c r="V522" i="7" s="1"/>
  <c r="U474" i="7"/>
  <c r="V474" i="7" s="1"/>
  <c r="U234" i="7"/>
  <c r="V234" i="7" s="1"/>
  <c r="U58" i="7"/>
  <c r="V58" i="7" s="1"/>
  <c r="U505" i="7"/>
  <c r="V505" i="7" s="1"/>
  <c r="U441" i="7"/>
  <c r="V441" i="7" s="1"/>
  <c r="U377" i="7"/>
  <c r="V377" i="7" s="1"/>
  <c r="U313" i="7"/>
  <c r="V313" i="7" s="1"/>
  <c r="U249" i="7"/>
  <c r="V249" i="7" s="1"/>
  <c r="U185" i="7"/>
  <c r="V185" i="7" s="1"/>
  <c r="U121" i="7"/>
  <c r="V121" i="7" s="1"/>
  <c r="U57" i="7"/>
  <c r="V57" i="7" s="1"/>
  <c r="U370" i="7"/>
  <c r="V370" i="7" s="1"/>
  <c r="U138" i="7"/>
  <c r="V138" i="7" s="1"/>
  <c r="U536" i="7"/>
  <c r="V536" i="7" s="1"/>
  <c r="U472" i="7"/>
  <c r="V472" i="7" s="1"/>
  <c r="U408" i="7"/>
  <c r="V408" i="7" s="1"/>
  <c r="U344" i="7"/>
  <c r="V344" i="7" s="1"/>
  <c r="U280" i="7"/>
  <c r="V280" i="7" s="1"/>
  <c r="U216" i="7"/>
  <c r="V216" i="7" s="1"/>
  <c r="U152" i="7"/>
  <c r="V152" i="7" s="1"/>
  <c r="U88" i="7"/>
  <c r="V88" i="7" s="1"/>
  <c r="U24" i="7"/>
  <c r="V24" i="7" s="1"/>
  <c r="U274" i="7"/>
  <c r="V274" i="7" s="1"/>
  <c r="U34" i="7"/>
  <c r="V34" i="7" s="1"/>
  <c r="U487" i="7"/>
  <c r="V487" i="7" s="1"/>
  <c r="U423" i="7"/>
  <c r="V423" i="7" s="1"/>
  <c r="U359" i="7"/>
  <c r="V359" i="7" s="1"/>
  <c r="U295" i="7"/>
  <c r="V295" i="7" s="1"/>
  <c r="U231" i="7"/>
  <c r="V231" i="7" s="1"/>
  <c r="U167" i="7"/>
  <c r="V167" i="7" s="1"/>
  <c r="U103" i="7"/>
  <c r="V103" i="7" s="1"/>
  <c r="U39" i="7"/>
  <c r="V39" i="7" s="1"/>
  <c r="U454" i="7"/>
  <c r="V454" i="7" s="1"/>
  <c r="U294" i="7"/>
  <c r="V294" i="7" s="1"/>
  <c r="U214" i="7"/>
  <c r="V214" i="7" s="1"/>
  <c r="U150" i="7"/>
  <c r="V150" i="7" s="1"/>
  <c r="U86" i="7"/>
  <c r="V86" i="7" s="1"/>
  <c r="U22" i="7"/>
  <c r="V22" i="7" s="1"/>
  <c r="U398" i="7"/>
  <c r="V398" i="7" s="1"/>
  <c r="U525" i="7"/>
  <c r="V525" i="7" s="1"/>
  <c r="U461" i="7"/>
  <c r="V461" i="7" s="1"/>
  <c r="U397" i="7"/>
  <c r="V397" i="7" s="1"/>
  <c r="U333" i="7"/>
  <c r="V333" i="7" s="1"/>
  <c r="U269" i="7"/>
  <c r="V269" i="7" s="1"/>
  <c r="U205" i="7"/>
  <c r="V205" i="7" s="1"/>
  <c r="U141" i="7"/>
  <c r="V141" i="7" s="1"/>
  <c r="U77" i="7"/>
  <c r="V77" i="7" s="1"/>
  <c r="U13" i="7"/>
  <c r="V13" i="7" s="1"/>
  <c r="U430" i="7"/>
  <c r="V430" i="7" s="1"/>
  <c r="U532" i="7"/>
  <c r="V532" i="7" s="1"/>
  <c r="U468" i="7"/>
  <c r="V468" i="7" s="1"/>
  <c r="U404" i="7"/>
  <c r="V404" i="7" s="1"/>
  <c r="U340" i="7"/>
  <c r="V340" i="7" s="1"/>
  <c r="U276" i="7"/>
  <c r="V276" i="7" s="1"/>
  <c r="U212" i="7"/>
  <c r="V212" i="7" s="1"/>
  <c r="U148" i="7"/>
  <c r="V148" i="7" s="1"/>
  <c r="U84" i="7"/>
  <c r="V84" i="7" s="1"/>
  <c r="U20" i="7"/>
  <c r="V20" i="7" s="1"/>
  <c r="U523" i="7"/>
  <c r="V523" i="7" s="1"/>
  <c r="U459" i="7"/>
  <c r="V459" i="7" s="1"/>
  <c r="U395" i="7"/>
  <c r="V395" i="7" s="1"/>
  <c r="U331" i="7"/>
  <c r="V331" i="7" s="1"/>
  <c r="U267" i="7"/>
  <c r="V267" i="7" s="1"/>
  <c r="U203" i="7"/>
  <c r="V203" i="7" s="1"/>
  <c r="U139" i="7"/>
  <c r="V139" i="7" s="1"/>
  <c r="U75" i="7"/>
  <c r="V75" i="7" s="1"/>
  <c r="U11" i="7"/>
  <c r="V11" i="7" s="1"/>
  <c r="U434" i="7"/>
  <c r="V434" i="7" s="1"/>
  <c r="U42" i="7"/>
  <c r="V42" i="7" s="1"/>
  <c r="U433" i="7"/>
  <c r="V433" i="7" s="1"/>
  <c r="U305" i="7"/>
  <c r="V305" i="7" s="1"/>
  <c r="U177" i="7"/>
  <c r="V177" i="7" s="1"/>
  <c r="U49" i="7"/>
  <c r="V49" i="7" s="1"/>
  <c r="U122" i="7"/>
  <c r="V122" i="7" s="1"/>
  <c r="U528" i="7"/>
  <c r="V528" i="7" s="1"/>
  <c r="U464" i="7"/>
  <c r="V464" i="7" s="1"/>
  <c r="U400" i="7"/>
  <c r="V400" i="7" s="1"/>
  <c r="U336" i="7"/>
  <c r="V336" i="7" s="1"/>
  <c r="U272" i="7"/>
  <c r="V272" i="7" s="1"/>
  <c r="U208" i="7"/>
  <c r="V208" i="7" s="1"/>
  <c r="U144" i="7"/>
  <c r="V144" i="7" s="1"/>
  <c r="U80" i="7"/>
  <c r="V80" i="7" s="1"/>
  <c r="U16" i="7"/>
  <c r="V16" i="7" s="1"/>
  <c r="U250" i="7"/>
  <c r="V250" i="7" s="1"/>
  <c r="U543" i="7"/>
  <c r="V543" i="7" s="1"/>
  <c r="U479" i="7"/>
  <c r="V479" i="7" s="1"/>
  <c r="U415" i="7"/>
  <c r="V415" i="7" s="1"/>
  <c r="U351" i="7"/>
  <c r="V351" i="7" s="1"/>
  <c r="U287" i="7"/>
  <c r="V287" i="7" s="1"/>
  <c r="U223" i="7"/>
  <c r="V223" i="7" s="1"/>
  <c r="U159" i="7"/>
  <c r="V159" i="7" s="1"/>
  <c r="U95" i="7"/>
  <c r="V95" i="7" s="1"/>
  <c r="U31" i="7"/>
  <c r="V31" i="7" s="1"/>
  <c r="U422" i="7"/>
  <c r="V422" i="7" s="1"/>
  <c r="U270" i="7"/>
  <c r="V270" i="7" s="1"/>
  <c r="U206" i="7"/>
  <c r="V206" i="7" s="1"/>
  <c r="U142" i="7"/>
  <c r="V142" i="7" s="1"/>
  <c r="U78" i="7"/>
  <c r="V78" i="7" s="1"/>
  <c r="U14" i="7"/>
  <c r="V14" i="7" s="1"/>
  <c r="U374" i="7"/>
  <c r="V374" i="7" s="1"/>
  <c r="U517" i="7"/>
  <c r="V517" i="7" s="1"/>
  <c r="U453" i="7"/>
  <c r="V453" i="7" s="1"/>
  <c r="U389" i="7"/>
  <c r="V389" i="7" s="1"/>
  <c r="U325" i="7"/>
  <c r="V325" i="7" s="1"/>
  <c r="U261" i="7"/>
  <c r="V261" i="7" s="1"/>
  <c r="U197" i="7"/>
  <c r="V197" i="7" s="1"/>
  <c r="U133" i="7"/>
  <c r="V133" i="7" s="1"/>
  <c r="U69" i="7"/>
  <c r="V69" i="7" s="1"/>
  <c r="U426" i="7"/>
  <c r="V426" i="7" s="1"/>
  <c r="U414" i="7"/>
  <c r="V414" i="7" s="1"/>
  <c r="U524" i="7"/>
  <c r="V524" i="7" s="1"/>
  <c r="U460" i="7"/>
  <c r="V460" i="7" s="1"/>
  <c r="U396" i="7"/>
  <c r="V396" i="7" s="1"/>
  <c r="U332" i="7"/>
  <c r="V332" i="7" s="1"/>
  <c r="U268" i="7"/>
  <c r="V268" i="7" s="1"/>
  <c r="U204" i="7"/>
  <c r="V204" i="7" s="1"/>
  <c r="U140" i="7"/>
  <c r="V140" i="7" s="1"/>
  <c r="U76" i="7"/>
  <c r="V76" i="7" s="1"/>
  <c r="U12" i="7"/>
  <c r="V12" i="7" s="1"/>
  <c r="U515" i="7"/>
  <c r="V515" i="7" s="1"/>
  <c r="U451" i="7"/>
  <c r="V451" i="7" s="1"/>
  <c r="U387" i="7"/>
  <c r="V387" i="7" s="1"/>
  <c r="U323" i="7"/>
  <c r="V323" i="7" s="1"/>
  <c r="U259" i="7"/>
  <c r="V259" i="7" s="1"/>
  <c r="U195" i="7"/>
  <c r="V195" i="7" s="1"/>
  <c r="U131" i="7"/>
  <c r="V131" i="7" s="1"/>
  <c r="U67" i="7"/>
  <c r="V67" i="7" s="1"/>
  <c r="U550" i="7"/>
  <c r="V550" i="7" s="1"/>
  <c r="B44" i="2"/>
  <c r="U10" i="7"/>
  <c r="AC10" i="7" s="1"/>
  <c r="Q6" i="1"/>
  <c r="Q14" i="1"/>
  <c r="Q7" i="1"/>
  <c r="Q15" i="1"/>
  <c r="Q13" i="1"/>
  <c r="Q8" i="1"/>
  <c r="Q16" i="1"/>
  <c r="Q10" i="1"/>
  <c r="Q11" i="1"/>
  <c r="Q9" i="1"/>
  <c r="Q17" i="1"/>
  <c r="Q12" i="1"/>
  <c r="AC317" i="7" l="1"/>
  <c r="AC55" i="7"/>
  <c r="AC333" i="7"/>
  <c r="AC198" i="7"/>
  <c r="AC261" i="7"/>
  <c r="AC214" i="7"/>
  <c r="AC358" i="7"/>
  <c r="AC373" i="7"/>
  <c r="AC199" i="7"/>
  <c r="AC396" i="7"/>
  <c r="AC161" i="7"/>
  <c r="AC45" i="7"/>
  <c r="AC343" i="7"/>
  <c r="AC143" i="7"/>
  <c r="AC359" i="7"/>
  <c r="AC481" i="7"/>
  <c r="AC57" i="7"/>
  <c r="AC200" i="7"/>
  <c r="AC287" i="7"/>
  <c r="AC216" i="7"/>
  <c r="AC42" i="7"/>
  <c r="AC346" i="7"/>
  <c r="AC58" i="7"/>
  <c r="AC105" i="7"/>
  <c r="AC345" i="7"/>
  <c r="AC27" i="7"/>
  <c r="AC21" i="7"/>
  <c r="AC59" i="7"/>
  <c r="AC254" i="7"/>
  <c r="AC363" i="7"/>
  <c r="AC179" i="7"/>
  <c r="AC507" i="7"/>
  <c r="AC434" i="7"/>
  <c r="AC532" i="7"/>
  <c r="AC308" i="7"/>
  <c r="AC399" i="7"/>
  <c r="AC452" i="7"/>
  <c r="AC451" i="7"/>
  <c r="AC159" i="7"/>
  <c r="AC100" i="7"/>
  <c r="AC173" i="7"/>
  <c r="AC379" i="7"/>
  <c r="AC324" i="7"/>
  <c r="AC189" i="7"/>
  <c r="AC71" i="7"/>
  <c r="AC215" i="7"/>
  <c r="AC73" i="7"/>
  <c r="AC99" i="7"/>
  <c r="AC425" i="7"/>
  <c r="AC43" i="7"/>
  <c r="AC448" i="7"/>
  <c r="AC323" i="7"/>
  <c r="AC268" i="7"/>
  <c r="AC134" i="7"/>
  <c r="AC16" i="7"/>
  <c r="AC160" i="7"/>
  <c r="AC17" i="7"/>
  <c r="AC528" i="7"/>
  <c r="AC369" i="7"/>
  <c r="AC459" i="7"/>
  <c r="AC404" i="7"/>
  <c r="AC205" i="7"/>
  <c r="AC87" i="7"/>
  <c r="AC231" i="7"/>
  <c r="AC89" i="7"/>
  <c r="AC139" i="7"/>
  <c r="AC441" i="7"/>
  <c r="AC316" i="7"/>
  <c r="AC225" i="7"/>
  <c r="AC339" i="7"/>
  <c r="AC284" i="7"/>
  <c r="AC150" i="7"/>
  <c r="AC31" i="7"/>
  <c r="AC175" i="7"/>
  <c r="AC33" i="7"/>
  <c r="AC544" i="7"/>
  <c r="AC385" i="7"/>
  <c r="AC499" i="7"/>
  <c r="AC256" i="7"/>
  <c r="AC283" i="7"/>
  <c r="AC228" i="7"/>
  <c r="AC94" i="7"/>
  <c r="AC462" i="7"/>
  <c r="AC120" i="7"/>
  <c r="AC354" i="7"/>
  <c r="AC488" i="7"/>
  <c r="AC329" i="7"/>
  <c r="AC118" i="7"/>
  <c r="AC483" i="7"/>
  <c r="AC428" i="7"/>
  <c r="AC293" i="7"/>
  <c r="AC174" i="7"/>
  <c r="AC319" i="7"/>
  <c r="AC176" i="7"/>
  <c r="AC19" i="7"/>
  <c r="AC529" i="7"/>
  <c r="AC444" i="7"/>
  <c r="AC162" i="7"/>
  <c r="AC235" i="7"/>
  <c r="AC180" i="7"/>
  <c r="AC46" i="7"/>
  <c r="AC278" i="7"/>
  <c r="AC72" i="7"/>
  <c r="AC178" i="7"/>
  <c r="AC440" i="7"/>
  <c r="AC217" i="7"/>
  <c r="AC490" i="7"/>
  <c r="AC326" i="7"/>
  <c r="AC443" i="7"/>
  <c r="AC388" i="7"/>
  <c r="AC253" i="7"/>
  <c r="AC135" i="7"/>
  <c r="AC279" i="7"/>
  <c r="AC137" i="7"/>
  <c r="AC322" i="7"/>
  <c r="AC489" i="7"/>
  <c r="AC210" i="7"/>
  <c r="AC266" i="7"/>
  <c r="AC387" i="7"/>
  <c r="AC332" i="7"/>
  <c r="AC197" i="7"/>
  <c r="AC79" i="7"/>
  <c r="AC223" i="7"/>
  <c r="AC81" i="7"/>
  <c r="AC123" i="7"/>
  <c r="AC11" i="7"/>
  <c r="AC523" i="7"/>
  <c r="AC468" i="7"/>
  <c r="AC269" i="7"/>
  <c r="AC151" i="7"/>
  <c r="AC295" i="7"/>
  <c r="AC153" i="7"/>
  <c r="AC370" i="7"/>
  <c r="AC505" i="7"/>
  <c r="AC534" i="7"/>
  <c r="AC163" i="7"/>
  <c r="AC403" i="7"/>
  <c r="AC348" i="7"/>
  <c r="AC213" i="7"/>
  <c r="AC95" i="7"/>
  <c r="AC239" i="7"/>
  <c r="AC97" i="7"/>
  <c r="AC171" i="7"/>
  <c r="AC449" i="7"/>
  <c r="AC252" i="7"/>
  <c r="AC34" i="7"/>
  <c r="AC347" i="7"/>
  <c r="AC292" i="7"/>
  <c r="AC158" i="7"/>
  <c r="AC39" i="7"/>
  <c r="AC183" i="7"/>
  <c r="AC41" i="7"/>
  <c r="AC18" i="7"/>
  <c r="AC393" i="7"/>
  <c r="AC501" i="7"/>
  <c r="AC36" i="7"/>
  <c r="AC547" i="7"/>
  <c r="AC492" i="7"/>
  <c r="AC357" i="7"/>
  <c r="AC238" i="7"/>
  <c r="AC383" i="7"/>
  <c r="AC240" i="7"/>
  <c r="AC82" i="7"/>
  <c r="AC131" i="7"/>
  <c r="AC54" i="7"/>
  <c r="AC545" i="7"/>
  <c r="AC299" i="7"/>
  <c r="AC244" i="7"/>
  <c r="AC110" i="7"/>
  <c r="AC502" i="7"/>
  <c r="AC136" i="7"/>
  <c r="AC402" i="7"/>
  <c r="AC504" i="7"/>
  <c r="AC281" i="7"/>
  <c r="AC52" i="7"/>
  <c r="AC14" i="7"/>
  <c r="AC221" i="7"/>
  <c r="AC318" i="7"/>
  <c r="AC60" i="7"/>
  <c r="AC466" i="7"/>
  <c r="AC516" i="7"/>
  <c r="AC381" i="7"/>
  <c r="AC262" i="7"/>
  <c r="AC407" i="7"/>
  <c r="AC264" i="7"/>
  <c r="AC106" i="7"/>
  <c r="AC186" i="7"/>
  <c r="AC506" i="7"/>
  <c r="AC550" i="7"/>
  <c r="AC515" i="7"/>
  <c r="AC460" i="7"/>
  <c r="AC325" i="7"/>
  <c r="AC206" i="7"/>
  <c r="AC351" i="7"/>
  <c r="AC208" i="7"/>
  <c r="AC50" i="7"/>
  <c r="AC140" i="7"/>
  <c r="AC85" i="7"/>
  <c r="AC430" i="7"/>
  <c r="AC397" i="7"/>
  <c r="AC294" i="7"/>
  <c r="AC423" i="7"/>
  <c r="AC280" i="7"/>
  <c r="AC122" i="7"/>
  <c r="AC234" i="7"/>
  <c r="AC63" i="7"/>
  <c r="AC20" i="7"/>
  <c r="AC531" i="7"/>
  <c r="AC476" i="7"/>
  <c r="AC341" i="7"/>
  <c r="AC222" i="7"/>
  <c r="AC367" i="7"/>
  <c r="AC224" i="7"/>
  <c r="AC66" i="7"/>
  <c r="AC75" i="7"/>
  <c r="AC245" i="7"/>
  <c r="AC475" i="7"/>
  <c r="AC420" i="7"/>
  <c r="AC285" i="7"/>
  <c r="AC167" i="7"/>
  <c r="AC311" i="7"/>
  <c r="AC169" i="7"/>
  <c r="AC458" i="7"/>
  <c r="AC521" i="7"/>
  <c r="AC271" i="7"/>
  <c r="AC164" i="7"/>
  <c r="AC109" i="7"/>
  <c r="AC494" i="7"/>
  <c r="AC485" i="7"/>
  <c r="AC542" i="7"/>
  <c r="AC511" i="7"/>
  <c r="AC368" i="7"/>
  <c r="AC209" i="7"/>
  <c r="AC546" i="7"/>
  <c r="AC190" i="7"/>
  <c r="AC498" i="7"/>
  <c r="AC427" i="7"/>
  <c r="AC372" i="7"/>
  <c r="AC237" i="7"/>
  <c r="AC119" i="7"/>
  <c r="AC263" i="7"/>
  <c r="AC121" i="7"/>
  <c r="AC242" i="7"/>
  <c r="AC409" i="7"/>
  <c r="AC307" i="7"/>
  <c r="AC202" i="7"/>
  <c r="AC412" i="7"/>
  <c r="AC394" i="7"/>
  <c r="AC513" i="7"/>
  <c r="AC411" i="7"/>
  <c r="AC103" i="7"/>
  <c r="AC421" i="7"/>
  <c r="AC124" i="7"/>
  <c r="AC69" i="7"/>
  <c r="AC382" i="7"/>
  <c r="AC445" i="7"/>
  <c r="AC390" i="7"/>
  <c r="AC471" i="7"/>
  <c r="AC328" i="7"/>
  <c r="AC170" i="7"/>
  <c r="AC410" i="7"/>
  <c r="AC437" i="7"/>
  <c r="AC68" i="7"/>
  <c r="AC12" i="7"/>
  <c r="AC524" i="7"/>
  <c r="AC389" i="7"/>
  <c r="AC270" i="7"/>
  <c r="AC415" i="7"/>
  <c r="AC272" i="7"/>
  <c r="AC114" i="7"/>
  <c r="AC203" i="7"/>
  <c r="AC149" i="7"/>
  <c r="AC13" i="7"/>
  <c r="AC461" i="7"/>
  <c r="AC454" i="7"/>
  <c r="AC487" i="7"/>
  <c r="AC344" i="7"/>
  <c r="AC185" i="7"/>
  <c r="AC474" i="7"/>
  <c r="AC80" i="7"/>
  <c r="AC84" i="7"/>
  <c r="AC29" i="7"/>
  <c r="AC540" i="7"/>
  <c r="AC405" i="7"/>
  <c r="AC302" i="7"/>
  <c r="AC431" i="7"/>
  <c r="AC288" i="7"/>
  <c r="AC130" i="7"/>
  <c r="AC258" i="7"/>
  <c r="AC526" i="7"/>
  <c r="AC28" i="7"/>
  <c r="AC539" i="7"/>
  <c r="AC484" i="7"/>
  <c r="AC349" i="7"/>
  <c r="AC230" i="7"/>
  <c r="AC375" i="7"/>
  <c r="AC232" i="7"/>
  <c r="AC74" i="7"/>
  <c r="AC107" i="7"/>
  <c r="AC129" i="7"/>
  <c r="AC227" i="7"/>
  <c r="AC15" i="7"/>
  <c r="AC38" i="7"/>
  <c r="AC549" i="7"/>
  <c r="AC64" i="7"/>
  <c r="AC155" i="7"/>
  <c r="AC432" i="7"/>
  <c r="AC273" i="7"/>
  <c r="AC116" i="7"/>
  <c r="AC207" i="7"/>
  <c r="AC491" i="7"/>
  <c r="AC436" i="7"/>
  <c r="AC301" i="7"/>
  <c r="AC182" i="7"/>
  <c r="AC327" i="7"/>
  <c r="AC184" i="7"/>
  <c r="AC26" i="7"/>
  <c r="AC473" i="7"/>
  <c r="AC435" i="7"/>
  <c r="AC384" i="7"/>
  <c r="AC353" i="7"/>
  <c r="AC145" i="7"/>
  <c r="AC76" i="7"/>
  <c r="AC303" i="7"/>
  <c r="AC187" i="7"/>
  <c r="AC133" i="7"/>
  <c r="AC298" i="7"/>
  <c r="AC509" i="7"/>
  <c r="AC24" i="7"/>
  <c r="AC535" i="7"/>
  <c r="AC392" i="7"/>
  <c r="AC233" i="7"/>
  <c r="AC514" i="7"/>
  <c r="AC127" i="7"/>
  <c r="AC132" i="7"/>
  <c r="AC77" i="7"/>
  <c r="AC414" i="7"/>
  <c r="AC453" i="7"/>
  <c r="AC422" i="7"/>
  <c r="AC479" i="7"/>
  <c r="AC336" i="7"/>
  <c r="AC177" i="7"/>
  <c r="AC267" i="7"/>
  <c r="AC212" i="7"/>
  <c r="AC525" i="7"/>
  <c r="AC40" i="7"/>
  <c r="AC35" i="7"/>
  <c r="AC408" i="7"/>
  <c r="AC249" i="7"/>
  <c r="AC522" i="7"/>
  <c r="AC463" i="7"/>
  <c r="AC148" i="7"/>
  <c r="AC93" i="7"/>
  <c r="AC446" i="7"/>
  <c r="AC469" i="7"/>
  <c r="AC486" i="7"/>
  <c r="AC495" i="7"/>
  <c r="AC352" i="7"/>
  <c r="AC193" i="7"/>
  <c r="AC538" i="7"/>
  <c r="AC366" i="7"/>
  <c r="AC92" i="7"/>
  <c r="AC37" i="7"/>
  <c r="AC548" i="7"/>
  <c r="AC413" i="7"/>
  <c r="AC310" i="7"/>
  <c r="AC439" i="7"/>
  <c r="AC296" i="7"/>
  <c r="AC138" i="7"/>
  <c r="AC530" i="7"/>
  <c r="AC83" i="7"/>
  <c r="AC291" i="7"/>
  <c r="AC236" i="7"/>
  <c r="AC102" i="7"/>
  <c r="AC478" i="7"/>
  <c r="AC128" i="7"/>
  <c r="AC378" i="7"/>
  <c r="AC496" i="7"/>
  <c r="AC337" i="7"/>
  <c r="AC243" i="7"/>
  <c r="AC44" i="7"/>
  <c r="AC406" i="7"/>
  <c r="AC500" i="7"/>
  <c r="AC365" i="7"/>
  <c r="AC246" i="7"/>
  <c r="AC391" i="7"/>
  <c r="AC248" i="7"/>
  <c r="AC537" i="7"/>
  <c r="AC188" i="7"/>
  <c r="AC98" i="7"/>
  <c r="AC251" i="7"/>
  <c r="AC196" i="7"/>
  <c r="AC62" i="7"/>
  <c r="AC350" i="7"/>
  <c r="AC88" i="7"/>
  <c r="AC226" i="7"/>
  <c r="AC456" i="7"/>
  <c r="AC297" i="7"/>
  <c r="AC433" i="7"/>
  <c r="AC144" i="7"/>
  <c r="AC195" i="7"/>
  <c r="AC141" i="7"/>
  <c r="AC426" i="7"/>
  <c r="AC517" i="7"/>
  <c r="AC32" i="7"/>
  <c r="AC543" i="7"/>
  <c r="AC400" i="7"/>
  <c r="AC241" i="7"/>
  <c r="AC331" i="7"/>
  <c r="AC276" i="7"/>
  <c r="AC78" i="7"/>
  <c r="AC398" i="7"/>
  <c r="AC104" i="7"/>
  <c r="AC274" i="7"/>
  <c r="AC472" i="7"/>
  <c r="AC313" i="7"/>
  <c r="AC482" i="7"/>
  <c r="AC192" i="7"/>
  <c r="AC211" i="7"/>
  <c r="AC157" i="7"/>
  <c r="AC22" i="7"/>
  <c r="AC533" i="7"/>
  <c r="AC48" i="7"/>
  <c r="AC91" i="7"/>
  <c r="AC416" i="7"/>
  <c r="AC257" i="7"/>
  <c r="AC450" i="7"/>
  <c r="AC335" i="7"/>
  <c r="AC156" i="7"/>
  <c r="AC101" i="7"/>
  <c r="AC470" i="7"/>
  <c r="AC477" i="7"/>
  <c r="AC518" i="7"/>
  <c r="AC503" i="7"/>
  <c r="AC360" i="7"/>
  <c r="AC201" i="7"/>
  <c r="AC61" i="7"/>
  <c r="AC289" i="7"/>
  <c r="AC355" i="7"/>
  <c r="AC300" i="7"/>
  <c r="AC166" i="7"/>
  <c r="AC47" i="7"/>
  <c r="AC191" i="7"/>
  <c r="AC49" i="7"/>
  <c r="AC51" i="7"/>
  <c r="AC401" i="7"/>
  <c r="AC371" i="7"/>
  <c r="AC418" i="7"/>
  <c r="AC108" i="7"/>
  <c r="AC53" i="7"/>
  <c r="AC334" i="7"/>
  <c r="AC429" i="7"/>
  <c r="AC342" i="7"/>
  <c r="AC455" i="7"/>
  <c r="AC312" i="7"/>
  <c r="AC90" i="7"/>
  <c r="AC147" i="7"/>
  <c r="AC508" i="7"/>
  <c r="AC417" i="7"/>
  <c r="AC309" i="7"/>
  <c r="AC467" i="7"/>
  <c r="AC277" i="7"/>
  <c r="AC356" i="7"/>
  <c r="AC247" i="7"/>
  <c r="AC194" i="7"/>
  <c r="AC457" i="7"/>
  <c r="AC286" i="7"/>
  <c r="AC447" i="7"/>
  <c r="AC304" i="7"/>
  <c r="AC146" i="7"/>
  <c r="AC338" i="7"/>
  <c r="AC67" i="7"/>
  <c r="AC315" i="7"/>
  <c r="AC260" i="7"/>
  <c r="AC126" i="7"/>
  <c r="AC290" i="7"/>
  <c r="AC152" i="7"/>
  <c r="AC442" i="7"/>
  <c r="AC520" i="7"/>
  <c r="AC361" i="7"/>
  <c r="AC497" i="7"/>
  <c r="AC65" i="7"/>
  <c r="AC259" i="7"/>
  <c r="AC204" i="7"/>
  <c r="AC70" i="7"/>
  <c r="AC374" i="7"/>
  <c r="AC96" i="7"/>
  <c r="AC250" i="7"/>
  <c r="AC464" i="7"/>
  <c r="AC305" i="7"/>
  <c r="AC395" i="7"/>
  <c r="AC340" i="7"/>
  <c r="AC142" i="7"/>
  <c r="AC23" i="7"/>
  <c r="AC168" i="7"/>
  <c r="AC25" i="7"/>
  <c r="AC536" i="7"/>
  <c r="AC377" i="7"/>
  <c r="AC306" i="7"/>
  <c r="AC512" i="7"/>
  <c r="AC275" i="7"/>
  <c r="AC220" i="7"/>
  <c r="AC86" i="7"/>
  <c r="AC438" i="7"/>
  <c r="AC112" i="7"/>
  <c r="AC330" i="7"/>
  <c r="AC480" i="7"/>
  <c r="AC321" i="7"/>
  <c r="AC282" i="7"/>
  <c r="AC527" i="7"/>
  <c r="AC219" i="7"/>
  <c r="AC165" i="7"/>
  <c r="AC30" i="7"/>
  <c r="AC541" i="7"/>
  <c r="AC56" i="7"/>
  <c r="AC115" i="7"/>
  <c r="AC424" i="7"/>
  <c r="AC265" i="7"/>
  <c r="AC380" i="7"/>
  <c r="AC386" i="7"/>
  <c r="AC419" i="7"/>
  <c r="AC364" i="7"/>
  <c r="AC229" i="7"/>
  <c r="AC111" i="7"/>
  <c r="AC255" i="7"/>
  <c r="AC113" i="7"/>
  <c r="AC218" i="7"/>
  <c r="AC465" i="7"/>
  <c r="AC125" i="7"/>
  <c r="AC320" i="7"/>
  <c r="AC172" i="7"/>
  <c r="AC117" i="7"/>
  <c r="AC510" i="7"/>
  <c r="AC493" i="7"/>
  <c r="AC314" i="7"/>
  <c r="AC519" i="7"/>
  <c r="AC376" i="7"/>
  <c r="AC154" i="7"/>
  <c r="AC362" i="7"/>
  <c r="AC181" i="7"/>
  <c r="V10" i="7"/>
  <c r="AD10" i="7" s="1"/>
  <c r="AD30" i="7" l="1"/>
  <c r="AD376" i="7"/>
  <c r="AD419" i="7"/>
  <c r="AD125" i="7"/>
  <c r="AD536" i="7"/>
  <c r="AD510" i="7"/>
  <c r="AD464" i="7"/>
  <c r="AD519" i="7"/>
  <c r="AD465" i="7"/>
  <c r="AD386" i="7"/>
  <c r="AD165" i="7"/>
  <c r="AD438" i="7"/>
  <c r="AD25" i="7"/>
  <c r="AD250" i="7"/>
  <c r="AD361" i="7"/>
  <c r="AD67" i="7"/>
  <c r="AD247" i="7"/>
  <c r="AD90" i="7"/>
  <c r="AD418" i="7"/>
  <c r="AD300" i="7"/>
  <c r="AD477" i="7"/>
  <c r="AD91" i="7"/>
  <c r="AD313" i="7"/>
  <c r="AD241" i="7"/>
  <c r="AD144" i="7"/>
  <c r="AD196" i="7"/>
  <c r="AD365" i="7"/>
  <c r="AD128" i="7"/>
  <c r="AD296" i="7"/>
  <c r="AD538" i="7"/>
  <c r="AD148" i="7"/>
  <c r="AD212" i="7"/>
  <c r="AD77" i="7"/>
  <c r="AD509" i="7"/>
  <c r="AD384" i="7"/>
  <c r="AD436" i="7"/>
  <c r="AD549" i="7"/>
  <c r="AD375" i="7"/>
  <c r="AD130" i="7"/>
  <c r="AD80" i="7"/>
  <c r="AD149" i="7"/>
  <c r="AD12" i="7"/>
  <c r="AD445" i="7"/>
  <c r="AD394" i="7"/>
  <c r="AD119" i="7"/>
  <c r="AD368" i="7"/>
  <c r="AD521" i="7"/>
  <c r="AD245" i="7"/>
  <c r="AD531" i="7"/>
  <c r="AD397" i="7"/>
  <c r="AD325" i="7"/>
  <c r="AD407" i="7"/>
  <c r="AD14" i="7"/>
  <c r="AD244" i="7"/>
  <c r="AD238" i="7"/>
  <c r="AD41" i="7"/>
  <c r="AD449" i="7"/>
  <c r="AD163" i="7"/>
  <c r="AD468" i="7"/>
  <c r="AD332" i="7"/>
  <c r="AD135" i="7"/>
  <c r="AD178" i="7"/>
  <c r="AD529" i="7"/>
  <c r="AD118" i="7"/>
  <c r="AD283" i="7"/>
  <c r="AD150" i="7"/>
  <c r="AD231" i="7"/>
  <c r="AD160" i="7"/>
  <c r="AD99" i="7"/>
  <c r="AD100" i="7"/>
  <c r="AD507" i="7"/>
  <c r="AD105" i="7"/>
  <c r="AD112" i="7"/>
  <c r="AD493" i="7"/>
  <c r="AD113" i="7"/>
  <c r="AD265" i="7"/>
  <c r="AD527" i="7"/>
  <c r="AD220" i="7"/>
  <c r="AD23" i="7"/>
  <c r="AD374" i="7"/>
  <c r="AD442" i="7"/>
  <c r="AD146" i="7"/>
  <c r="AD277" i="7"/>
  <c r="AD455" i="7"/>
  <c r="AD401" i="7"/>
  <c r="AD289" i="7"/>
  <c r="AD101" i="7"/>
  <c r="AD533" i="7"/>
  <c r="AD274" i="7"/>
  <c r="AD543" i="7"/>
  <c r="AD297" i="7"/>
  <c r="AD98" i="7"/>
  <c r="AD406" i="7"/>
  <c r="AD102" i="7"/>
  <c r="AD310" i="7"/>
  <c r="AD352" i="7"/>
  <c r="AD522" i="7"/>
  <c r="AD177" i="7"/>
  <c r="AD127" i="7"/>
  <c r="AD133" i="7"/>
  <c r="AD473" i="7"/>
  <c r="AD207" i="7"/>
  <c r="AD15" i="7"/>
  <c r="AD349" i="7"/>
  <c r="AD431" i="7"/>
  <c r="AD185" i="7"/>
  <c r="AD114" i="7"/>
  <c r="AD437" i="7"/>
  <c r="AD69" i="7"/>
  <c r="AD202" i="7"/>
  <c r="AD372" i="7"/>
  <c r="AD542" i="7"/>
  <c r="AD169" i="7"/>
  <c r="AD66" i="7"/>
  <c r="AD63" i="7"/>
  <c r="AD85" i="7"/>
  <c r="AD515" i="7"/>
  <c r="AD381" i="7"/>
  <c r="AD281" i="7"/>
  <c r="AD545" i="7"/>
  <c r="AD492" i="7"/>
  <c r="AD39" i="7"/>
  <c r="AD97" i="7"/>
  <c r="AD505" i="7"/>
  <c r="AD11" i="7"/>
  <c r="AD266" i="7"/>
  <c r="AD388" i="7"/>
  <c r="AD278" i="7"/>
  <c r="AD176" i="7"/>
  <c r="AD488" i="7"/>
  <c r="AD499" i="7"/>
  <c r="AD339" i="7"/>
  <c r="AD205" i="7"/>
  <c r="AD134" i="7"/>
  <c r="AD215" i="7"/>
  <c r="AD451" i="7"/>
  <c r="AD363" i="7"/>
  <c r="AD346" i="7"/>
  <c r="AD255" i="7"/>
  <c r="AD497" i="7"/>
  <c r="AD315" i="7"/>
  <c r="AD481" i="7"/>
  <c r="AD373" i="7"/>
  <c r="AD314" i="7"/>
  <c r="AD218" i="7"/>
  <c r="AD380" i="7"/>
  <c r="AD219" i="7"/>
  <c r="AD86" i="7"/>
  <c r="AD168" i="7"/>
  <c r="AD96" i="7"/>
  <c r="AD520" i="7"/>
  <c r="AD338" i="7"/>
  <c r="AD356" i="7"/>
  <c r="AD312" i="7"/>
  <c r="AD371" i="7"/>
  <c r="AD355" i="7"/>
  <c r="AD470" i="7"/>
  <c r="AD48" i="7"/>
  <c r="AD472" i="7"/>
  <c r="AD400" i="7"/>
  <c r="AD433" i="7"/>
  <c r="AD251" i="7"/>
  <c r="AD500" i="7"/>
  <c r="AD478" i="7"/>
  <c r="AD439" i="7"/>
  <c r="AD193" i="7"/>
  <c r="AD463" i="7"/>
  <c r="AD267" i="7"/>
  <c r="AD132" i="7"/>
  <c r="AD298" i="7"/>
  <c r="AD435" i="7"/>
  <c r="AD491" i="7"/>
  <c r="AD38" i="7"/>
  <c r="AD230" i="7"/>
  <c r="AD288" i="7"/>
  <c r="AD474" i="7"/>
  <c r="AD203" i="7"/>
  <c r="AD68" i="7"/>
  <c r="AD382" i="7"/>
  <c r="AD412" i="7"/>
  <c r="AD237" i="7"/>
  <c r="AD511" i="7"/>
  <c r="AD458" i="7"/>
  <c r="AD75" i="7"/>
  <c r="AD20" i="7"/>
  <c r="AD430" i="7"/>
  <c r="AD460" i="7"/>
  <c r="AD262" i="7"/>
  <c r="AD52" i="7"/>
  <c r="AD299" i="7"/>
  <c r="AD357" i="7"/>
  <c r="AD183" i="7"/>
  <c r="AD171" i="7"/>
  <c r="AD534" i="7"/>
  <c r="AD523" i="7"/>
  <c r="AD387" i="7"/>
  <c r="AD253" i="7"/>
  <c r="AD72" i="7"/>
  <c r="AD19" i="7"/>
  <c r="AD329" i="7"/>
  <c r="AD256" i="7"/>
  <c r="AD284" i="7"/>
  <c r="AD87" i="7"/>
  <c r="AD16" i="7"/>
  <c r="AD73" i="7"/>
  <c r="AD159" i="7"/>
  <c r="AD179" i="7"/>
  <c r="AD58" i="7"/>
  <c r="AD359" i="7"/>
  <c r="AD358" i="7"/>
  <c r="AD143" i="7"/>
  <c r="AD214" i="7"/>
  <c r="AD142" i="7"/>
  <c r="AD467" i="7"/>
  <c r="AD51" i="7"/>
  <c r="AD61" i="7"/>
  <c r="AD156" i="7"/>
  <c r="AD22" i="7"/>
  <c r="AD104" i="7"/>
  <c r="AD32" i="7"/>
  <c r="AD456" i="7"/>
  <c r="AD188" i="7"/>
  <c r="AD44" i="7"/>
  <c r="AD236" i="7"/>
  <c r="AD413" i="7"/>
  <c r="AD495" i="7"/>
  <c r="AD249" i="7"/>
  <c r="AD336" i="7"/>
  <c r="AD514" i="7"/>
  <c r="AD187" i="7"/>
  <c r="AD26" i="7"/>
  <c r="AD116" i="7"/>
  <c r="AD227" i="7"/>
  <c r="AD484" i="7"/>
  <c r="AD302" i="7"/>
  <c r="AD344" i="7"/>
  <c r="AD272" i="7"/>
  <c r="AD410" i="7"/>
  <c r="AD124" i="7"/>
  <c r="AD307" i="7"/>
  <c r="AD427" i="7"/>
  <c r="AD485" i="7"/>
  <c r="AD311" i="7"/>
  <c r="AD224" i="7"/>
  <c r="AD234" i="7"/>
  <c r="AD140" i="7"/>
  <c r="AD550" i="7"/>
  <c r="AD516" i="7"/>
  <c r="AD504" i="7"/>
  <c r="AD54" i="7"/>
  <c r="AD547" i="7"/>
  <c r="AD158" i="7"/>
  <c r="AD239" i="7"/>
  <c r="AD370" i="7"/>
  <c r="AD123" i="7"/>
  <c r="AD210" i="7"/>
  <c r="AD443" i="7"/>
  <c r="AD46" i="7"/>
  <c r="AD319" i="7"/>
  <c r="AD354" i="7"/>
  <c r="AD385" i="7"/>
  <c r="AD225" i="7"/>
  <c r="AD404" i="7"/>
  <c r="AD268" i="7"/>
  <c r="AD71" i="7"/>
  <c r="AD452" i="7"/>
  <c r="AD254" i="7"/>
  <c r="AD42" i="7"/>
  <c r="AD343" i="7"/>
  <c r="AD261" i="7"/>
  <c r="AD282" i="7"/>
  <c r="AD152" i="7"/>
  <c r="AD117" i="7"/>
  <c r="AD115" i="7"/>
  <c r="AD512" i="7"/>
  <c r="AD340" i="7"/>
  <c r="AD204" i="7"/>
  <c r="AD290" i="7"/>
  <c r="AD447" i="7"/>
  <c r="AD309" i="7"/>
  <c r="AD429" i="7"/>
  <c r="AD49" i="7"/>
  <c r="AD201" i="7"/>
  <c r="AD335" i="7"/>
  <c r="AD157" i="7"/>
  <c r="AD398" i="7"/>
  <c r="AD517" i="7"/>
  <c r="AD226" i="7"/>
  <c r="AD537" i="7"/>
  <c r="AD243" i="7"/>
  <c r="AD291" i="7"/>
  <c r="AD548" i="7"/>
  <c r="AD486" i="7"/>
  <c r="AD408" i="7"/>
  <c r="AD479" i="7"/>
  <c r="AD233" i="7"/>
  <c r="AD303" i="7"/>
  <c r="AD184" i="7"/>
  <c r="AD273" i="7"/>
  <c r="AD129" i="7"/>
  <c r="AD539" i="7"/>
  <c r="AD405" i="7"/>
  <c r="AD487" i="7"/>
  <c r="AD415" i="7"/>
  <c r="AD170" i="7"/>
  <c r="AD421" i="7"/>
  <c r="AD409" i="7"/>
  <c r="AD498" i="7"/>
  <c r="AD494" i="7"/>
  <c r="AD167" i="7"/>
  <c r="AD367" i="7"/>
  <c r="AD122" i="7"/>
  <c r="AD50" i="7"/>
  <c r="AD506" i="7"/>
  <c r="AD466" i="7"/>
  <c r="AD402" i="7"/>
  <c r="AD131" i="7"/>
  <c r="AD36" i="7"/>
  <c r="AD292" i="7"/>
  <c r="AD95" i="7"/>
  <c r="AD153" i="7"/>
  <c r="AD81" i="7"/>
  <c r="AD489" i="7"/>
  <c r="AD326" i="7"/>
  <c r="AD180" i="7"/>
  <c r="AD174" i="7"/>
  <c r="AD120" i="7"/>
  <c r="AD544" i="7"/>
  <c r="AD316" i="7"/>
  <c r="AD459" i="7"/>
  <c r="AD323" i="7"/>
  <c r="AD189" i="7"/>
  <c r="AD399" i="7"/>
  <c r="AD59" i="7"/>
  <c r="AD216" i="7"/>
  <c r="AD45" i="7"/>
  <c r="AD198" i="7"/>
  <c r="AD424" i="7"/>
  <c r="AD70" i="7"/>
  <c r="AD342" i="7"/>
  <c r="AD111" i="7"/>
  <c r="AD362" i="7"/>
  <c r="AD172" i="7"/>
  <c r="AD229" i="7"/>
  <c r="AD56" i="7"/>
  <c r="AD480" i="7"/>
  <c r="AD306" i="7"/>
  <c r="AD395" i="7"/>
  <c r="AD259" i="7"/>
  <c r="AD126" i="7"/>
  <c r="AD286" i="7"/>
  <c r="AD417" i="7"/>
  <c r="AD334" i="7"/>
  <c r="AD191" i="7"/>
  <c r="AD360" i="7"/>
  <c r="AD450" i="7"/>
  <c r="AD211" i="7"/>
  <c r="AD78" i="7"/>
  <c r="AD426" i="7"/>
  <c r="AD88" i="7"/>
  <c r="AD248" i="7"/>
  <c r="AD337" i="7"/>
  <c r="AD83" i="7"/>
  <c r="AD37" i="7"/>
  <c r="AD469" i="7"/>
  <c r="AD35" i="7"/>
  <c r="AD422" i="7"/>
  <c r="AD392" i="7"/>
  <c r="AD76" i="7"/>
  <c r="AD327" i="7"/>
  <c r="AD432" i="7"/>
  <c r="AD107" i="7"/>
  <c r="AD28" i="7"/>
  <c r="AD540" i="7"/>
  <c r="AD454" i="7"/>
  <c r="AD270" i="7"/>
  <c r="AD328" i="7"/>
  <c r="AD103" i="7"/>
  <c r="AD242" i="7"/>
  <c r="AD190" i="7"/>
  <c r="AD109" i="7"/>
  <c r="AD285" i="7"/>
  <c r="AD222" i="7"/>
  <c r="AD280" i="7"/>
  <c r="AD208" i="7"/>
  <c r="AD186" i="7"/>
  <c r="AD60" i="7"/>
  <c r="AD136" i="7"/>
  <c r="AD82" i="7"/>
  <c r="AD501" i="7"/>
  <c r="AD347" i="7"/>
  <c r="AD213" i="7"/>
  <c r="AD295" i="7"/>
  <c r="AD223" i="7"/>
  <c r="AD322" i="7"/>
  <c r="AD490" i="7"/>
  <c r="AD235" i="7"/>
  <c r="AD293" i="7"/>
  <c r="AD462" i="7"/>
  <c r="AD33" i="7"/>
  <c r="AD441" i="7"/>
  <c r="AD369" i="7"/>
  <c r="AD448" i="7"/>
  <c r="AD324" i="7"/>
  <c r="AD308" i="7"/>
  <c r="AD21" i="7"/>
  <c r="AD287" i="7"/>
  <c r="AD161" i="7"/>
  <c r="AD333" i="7"/>
  <c r="AD275" i="7"/>
  <c r="AD304" i="7"/>
  <c r="AD181" i="7"/>
  <c r="AD321" i="7"/>
  <c r="AD154" i="7"/>
  <c r="AD320" i="7"/>
  <c r="AD364" i="7"/>
  <c r="AD541" i="7"/>
  <c r="AD330" i="7"/>
  <c r="AD377" i="7"/>
  <c r="AD305" i="7"/>
  <c r="AD65" i="7"/>
  <c r="AD260" i="7"/>
  <c r="AD457" i="7"/>
  <c r="AD508" i="7"/>
  <c r="AD53" i="7"/>
  <c r="AD47" i="7"/>
  <c r="AD503" i="7"/>
  <c r="AD257" i="7"/>
  <c r="AD192" i="7"/>
  <c r="AD276" i="7"/>
  <c r="AD141" i="7"/>
  <c r="AD350" i="7"/>
  <c r="AD391" i="7"/>
  <c r="AD496" i="7"/>
  <c r="AD530" i="7"/>
  <c r="AD92" i="7"/>
  <c r="AD446" i="7"/>
  <c r="AD40" i="7"/>
  <c r="AD453" i="7"/>
  <c r="AD535" i="7"/>
  <c r="AD145" i="7"/>
  <c r="AD182" i="7"/>
  <c r="AD155" i="7"/>
  <c r="AD74" i="7"/>
  <c r="AD526" i="7"/>
  <c r="AD29" i="7"/>
  <c r="AD461" i="7"/>
  <c r="AD389" i="7"/>
  <c r="AD471" i="7"/>
  <c r="AD411" i="7"/>
  <c r="AD121" i="7"/>
  <c r="AD546" i="7"/>
  <c r="AD164" i="7"/>
  <c r="AD420" i="7"/>
  <c r="AD341" i="7"/>
  <c r="AD423" i="7"/>
  <c r="AD351" i="7"/>
  <c r="AD106" i="7"/>
  <c r="AD318" i="7"/>
  <c r="AD502" i="7"/>
  <c r="AD240" i="7"/>
  <c r="AD393" i="7"/>
  <c r="AD34" i="7"/>
  <c r="AD348" i="7"/>
  <c r="AD151" i="7"/>
  <c r="AD79" i="7"/>
  <c r="AD137" i="7"/>
  <c r="AD217" i="7"/>
  <c r="AD162" i="7"/>
  <c r="AD428" i="7"/>
  <c r="AD94" i="7"/>
  <c r="AD175" i="7"/>
  <c r="AD139" i="7"/>
  <c r="AD528" i="7"/>
  <c r="AD43" i="7"/>
  <c r="AD379" i="7"/>
  <c r="AD532" i="7"/>
  <c r="AD27" i="7"/>
  <c r="AD200" i="7"/>
  <c r="AD396" i="7"/>
  <c r="AD55" i="7"/>
  <c r="AD194" i="7"/>
  <c r="AD147" i="7"/>
  <c r="AD108" i="7"/>
  <c r="AD166" i="7"/>
  <c r="AD518" i="7"/>
  <c r="AD416" i="7"/>
  <c r="AD482" i="7"/>
  <c r="AD331" i="7"/>
  <c r="AD195" i="7"/>
  <c r="AD62" i="7"/>
  <c r="AD246" i="7"/>
  <c r="AD378" i="7"/>
  <c r="AD138" i="7"/>
  <c r="AD366" i="7"/>
  <c r="AD93" i="7"/>
  <c r="AD525" i="7"/>
  <c r="AD414" i="7"/>
  <c r="AD24" i="7"/>
  <c r="AD353" i="7"/>
  <c r="AD301" i="7"/>
  <c r="AD64" i="7"/>
  <c r="AD232" i="7"/>
  <c r="AD258" i="7"/>
  <c r="AD84" i="7"/>
  <c r="AD13" i="7"/>
  <c r="AD524" i="7"/>
  <c r="AD390" i="7"/>
  <c r="AD513" i="7"/>
  <c r="AD263" i="7"/>
  <c r="AD209" i="7"/>
  <c r="AD271" i="7"/>
  <c r="AD475" i="7"/>
  <c r="AD476" i="7"/>
  <c r="AD294" i="7"/>
  <c r="AD206" i="7"/>
  <c r="AD264" i="7"/>
  <c r="AD221" i="7"/>
  <c r="AD110" i="7"/>
  <c r="AD383" i="7"/>
  <c r="AD18" i="7"/>
  <c r="AD252" i="7"/>
  <c r="AD403" i="7"/>
  <c r="AD269" i="7"/>
  <c r="AD197" i="7"/>
  <c r="AD279" i="7"/>
  <c r="AD440" i="7"/>
  <c r="AD444" i="7"/>
  <c r="AD483" i="7"/>
  <c r="AD228" i="7"/>
  <c r="AD31" i="7"/>
  <c r="AD89" i="7"/>
  <c r="AD17" i="7"/>
  <c r="AD425" i="7"/>
  <c r="AD173" i="7"/>
  <c r="AD434" i="7"/>
  <c r="AD345" i="7"/>
  <c r="AD57" i="7"/>
  <c r="AD199" i="7"/>
  <c r="AD317" i="7"/>
  <c r="W332" i="7"/>
  <c r="W254" i="7"/>
  <c r="W326" i="7"/>
  <c r="W56" i="7"/>
  <c r="W94" i="7"/>
  <c r="W53" i="7"/>
  <c r="W521" i="7"/>
  <c r="W472" i="7"/>
  <c r="W474" i="7"/>
  <c r="W542" i="7"/>
  <c r="W111" i="7"/>
  <c r="W159" i="7"/>
  <c r="W367" i="7"/>
  <c r="W544" i="7"/>
  <c r="W147" i="7"/>
  <c r="W185" i="7"/>
  <c r="W343" i="7"/>
  <c r="W529" i="7"/>
  <c r="W160" i="7"/>
  <c r="W132" i="7"/>
  <c r="W71" i="7"/>
  <c r="W372" i="7"/>
  <c r="W299" i="7"/>
  <c r="W484" i="7"/>
  <c r="W119" i="7"/>
  <c r="W255" i="7"/>
  <c r="W236" i="7"/>
  <c r="W198" i="7"/>
  <c r="W454" i="7"/>
  <c r="W188" i="7"/>
  <c r="W494" i="7"/>
  <c r="W85" i="7"/>
  <c r="W133" i="7"/>
  <c r="W317" i="7"/>
  <c r="W97" i="7"/>
  <c r="W93" i="7"/>
  <c r="W103" i="7"/>
  <c r="W489" i="7"/>
  <c r="W54" i="7"/>
  <c r="W114" i="7"/>
  <c r="W249" i="7"/>
  <c r="W84" i="7"/>
  <c r="W201" i="7"/>
  <c r="W229" i="7"/>
  <c r="W121" i="7"/>
  <c r="W162" i="7"/>
  <c r="W216" i="7"/>
  <c r="W382" i="7"/>
  <c r="W483" i="7"/>
  <c r="W239" i="7"/>
  <c r="W101" i="7"/>
  <c r="W441" i="7"/>
  <c r="W340" i="7"/>
  <c r="W105" i="7"/>
  <c r="W184" i="7"/>
  <c r="W40" i="7"/>
  <c r="W536" i="7"/>
  <c r="W374" i="7"/>
  <c r="W527" i="7"/>
  <c r="W447" i="7"/>
  <c r="W74" i="7"/>
  <c r="W267" i="7"/>
  <c r="W443" i="7"/>
  <c r="W448" i="7"/>
  <c r="W164" i="7"/>
  <c r="W525" i="7"/>
  <c r="W98" i="7"/>
  <c r="W477" i="7"/>
  <c r="W137" i="7"/>
  <c r="W280" i="7"/>
  <c r="W456" i="7"/>
  <c r="W359" i="7"/>
  <c r="W68" i="7"/>
  <c r="W482" i="7"/>
  <c r="W505" i="7"/>
  <c r="W291" i="7"/>
  <c r="W197" i="7"/>
  <c r="W387" i="7"/>
  <c r="W438" i="7"/>
  <c r="W462" i="7"/>
  <c r="W407" i="7"/>
  <c r="W167" i="7"/>
  <c r="W421" i="7"/>
  <c r="W463" i="7"/>
  <c r="W148" i="7"/>
  <c r="W439" i="7"/>
  <c r="W208" i="7"/>
  <c r="W144" i="7"/>
  <c r="W262" i="7"/>
  <c r="W286" i="7"/>
  <c r="W362" i="7"/>
  <c r="W485" i="7"/>
  <c r="W427" i="7"/>
  <c r="W182" i="7"/>
  <c r="W431" i="7"/>
  <c r="W464" i="7"/>
  <c r="W513" i="7"/>
  <c r="W113" i="7"/>
  <c r="W126" i="7"/>
  <c r="W348" i="7"/>
  <c r="W517" i="7"/>
  <c r="W157" i="7"/>
  <c r="W534" i="7"/>
  <c r="W95" i="7"/>
  <c r="W193" i="7"/>
  <c r="W512" i="7"/>
  <c r="W310" i="7"/>
  <c r="W245" i="7"/>
  <c r="W473" i="7"/>
  <c r="W365" i="7"/>
  <c r="W381" i="7"/>
  <c r="W292" i="7"/>
  <c r="W141" i="7"/>
  <c r="W344" i="7"/>
  <c r="W124" i="7"/>
  <c r="W44" i="7"/>
  <c r="W47" i="7"/>
  <c r="W69" i="7"/>
  <c r="W437" i="7"/>
  <c r="W383" i="7"/>
  <c r="W352" i="7"/>
  <c r="W400" i="7"/>
  <c r="W504" i="7"/>
  <c r="W290" i="7"/>
  <c r="W413" i="7"/>
  <c r="W415" i="7"/>
  <c r="W314" i="7"/>
  <c r="W190" i="7"/>
  <c r="W37" i="7"/>
  <c r="W315" i="7"/>
  <c r="W300" i="7"/>
  <c r="W153" i="7"/>
  <c r="W104" i="7"/>
  <c r="W430" i="7"/>
  <c r="W38" i="7"/>
  <c r="W501" i="7"/>
  <c r="W416" i="7"/>
  <c r="W81" i="7"/>
  <c r="W379" i="7"/>
  <c r="W423" i="7"/>
  <c r="W307" i="7"/>
  <c r="W196" i="7"/>
  <c r="W246" i="7"/>
  <c r="W301" i="7"/>
  <c r="W22" i="7"/>
  <c r="W540" i="7"/>
  <c r="W90" i="7"/>
  <c r="W366" i="7"/>
  <c r="W240" i="7"/>
  <c r="W203" i="7"/>
  <c r="W151" i="7"/>
  <c r="W272" i="7"/>
  <c r="W351" i="7"/>
  <c r="W295" i="7"/>
  <c r="W396" i="7"/>
  <c r="W426" i="7"/>
  <c r="W436" i="7"/>
  <c r="W202" i="7"/>
  <c r="W368" i="7"/>
  <c r="W480" i="7"/>
  <c r="W528" i="7"/>
  <c r="W41" i="7"/>
  <c r="W118" i="7"/>
  <c r="W488" i="7"/>
  <c r="W211" i="7"/>
  <c r="W288" i="7"/>
  <c r="W345" i="7"/>
  <c r="W547" i="7"/>
  <c r="W446" i="7"/>
  <c r="W28" i="7"/>
  <c r="W109" i="7"/>
  <c r="W218" i="7"/>
  <c r="W224" i="7"/>
  <c r="W270" i="7"/>
  <c r="W493" i="7"/>
  <c r="W178" i="7"/>
  <c r="W172" i="7"/>
  <c r="W384" i="7"/>
  <c r="W355" i="7"/>
  <c r="W312" i="7"/>
  <c r="W247" i="7"/>
  <c r="W336" i="7"/>
  <c r="W14" i="7"/>
  <c r="W274" i="7"/>
  <c r="W199" i="7"/>
  <c r="W424" i="7"/>
  <c r="W522" i="7"/>
  <c r="W487" i="7"/>
  <c r="W110" i="7"/>
  <c r="W222" i="7"/>
  <c r="W70" i="7"/>
  <c r="W303" i="7"/>
  <c r="W64" i="7"/>
  <c r="W373" i="7"/>
  <c r="W278" i="7"/>
  <c r="W539" i="7"/>
  <c r="W256" i="7"/>
  <c r="W32" i="7"/>
  <c r="W289" i="7"/>
  <c r="W516" i="7"/>
  <c r="W243" i="7"/>
  <c r="W491" i="7"/>
  <c r="W108" i="7"/>
  <c r="W347" i="7"/>
  <c r="W220" i="7"/>
  <c r="W276" i="7"/>
  <c r="W268" i="7"/>
  <c r="W461" i="7"/>
  <c r="W452" i="7"/>
  <c r="W242" i="7"/>
  <c r="W338" i="7"/>
  <c r="W99" i="7"/>
  <c r="W228" i="7"/>
  <c r="W533" i="7"/>
  <c r="W398" i="7"/>
  <c r="W204" i="7"/>
  <c r="W134" i="7"/>
  <c r="W358" i="7"/>
  <c r="W173" i="7"/>
  <c r="W238" i="7"/>
  <c r="W55" i="7"/>
  <c r="W495" i="7"/>
  <c r="W408" i="7"/>
  <c r="W543" i="7"/>
  <c r="W139" i="7"/>
  <c r="W402" i="7"/>
  <c r="W360" i="7"/>
  <c r="W125" i="7"/>
  <c r="W364" i="7"/>
  <c r="W548" i="7"/>
  <c r="W341" i="7"/>
  <c r="W294" i="7"/>
  <c r="W389" i="7"/>
  <c r="W514" i="7"/>
  <c r="W226" i="7"/>
  <c r="W380" i="7"/>
  <c r="W510" i="7"/>
  <c r="W158" i="7"/>
  <c r="W214" i="7"/>
  <c r="W206" i="7"/>
  <c r="W180" i="7"/>
  <c r="W207" i="7"/>
  <c r="W123" i="7"/>
  <c r="W546" i="7"/>
  <c r="W227" i="7"/>
  <c r="W508" i="7"/>
  <c r="W449" i="7"/>
  <c r="W434" i="7"/>
  <c r="W335" i="7"/>
  <c r="W45" i="7"/>
  <c r="W404" i="7"/>
  <c r="W401" i="7"/>
  <c r="W393" i="7"/>
  <c r="W27" i="7"/>
  <c r="W168" i="7"/>
  <c r="W231" i="7"/>
  <c r="W455" i="7"/>
  <c r="W311" i="7"/>
  <c r="W471" i="7"/>
  <c r="W500" i="7"/>
  <c r="W102" i="7"/>
  <c r="W175" i="7"/>
  <c r="W179" i="7"/>
  <c r="W140" i="7"/>
  <c r="W479" i="7"/>
  <c r="W152" i="7"/>
  <c r="W409" i="7"/>
  <c r="W163" i="7"/>
  <c r="W275" i="7"/>
  <c r="W323" i="7"/>
  <c r="W507" i="7"/>
  <c r="W282" i="7"/>
  <c r="W21" i="7"/>
  <c r="W77" i="7"/>
  <c r="W253" i="7"/>
  <c r="W60" i="7"/>
  <c r="W308" i="7"/>
  <c r="W357" i="7"/>
  <c r="W541" i="7"/>
  <c r="W486" i="7"/>
  <c r="W34" i="7"/>
  <c r="W100" i="7"/>
  <c r="W498" i="7"/>
  <c r="W135" i="7"/>
  <c r="W503" i="7"/>
  <c r="W260" i="7"/>
  <c r="W419" i="7"/>
  <c r="W36" i="7"/>
  <c r="W476" i="7"/>
  <c r="W397" i="7"/>
  <c r="W524" i="7"/>
  <c r="W392" i="7"/>
  <c r="W350" i="7"/>
  <c r="W435" i="7"/>
  <c r="W116" i="7"/>
  <c r="W277" i="7"/>
  <c r="W333" i="7"/>
  <c r="W325" i="7"/>
  <c r="W174" i="7"/>
  <c r="W181" i="7"/>
  <c r="W418" i="7"/>
  <c r="W273" i="7"/>
  <c r="W425" i="7"/>
  <c r="W306" i="7"/>
  <c r="W305" i="7"/>
  <c r="W451" i="7"/>
  <c r="W309" i="7"/>
  <c r="W235" i="7"/>
  <c r="W142" i="7"/>
  <c r="W50" i="7"/>
  <c r="W73" i="7"/>
  <c r="W385" i="7"/>
  <c r="W166" i="7"/>
  <c r="W80" i="7"/>
  <c r="W342" i="7"/>
  <c r="W538" i="7"/>
  <c r="W390" i="7"/>
  <c r="W406" i="7"/>
  <c r="W221" i="7"/>
  <c r="W30" i="7"/>
  <c r="W33" i="7"/>
  <c r="W195" i="7"/>
  <c r="W453" i="7"/>
  <c r="W459" i="7"/>
  <c r="W82" i="7"/>
  <c r="W466" i="7"/>
  <c r="W417" i="7"/>
  <c r="W266" i="7"/>
  <c r="W331" i="7"/>
  <c r="W369" i="7"/>
  <c r="W120" i="7"/>
  <c r="W145" i="7"/>
  <c r="W283" i="7"/>
  <c r="W155" i="7"/>
  <c r="W186" i="7"/>
  <c r="W59" i="7"/>
  <c r="W25" i="7"/>
  <c r="W209" i="7"/>
  <c r="W18" i="7"/>
  <c r="W258" i="7"/>
  <c r="W377" i="7"/>
  <c r="W42" i="7"/>
  <c r="W250" i="7"/>
  <c r="W26" i="7"/>
  <c r="W481" i="7"/>
  <c r="W263" i="7"/>
  <c r="W304" i="7"/>
  <c r="W265" i="7"/>
  <c r="W320" i="7"/>
  <c r="W156" i="7"/>
  <c r="W212" i="7"/>
  <c r="W129" i="7"/>
  <c r="W388" i="7"/>
  <c r="W115" i="7"/>
  <c r="W363" i="7"/>
  <c r="W492" i="7"/>
  <c r="W29" i="7"/>
  <c r="W469" i="7"/>
  <c r="W39" i="7"/>
  <c r="W302" i="7"/>
  <c r="W241" i="7"/>
  <c r="W502" i="7"/>
  <c r="W518" i="7"/>
  <c r="W465" i="7"/>
  <c r="W386" i="7"/>
  <c r="W91" i="7"/>
  <c r="W531" i="7"/>
  <c r="W532" i="7"/>
  <c r="W12" i="7"/>
  <c r="W509" i="7"/>
  <c r="W61" i="7"/>
  <c r="W490" i="7"/>
  <c r="W171" i="7"/>
  <c r="W412" i="7"/>
  <c r="W468" i="7"/>
  <c r="W460" i="7"/>
  <c r="W210" i="7"/>
  <c r="W497" i="7"/>
  <c r="W143" i="7"/>
  <c r="W432" i="7"/>
  <c r="W72" i="7"/>
  <c r="W281" i="7"/>
  <c r="W422" i="7"/>
  <c r="W395" i="7"/>
  <c r="W444" i="7"/>
  <c r="W496" i="7"/>
  <c r="W88" i="7"/>
  <c r="W48" i="7"/>
  <c r="W232" i="7"/>
  <c r="W429" i="7"/>
  <c r="W545" i="7"/>
  <c r="W78" i="7"/>
  <c r="W334" i="7"/>
  <c r="W403" i="7"/>
  <c r="W445" i="7"/>
  <c r="W43" i="7"/>
  <c r="W356" i="7"/>
  <c r="W149" i="7"/>
  <c r="W322" i="7"/>
  <c r="W319" i="7"/>
  <c r="W76" i="7"/>
  <c r="W261" i="7"/>
  <c r="W106" i="7"/>
  <c r="W20" i="7"/>
  <c r="W187" i="7"/>
  <c r="W251" i="7"/>
  <c r="W217" i="7"/>
  <c r="W467" i="7"/>
  <c r="W523" i="7"/>
  <c r="W515" i="7"/>
  <c r="W233" i="7"/>
  <c r="W410" i="7"/>
  <c r="W526" i="7"/>
  <c r="W154" i="7"/>
  <c r="W189" i="7"/>
  <c r="W17" i="7"/>
  <c r="W414" i="7"/>
  <c r="W361" i="7"/>
  <c r="W499" i="7"/>
  <c r="W478" i="7"/>
  <c r="W205" i="7"/>
  <c r="W191" i="7"/>
  <c r="W375" i="7"/>
  <c r="W52" i="7"/>
  <c r="W213" i="7"/>
  <c r="W23" i="7"/>
  <c r="W107" i="7"/>
  <c r="W150" i="7"/>
  <c r="W89" i="7"/>
  <c r="W530" i="7"/>
  <c r="W411" i="7"/>
  <c r="W284" i="7"/>
  <c r="W136" i="7"/>
  <c r="W428" i="7"/>
  <c r="W131" i="7"/>
  <c r="W138" i="7"/>
  <c r="W19" i="7"/>
  <c r="W67" i="7"/>
  <c r="W225" i="7"/>
  <c r="W264" i="7"/>
  <c r="W79" i="7"/>
  <c r="W327" i="7"/>
  <c r="W511" i="7"/>
  <c r="W183" i="7"/>
  <c r="W330" i="7"/>
  <c r="W24" i="7"/>
  <c r="W16" i="7"/>
  <c r="W259" i="7"/>
  <c r="W200" i="7"/>
  <c r="W15" i="7"/>
  <c r="W237" i="7"/>
  <c r="W318" i="7"/>
  <c r="W354" i="7"/>
  <c r="W257" i="7"/>
  <c r="W313" i="7"/>
  <c r="W433" i="7"/>
  <c r="W405" i="7"/>
  <c r="W161" i="7"/>
  <c r="W66" i="7"/>
  <c r="W130" i="7"/>
  <c r="W35" i="7"/>
  <c r="W219" i="7"/>
  <c r="W92" i="7"/>
  <c r="W13" i="7"/>
  <c r="W83" i="7"/>
  <c r="W215" i="7"/>
  <c r="W244" i="7"/>
  <c r="W506" i="7"/>
  <c r="W112" i="7"/>
  <c r="W296" i="7"/>
  <c r="W65" i="7"/>
  <c r="W234" i="7"/>
  <c r="W75" i="7"/>
  <c r="W550" i="7"/>
  <c r="W62" i="7"/>
  <c r="W128" i="7"/>
  <c r="W376" i="7"/>
  <c r="W450" i="7"/>
  <c r="W58" i="7"/>
  <c r="W11" i="7"/>
  <c r="W297" i="7"/>
  <c r="W535" i="7"/>
  <c r="W169" i="7"/>
  <c r="W117" i="7"/>
  <c r="W63" i="7"/>
  <c r="W324" i="7"/>
  <c r="W176" i="7"/>
  <c r="W420" i="7"/>
  <c r="W520" i="7"/>
  <c r="W192" i="7"/>
  <c r="W458" i="7"/>
  <c r="W223" i="7"/>
  <c r="W46" i="7"/>
  <c r="W230" i="7"/>
  <c r="W537" i="7"/>
  <c r="W370" i="7"/>
  <c r="W371" i="7"/>
  <c r="W337" i="7"/>
  <c r="W49" i="7"/>
  <c r="W248" i="7"/>
  <c r="W329" i="7"/>
  <c r="W353" i="7"/>
  <c r="W339" i="7"/>
  <c r="W279" i="7"/>
  <c r="W457" i="7"/>
  <c r="W285" i="7"/>
  <c r="W122" i="7"/>
  <c r="W51" i="7"/>
  <c r="W316" i="7"/>
  <c r="W271" i="7"/>
  <c r="W519" i="7"/>
  <c r="W394" i="7"/>
  <c r="W57" i="7"/>
  <c r="W177" i="7"/>
  <c r="W346" i="7"/>
  <c r="W298" i="7"/>
  <c r="W328" i="7"/>
  <c r="W252" i="7"/>
  <c r="W549" i="7"/>
  <c r="W399" i="7"/>
  <c r="W293" i="7"/>
  <c r="W96" i="7"/>
  <c r="W442" i="7"/>
  <c r="W440" i="7"/>
  <c r="W475" i="7"/>
  <c r="W87" i="7"/>
  <c r="W165" i="7"/>
  <c r="W349" i="7"/>
  <c r="W127" i="7"/>
  <c r="W269" i="7"/>
  <c r="W146" i="7"/>
  <c r="W378" i="7"/>
  <c r="W287" i="7"/>
  <c r="W391" i="7"/>
  <c r="W194" i="7"/>
  <c r="W321" i="7"/>
  <c r="W86" i="7"/>
  <c r="W31" i="7"/>
  <c r="W470" i="7"/>
  <c r="W170" i="7"/>
  <c r="W10" i="7"/>
  <c r="C2" i="5"/>
  <c r="C3" i="5"/>
  <c r="C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5" i="5"/>
  <c r="B53" i="2"/>
  <c r="C5" i="2" s="1"/>
</calcChain>
</file>

<file path=xl/sharedStrings.xml><?xml version="1.0" encoding="utf-8"?>
<sst xmlns="http://schemas.openxmlformats.org/spreadsheetml/2006/main" count="1488" uniqueCount="1207">
  <si>
    <t>SOLICITAÇÃO</t>
  </si>
  <si>
    <t>DATA ABERTURA</t>
  </si>
  <si>
    <t>NOME EMPRESARIAL</t>
  </si>
  <si>
    <t>CÓDIGO E DESCRIÇÃO DA ATIVIDADE ECONÔMICA PRINCIPAL</t>
  </si>
  <si>
    <t>CÓDIGO E DESCRIÇÃO DA NATUREZA JURÍDICA</t>
  </si>
  <si>
    <t>213-5</t>
  </si>
  <si>
    <t>ENDEREÇO ELETRÔNICO</t>
  </si>
  <si>
    <t>DOMINIO EMPRESARIAL</t>
  </si>
  <si>
    <t>SITUAÇÃO CADASTRAL</t>
  </si>
  <si>
    <t>SERASA</t>
  </si>
  <si>
    <t>PROTESTOS</t>
  </si>
  <si>
    <t>CHEQUES SEM FUNDO</t>
  </si>
  <si>
    <t>AÇÕES JUDICIAIS</t>
  </si>
  <si>
    <t>PARTICIPAÇÃO EM FALÊNCIAS</t>
  </si>
  <si>
    <t>FALÊNCIA/CONCORDARA/RECUPERAÇÃO JUDICIAL</t>
  </si>
  <si>
    <t>DETALHAMENTO DAS PÊNDENCIAS</t>
  </si>
  <si>
    <t>VALOR TOTAL</t>
  </si>
  <si>
    <t>QUANTIDADE</t>
  </si>
  <si>
    <t>DATA DA INCLUSÃO</t>
  </si>
  <si>
    <t>SEGMENTO DA INCLUSÃO</t>
  </si>
  <si>
    <t>NO CASO DE OUTROS DESCREVER</t>
  </si>
  <si>
    <t>ANALISE DE RISCO</t>
  </si>
  <si>
    <t xml:space="preserve">SCORE </t>
  </si>
  <si>
    <t>PARECER SCORE</t>
  </si>
  <si>
    <t>SCORE SÓCIOS</t>
  </si>
  <si>
    <t>PROBABILIDADE DE INADIMPLÊNCIA</t>
  </si>
  <si>
    <t>RISCO DE CRÉDITO</t>
  </si>
  <si>
    <t>Baixo</t>
  </si>
  <si>
    <t>PONTUALIDADE DE PAGAMENTO INDICADOR</t>
  </si>
  <si>
    <t>PONTUALIDADE DE PAGAMENTO STATUS</t>
  </si>
  <si>
    <t>FATURAMENTO MENSAL</t>
  </si>
  <si>
    <t>CONDIÇÕES DA LIBERAÇÃO</t>
  </si>
  <si>
    <t>PERIODICIDADE DO FATURAMENTO</t>
  </si>
  <si>
    <t>NÃO SE APLICA</t>
  </si>
  <si>
    <t>PRAZO DE PAGTO EM DIAS</t>
  </si>
  <si>
    <t>LIMITE DE FATURAMENTO MENSAL</t>
  </si>
  <si>
    <t>OUTRAS CONDIÇÕES</t>
  </si>
  <si>
    <t>Representante da Instituição Extraterritorial</t>
  </si>
  <si>
    <t>Outras Instituições Extraterritoriais</t>
  </si>
  <si>
    <t>503-7</t>
  </si>
  <si>
    <t>Diplomata, Cônsul, Ministro de Estado das Relações Exteriores ou Cônsul Honorário</t>
  </si>
  <si>
    <t>Representação Diplomática Estrangeira</t>
  </si>
  <si>
    <t>502-9</t>
  </si>
  <si>
    <t>Representante de Organização Internacional</t>
  </si>
  <si>
    <t>Organização Internacional</t>
  </si>
  <si>
    <t>501-0</t>
  </si>
  <si>
    <t>Produtor Rural</t>
  </si>
  <si>
    <t>Pessoas físicas</t>
  </si>
  <si>
    <t>Produtor Rural (Pessoa Física)</t>
  </si>
  <si>
    <t>412-0</t>
  </si>
  <si>
    <t>Candidato a Cargo Político Eletivo</t>
  </si>
  <si>
    <t>409-0</t>
  </si>
  <si>
    <t>Titular de Empresa Individual Imobiliária</t>
  </si>
  <si>
    <t>Empresa Individual Imobiliária</t>
  </si>
  <si>
    <t>401-4</t>
  </si>
  <si>
    <t>Administrador, Diretor ou Presidente</t>
  </si>
  <si>
    <t>Entidades sem fins lucrativos</t>
  </si>
  <si>
    <t>Associação Privada</t>
  </si>
  <si>
    <t>399-9</t>
  </si>
  <si>
    <t>Administrador, Diretor, Presidente, Vice-Presidente, Secretário ou Tesoureiro</t>
  </si>
  <si>
    <t>Organização Social (OS)</t>
  </si>
  <si>
    <t>330-1</t>
  </si>
  <si>
    <t>Presidente</t>
  </si>
  <si>
    <t>Frente Plebiscitária ou Referendária</t>
  </si>
  <si>
    <t>329-8</t>
  </si>
  <si>
    <t>Comitê Financeiro de Partido Político</t>
  </si>
  <si>
    <t>328-0</t>
  </si>
  <si>
    <t>Administrador ou Presidente</t>
  </si>
  <si>
    <t>Órgão de Direção Local de Partido Político</t>
  </si>
  <si>
    <t>327-1</t>
  </si>
  <si>
    <t>Órgão de Direção Regional de Partido Político</t>
  </si>
  <si>
    <t>326-3</t>
  </si>
  <si>
    <t>Órgão de Direção Nacional de Partido Político</t>
  </si>
  <si>
    <t>325-5</t>
  </si>
  <si>
    <t>Administrador</t>
  </si>
  <si>
    <t>Fundo Privado</t>
  </si>
  <si>
    <t>324-7</t>
  </si>
  <si>
    <t>Responsável Indígena</t>
  </si>
  <si>
    <t>Comunidade Indígena</t>
  </si>
  <si>
    <t>323-9</t>
  </si>
  <si>
    <t>Organização Religiosa</t>
  </si>
  <si>
    <t>322-0</t>
  </si>
  <si>
    <t>Administrador, Conselheiro de Administração, Diretor, Presidente, Sócio, Sócio Pessoa Jurídica Domiciliado no Exterior, Sócio Pessoa Física Residente no Exterior, Sócio-Administrador ou Fundador/Instituidor</t>
  </si>
  <si>
    <t>Fundação ou Associação Domiciliada no Exterior</t>
  </si>
  <si>
    <t>321-2</t>
  </si>
  <si>
    <t>Administrador, Diretor, Presidente, Administrador residente ou Domiciliado no Exterior, Diretor residente ou Domiciliado no Exterior ou Presidente residente ou Domiciliado no Exterior</t>
  </si>
  <si>
    <t>Estabelecimento, no Brasil, de Fundação ou Associação Estrangeiras</t>
  </si>
  <si>
    <t>320-4</t>
  </si>
  <si>
    <t>Entidade Sindical</t>
  </si>
  <si>
    <t>313-1</t>
  </si>
  <si>
    <t>Entidade de Mediação e Arbitragem</t>
  </si>
  <si>
    <t>311-5</t>
  </si>
  <si>
    <t>Comissão de Conciliação Prévia</t>
  </si>
  <si>
    <t>310-7</t>
  </si>
  <si>
    <t>Administrador ou Síndico (Condomínio)</t>
  </si>
  <si>
    <t>Condomínio Edilício</t>
  </si>
  <si>
    <t>308-5</t>
  </si>
  <si>
    <t>Serviço Social Autônomo</t>
  </si>
  <si>
    <t>307-7</t>
  </si>
  <si>
    <t>Administrador, Diretor, Presidente ou Fundador</t>
  </si>
  <si>
    <t>Fundação Privada</t>
  </si>
  <si>
    <t>306-9</t>
  </si>
  <si>
    <t>Tabelião ou Oficial de Registro</t>
  </si>
  <si>
    <t>Serviço Notarial e Registral (Cartório)</t>
  </si>
  <si>
    <t>303-4</t>
  </si>
  <si>
    <t>Entidades empresariais</t>
  </si>
  <si>
    <t>Investidor Não Residente</t>
  </si>
  <si>
    <t>235-6</t>
  </si>
  <si>
    <t>Administrador, Titular Pessoa Física Residente ou Domiciliado no Brasil, Titular Pessoa Física Residente ou Domiciliado no Exterior, Titular Pessoa Jurídica Domiciliado no Brasil ou Titular Pessoa Jurídica Domiciliado no Exterior</t>
  </si>
  <si>
    <t>Empresa Simples de Inovação - Inova Simples</t>
  </si>
  <si>
    <t>234-8</t>
  </si>
  <si>
    <t>Diretor ou Presidente</t>
  </si>
  <si>
    <t>Cooperativas de Consumo</t>
  </si>
  <si>
    <t>233-0</t>
  </si>
  <si>
    <t>Administrador, Titular Pessoa Física Residente ou Domiciliado no Brasil.</t>
  </si>
  <si>
    <t>Sociedade Unipessoal de Advogados</t>
  </si>
  <si>
    <t>232-1</t>
  </si>
  <si>
    <t>Administrador, Sociedade Consorciada ou Sócio Pessoa Jurídica Domiciliado no Exterior</t>
  </si>
  <si>
    <t>Consórcio Simples</t>
  </si>
  <si>
    <t>229-1</t>
  </si>
  <si>
    <t>Sócio Comanditado, Sócio Comanditário, Sócio Comanditado Residente no Exterior, Sócio Comanditário Pessoa Física Residente no Exterior, Sócio Comanditário Pessoa Jurídica Domiciliado no Exterior, Sócio Comanditário Incapaz ou Cotas em Tesouraria</t>
  </si>
  <si>
    <t>Sociedade Simples em Comandita Simples</t>
  </si>
  <si>
    <t>226-7</t>
  </si>
  <si>
    <t>Sócio, Sócio ou Acionista incapaz ou relativamente incapaz (exceto menor), Sócio ou Acionista Menor (assistido/representado), Sócio Pessoa Física Residente ou Domiciliado no Exterior ou Cotas em Tesouraria</t>
  </si>
  <si>
    <t>Sociedade Simples em Nome Coletivo</t>
  </si>
  <si>
    <t>225-9</t>
  </si>
  <si>
    <t>Administrador, Sócio, Sócio ou Acionista incapaz ou relativamente incapaz (exceto menor), Sócio ou Acionista Menor (assistido/representado), Sócio Pessoa Jurídica Domiciliado no Exterior, Sócio Pessoa Física Residente ou Domiciliado no Exterior, Sócio-Administrador ou Cotas em Tesouraria</t>
  </si>
  <si>
    <t>Sociedade Simples Limitada</t>
  </si>
  <si>
    <t>224-0</t>
  </si>
  <si>
    <t>Sociedade Simples Pura</t>
  </si>
  <si>
    <t>223-2</t>
  </si>
  <si>
    <t>Fundo/Clube de Investimento</t>
  </si>
  <si>
    <t>222-4</t>
  </si>
  <si>
    <t>Administrador, Conselheiro de Administração, Diretor, Presidente, Sócio, Sócio, Pessoa Jurídica Domiciliado no Exterior, Sócio Pessoa Física Residente no Exterior, Sócio-Administrador, Fundador/Instituidor, Administrador Residente ou Domiciliado no Exterior/Trustee, Conselheiro de Administração Residente ou Domiciliado no Exterior, Diretor Residente ou Domiciliado no Exterior, Presidente Residente ou Domiciliado no Exterior, Sócio-Administrador Residente ou Domiciliado no Exterior, Fundador/Instituidor Residente ou Domiciliado no Exterior ou Protetor</t>
  </si>
  <si>
    <t>Empresa Domiciliada no Exterior</t>
  </si>
  <si>
    <t>221-6</t>
  </si>
  <si>
    <t>Administrador, Diretor, Presidente, Administrador Residente ou Domiciliado no Exterior/Trustee, Diretor Residente ou Domiciliado no Exterior, Presidente Residente ou Domiciliado no Exterior, Sócio-Administrador Residente ou Domiciliado no Exterior</t>
  </si>
  <si>
    <t>Estabelecimento, no Brasil, de Sociedade Estrangeira</t>
  </si>
  <si>
    <t>217-8</t>
  </si>
  <si>
    <t>Administrador ou Sociedade Filiada ou Sócio Pessoa Jurídica Domiciliado no Exterior</t>
  </si>
  <si>
    <t>Grupo de Sociedades</t>
  </si>
  <si>
    <t>216-0</t>
  </si>
  <si>
    <t>Consórcio de Sociedades</t>
  </si>
  <si>
    <t>215-1</t>
  </si>
  <si>
    <t>Cooperativa</t>
  </si>
  <si>
    <t>214-3</t>
  </si>
  <si>
    <t>Empresário</t>
  </si>
  <si>
    <t>Entidades empresariais/ME</t>
  </si>
  <si>
    <t>Empresário Individual</t>
  </si>
  <si>
    <t>Administrador, Procurador, Sócio Ostensivo</t>
  </si>
  <si>
    <t>Sociedade em Conta de Participação</t>
  </si>
  <si>
    <t>212-7</t>
  </si>
  <si>
    <t>Sociedade Empresária em Comandita por Ações</t>
  </si>
  <si>
    <t>209-7</t>
  </si>
  <si>
    <t>Sociedade Empresária em Comandita Simples</t>
  </si>
  <si>
    <t>208-9</t>
  </si>
  <si>
    <t>Sócio, Sócio ou Acionista incapaz ou relativamente incapaz (exceto menor), Sócio ou Acionista Menor (assistido/representado), Sócio Pessoa Física Residente ou Domiciliado no Exterior, Sócio-Administrador ou Cotas em Tesouraria</t>
  </si>
  <si>
    <t>Sociedade Empresária em Nome Coletivo</t>
  </si>
  <si>
    <t>207-0</t>
  </si>
  <si>
    <t>Sociedade Empresária Limitada</t>
  </si>
  <si>
    <t>206-2</t>
  </si>
  <si>
    <t>Sociedade Anônima Fechada</t>
  </si>
  <si>
    <t>205-4</t>
  </si>
  <si>
    <t>Administrador, Conselheiro de Administração, Diretor ou Presidente</t>
  </si>
  <si>
    <t>Sociedade Anônima Aberta</t>
  </si>
  <si>
    <t>204-6</t>
  </si>
  <si>
    <t>Conselheiro de Administração, Diretor ou Presidente</t>
  </si>
  <si>
    <t>Sociedade de Economia Mista</t>
  </si>
  <si>
    <t>203-8</t>
  </si>
  <si>
    <t>Empresa Pública</t>
  </si>
  <si>
    <t>201-1</t>
  </si>
  <si>
    <t>União</t>
  </si>
  <si>
    <t>134-1</t>
  </si>
  <si>
    <t>Fundo Público da Administração Direta Municipal</t>
  </si>
  <si>
    <t>133-3</t>
  </si>
  <si>
    <t>Fundo Público da Administração Direta Estadual ou do Distrito Federal</t>
  </si>
  <si>
    <t>132-5</t>
  </si>
  <si>
    <t>Fundo Público da Administração Direta Federal</t>
  </si>
  <si>
    <t>131-7</t>
  </si>
  <si>
    <t>Fundo Público da Administração Indireta Municipal</t>
  </si>
  <si>
    <t>130-9</t>
  </si>
  <si>
    <t>Fundo Público da Administração Indireta Estadual ou do Distrito Federal</t>
  </si>
  <si>
    <t>129-5</t>
  </si>
  <si>
    <t>Fundo Público da Administração Indireta Federal</t>
  </si>
  <si>
    <t>128-7</t>
  </si>
  <si>
    <t>Fundação Pública de Direito Privado Municipal</t>
  </si>
  <si>
    <t>127-9</t>
  </si>
  <si>
    <t>Fundação Pública de Direito Privado Estadual ou do Distrito Federal</t>
  </si>
  <si>
    <t>126-0</t>
  </si>
  <si>
    <t>Fundação Pública de Direito Privado Federal</t>
  </si>
  <si>
    <t>125-2</t>
  </si>
  <si>
    <t>Município</t>
  </si>
  <si>
    <t>124-4</t>
  </si>
  <si>
    <t>Estado ou Distrito Federal</t>
  </si>
  <si>
    <t>123-6</t>
  </si>
  <si>
    <t>Consórcio Público de Direito Privado</t>
  </si>
  <si>
    <t>122-8</t>
  </si>
  <si>
    <t>Consórcio Público de Direito Público (Associação Pública)</t>
  </si>
  <si>
    <t>121-0</t>
  </si>
  <si>
    <t>Comissão Polinacional</t>
  </si>
  <si>
    <t>119-8</t>
  </si>
  <si>
    <t>Órgão Público Autônomo Municipal</t>
  </si>
  <si>
    <t>118-0</t>
  </si>
  <si>
    <t>Órgão Público Autônomo Estadual ou do Distrito Federal</t>
  </si>
  <si>
    <t>117-1</t>
  </si>
  <si>
    <t>Órgão Público Autônomo Federal</t>
  </si>
  <si>
    <t>116-3</t>
  </si>
  <si>
    <t>Fundação Pública de Direito Público Municipal</t>
  </si>
  <si>
    <t>115-5</t>
  </si>
  <si>
    <t>Fundação Pública de Direito Público Estadual ou do Distrito Federal</t>
  </si>
  <si>
    <t>114-7</t>
  </si>
  <si>
    <t>Fundação Pública de Direito Público Federal</t>
  </si>
  <si>
    <t>113-9</t>
  </si>
  <si>
    <t>Autarquia Municipal</t>
  </si>
  <si>
    <t>112-0</t>
  </si>
  <si>
    <t>Autarquia Estadual ou do Distrito Federal</t>
  </si>
  <si>
    <t>111-2</t>
  </si>
  <si>
    <t>Autarquia Federal</t>
  </si>
  <si>
    <t>110-4</t>
  </si>
  <si>
    <t>Órgão Público do Poder Judiciário Estadual</t>
  </si>
  <si>
    <t>108-2</t>
  </si>
  <si>
    <t>Órgão Público do Poder Judiciário Federal</t>
  </si>
  <si>
    <t>107-4</t>
  </si>
  <si>
    <t>Órgão Público do Poder Legislativo Municipal</t>
  </si>
  <si>
    <t>106-6</t>
  </si>
  <si>
    <t>Órgão Público do Poder Legislativo Estadual ou do Distrito Federal</t>
  </si>
  <si>
    <t>105-8</t>
  </si>
  <si>
    <t>Órgão Público do Poder Legislativo Federal</t>
  </si>
  <si>
    <t>104-0</t>
  </si>
  <si>
    <t>Órgão Público do Poder Executivo Municipal</t>
  </si>
  <si>
    <t>103-1</t>
  </si>
  <si>
    <t>Órgão Público do Poder Executivo Estadual ou do Distrito Federal</t>
  </si>
  <si>
    <t>102-3</t>
  </si>
  <si>
    <t>Órgão Público do Poder Executivo Federal</t>
  </si>
  <si>
    <t>101-5</t>
  </si>
  <si>
    <t xml:space="preserve"> 	Integrantes do Quadro de Sócios e Administradores (QSA)</t>
  </si>
  <si>
    <t>Categoria</t>
  </si>
  <si>
    <t>Natureza Jurídica</t>
  </si>
  <si>
    <t>Código</t>
  </si>
  <si>
    <t>Administração pública</t>
  </si>
  <si>
    <t>Organizações internacionais e outras instituições extraterritorial</t>
  </si>
  <si>
    <t>DATA ATUAL</t>
  </si>
  <si>
    <t>DATA DE CONSULTA</t>
  </si>
  <si>
    <t>00.111.222/0001-00</t>
  </si>
  <si>
    <t>00.111.222/0001-01</t>
  </si>
  <si>
    <t>00.111.222/0001-02</t>
  </si>
  <si>
    <t>00.111.222/0001-04</t>
  </si>
  <si>
    <t>00.111.222/0001-05</t>
  </si>
  <si>
    <t>00.111.222/0001-06</t>
  </si>
  <si>
    <t>00.111.222/0001-07</t>
  </si>
  <si>
    <t>00.111.222/0001-08</t>
  </si>
  <si>
    <t>00.111.222/0001-09</t>
  </si>
  <si>
    <t>00.111.222/0001-10</t>
  </si>
  <si>
    <t>00.111.222/0001-11</t>
  </si>
  <si>
    <t>00.111.222/0001-12</t>
  </si>
  <si>
    <t>Serviços de prótese dentária</t>
  </si>
  <si>
    <t>Serviço de laboratório óptico</t>
  </si>
  <si>
    <t>Administração de obras</t>
  </si>
  <si>
    <t>Representantes comerciais e agentes do comércio de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</si>
  <si>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</si>
  <si>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</si>
  <si>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</si>
  <si>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</si>
  <si>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</si>
  <si>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peças e acessórios para motocicletas e motonetas</t>
  </si>
  <si>
    <t>Comércio a varejo de peças e acessórios novos para motocicletas e motonetas</t>
  </si>
  <si>
    <t>Comércio a varejo de peças e acessórios usados para motocicletas e motonetas</t>
  </si>
  <si>
    <t>Representantes comerciais e agentes do comércio de motocicletas e motonetas, peças e acessórios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</si>
  <si>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</si>
  <si>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</si>
  <si>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</si>
  <si>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</si>
  <si>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</si>
  <si>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</si>
  <si>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</si>
  <si>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</si>
  <si>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</si>
  <si>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</si>
  <si>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</si>
  <si>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</si>
  <si>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varejista de mercadorias em geral, com predominância de produtos alimentícios – hipermercados</t>
  </si>
  <si>
    <t>Comércio varejista de mercadorias em geral, com predominância de produtos alimentícios – supermercados</t>
  </si>
  <si>
    <t>Comércio varejista de mercadorias em geral, com predominância de produtos alimentícios – minimercados, mercearias e armazéns</t>
  </si>
  <si>
    <t>Lojas de variedades, exceto lojas de departamentos ou magazines</t>
  </si>
  <si>
    <t>Lojas de departamentos ou magazines, exceto lojas francas (Duty free)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</si>
  <si>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</si>
  <si>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</si>
  <si>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</si>
  <si>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bebidas</t>
  </si>
  <si>
    <t>Comércio varejista de hortifrutigranjeiros</t>
  </si>
  <si>
    <t>Tabacaria</t>
  </si>
  <si>
    <t>Comércio varejista de produtos alimentícios em geral ou especializado em produtos alimentícios não especificados anteriormente</t>
  </si>
  <si>
    <t>Comércio varejista de vidros</t>
  </si>
  <si>
    <t>Comércio varejista de madeira e artefatos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</si>
  <si>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</si>
  <si>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</si>
  <si>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</si>
  <si>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</si>
  <si>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</si>
  <si>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</si>
  <si>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</si>
  <si>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</si>
  <si>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Comércio varejista de artigos de armarinho</t>
  </si>
  <si>
    <t>Comércio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</si>
  <si>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</si>
  <si>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</si>
  <si>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</si>
  <si>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</si>
  <si>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</si>
  <si>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</si>
  <si>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</si>
  <si>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</si>
  <si>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</si>
  <si>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</si>
  <si>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 peças e acessórios</t>
  </si>
  <si>
    <t>Comércio varejista de artigos de caça, pesca e camping</t>
  </si>
  <si>
    <t>Comércio varejista de cosméticos, produtos de perfumaria e de higiene pessoal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</si>
  <si>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</si>
  <si>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</si>
  <si>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</si>
  <si>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</si>
  <si>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relojoaria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</si>
  <si>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</si>
  <si>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</si>
  <si>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</si>
  <si>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</si>
  <si>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</si>
  <si>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equipamentos para escritório</t>
  </si>
  <si>
    <t>Comércio varejista de artigos fotográficos e para filmagem</t>
  </si>
  <si>
    <t>Comércio varejista de outros produtos não especificados anteriormente</t>
  </si>
  <si>
    <t>Restaurantes e similares</t>
  </si>
  <si>
    <t>Lanchonetes, casas de chá, de sucos e similares</t>
  </si>
  <si>
    <t>Bares e outros estabelecimentos especializados em servir bebidas, sem entretenimento</t>
  </si>
  <si>
    <t>Fornecimento de alimentos preparados preponderantemente para empresas</t>
  </si>
  <si>
    <t>Cantinas – serviços de alimentação privativos</t>
  </si>
  <si>
    <t>Fornecimento de alimentos preparados preponderantemente para consumo domiciliar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</si>
  <si>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</si>
  <si>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</si>
  <si>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</si>
  <si>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</si>
  <si>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</si>
  <si>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</si>
  <si>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</si>
  <si>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</si>
  <si>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</si>
  <si>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Desenvolvimento de programas de computador sob encomenda</t>
  </si>
  <si>
    <t>Web design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</si>
  <si>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</si>
  <si>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</si>
  <si>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</si>
  <si>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</si>
  <si>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</si>
  <si>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</si>
  <si>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</si>
  <si>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</si>
  <si>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Correspondentes de instituições financeiras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</si>
  <si>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</si>
  <si>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</si>
  <si>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</si>
  <si>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</si>
  <si>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Corretagem na compra e venda e avaliação de imóveis</t>
  </si>
  <si>
    <t>Corretagem no aluguel de imóveis</t>
  </si>
  <si>
    <t>Serviços advocatícios</t>
  </si>
  <si>
    <t>Agente de propriedade industrial</t>
  </si>
  <si>
    <t>Atividades de consultoria em gestão empresarial, exceto consultoria técnica específica</t>
  </si>
  <si>
    <t>Serviços de arquitetura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</si>
  <si>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</si>
  <si>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</si>
  <si>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</si>
  <si>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</si>
  <si>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</si>
  <si>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</si>
  <si>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</si>
  <si>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</si>
  <si>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</si>
  <si>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</si>
  <si>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</si>
  <si>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</si>
  <si>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</si>
  <si>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</si>
  <si>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</si>
  <si>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</si>
  <si>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</si>
  <si>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 de interiores</t>
  </si>
  <si>
    <t>Design de produto</t>
  </si>
  <si>
    <t>Atividades de design não especificadas anteriormente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</si>
  <si>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</si>
  <si>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</si>
  <si>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</si>
  <si>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</si>
  <si>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</si>
  <si>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</si>
  <si>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</si>
  <si>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</si>
  <si>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</si>
  <si>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</si>
  <si>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</si>
  <si>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</si>
  <si>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</si>
  <si>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</si>
  <si>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</si>
  <si>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</si>
  <si>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</si>
  <si>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</si>
  <si>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</si>
  <si>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</si>
  <si>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</si>
  <si>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</si>
  <si>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</si>
  <si>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</si>
  <si>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</si>
  <si>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</si>
  <si>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</si>
  <si>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</si>
  <si>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Agências de viagens</t>
  </si>
  <si>
    <t>Operadores turísticos</t>
  </si>
  <si>
    <t>Serviços de reservas e outros serviços de turismo não especificados anteriormente</t>
  </si>
  <si>
    <t>Serviços de adestramento de cães de guarda</t>
  </si>
  <si>
    <t>Atividades de investigação particular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</si>
  <si>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</si>
  <si>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</si>
  <si>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</si>
  <si>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</si>
  <si>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</si>
  <si>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</si>
  <si>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</si>
  <si>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</si>
  <si>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</si>
  <si>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</si>
  <si>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Medição de consumo de energia elétrica, gás e água</t>
  </si>
  <si>
    <t>Serviços de gravação de carimbos, exceto confecção</t>
  </si>
  <si>
    <t>Salas de acesso à internet</t>
  </si>
  <si>
    <t>Outras atividades de serviços prestados principalmente às empresas não especificadas anteriormente</t>
  </si>
  <si>
    <t>Educação infantil – creche</t>
  </si>
  <si>
    <t>Educação infantil – pré-escola</t>
  </si>
  <si>
    <t>Ensino fundamental</t>
  </si>
  <si>
    <t>Ensino médio</t>
  </si>
  <si>
    <t>Educação superior – graduação</t>
  </si>
  <si>
    <t>Educação superior – graduação e pós-graduação</t>
  </si>
  <si>
    <t>Educação superior – pós-graduação e extensão</t>
  </si>
  <si>
    <t>Educação profissional de nível técnico</t>
  </si>
  <si>
    <t>Educação profissional de nível tecnológico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</si>
  <si>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</si>
  <si>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</si>
  <si>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</si>
  <si>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</si>
  <si>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</si>
  <si>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</si>
  <si>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</si>
  <si>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</si>
  <si>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</si>
  <si>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</si>
  <si>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</si>
  <si>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</si>
  <si>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</si>
  <si>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</si>
  <si>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</si>
  <si>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</si>
  <si>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</si>
  <si>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</si>
  <si>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</si>
  <si>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</si>
  <si>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</si>
  <si>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</si>
  <si>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</si>
  <si>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</si>
  <si>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</si>
  <si>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</si>
  <si>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– ECG, EEG e outros exames análogos</t>
  </si>
  <si>
    <t>Serviços de diagnóstico por métodos ópticos –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</si>
  <si>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</si>
  <si>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</si>
  <si>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</si>
  <si>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</si>
  <si>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</si>
  <si>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</si>
  <si>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</si>
  <si>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</si>
  <si>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</si>
  <si>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</si>
  <si>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</si>
  <si>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</si>
  <si>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</si>
  <si>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</si>
  <si>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</si>
  <si>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</si>
  <si>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acupuntura</t>
  </si>
  <si>
    <t>Atividades de podologia</t>
  </si>
  <si>
    <t>Outras atividades de atenção à saúde humana não especificadas anteriormente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</si>
  <si>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</si>
  <si>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</si>
  <si>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</si>
  <si>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</si>
  <si>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</si>
  <si>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</si>
  <si>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especificadas anteriormente</t>
  </si>
  <si>
    <t>Atividades de artistas plásticos, jornalistas independentes e escritores</t>
  </si>
  <si>
    <t>Restauração de obras de arte</t>
  </si>
  <si>
    <t>Gestão de instalações de esportes</t>
  </si>
  <si>
    <t>Atividades de condicionamento físico</t>
  </si>
  <si>
    <t>Produção e promoção de eventos esportivos</t>
  </si>
  <si>
    <t>Outras atividades esportivas não especificadas anteriormente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</si>
  <si>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</si>
  <si>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</si>
  <si>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</si>
  <si>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</si>
  <si>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</si>
  <si>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</si>
  <si>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</si>
  <si>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</si>
  <si>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</si>
  <si>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</si>
  <si>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</si>
  <si>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</si>
  <si>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</si>
  <si>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</si>
  <si>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</si>
  <si>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</si>
  <si>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</si>
  <si>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Cabeleireiros, manicure e pedicure</t>
  </si>
  <si>
    <t>Atividades de Estética e outros serviços de cuidados com a beleza</t>
  </si>
  <si>
    <t>Agências matrimoniais</t>
  </si>
  <si>
    <t>Atividades de sauna e banhos</t>
  </si>
  <si>
    <t>Serviços de tatuagem e colocação de piercing</t>
  </si>
  <si>
    <t>Alojamento de animais domésticos</t>
  </si>
  <si>
    <t>Higiene e embelezamento de animais domésticos</t>
  </si>
  <si>
    <t>Outras atividades de serviços pessoais não especificadas anteriormente</t>
  </si>
  <si>
    <t>Serviço de preparação de terreno, cultivo e colheita</t>
  </si>
  <si>
    <t>Serviço de manejo de animais</t>
  </si>
  <si>
    <t>Atividades de apoio à aqüicultura em água doce</t>
  </si>
  <si>
    <t>Fabricação de gelo comum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</si>
  <si>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</si>
  <si>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</si>
  <si>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</si>
  <si>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</si>
  <si>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</si>
  <si>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</si>
  <si>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</si>
  <si>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</si>
  <si>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</si>
  <si>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</si>
  <si>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</si>
  <si>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</si>
  <si>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</si>
  <si>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</si>
  <si>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</si>
  <si>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</si>
  <si>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</si>
  <si>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</si>
  <si>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</si>
  <si>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</si>
  <si>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</si>
  <si>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</si>
  <si>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</si>
  <si>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</si>
  <si>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</si>
  <si>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</si>
  <si>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</si>
  <si>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</si>
  <si>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</si>
  <si>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</si>
  <si>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</si>
  <si>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</si>
  <si>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</si>
  <si>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</si>
  <si>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</si>
  <si>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</si>
  <si>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Pintura para sinalização em pistas rodoviárias e aeroportos</t>
  </si>
  <si>
    <t>Manutenção de redes de distribuição de energia elétrica</t>
  </si>
  <si>
    <t>Manutenção de estações e redes de telecomunicações</t>
  </si>
  <si>
    <t>Obras de terraplenagem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</si>
  <si>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</si>
  <si>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</si>
  <si>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</si>
  <si>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</si>
  <si>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</si>
  <si>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</si>
  <si>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</t>
  </si>
  <si>
    <t>Montagem e instalação de sistemas e equipamentos de iluminação e sinalização em vias públicas, portos e aeroportos</t>
  </si>
  <si>
    <t>Tratamentos térmicos, acústicos ou de vibração</t>
  </si>
  <si>
    <t>Montagem e desmontagem de andaimes e outras estruturas temporárias</t>
  </si>
  <si>
    <t>Comércio a varejo de automóveis, camionetas e utilitários novos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</si>
  <si>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</si>
  <si>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</si>
  <si>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</si>
  <si>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</si>
  <si>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</si>
  <si>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</si>
  <si>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</si>
  <si>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</si>
  <si>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por atacado de peças e acessórios novos para veículos automotores</t>
  </si>
  <si>
    <t>Comércio a varejo de motocicletas e motonetas novas</t>
  </si>
  <si>
    <t>Comércio a varejo de motocicletas e motonetas usadas</t>
  </si>
  <si>
    <t>Manutenção e reparação de motocicletas e motonetas</t>
  </si>
  <si>
    <t>Peixaria</t>
  </si>
  <si>
    <t>Comércio varejista de mercadorias em lojas de conveniência</t>
  </si>
  <si>
    <t>Comércio varejista de tintas e materiais para pintura</t>
  </si>
  <si>
    <t>Comércio varejista de material elétrico</t>
  </si>
  <si>
    <t>Comércio varejista de ferragens e ferramentas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</si>
  <si>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</si>
  <si>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</si>
  <si>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</si>
  <si>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</si>
  <si>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</si>
  <si>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de embarcações e outros veículos recreativos peças e acessórios</t>
  </si>
  <si>
    <t>Comércio varejista de medicamentos veterinários</t>
  </si>
  <si>
    <t>Comércio varejista de artigos médicos e ortopédicos</t>
  </si>
  <si>
    <t>Comércio varejista de produtos saneantes domissanitários</t>
  </si>
  <si>
    <t>Comércio varejista de fogos de artifício e artigos pirotécnicos</t>
  </si>
  <si>
    <t>Comércio varejista de armas e munições</t>
  </si>
  <si>
    <t>Guarda-móveis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</si>
  <si>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</si>
  <si>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</si>
  <si>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</si>
  <si>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</si>
  <si>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</si>
  <si>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</si>
  <si>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</si>
  <si>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</si>
  <si>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</si>
  <si>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Serviços de alimentação para eventos e recepções – bufê</t>
  </si>
  <si>
    <t>Edição de livros</t>
  </si>
  <si>
    <t>Edição de jornais diários</t>
  </si>
  <si>
    <t>Edição de jornais não diários</t>
  </si>
  <si>
    <t>Edição de revistas</t>
  </si>
  <si>
    <t>Edição de cadastros, listas e outros produtos gráficos</t>
  </si>
  <si>
    <t>Gestão e administração da propriedade imobiliária</t>
  </si>
  <si>
    <t>Locação de automóveis sem condutor</t>
  </si>
  <si>
    <t>Atividades de monitoramento de sistemas de segurança eletrônico</t>
  </si>
  <si>
    <t>Fotocópias</t>
  </si>
  <si>
    <t>Formação de condutores</t>
  </si>
  <si>
    <t>Cursos de pilotagem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</si>
  <si>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</si>
  <si>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</si>
  <si>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</si>
  <si>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</si>
  <si>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Atividades de banco de leite humano</t>
  </si>
  <si>
    <t>Clínicas e residências geriátricas</t>
  </si>
  <si>
    <t>Instituições de longa permanência para idosos</t>
  </si>
  <si>
    <t>Atividades de fornecimento de infra-estrutura de apoio e assistência a paciente no domicílio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</si>
  <si>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</si>
  <si>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</si>
  <si>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</si>
  <si>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</si>
  <si>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Agentes de investimentos em aplicações financeiras</t>
  </si>
  <si>
    <t>Atividades auxiliares da justiça</t>
  </si>
  <si>
    <t>CNAE</t>
  </si>
  <si>
    <t>Descrição</t>
  </si>
  <si>
    <t>EMPRESA / CLIENTE</t>
  </si>
  <si>
    <t>Maria</t>
  </si>
  <si>
    <t>José</t>
  </si>
  <si>
    <t>João</t>
  </si>
  <si>
    <t>Carla</t>
  </si>
  <si>
    <t>Larissa</t>
  </si>
  <si>
    <t>Status de Aprovação</t>
  </si>
  <si>
    <t>Aprovado</t>
  </si>
  <si>
    <t>Em Análise</t>
  </si>
  <si>
    <t>CNPJ / CPF</t>
  </si>
  <si>
    <t>Atividade Econômica</t>
  </si>
  <si>
    <t>DECISÃO NA ANÁLISE DE CRÉDITO</t>
  </si>
  <si>
    <t>CNPJ /CPF</t>
  </si>
  <si>
    <t>Critérios</t>
  </si>
  <si>
    <t>-</t>
  </si>
  <si>
    <t>teste@teste.com.br</t>
  </si>
  <si>
    <t>LOJA</t>
  </si>
  <si>
    <t>TELEFONIA</t>
  </si>
  <si>
    <t>OUTROS</t>
  </si>
  <si>
    <t>Médio</t>
  </si>
  <si>
    <t>ME (Microempresa)</t>
  </si>
  <si>
    <t>EPP (Empresa de Pequeno Porte)</t>
  </si>
  <si>
    <t>MEI (Microempreendedor Individual)</t>
  </si>
  <si>
    <t>00.111.222/0001-03</t>
  </si>
  <si>
    <t>Alto</t>
  </si>
  <si>
    <t>Pontuação (0 a 1000)</t>
  </si>
  <si>
    <t>Classificação de Risco</t>
  </si>
  <si>
    <t>901 - 1000</t>
  </si>
  <si>
    <t>Risco muito baixo de inadimplência.</t>
  </si>
  <si>
    <t>701 - 900</t>
  </si>
  <si>
    <t>Médio-Baixo</t>
  </si>
  <si>
    <t>Risco moderado, mas com boa chance de pagamento.</t>
  </si>
  <si>
    <t>501 - 700</t>
  </si>
  <si>
    <t>Risco médio, possibilidade de inadimplência.</t>
  </si>
  <si>
    <t>301 - 500</t>
  </si>
  <si>
    <t>Médio-Alto</t>
  </si>
  <si>
    <t>Risco elevado de inadimplência.</t>
  </si>
  <si>
    <t>0 - 300</t>
  </si>
  <si>
    <t>Risco muito alto, grande chance de inadimplência.</t>
  </si>
  <si>
    <t xml:space="preserve">MEI (Microempreendedor Individual): </t>
  </si>
  <si>
    <t>Pontuação 70-80, pois normalmente são negócios pequenos com menor risco, mas dependem da saúde financeira do empreendedor.</t>
  </si>
  <si>
    <t>ME (Microempresa):</t>
  </si>
  <si>
    <t xml:space="preserve">EPP (Empresa de Pequeno Porte): </t>
  </si>
  <si>
    <t>Pontuação 90-95, empresas maiores têm mais estabilidade, porém ainda apresentam algum risco.</t>
  </si>
  <si>
    <t xml:space="preserve">LTDA (Sociedade Limitada): </t>
  </si>
  <si>
    <t>Pontuação 95-100, empresas com boa estrutura e capacidade de gestão financeira.</t>
  </si>
  <si>
    <t>S/A (Sociedade Anônima):</t>
  </si>
  <si>
    <t xml:space="preserve"> Pontuação 100, empresas grandes e com boa reputação no mercado.</t>
  </si>
  <si>
    <t>Pontuação 80-90, um pouco mais estruturada e com maior estabilidade financeira.</t>
  </si>
  <si>
    <t>CLASSIFICAÇÃO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</si>
  <si>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</si>
  <si>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</si>
  <si>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</si>
  <si>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</si>
  <si>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</si>
  <si>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</si>
  <si>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</si>
  <si>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</si>
  <si>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</si>
  <si>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</si>
  <si>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</si>
  <si>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</si>
  <si>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</si>
  <si>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Quantidade de Consultas no Serasa</t>
  </si>
  <si>
    <t>LTDA (Sociedade Limitada)</t>
  </si>
  <si>
    <t>S/A (Sociedade Anônima)</t>
  </si>
  <si>
    <t>Sociedade Anônima</t>
  </si>
  <si>
    <t>PF (Pessoa Física)</t>
  </si>
  <si>
    <t>TOTAL</t>
  </si>
  <si>
    <t>9609-2/99</t>
  </si>
  <si>
    <t>9529-1/99</t>
  </si>
  <si>
    <t>9521-5/00</t>
  </si>
  <si>
    <t>9512-6/00</t>
  </si>
  <si>
    <t>9511-8/00</t>
  </si>
  <si>
    <t>9329-8/99</t>
  </si>
  <si>
    <t>9319-1/99</t>
  </si>
  <si>
    <t>9313-1/00</t>
  </si>
  <si>
    <t>9311-5/00</t>
  </si>
  <si>
    <t>9101-5/00</t>
  </si>
  <si>
    <t>9003-5/00</t>
  </si>
  <si>
    <t>9001-9/99</t>
  </si>
  <si>
    <t>8712-3/00</t>
  </si>
  <si>
    <t>8690-9/99</t>
  </si>
  <si>
    <t>8660-7/00</t>
  </si>
  <si>
    <t>8650-0/99</t>
  </si>
  <si>
    <t>8650-0/07</t>
  </si>
  <si>
    <t>8650-0/06</t>
  </si>
  <si>
    <t>8650-0/05</t>
  </si>
  <si>
    <t>8650-0/04</t>
  </si>
  <si>
    <t>8650-0/03</t>
  </si>
  <si>
    <t>8650-0/02</t>
  </si>
  <si>
    <t>8650-0/01</t>
  </si>
  <si>
    <t>8640-2/99</t>
  </si>
  <si>
    <t>8630-5/99</t>
  </si>
  <si>
    <t>8622-4/00</t>
  </si>
  <si>
    <t>8599-6/99</t>
  </si>
  <si>
    <t>8593-7/00</t>
  </si>
  <si>
    <t>8592-9/99</t>
  </si>
  <si>
    <t>8591-1/00</t>
  </si>
  <si>
    <t>8542-2/00</t>
  </si>
  <si>
    <t>8541-4/00</t>
  </si>
  <si>
    <t>8533-3/00</t>
  </si>
  <si>
    <t>8532-5/00</t>
  </si>
  <si>
    <t>8531-7/00</t>
  </si>
  <si>
    <t>8520-1/00</t>
  </si>
  <si>
    <t>8513-9/00</t>
  </si>
  <si>
    <t>8512-1/00</t>
  </si>
  <si>
    <t>8511-2/00</t>
  </si>
  <si>
    <t>8299-7/99</t>
  </si>
  <si>
    <t>8291-1/00</t>
  </si>
  <si>
    <t>8230-0/02</t>
  </si>
  <si>
    <t>8230-0/01</t>
  </si>
  <si>
    <t>8220-2/00</t>
  </si>
  <si>
    <t>8219-9/99</t>
  </si>
  <si>
    <t>8211-3/00</t>
  </si>
  <si>
    <t>8130-3/00</t>
  </si>
  <si>
    <t>8129-0/00</t>
  </si>
  <si>
    <t>8122-2/00</t>
  </si>
  <si>
    <t>8121-4/00</t>
  </si>
  <si>
    <t>8030-7/00</t>
  </si>
  <si>
    <t>8020-0/01</t>
  </si>
  <si>
    <t>7990-2/00</t>
  </si>
  <si>
    <t>7912-1/00</t>
  </si>
  <si>
    <t>7911-2/00</t>
  </si>
  <si>
    <t>7740-3/00</t>
  </si>
  <si>
    <t>7739-0/99</t>
  </si>
  <si>
    <t>7739-0/03</t>
  </si>
  <si>
    <t>7739-0/02</t>
  </si>
  <si>
    <t>7739-0/01</t>
  </si>
  <si>
    <t>7733-1/00</t>
  </si>
  <si>
    <t>7731-4/00</t>
  </si>
  <si>
    <t>7729-2/99</t>
  </si>
  <si>
    <t>7723-3/00</t>
  </si>
  <si>
    <t>7722-5/00</t>
  </si>
  <si>
    <t>7721-7/00</t>
  </si>
  <si>
    <t>7711-0/00</t>
  </si>
  <si>
    <t>7500-1/00</t>
  </si>
  <si>
    <t>7490-1/99</t>
  </si>
  <si>
    <t>7420-0/05</t>
  </si>
  <si>
    <t>7420-0/04</t>
  </si>
  <si>
    <t>7420-0/03</t>
  </si>
  <si>
    <t>7420-0/02</t>
  </si>
  <si>
    <t>7420-0/01</t>
  </si>
  <si>
    <t>7410-2/99</t>
  </si>
  <si>
    <t>7320-3/00</t>
  </si>
  <si>
    <t>7319-0/99</t>
  </si>
  <si>
    <t>7319-0/04</t>
  </si>
  <si>
    <t>7319-0/03</t>
  </si>
  <si>
    <t>7319-0/02</t>
  </si>
  <si>
    <t>7319-0/01</t>
  </si>
  <si>
    <t>7312-2/00</t>
  </si>
  <si>
    <t>7311-4/00</t>
  </si>
  <si>
    <t>7220-7/00</t>
  </si>
  <si>
    <t>7210-0/00</t>
  </si>
  <si>
    <t>7120-1/00</t>
  </si>
  <si>
    <t>7119-7/99</t>
  </si>
  <si>
    <t>7112-0/00</t>
  </si>
  <si>
    <t>7111-1/00</t>
  </si>
  <si>
    <t>7020-4/00</t>
  </si>
  <si>
    <t>6822-6/00</t>
  </si>
  <si>
    <t>6629-1/00</t>
  </si>
  <si>
    <t>6622-3/00</t>
  </si>
  <si>
    <t>6399-2/00</t>
  </si>
  <si>
    <t>6391-7/00</t>
  </si>
  <si>
    <t>6319-4/00</t>
  </si>
  <si>
    <t>6311-9/00</t>
  </si>
  <si>
    <t>6209-1/00</t>
  </si>
  <si>
    <t>6204-0/00</t>
  </si>
  <si>
    <t>6203-1/00</t>
  </si>
  <si>
    <t>6202-3/00</t>
  </si>
  <si>
    <t>5920-1/00</t>
  </si>
  <si>
    <t>5914-6/00</t>
  </si>
  <si>
    <t>5913-8/00</t>
  </si>
  <si>
    <t>5912-0/99</t>
  </si>
  <si>
    <t>5912-0/02</t>
  </si>
  <si>
    <t>5912-0/01</t>
  </si>
  <si>
    <t>5911-1/99</t>
  </si>
  <si>
    <t>5819-1/00</t>
  </si>
  <si>
    <t>5813-1/00</t>
  </si>
  <si>
    <t>5811-5/00</t>
  </si>
  <si>
    <t>5590-6/99</t>
  </si>
  <si>
    <t>4789-0/99</t>
  </si>
  <si>
    <t>4789-0/09</t>
  </si>
  <si>
    <t>4789-0/08</t>
  </si>
  <si>
    <t>4789-0/07</t>
  </si>
  <si>
    <t>4789-0/06</t>
  </si>
  <si>
    <t>4789-0/05</t>
  </si>
  <si>
    <t>4789-0/03</t>
  </si>
  <si>
    <t>4789-0/02</t>
  </si>
  <si>
    <t>4789-0/01</t>
  </si>
  <si>
    <t>4785-7/99</t>
  </si>
  <si>
    <t>4781-4/00</t>
  </si>
  <si>
    <t>4774-1/00</t>
  </si>
  <si>
    <t>4773-3/00</t>
  </si>
  <si>
    <t>4772-5/00</t>
  </si>
  <si>
    <t>4762-8/00</t>
  </si>
  <si>
    <t>4761-0/03</t>
  </si>
  <si>
    <t>4761-0/02</t>
  </si>
  <si>
    <t>4761-0/01</t>
  </si>
  <si>
    <t>4759-8/99</t>
  </si>
  <si>
    <t>4757-1/00</t>
  </si>
  <si>
    <t>4756-3/00</t>
  </si>
  <si>
    <t>4753-9/00</t>
  </si>
  <si>
    <t>4752-1/00</t>
  </si>
  <si>
    <t>4744-0/99</t>
  </si>
  <si>
    <t>4744-0/06</t>
  </si>
  <si>
    <t>4744-0/05</t>
  </si>
  <si>
    <t>4744-0/04</t>
  </si>
  <si>
    <t>4744-0/03</t>
  </si>
  <si>
    <t>4744-0/02</t>
  </si>
  <si>
    <t>4744-0/01</t>
  </si>
  <si>
    <t>4743-1/00</t>
  </si>
  <si>
    <t>4742-3/00</t>
  </si>
  <si>
    <t>4741-5/00</t>
  </si>
  <si>
    <t>4729-6/99</t>
  </si>
  <si>
    <t>4724-5/00</t>
  </si>
  <si>
    <t>4723-7/00</t>
  </si>
  <si>
    <t>4713-0/04</t>
  </si>
  <si>
    <t>4713-0/02</t>
  </si>
  <si>
    <t>4712-1/00</t>
  </si>
  <si>
    <t>4619-2/00</t>
  </si>
  <si>
    <t>4618-4/99</t>
  </si>
  <si>
    <t>4617-6/00</t>
  </si>
  <si>
    <t>4616-8/00</t>
  </si>
  <si>
    <t>4615-0/00</t>
  </si>
  <si>
    <t>4614-1/00</t>
  </si>
  <si>
    <t>4613-3/00</t>
  </si>
  <si>
    <t>4612-5/00</t>
  </si>
  <si>
    <t>4611-7/00</t>
  </si>
  <si>
    <t>4543-9/00</t>
  </si>
  <si>
    <t>4520-0/08</t>
  </si>
  <si>
    <t>4520-0/07</t>
  </si>
  <si>
    <t>4520-0/06</t>
  </si>
  <si>
    <t>4520-0/05</t>
  </si>
  <si>
    <t>4520-0/04</t>
  </si>
  <si>
    <t>4520-0/03</t>
  </si>
  <si>
    <t>4520-0/02</t>
  </si>
  <si>
    <t>4520-0/01</t>
  </si>
  <si>
    <t>4321-5/00</t>
  </si>
  <si>
    <t>4313-4/00</t>
  </si>
  <si>
    <t>3321-0/00</t>
  </si>
  <si>
    <t>3319-8/00</t>
  </si>
  <si>
    <t>3315-5/00</t>
  </si>
  <si>
    <t>3314-7/99</t>
  </si>
  <si>
    <t>3313-9/99</t>
  </si>
  <si>
    <t>1099-6/04</t>
  </si>
  <si>
    <t>3250-7/06</t>
  </si>
  <si>
    <t>3250-7/09</t>
  </si>
  <si>
    <t>3312-1/02</t>
  </si>
  <si>
    <t>3312-1/03</t>
  </si>
  <si>
    <t>3312-1/04</t>
  </si>
  <si>
    <t>3313-9/01</t>
  </si>
  <si>
    <t>3313-9/02</t>
  </si>
  <si>
    <t>3314-7/01</t>
  </si>
  <si>
    <t>3314-7/02</t>
  </si>
  <si>
    <t>3314-7/03</t>
  </si>
  <si>
    <t>3314-7/04</t>
  </si>
  <si>
    <t>3314-7/05</t>
  </si>
  <si>
    <t>3314-7/06</t>
  </si>
  <si>
    <t>3314-7/07</t>
  </si>
  <si>
    <t>3314-7/08</t>
  </si>
  <si>
    <t>3314-7/09</t>
  </si>
  <si>
    <t>3314-7/10</t>
  </si>
  <si>
    <t>3314-7/11</t>
  </si>
  <si>
    <t>3314-7/12</t>
  </si>
  <si>
    <t>3314-7/13</t>
  </si>
  <si>
    <t>3314-7/14</t>
  </si>
  <si>
    <t>3314-7/15</t>
  </si>
  <si>
    <t>3314-7/16</t>
  </si>
  <si>
    <t>3314-7/17</t>
  </si>
  <si>
    <t>3314-7/18</t>
  </si>
  <si>
    <t>3314-7/19</t>
  </si>
  <si>
    <t>3314-7/20</t>
  </si>
  <si>
    <t>3314-7/21</t>
  </si>
  <si>
    <t>3314-7/22</t>
  </si>
  <si>
    <t>3316-3/01</t>
  </si>
  <si>
    <t>3316-3/02</t>
  </si>
  <si>
    <t>3317-1/01</t>
  </si>
  <si>
    <t>3317-1/02</t>
  </si>
  <si>
    <t>4211-1/02</t>
  </si>
  <si>
    <t>4221-9/03</t>
  </si>
  <si>
    <t>4221-9/05</t>
  </si>
  <si>
    <t>4322-3/01</t>
  </si>
  <si>
    <t>4322-3/02</t>
  </si>
  <si>
    <t>4322-3/03</t>
  </si>
  <si>
    <t>4329-1/01</t>
  </si>
  <si>
    <t>4329-1/02</t>
  </si>
  <si>
    <t>4329-1/03</t>
  </si>
  <si>
    <t>4329-1/04</t>
  </si>
  <si>
    <t>4329-1/05</t>
  </si>
  <si>
    <t>4399-1/01</t>
  </si>
  <si>
    <t>4399-1/02</t>
  </si>
  <si>
    <t>4511-1/01</t>
  </si>
  <si>
    <t>4512-9/01</t>
  </si>
  <si>
    <t>4530-7/01</t>
  </si>
  <si>
    <t>4530-7/02</t>
  </si>
  <si>
    <t>4530-7/03</t>
  </si>
  <si>
    <t>4530-7/04</t>
  </si>
  <si>
    <t>4530-7/05</t>
  </si>
  <si>
    <t>4530-7/06</t>
  </si>
  <si>
    <t>4541-2/02</t>
  </si>
  <si>
    <t>4541-2/03</t>
  </si>
  <si>
    <t>4541-2/04</t>
  </si>
  <si>
    <t>4541-2/06</t>
  </si>
  <si>
    <t>4541-2/07</t>
  </si>
  <si>
    <t>4542-1/01</t>
  </si>
  <si>
    <t>4618-4/01</t>
  </si>
  <si>
    <t>4618-4/02</t>
  </si>
  <si>
    <t>4618-4/03</t>
  </si>
  <si>
    <t>4711-3/01</t>
  </si>
  <si>
    <t>4711-3/02</t>
  </si>
  <si>
    <t>4721-1/02</t>
  </si>
  <si>
    <t>4721-1/03</t>
  </si>
  <si>
    <t>4721-1/04</t>
  </si>
  <si>
    <t>4722-9/02</t>
  </si>
  <si>
    <t>4729-6/01</t>
  </si>
  <si>
    <t>4729-6/02</t>
  </si>
  <si>
    <t>4751-2/01</t>
  </si>
  <si>
    <t>4751-2/02</t>
  </si>
  <si>
    <t>4754-7/01</t>
  </si>
  <si>
    <t>4754-7/02</t>
  </si>
  <si>
    <t>4754-7/03</t>
  </si>
  <si>
    <t>4755-5/01</t>
  </si>
  <si>
    <t>4755-5/02</t>
  </si>
  <si>
    <t>4755-5/03</t>
  </si>
  <si>
    <t>4759-8/01</t>
  </si>
  <si>
    <t>4763-6/01</t>
  </si>
  <si>
    <t>4763-6/02</t>
  </si>
  <si>
    <t>4763-6/03</t>
  </si>
  <si>
    <t>4763-6/04</t>
  </si>
  <si>
    <t>4763-6/05</t>
  </si>
  <si>
    <t>4771-7/04</t>
  </si>
  <si>
    <t>4782-2/01</t>
  </si>
  <si>
    <t>4782-2/02</t>
  </si>
  <si>
    <t>4783-1/02</t>
  </si>
  <si>
    <t>4785-7/01</t>
  </si>
  <si>
    <t>5211-7/02</t>
  </si>
  <si>
    <t>5320-2/01</t>
  </si>
  <si>
    <t>5320-2/02</t>
  </si>
  <si>
    <t>5510-8/01</t>
  </si>
  <si>
    <t>5510-8/02</t>
  </si>
  <si>
    <t>5510-8/03</t>
  </si>
  <si>
    <t>5590-6/01</t>
  </si>
  <si>
    <t>5590-6/02</t>
  </si>
  <si>
    <t>5590-6/03</t>
  </si>
  <si>
    <t>5611-2/01</t>
  </si>
  <si>
    <t>5611-2/03</t>
  </si>
  <si>
    <t>5611-2/04</t>
  </si>
  <si>
    <t>5620-1/01</t>
  </si>
  <si>
    <t>5620-1/02</t>
  </si>
  <si>
    <t>5620-1/03</t>
  </si>
  <si>
    <t>5620-1/04</t>
  </si>
  <si>
    <t>5812-3/01</t>
  </si>
  <si>
    <t>5812-3/02</t>
  </si>
  <si>
    <t>5911-1/01</t>
  </si>
  <si>
    <t>5911-1/02</t>
  </si>
  <si>
    <t>6201-5/01</t>
  </si>
  <si>
    <t>6201-5/02</t>
  </si>
  <si>
    <t>6612-6/05</t>
  </si>
  <si>
    <t>6619-3/02</t>
  </si>
  <si>
    <t>6621-5/01</t>
  </si>
  <si>
    <t>6621-5/02</t>
  </si>
  <si>
    <t>6821-8/01</t>
  </si>
  <si>
    <t>6821-8/02</t>
  </si>
  <si>
    <t>6911-7/01</t>
  </si>
  <si>
    <t>6911-7/02</t>
  </si>
  <si>
    <t>6911-7/03</t>
  </si>
  <si>
    <t>7119-7/01</t>
  </si>
  <si>
    <t>7119-7/02</t>
  </si>
  <si>
    <t>7119-7/03</t>
  </si>
  <si>
    <t>7119-7/04</t>
  </si>
  <si>
    <t>7410-2/02</t>
  </si>
  <si>
    <t>7410-2/03</t>
  </si>
  <si>
    <t>7490-1/01</t>
  </si>
  <si>
    <t>7490-1/02</t>
  </si>
  <si>
    <t>7490-1/03</t>
  </si>
  <si>
    <t>7490-1/04</t>
  </si>
  <si>
    <t>7490-1/05</t>
  </si>
  <si>
    <t>7729-2/01</t>
  </si>
  <si>
    <t>7729-2/02</t>
  </si>
  <si>
    <t>7729-2/03</t>
  </si>
  <si>
    <t>7732-2/01</t>
  </si>
  <si>
    <t>7732-2/02</t>
  </si>
  <si>
    <t>8011-1/02</t>
  </si>
  <si>
    <t>8219-9/01</t>
  </si>
  <si>
    <t>8299-7/01</t>
  </si>
  <si>
    <t>8299-7/03</t>
  </si>
  <si>
    <t>8299-7/07</t>
  </si>
  <si>
    <t>8550-3/02</t>
  </si>
  <si>
    <t>8592-9/01</t>
  </si>
  <si>
    <t>8592-9/02</t>
  </si>
  <si>
    <t>8592-9/03</t>
  </si>
  <si>
    <t>8599-6/01</t>
  </si>
  <si>
    <t>8599-6/02</t>
  </si>
  <si>
    <t>8599-6/03</t>
  </si>
  <si>
    <t>8599-6/04</t>
  </si>
  <si>
    <t>8599-6/05</t>
  </si>
  <si>
    <t>8610-1/01</t>
  </si>
  <si>
    <t>8610-1/02</t>
  </si>
  <si>
    <t>8621-6/01</t>
  </si>
  <si>
    <t>8621-6/02</t>
  </si>
  <si>
    <t>8630-5/01</t>
  </si>
  <si>
    <t>8630-5/02</t>
  </si>
  <si>
    <t>8630-5/03</t>
  </si>
  <si>
    <t>8630-5/04</t>
  </si>
  <si>
    <t>8630-5/06</t>
  </si>
  <si>
    <t>8630-5/07</t>
  </si>
  <si>
    <t>8640-2/01</t>
  </si>
  <si>
    <t>8640-2/02</t>
  </si>
  <si>
    <t>8640-2/03</t>
  </si>
  <si>
    <t>8640-2/04</t>
  </si>
  <si>
    <t>8640-2/05</t>
  </si>
  <si>
    <t>8640-2/06</t>
  </si>
  <si>
    <t>8640-2/07</t>
  </si>
  <si>
    <t>8640-2/08</t>
  </si>
  <si>
    <t>8640-2/09</t>
  </si>
  <si>
    <t>8640-2/10</t>
  </si>
  <si>
    <t>8640-2/11</t>
  </si>
  <si>
    <t>8640-2/12</t>
  </si>
  <si>
    <t>8640-2/13</t>
  </si>
  <si>
    <t>8640-2/14</t>
  </si>
  <si>
    <t>8690-9/01</t>
  </si>
  <si>
    <t>8690-9/02</t>
  </si>
  <si>
    <t>8690-9/03</t>
  </si>
  <si>
    <t>8690-9/04</t>
  </si>
  <si>
    <t>8711-5/01</t>
  </si>
  <si>
    <t>8711-5/02</t>
  </si>
  <si>
    <t>9001-9/01</t>
  </si>
  <si>
    <t>9001-9/02</t>
  </si>
  <si>
    <t>9001-9/03</t>
  </si>
  <si>
    <t>9001-9/04</t>
  </si>
  <si>
    <t>9001-9/05</t>
  </si>
  <si>
    <t>9001-9/06</t>
  </si>
  <si>
    <t>9002-7/01</t>
  </si>
  <si>
    <t>9002-7/02</t>
  </si>
  <si>
    <t>9102-3/01</t>
  </si>
  <si>
    <t>9102-3/02</t>
  </si>
  <si>
    <t>9319-1/01</t>
  </si>
  <si>
    <t>9329-8/02</t>
  </si>
  <si>
    <t>9329-8/03</t>
  </si>
  <si>
    <t>9329-8/04</t>
  </si>
  <si>
    <t>9529-1/01</t>
  </si>
  <si>
    <t>9529-1/02</t>
  </si>
  <si>
    <t>9529-1/03</t>
  </si>
  <si>
    <t>9529-1/04</t>
  </si>
  <si>
    <t>9529-1/05</t>
  </si>
  <si>
    <t>9529-1/06</t>
  </si>
  <si>
    <t>9601-7/01</t>
  </si>
  <si>
    <t>9601-7/02</t>
  </si>
  <si>
    <t>9601-7/03</t>
  </si>
  <si>
    <t>9602-5/01</t>
  </si>
  <si>
    <t>9602-5/02</t>
  </si>
  <si>
    <t>9609-2/02</t>
  </si>
  <si>
    <t>9609-2/05</t>
  </si>
  <si>
    <t>9609-2/06</t>
  </si>
  <si>
    <t>9609-2/07</t>
  </si>
  <si>
    <t>9609-2/08</t>
  </si>
  <si>
    <t>161-0/03</t>
  </si>
  <si>
    <t>162-8/03</t>
  </si>
  <si>
    <t>322-1/07</t>
  </si>
  <si>
    <t>Média de consultas Anual</t>
  </si>
  <si>
    <t>Setor</t>
  </si>
  <si>
    <t>Quantidade</t>
  </si>
  <si>
    <t>auxiliar01</t>
  </si>
  <si>
    <t>auxiliar02</t>
  </si>
  <si>
    <t>4785-7/01 - Comércio varejista de antigüidades</t>
  </si>
  <si>
    <t>4783-1/02 - Comércio varejista de artigos de relojoaria</t>
  </si>
  <si>
    <t>00.111.222/0001-13</t>
  </si>
  <si>
    <t>00.111.222/0001-14</t>
  </si>
  <si>
    <t>00.111.222/0001-15</t>
  </si>
  <si>
    <t>00.111.222/0001-16</t>
  </si>
  <si>
    <t>00.111.222/0001-17</t>
  </si>
  <si>
    <t>00.111.222/0001-18</t>
  </si>
  <si>
    <t>00.111.222/0001-19</t>
  </si>
  <si>
    <t>00.111.222/0001-20</t>
  </si>
  <si>
    <t>00.111.222/0001-21</t>
  </si>
  <si>
    <t>00.111.222/0001-22</t>
  </si>
  <si>
    <t>00.111.222/0001-23</t>
  </si>
  <si>
    <t>00.111.222/0001-24</t>
  </si>
  <si>
    <t>S/A (Sociedade Anônima)Sociedade Anônima</t>
  </si>
  <si>
    <t>4785-7/99 - Comércio varejista de outros artigos usados</t>
  </si>
  <si>
    <t>4789-0/02 - Comércio varejista de plantas e flores naturais</t>
  </si>
  <si>
    <t>Sim</t>
  </si>
  <si>
    <t>Não</t>
  </si>
  <si>
    <t>EM ANÁLISE</t>
  </si>
  <si>
    <t>Departamento de Crédito/Análise de Crédito</t>
  </si>
  <si>
    <t>Potencial Cliente do Segmento Agronegócio</t>
  </si>
  <si>
    <t>ANÁLISE DE CRÉDITO</t>
  </si>
  <si>
    <t>DADOS CADASTRAIS DA EMPRESA</t>
  </si>
  <si>
    <t>COTAS A RECEBER EM ATRASO</t>
  </si>
  <si>
    <t>LIMITE DE INADIMPLÊNCIA EM VALOR</t>
  </si>
  <si>
    <t>DIAS EM ATRASO</t>
  </si>
  <si>
    <t>CONTAS A RECEBER COM + DE 30 DIAS EM ATRASO</t>
  </si>
  <si>
    <t>Ativa</t>
  </si>
  <si>
    <t>SETOR/ SOLICITANTE</t>
  </si>
  <si>
    <t>OBSERVAÇÃO</t>
  </si>
  <si>
    <t>LIBERAÇÃO DO FINANCEIRO</t>
  </si>
  <si>
    <t>PENDÊNCIAS (INTERNA) E LIMITE DE INADIMPLÊNCIA</t>
  </si>
  <si>
    <t>PENDÊNCIAS FINANCEIRAS</t>
  </si>
  <si>
    <t>Artigos de Radioterapia</t>
  </si>
  <si>
    <t>Pontuação para Empresas (CNPJ) e Pessoa Física (PF)</t>
  </si>
  <si>
    <t>Faixa de Pontuação e Classificação de Risco (serasa)</t>
  </si>
  <si>
    <t>Para Pessoa Física (PF)</t>
  </si>
  <si>
    <t>300 → Risco Alto (alta chance de inadimplência)</t>
  </si>
  <si>
    <t>301 a 500 → Risco Médio (risco moderado de inadimplência)</t>
  </si>
  <si>
    <t>501 a 700 → Bom (risco baixo, mas ainda pode melhorar)</t>
  </si>
  <si>
    <t>701 a 1000 → Muito Bom (ótima reputação financeira, alta chance de crédito aprovado)</t>
  </si>
  <si>
    <t>Pontuação de Crédito no Serasa</t>
  </si>
  <si>
    <t>RELATÓRIO DE CONSULTAS - SERASA</t>
  </si>
  <si>
    <t>DESCRIÇÃO DA ATIVIDADE ECONÔMICA (SETOR)</t>
  </si>
  <si>
    <t>4520-0/08 - Serviços de capotaria</t>
  </si>
  <si>
    <t>00.111.222/0001-25</t>
  </si>
  <si>
    <t>5590-6/02 - Campings</t>
  </si>
  <si>
    <t>EMPRESA A</t>
  </si>
  <si>
    <t>EMPRESA B</t>
  </si>
  <si>
    <t>EMPRESA C</t>
  </si>
  <si>
    <t>EMPRESA D</t>
  </si>
  <si>
    <t>EMPRESA E</t>
  </si>
  <si>
    <t>EMPRESA F</t>
  </si>
  <si>
    <t>EMPRESA G</t>
  </si>
  <si>
    <t>EMPRESA H</t>
  </si>
  <si>
    <t>EMPRESA I</t>
  </si>
  <si>
    <t>EMPRESA J</t>
  </si>
  <si>
    <t>EMPRESA K</t>
  </si>
  <si>
    <t>EMPRESA L</t>
  </si>
  <si>
    <t>EMPRESA M</t>
  </si>
  <si>
    <t>EMPRESA N</t>
  </si>
  <si>
    <t>EMPRESA O</t>
  </si>
  <si>
    <t>EMPRESA P</t>
  </si>
  <si>
    <t>EMPRESA Q</t>
  </si>
  <si>
    <t>EMPRESA R</t>
  </si>
  <si>
    <t>EMPRESA S</t>
  </si>
  <si>
    <t>EMPRESA T</t>
  </si>
  <si>
    <t>EMPRESA U</t>
  </si>
  <si>
    <t>EMPRESA V</t>
  </si>
  <si>
    <t>EMPRESA W</t>
  </si>
  <si>
    <t>EMPRESA X</t>
  </si>
  <si>
    <t>EMPRESA Y</t>
  </si>
  <si>
    <t>EMPRESA Z</t>
  </si>
  <si>
    <t>4789-0/01 - Comércio varejista de suvenires, bijuterias e artesanatos</t>
  </si>
  <si>
    <t>Vendas</t>
  </si>
  <si>
    <t>Financeiro (Contas a Receber)</t>
  </si>
  <si>
    <t>Departamento de Cobrança</t>
  </si>
  <si>
    <t>VENDEDORES</t>
  </si>
  <si>
    <t>STATUS DE APROVAÇÃO</t>
  </si>
  <si>
    <t>SETORES</t>
  </si>
  <si>
    <t>Percentual de Consultas por Solicitante – Setor de Vendas</t>
  </si>
  <si>
    <t>Reprovado</t>
  </si>
  <si>
    <t>Direção</t>
  </si>
  <si>
    <t>Jurídico</t>
  </si>
  <si>
    <t>SETOR SOLICITANTE</t>
  </si>
  <si>
    <t>4789-0/03 - Comércio varejista de objetos de arte</t>
  </si>
  <si>
    <t>RANKING</t>
  </si>
  <si>
    <t>AUX01</t>
  </si>
  <si>
    <t>DATA DE ANÁLISE</t>
  </si>
  <si>
    <t>CONTAS A RECEBER PENDENTES (A Vencer)</t>
  </si>
  <si>
    <t>Baixa</t>
  </si>
  <si>
    <t>161-0/03 - Serviço de preparação de terreno, cultivo e colheita</t>
  </si>
  <si>
    <t>CONTROLE DIÁRIO DE CONSULTAS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</si>
</sst>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96E"/>
      <name val="Calibri"/>
      <family val="2"/>
      <scheme val="minor"/>
    </font>
    <font>
      <b/>
      <sz val="11"/>
      <color rgb="FFFF096E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96E"/>
      <name val="Calibri"/>
      <family val="2"/>
      <scheme val="minor"/>
    </font>
    <font>
      <b/>
      <i/>
      <sz val="10"/>
      <color theme="0"/>
      <name val="Segoe UI"/>
      <family val="2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E7D5A"/>
        <bgColor indexed="64"/>
      </patternFill>
    </fill>
    <fill>
      <patternFill patternType="solid">
        <fgColor rgb="FF7E928D"/>
        <bgColor indexed="64"/>
      </patternFill>
    </fill>
    <fill>
      <patternFill patternType="solid">
        <fgColor rgb="FFB1CDB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7" fillId="0" borderId="0" xfId="0" applyFont="1"/>
    <xf numFmtId="0" fontId="0" fillId="5" borderId="2" xfId="0" applyFill="1" applyBorder="1"/>
    <xf numFmtId="0" fontId="0" fillId="5" borderId="2" xfId="0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2" fontId="7" fillId="0" borderId="6" xfId="0" applyNumberFormat="1" applyFont="1" applyBorder="1" applyAlignment="1">
      <alignment horizontal="left" vertical="center"/>
    </xf>
    <xf numFmtId="2" fontId="0" fillId="0" borderId="0" xfId="0" applyNumberFormat="1"/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8" xfId="0" applyBorder="1" applyAlignment="1">
      <alignment horizontal="left" vertical="center"/>
    </xf>
    <xf numFmtId="44" fontId="0" fillId="0" borderId="8" xfId="0" applyNumberFormat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44" fontId="3" fillId="0" borderId="0" xfId="0" applyNumberFormat="1" applyFon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44" fontId="0" fillId="0" borderId="1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5" fillId="0" borderId="1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13" xfId="0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9" fontId="0" fillId="0" borderId="1" xfId="2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19" fillId="5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21" fillId="0" borderId="1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0" fillId="0" borderId="1" xfId="0" applyBorder="1"/>
    <xf numFmtId="0" fontId="14" fillId="8" borderId="0" xfId="0" applyFont="1" applyFill="1"/>
    <xf numFmtId="2" fontId="14" fillId="8" borderId="0" xfId="0" applyNumberFormat="1" applyFont="1" applyFill="1"/>
    <xf numFmtId="0" fontId="0" fillId="2" borderId="2" xfId="0" applyFill="1" applyBorder="1"/>
    <xf numFmtId="0" fontId="23" fillId="5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 applyAlignment="1" applyProtection="1">
      <alignment horizontal="left" vertical="center"/>
      <protection hidden="1"/>
    </xf>
    <xf numFmtId="14" fontId="0" fillId="0" borderId="0" xfId="0" applyNumberFormat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7" fillId="0" borderId="0" xfId="0" applyFont="1" applyAlignment="1" applyProtection="1">
      <alignment vertical="center"/>
      <protection hidden="1"/>
    </xf>
    <xf numFmtId="14" fontId="0" fillId="0" borderId="0" xfId="0" applyNumberForma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horizontal="left" vertical="center"/>
      <protection hidden="1"/>
    </xf>
    <xf numFmtId="0" fontId="0" fillId="0" borderId="8" xfId="0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0" fillId="0" borderId="13" xfId="0" applyBorder="1" applyAlignment="1" applyProtection="1">
      <alignment horizontal="left" vertical="center"/>
      <protection hidden="1"/>
    </xf>
    <xf numFmtId="9" fontId="0" fillId="0" borderId="1" xfId="2" applyFont="1" applyFill="1" applyBorder="1" applyAlignment="1" applyProtection="1">
      <alignment horizontal="left"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Protection="1"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>
      <alignment horizontal="left" vertical="center"/>
    </xf>
    <xf numFmtId="14" fontId="20" fillId="6" borderId="2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6" borderId="0" xfId="0" applyFont="1" applyFill="1" applyAlignment="1">
      <alignment horizontal="center" vertical="center" wrapText="1"/>
    </xf>
  </cellXfs>
  <cellStyles count="3">
    <cellStyle name="Hiperlink" xfId="1" builtinId="8"/>
    <cellStyle name="Normal" xfId="0" builtinId="0"/>
    <cellStyle name="Porcentagem" xfId="2" builtinId="5"/>
  </cellStyles>
  <dxfs count="42"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C8500"/>
        </patternFill>
      </fill>
    </dxf>
    <dxf>
      <fill>
        <patternFill>
          <bgColor rgb="FFA87BC7"/>
        </patternFill>
      </fill>
    </dxf>
    <dxf>
      <fill>
        <patternFill>
          <bgColor rgb="FFC5DF16"/>
        </patternFill>
      </fill>
    </dxf>
    <dxf>
      <fill>
        <patternFill>
          <bgColor rgb="FF8ECAE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8ECAE6"/>
        </patternFill>
      </fill>
    </dxf>
    <dxf>
      <fill>
        <patternFill>
          <bgColor rgb="FF8ECAE6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22822E"/>
        </patternFill>
      </fill>
    </dxf>
    <dxf>
      <fill>
        <patternFill>
          <bgColor rgb="FFFF5349"/>
        </patternFill>
      </fill>
    </dxf>
    <dxf>
      <fill>
        <patternFill>
          <bgColor rgb="FFF5D86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rgb="FFB1CDBB"/>
        </patternFill>
      </fill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fgColor indexed="64"/>
          <bgColor rgb="FFB1CDBB"/>
        </patternFill>
      </fill>
    </dxf>
    <dxf>
      <border>
        <bottom style="thick">
          <color theme="0"/>
        </bottom>
      </border>
    </dxf>
    <dxf>
      <font>
        <b/>
      </font>
      <fill>
        <patternFill patternType="solid">
          <fgColor indexed="64"/>
          <bgColor rgb="FF7E928D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0" justifyLastLine="0" shrinkToFit="0" readingOrder="0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1CDBB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2" defaultPivotStyle="PivotStyleLight16"/>
  <colors>
    <mruColors>
      <color rgb="FFFF096E"/>
      <color rgb="FFB1CDBB"/>
      <color rgb="FF29513C"/>
      <color rgb="FF7EBE2A"/>
      <color rgb="FF2B124C"/>
      <color rgb="FF8ECAE6"/>
      <color rgb="FFC5DF16"/>
      <color rgb="FFA87BC7"/>
      <color rgb="FFFC8500"/>
      <color rgb="FF7E9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2800">
              <a:solidFill>
                <a:schemeClr val="bg1"/>
              </a:solidFill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6247219742234308E-2"/>
          <c:y val="0.19522230601938562"/>
          <c:w val="0.94862131967371877"/>
          <c:h val="0.58736479347050941"/>
        </c:manualLayout>
      </c:layout>
      <c:barChart>
        <c:barDir val="col"/>
        <c:grouping val="percentStacked"/>
        <c:varyColors val="0"/>
        <c:ser>
          <c:idx val="0"/>
          <c:order val="0"/>
          <c:tx>
            <c:v> Volume de Consultas no Serasa por Mês</c:v>
          </c:tx>
          <c:spPr>
            <a:gradFill flip="none" rotWithShape="1">
              <a:gsLst>
                <a:gs pos="42000">
                  <a:srgbClr val="00B050"/>
                </a:gs>
                <a:gs pos="54000">
                  <a:schemeClr val="accent6">
                    <a:lumMod val="20000"/>
                    <a:lumOff val="8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9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4C-4BB0-98B3-FF413194BABB}"/>
                </c:ext>
              </c:extLst>
            </c:dLbl>
            <c:dLbl>
              <c:idx val="1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4C-4BB0-98B3-FF413194BABB}"/>
                </c:ext>
              </c:extLst>
            </c:dLbl>
            <c:dLbl>
              <c:idx val="1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4C-4BB0-98B3-FF413194BABB}"/>
                </c:ext>
              </c:extLst>
            </c:dLbl>
            <c:spPr>
              <a:solidFill>
                <a:srgbClr val="0070C0"/>
              </a:solidFill>
              <a:ln>
                <a:solidFill>
                  <a:schemeClr val="lt1">
                    <a:lumMod val="95000"/>
                  </a:schemeClr>
                </a:solidFill>
              </a:ln>
              <a:effectLst/>
            </c:spPr>
            <c:txPr>
              <a:bodyPr wrap="square" lIns="180000" tIns="0" rIns="180000" bIns="360000" anchor="ctr">
                <a:spAutoFit/>
              </a:bodyPr>
              <a:lstStyle/>
              <a:p>
                <a:pPr>
                  <a:defRPr sz="1800" b="1"/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SERASA'!$C$13:$N$13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5-436F-AE69-7832211B84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5365519"/>
        <c:axId val="1285366479"/>
      </c:barChart>
      <c:catAx>
        <c:axId val="12853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366479"/>
        <c:crosses val="autoZero"/>
        <c:auto val="1"/>
        <c:lblAlgn val="ctr"/>
        <c:lblOffset val="100"/>
        <c:noMultiLvlLbl val="0"/>
      </c:catAx>
      <c:valAx>
        <c:axId val="12853664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85365519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solidFill>
        <a:schemeClr val="bg1">
          <a:lumMod val="8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3600">
                <a:solidFill>
                  <a:schemeClr val="bg1"/>
                </a:solidFill>
              </a:rPr>
              <a:t>Demanda das Empresas por Consultas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603692058390665"/>
          <c:y val="0.10214434974617954"/>
          <c:w val="0.77370007620312775"/>
          <c:h val="0.54065855404438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'RELATÓRIO DE CONSULTAS - SERASA'!$B$6</c:f>
              <c:strCache>
                <c:ptCount val="1"/>
                <c:pt idx="0">
                  <c:v>ME (Microempresa)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SERASA'!$C$6:$N$6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D1-48A3-ADEF-27CBE73031F9}"/>
            </c:ext>
          </c:extLst>
        </c:ser>
        <c:ser>
          <c:idx val="1"/>
          <c:order val="1"/>
          <c:tx>
            <c:strRef>
              <c:f>'RELATÓRIO DE CONSULTAS - SERASA'!$B$7</c:f>
              <c:strCache>
                <c:ptCount val="1"/>
                <c:pt idx="0">
                  <c:v>MEI (Microempreendedor Individual)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SERASA'!$C$7:$N$7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D1-48A3-ADEF-27CBE73031F9}"/>
            </c:ext>
          </c:extLst>
        </c:ser>
        <c:ser>
          <c:idx val="2"/>
          <c:order val="2"/>
          <c:tx>
            <c:strRef>
              <c:f>'RELATÓRIO DE CONSULTAS - SERASA'!$B$8</c:f>
              <c:strCache>
                <c:ptCount val="1"/>
                <c:pt idx="0">
                  <c:v>EPP (Empresa de Pequeno Porte)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SERASA'!$C$8:$N$8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D1-48A3-ADEF-27CBE73031F9}"/>
            </c:ext>
          </c:extLst>
        </c:ser>
        <c:ser>
          <c:idx val="3"/>
          <c:order val="3"/>
          <c:tx>
            <c:strRef>
              <c:f>'RELATÓRIO DE CONSULTAS - SERASA'!$B$9</c:f>
              <c:strCache>
                <c:ptCount val="1"/>
                <c:pt idx="0">
                  <c:v>LTDA (Sociedade Limitada)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2D1-48A3-ADEF-27CBE73031F9}"/>
            </c:ext>
          </c:extLst>
        </c:ser>
        <c:ser>
          <c:idx val="4"/>
          <c:order val="4"/>
          <c:tx>
            <c:strRef>
              <c:f>'RELATÓRIO DE CONSULTAS - SERASA'!$B$10</c:f>
              <c:strCache>
                <c:ptCount val="1"/>
                <c:pt idx="0">
                  <c:v>S/A (Sociedade Anônima)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SERASA'!$C$10:$N$10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D1-48A3-ADEF-27CBE730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37867535"/>
        <c:axId val="237868495"/>
      </c:barChart>
      <c:lineChart>
        <c:grouping val="percentStacked"/>
        <c:varyColors val="0"/>
        <c:ser>
          <c:idx val="5"/>
          <c:order val="5"/>
          <c:tx>
            <c:strRef>
              <c:f>'RELATÓRIO DE CONSULTAS - SERASA'!$B$11</c:f>
              <c:strCache>
                <c:ptCount val="1"/>
                <c:pt idx="0">
                  <c:v>Sociedade Anônima</c:v>
                </c:pt>
              </c:strCache>
            </c:strRef>
          </c:tx>
          <c:spPr>
            <a:ln w="34925" cap="rnd">
              <a:solidFill>
                <a:schemeClr val="accent6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SERASA'!$C$11:$N$11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D1-48A3-ADEF-27CBE73031F9}"/>
            </c:ext>
          </c:extLst>
        </c:ser>
        <c:ser>
          <c:idx val="6"/>
          <c:order val="6"/>
          <c:tx>
            <c:strRef>
              <c:f>'RELATÓRIO DE CONSULTAS - SERASA'!$B$12</c:f>
              <c:strCache>
                <c:ptCount val="1"/>
                <c:pt idx="0">
                  <c:v>PF (Pessoa Física)</c:v>
                </c:pt>
              </c:strCache>
            </c:strRef>
          </c:tx>
          <c:spPr>
            <a:ln w="34925" cap="rnd">
              <a:solidFill>
                <a:schemeClr val="accent6">
                  <a:shade val="61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0;\-0;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'RELATÓRIO DE CONSULTAS - SERASA'!$C$5:$N$5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'RELATÓRIO DE CONSULTAS - SERASA'!$C$12:$N$12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D1-48A3-ADEF-27CBE73031F9}"/>
            </c:ext>
          </c:extLst>
        </c:ser>
        <c:ser>
          <c:idx val="7"/>
          <c:order val="7"/>
          <c:tx>
            <c:v>Média de Consultas Anual - Serasa</c:v>
          </c:tx>
          <c:spPr>
            <a:ln w="25400" cap="rnd" cmpd="sng">
              <a:solidFill>
                <a:srgbClr val="FFC000"/>
              </a:solidFill>
              <a:round/>
              <a:headEnd type="triangle"/>
              <a:tail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D1-48A3-ADEF-27CBE73031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D1-48A3-ADEF-27CBE73031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D1-48A3-ADEF-27CBE73031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D1-48A3-ADEF-27CBE73031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D1-48A3-ADEF-27CBE73031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D1-48A3-ADEF-27CBE73031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D1-48A3-ADEF-27CBE73031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D1-48A3-ADEF-27CBE73031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D1-48A3-ADEF-27CBE73031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D1-48A3-ADEF-27CBE73031F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D1-48A3-ADEF-27CBE73031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D1-48A3-ADEF-27CBE7303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'RELATÓRIO DE CONSULTAS - SERASA'!$Q$6:$Q$17</c:f>
              <c:numCache>
                <c:formatCode>0.00</c:formatCode>
                <c:ptCount val="12"/>
                <c:pt idx="0">
                  <c:v>2.1666666666666665</c:v>
                </c:pt>
                <c:pt idx="1">
                  <c:v>2.1666666666666665</c:v>
                </c:pt>
                <c:pt idx="2">
                  <c:v>2.1666666666666665</c:v>
                </c:pt>
                <c:pt idx="3">
                  <c:v>2.1666666666666665</c:v>
                </c:pt>
                <c:pt idx="4">
                  <c:v>2.1666666666666665</c:v>
                </c:pt>
                <c:pt idx="5">
                  <c:v>2.1666666666666665</c:v>
                </c:pt>
                <c:pt idx="6">
                  <c:v>2.1666666666666665</c:v>
                </c:pt>
                <c:pt idx="7">
                  <c:v>2.1666666666666665</c:v>
                </c:pt>
                <c:pt idx="8">
                  <c:v>2.1666666666666665</c:v>
                </c:pt>
                <c:pt idx="9">
                  <c:v>2.1666666666666665</c:v>
                </c:pt>
                <c:pt idx="10">
                  <c:v>2.1666666666666665</c:v>
                </c:pt>
                <c:pt idx="11">
                  <c:v>2.1666666666666665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2D1-48A3-ADEF-27CBE730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67535"/>
        <c:axId val="237868495"/>
      </c:lineChart>
      <c:catAx>
        <c:axId val="23786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7868495"/>
        <c:crosses val="autoZero"/>
        <c:auto val="1"/>
        <c:lblAlgn val="ctr"/>
        <c:lblOffset val="100"/>
        <c:noMultiLvlLbl val="0"/>
      </c:catAx>
      <c:valAx>
        <c:axId val="237868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7867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25400"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solidFill>
        <a:srgbClr val="F5D86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434997655883732"/>
          <c:y val="0.30990938270192897"/>
          <c:w val="0.76466596343178617"/>
          <c:h val="0.45279014219714608"/>
        </c:manualLayout>
      </c:layout>
      <c:pieChart>
        <c:varyColors val="1"/>
        <c:ser>
          <c:idx val="0"/>
          <c:order val="0"/>
          <c:tx>
            <c:v>Percentual de Consultas por Solicitante – Setor de Vendas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F-44A2-9C7D-3AC4331398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F-44A2-9C7D-3AC4331398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FF-44A2-9C7D-3AC4331398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FF-44A2-9C7D-3AC4331398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FF-44A2-9C7D-3AC4331398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TAB.AUXILIAR!$B$6:$B$10</c:f>
              <c:strCache>
                <c:ptCount val="5"/>
                <c:pt idx="0">
                  <c:v>Maria</c:v>
                </c:pt>
                <c:pt idx="1">
                  <c:v>José</c:v>
                </c:pt>
                <c:pt idx="2">
                  <c:v>João</c:v>
                </c:pt>
                <c:pt idx="3">
                  <c:v>Carla</c:v>
                </c:pt>
                <c:pt idx="4">
                  <c:v>Larissa</c:v>
                </c:pt>
              </c:strCache>
            </c:strRef>
          </c:cat>
          <c:val>
            <c:numRef>
              <c:f>TAB.AUXILIAR!$C$6:$C$10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7-49FE-AC30-366844ED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728668724185494E-2"/>
          <c:y val="0.29044367606725213"/>
          <c:w val="0.9447673501178121"/>
          <c:h val="0.46053341829623767"/>
        </c:manualLayout>
      </c:layout>
      <c:pieChart>
        <c:varyColors val="1"/>
        <c:ser>
          <c:idx val="0"/>
          <c:order val="0"/>
          <c:tx>
            <c:v> Situação da Consulta</c:v>
          </c:tx>
          <c:dPt>
            <c:idx val="0"/>
            <c:bubble3D val="0"/>
            <c:explosion val="15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5-47D0-B833-3231DE6AF830}"/>
              </c:ext>
            </c:extLst>
          </c:dPt>
          <c:dPt>
            <c:idx val="1"/>
            <c:bubble3D val="0"/>
            <c:spPr>
              <a:solidFill>
                <a:srgbClr val="FF09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5-47D0-B833-3231DE6AF83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5-47D0-B833-3231DE6AF830}"/>
              </c:ext>
            </c:extLst>
          </c:dPt>
          <c:cat>
            <c:strRef>
              <c:f>'CONTROLE DIÁRIO DE CONSULTAS'!$N$5:$N$7</c:f>
              <c:strCache>
                <c:ptCount val="3"/>
                <c:pt idx="0">
                  <c:v>Aprovado</c:v>
                </c:pt>
                <c:pt idx="1">
                  <c:v>Reprovado</c:v>
                </c:pt>
                <c:pt idx="2">
                  <c:v>Em Análise</c:v>
                </c:pt>
              </c:strCache>
            </c:strRef>
          </c:cat>
          <c:val>
            <c:numRef>
              <c:f>'CONTROLE DIÁRIO DE CONSULTAS'!$O$5:$O$7</c:f>
              <c:numCache>
                <c:formatCode>General</c:formatCode>
                <c:ptCount val="3"/>
                <c:pt idx="0">
                  <c:v>20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4-4626-9BAB-E456F8769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2836033482827615E-2"/>
          <c:y val="9.0895134674177855E-2"/>
          <c:w val="0.22950418535345418"/>
          <c:h val="0.77800494676495491"/>
        </c:manualLayout>
      </c:layout>
      <c:pieChart>
        <c:varyColors val="1"/>
        <c:ser>
          <c:idx val="0"/>
          <c:order val="0"/>
          <c:tx>
            <c:v>TOP 5 Consultas de Crédito - Análise por Setor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42-4B0F-A0A2-AC5688C1FC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42-4B0F-A0A2-AC5688C1FC6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2-4B0F-A0A2-AC5688C1FC6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2-4B0F-A0A2-AC5688C1FC64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42-4B0F-A0A2-AC5688C1F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DIÁRIO DE CONSULTAS'!$AD$10:$AD$14</c:f>
              <c:strCache>
                <c:ptCount val="5"/>
                <c:pt idx="0">
                  <c:v>Comércio varejista de plantas e flores naturais</c:v>
                </c:pt>
                <c:pt idx="1">
                  <c:v>Comércio varejista de antigüidades</c:v>
                </c:pt>
                <c:pt idx="2">
                  <c:v>Comércio varejista de artigos de relojoaria</c:v>
                </c:pt>
                <c:pt idx="3">
                  <c:v>Serviços de capotaria</c:v>
                </c:pt>
                <c:pt idx="4">
                  <c:v>Campings</c:v>
                </c:pt>
              </c:strCache>
            </c:strRef>
          </c:cat>
          <c:val>
            <c:numRef>
              <c:f>'CONTROLE DIÁRIO DE CONSULTAS'!$AE$10:$AE$14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3-4BC6-BC9E-C8C774FB1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2062875257487"/>
          <c:y val="0.12848168387106521"/>
          <c:w val="0.2551135085387054"/>
          <c:h val="0.83451464233017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41565</xdr:colOff>
      <xdr:row>5</xdr:row>
      <xdr:rowOff>142057</xdr:rowOff>
    </xdr:from>
    <xdr:to>
      <xdr:col>17</xdr:col>
      <xdr:colOff>90055</xdr:colOff>
      <xdr:row>27</xdr:row>
      <xdr:rowOff>55418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9AD160-0545-3A0B-6B9B-891F518AF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27709</xdr:colOff>
      <xdr:row>30</xdr:row>
      <xdr:rowOff>7212</xdr:rowOff>
    </xdr:from>
    <xdr:to>
      <xdr:col>28</xdr:col>
      <xdr:colOff>110837</xdr:colOff>
      <xdr:row>71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059F4C-66B0-7905-A4E6-97779779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13855</xdr:colOff>
      <xdr:row>29</xdr:row>
      <xdr:rowOff>166254</xdr:rowOff>
    </xdr:from>
    <xdr:to>
      <xdr:col>44</xdr:col>
      <xdr:colOff>12655</xdr:colOff>
      <xdr:row>71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3EB3974-CDA3-91A7-0715-C192B57B9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290947</xdr:colOff>
      <xdr:row>29</xdr:row>
      <xdr:rowOff>180107</xdr:rowOff>
    </xdr:from>
    <xdr:to>
      <xdr:col>36</xdr:col>
      <xdr:colOff>290947</xdr:colOff>
      <xdr:row>70</xdr:row>
      <xdr:rowOff>180107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9DD96B-D7D7-44BD-65A4-E9357DA54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279400</xdr:colOff>
      <xdr:row>5</xdr:row>
      <xdr:rowOff>127000</xdr:rowOff>
    </xdr:from>
    <xdr:to>
      <xdr:col>43</xdr:col>
      <xdr:colOff>558800</xdr:colOff>
      <xdr:row>27</xdr:row>
      <xdr:rowOff>67732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90721F-790A-7B37-5503-7828E3858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1BBFF-17FD-42F1-8F54-C99CF66E6FD4}" name="TabelaNaturezaJurídica" displayName="TabelaNaturezaJurídica" ref="A1:D83" totalsRowShown="0" headerRowDxfId="41" dataDxfId="39" headerRowBorderDxfId="40">
  <autoFilter ref="A1:D83" xr:uid="{91A1BBFF-17FD-42F1-8F54-C99CF66E6FD4}"/>
  <tableColumns count="4">
    <tableColumn id="1" xr3:uid="{073E5A9F-9874-47FB-90DA-C238214C5771}" name="Código" dataDxfId="38"/>
    <tableColumn id="2" xr3:uid="{BC6AFFF0-B1D1-40A3-A357-E911CE014271}" name="Natureza Jurídica" dataDxfId="37"/>
    <tableColumn id="3" xr3:uid="{4FD3F5EE-87CC-4303-9ED4-89B2B9752223}" name="Categoria" dataDxfId="36"/>
    <tableColumn id="4" xr3:uid="{5B3C2806-0B27-4161-8248-69A143BCCA19}" name=" _x0009_Integrantes do Quadro de Sócios e Administradores (QSA)" dataDxfId="35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73D67-6E4E-41BE-A971-721F9696AA4E}" name="CÓDIGO_CNAE" displayName="CÓDIGO_CNAE" ref="A1:C392" totalsRowShown="0" headerRowDxfId="34" dataDxfId="32" headerRowBorderDxfId="33">
  <autoFilter ref="A1:C392" xr:uid="{86973D67-6E4E-41BE-A971-721F9696AA4E}"/>
  <tableColumns count="3">
    <tableColumn id="1" xr3:uid="{507D069B-7489-455B-85DC-FEDD3CCDC177}" name="CNAE" dataDxfId="31"/>
    <tableColumn id="2" xr3:uid="{1BD4F90A-26C7-4E58-BD1E-6C287FD430BB}" name="Descrição" dataDxfId="30"/>
    <tableColumn id="4" xr3:uid="{3CB85B3D-EAC2-4D33-BF29-107F00821E2E}" name="Atividade Econômica" dataDxfId="29">
      <calculatedColumnFormula>CÓDIGO_CNAE[[#This Row],[CNAE]] &amp; " - " &amp; CÓDIGO_CNAE[[#This Row],[Descrição]]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@teste.com.br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52A2-F48E-4822-8F1A-1C7B95BBBFD2}">
  <sheetPr codeName="Planilha1"/>
  <dimension ref="A1:D85"/>
  <sheetViews>
    <sheetView showGridLines="0" zoomScale="75" zoomScaleNormal="75" workbookViewId="0">
      <selection activeCell="A85" sqref="A85"/>
    </sheetView>
  </sheetViews>
  <sheetFormatPr defaultColWidth="0" defaultRowHeight="14.4" zeroHeight="1" x14ac:dyDescent="0.3"/>
  <cols>
    <col min="1" max="1" width="32" style="11" customWidth="1"/>
    <col min="2" max="2" width="62.21875" style="11" bestFit="1" customWidth="1"/>
    <col min="3" max="3" width="56" style="11" bestFit="1" customWidth="1"/>
    <col min="4" max="4" width="249.44140625" style="11" bestFit="1" customWidth="1"/>
    <col min="5" max="16384" width="11.6640625" style="11" hidden="1"/>
  </cols>
  <sheetData>
    <row r="1" spans="1:4" ht="30" customHeight="1" thickTop="1" thickBot="1" x14ac:dyDescent="0.35">
      <c r="A1" s="75" t="s">
        <v>238</v>
      </c>
      <c r="B1" s="76" t="s">
        <v>237</v>
      </c>
      <c r="C1" s="76" t="s">
        <v>236</v>
      </c>
      <c r="D1" s="77" t="s">
        <v>235</v>
      </c>
    </row>
    <row r="2" spans="1:4" ht="15.6" thickTop="1" thickBot="1" x14ac:dyDescent="0.35">
      <c r="A2" s="59" t="s">
        <v>234</v>
      </c>
      <c r="B2" s="59" t="s">
        <v>233</v>
      </c>
      <c r="C2" s="78" t="s">
        <v>239</v>
      </c>
      <c r="D2" s="59" t="s">
        <v>74</v>
      </c>
    </row>
    <row r="3" spans="1:4" ht="15.6" thickTop="1" thickBot="1" x14ac:dyDescent="0.35">
      <c r="A3" s="59" t="s">
        <v>232</v>
      </c>
      <c r="B3" s="59" t="s">
        <v>231</v>
      </c>
      <c r="C3" s="78" t="s">
        <v>239</v>
      </c>
      <c r="D3" s="59" t="s">
        <v>74</v>
      </c>
    </row>
    <row r="4" spans="1:4" ht="15.6" thickTop="1" thickBot="1" x14ac:dyDescent="0.35">
      <c r="A4" s="59" t="s">
        <v>230</v>
      </c>
      <c r="B4" s="59" t="s">
        <v>229</v>
      </c>
      <c r="C4" s="78" t="s">
        <v>239</v>
      </c>
      <c r="D4" s="59" t="s">
        <v>74</v>
      </c>
    </row>
    <row r="5" spans="1:4" ht="15.6" thickTop="1" thickBot="1" x14ac:dyDescent="0.35">
      <c r="A5" s="59" t="s">
        <v>228</v>
      </c>
      <c r="B5" s="59" t="s">
        <v>227</v>
      </c>
      <c r="C5" s="78" t="s">
        <v>239</v>
      </c>
      <c r="D5" s="59" t="s">
        <v>74</v>
      </c>
    </row>
    <row r="6" spans="1:4" ht="15.6" thickTop="1" thickBot="1" x14ac:dyDescent="0.35">
      <c r="A6" s="59" t="s">
        <v>226</v>
      </c>
      <c r="B6" s="59" t="s">
        <v>225</v>
      </c>
      <c r="C6" s="78" t="s">
        <v>239</v>
      </c>
      <c r="D6" s="59" t="s">
        <v>74</v>
      </c>
    </row>
    <row r="7" spans="1:4" ht="15.6" thickTop="1" thickBot="1" x14ac:dyDescent="0.35">
      <c r="A7" s="59" t="s">
        <v>224</v>
      </c>
      <c r="B7" s="59" t="s">
        <v>223</v>
      </c>
      <c r="C7" s="78" t="s">
        <v>239</v>
      </c>
      <c r="D7" s="59" t="s">
        <v>74</v>
      </c>
    </row>
    <row r="8" spans="1:4" ht="15.6" thickTop="1" thickBot="1" x14ac:dyDescent="0.35">
      <c r="A8" s="59" t="s">
        <v>222</v>
      </c>
      <c r="B8" s="59" t="s">
        <v>221</v>
      </c>
      <c r="C8" s="78" t="s">
        <v>239</v>
      </c>
      <c r="D8" s="59" t="s">
        <v>74</v>
      </c>
    </row>
    <row r="9" spans="1:4" ht="15.6" thickTop="1" thickBot="1" x14ac:dyDescent="0.35">
      <c r="A9" s="59" t="s">
        <v>220</v>
      </c>
      <c r="B9" s="59" t="s">
        <v>219</v>
      </c>
      <c r="C9" s="78" t="s">
        <v>239</v>
      </c>
      <c r="D9" s="59" t="s">
        <v>74</v>
      </c>
    </row>
    <row r="10" spans="1:4" ht="15.6" thickTop="1" thickBot="1" x14ac:dyDescent="0.35">
      <c r="A10" s="59" t="s">
        <v>218</v>
      </c>
      <c r="B10" s="59" t="s">
        <v>217</v>
      </c>
      <c r="C10" s="78" t="s">
        <v>239</v>
      </c>
      <c r="D10" s="59" t="s">
        <v>67</v>
      </c>
    </row>
    <row r="11" spans="1:4" ht="15.6" thickTop="1" thickBot="1" x14ac:dyDescent="0.35">
      <c r="A11" s="59" t="s">
        <v>216</v>
      </c>
      <c r="B11" s="59" t="s">
        <v>215</v>
      </c>
      <c r="C11" s="78" t="s">
        <v>239</v>
      </c>
      <c r="D11" s="59" t="s">
        <v>67</v>
      </c>
    </row>
    <row r="12" spans="1:4" ht="15.6" thickTop="1" thickBot="1" x14ac:dyDescent="0.35">
      <c r="A12" s="59" t="s">
        <v>214</v>
      </c>
      <c r="B12" s="59" t="s">
        <v>213</v>
      </c>
      <c r="C12" s="78" t="s">
        <v>239</v>
      </c>
      <c r="D12" s="59" t="s">
        <v>67</v>
      </c>
    </row>
    <row r="13" spans="1:4" ht="15.6" thickTop="1" thickBot="1" x14ac:dyDescent="0.35">
      <c r="A13" s="59" t="s">
        <v>212</v>
      </c>
      <c r="B13" s="59" t="s">
        <v>211</v>
      </c>
      <c r="C13" s="78" t="s">
        <v>239</v>
      </c>
      <c r="D13" s="59" t="s">
        <v>62</v>
      </c>
    </row>
    <row r="14" spans="1:4" ht="15.6" thickTop="1" thickBot="1" x14ac:dyDescent="0.35">
      <c r="A14" s="59" t="s">
        <v>210</v>
      </c>
      <c r="B14" s="59" t="s">
        <v>209</v>
      </c>
      <c r="C14" s="78" t="s">
        <v>239</v>
      </c>
      <c r="D14" s="59" t="s">
        <v>62</v>
      </c>
    </row>
    <row r="15" spans="1:4" ht="15.6" thickTop="1" thickBot="1" x14ac:dyDescent="0.35">
      <c r="A15" s="59" t="s">
        <v>208</v>
      </c>
      <c r="B15" s="59" t="s">
        <v>207</v>
      </c>
      <c r="C15" s="78" t="s">
        <v>239</v>
      </c>
      <c r="D15" s="59" t="s">
        <v>62</v>
      </c>
    </row>
    <row r="16" spans="1:4" ht="15.6" thickTop="1" thickBot="1" x14ac:dyDescent="0.35">
      <c r="A16" s="59" t="s">
        <v>206</v>
      </c>
      <c r="B16" s="59" t="s">
        <v>205</v>
      </c>
      <c r="C16" s="78" t="s">
        <v>239</v>
      </c>
      <c r="D16" s="59" t="s">
        <v>74</v>
      </c>
    </row>
    <row r="17" spans="1:4" ht="15.6" thickTop="1" thickBot="1" x14ac:dyDescent="0.35">
      <c r="A17" s="59" t="s">
        <v>204</v>
      </c>
      <c r="B17" s="59" t="s">
        <v>203</v>
      </c>
      <c r="C17" s="78" t="s">
        <v>239</v>
      </c>
      <c r="D17" s="59" t="s">
        <v>74</v>
      </c>
    </row>
    <row r="18" spans="1:4" ht="15.6" thickTop="1" thickBot="1" x14ac:dyDescent="0.35">
      <c r="A18" s="59" t="s">
        <v>202</v>
      </c>
      <c r="B18" s="59" t="s">
        <v>201</v>
      </c>
      <c r="C18" s="78" t="s">
        <v>239</v>
      </c>
      <c r="D18" s="59" t="s">
        <v>74</v>
      </c>
    </row>
    <row r="19" spans="1:4" ht="15.6" thickTop="1" thickBot="1" x14ac:dyDescent="0.35">
      <c r="A19" s="59" t="s">
        <v>200</v>
      </c>
      <c r="B19" s="59" t="s">
        <v>199</v>
      </c>
      <c r="C19" s="78" t="s">
        <v>239</v>
      </c>
      <c r="D19" s="59" t="s">
        <v>74</v>
      </c>
    </row>
    <row r="20" spans="1:4" ht="15.6" thickTop="1" thickBot="1" x14ac:dyDescent="0.35">
      <c r="A20" s="59" t="s">
        <v>198</v>
      </c>
      <c r="B20" s="59" t="s">
        <v>197</v>
      </c>
      <c r="C20" s="78" t="s">
        <v>239</v>
      </c>
      <c r="D20" s="59" t="s">
        <v>62</v>
      </c>
    </row>
    <row r="21" spans="1:4" ht="15.6" thickTop="1" thickBot="1" x14ac:dyDescent="0.35">
      <c r="A21" s="59" t="s">
        <v>196</v>
      </c>
      <c r="B21" s="59" t="s">
        <v>195</v>
      </c>
      <c r="C21" s="78" t="s">
        <v>239</v>
      </c>
      <c r="D21" s="59" t="s">
        <v>62</v>
      </c>
    </row>
    <row r="22" spans="1:4" ht="15.6" thickTop="1" thickBot="1" x14ac:dyDescent="0.35">
      <c r="A22" s="59" t="s">
        <v>194</v>
      </c>
      <c r="B22" s="59" t="s">
        <v>193</v>
      </c>
      <c r="C22" s="78" t="s">
        <v>239</v>
      </c>
      <c r="D22" s="59" t="s">
        <v>74</v>
      </c>
    </row>
    <row r="23" spans="1:4" ht="15.6" thickTop="1" thickBot="1" x14ac:dyDescent="0.35">
      <c r="A23" s="59" t="s">
        <v>192</v>
      </c>
      <c r="B23" s="59" t="s">
        <v>191</v>
      </c>
      <c r="C23" s="78" t="s">
        <v>239</v>
      </c>
      <c r="D23" s="59" t="s">
        <v>74</v>
      </c>
    </row>
    <row r="24" spans="1:4" ht="15.6" thickTop="1" thickBot="1" x14ac:dyDescent="0.35">
      <c r="A24" s="59" t="s">
        <v>190</v>
      </c>
      <c r="B24" s="59" t="s">
        <v>189</v>
      </c>
      <c r="C24" s="78" t="s">
        <v>239</v>
      </c>
      <c r="D24" s="59" t="s">
        <v>99</v>
      </c>
    </row>
    <row r="25" spans="1:4" ht="15.6" thickTop="1" thickBot="1" x14ac:dyDescent="0.35">
      <c r="A25" s="59" t="s">
        <v>188</v>
      </c>
      <c r="B25" s="59" t="s">
        <v>187</v>
      </c>
      <c r="C25" s="78" t="s">
        <v>239</v>
      </c>
      <c r="D25" s="59" t="s">
        <v>99</v>
      </c>
    </row>
    <row r="26" spans="1:4" ht="15.6" thickTop="1" thickBot="1" x14ac:dyDescent="0.35">
      <c r="A26" s="59" t="s">
        <v>186</v>
      </c>
      <c r="B26" s="59" t="s">
        <v>185</v>
      </c>
      <c r="C26" s="78" t="s">
        <v>239</v>
      </c>
      <c r="D26" s="59" t="s">
        <v>99</v>
      </c>
    </row>
    <row r="27" spans="1:4" ht="15.6" thickTop="1" thickBot="1" x14ac:dyDescent="0.35">
      <c r="A27" s="59" t="s">
        <v>184</v>
      </c>
      <c r="B27" s="59" t="s">
        <v>183</v>
      </c>
      <c r="C27" s="78" t="s">
        <v>239</v>
      </c>
      <c r="D27" s="59" t="s">
        <v>74</v>
      </c>
    </row>
    <row r="28" spans="1:4" ht="15.6" thickTop="1" thickBot="1" x14ac:dyDescent="0.35">
      <c r="A28" s="59" t="s">
        <v>182</v>
      </c>
      <c r="B28" s="59" t="s">
        <v>181</v>
      </c>
      <c r="C28" s="78" t="s">
        <v>239</v>
      </c>
      <c r="D28" s="59" t="s">
        <v>74</v>
      </c>
    </row>
    <row r="29" spans="1:4" ht="15.6" thickTop="1" thickBot="1" x14ac:dyDescent="0.35">
      <c r="A29" s="59" t="s">
        <v>180</v>
      </c>
      <c r="B29" s="59" t="s">
        <v>179</v>
      </c>
      <c r="C29" s="78" t="s">
        <v>239</v>
      </c>
      <c r="D29" s="59" t="s">
        <v>74</v>
      </c>
    </row>
    <row r="30" spans="1:4" ht="15.6" thickTop="1" thickBot="1" x14ac:dyDescent="0.35">
      <c r="A30" s="59" t="s">
        <v>178</v>
      </c>
      <c r="B30" s="59" t="s">
        <v>177</v>
      </c>
      <c r="C30" s="78" t="s">
        <v>239</v>
      </c>
      <c r="D30" s="59" t="s">
        <v>74</v>
      </c>
    </row>
    <row r="31" spans="1:4" ht="15.6" thickTop="1" thickBot="1" x14ac:dyDescent="0.35">
      <c r="A31" s="59" t="s">
        <v>176</v>
      </c>
      <c r="B31" s="59" t="s">
        <v>175</v>
      </c>
      <c r="C31" s="78" t="s">
        <v>239</v>
      </c>
      <c r="D31" s="59" t="s">
        <v>74</v>
      </c>
    </row>
    <row r="32" spans="1:4" ht="15.6" thickTop="1" thickBot="1" x14ac:dyDescent="0.35">
      <c r="A32" s="59" t="s">
        <v>174</v>
      </c>
      <c r="B32" s="59" t="s">
        <v>173</v>
      </c>
      <c r="C32" s="78" t="s">
        <v>239</v>
      </c>
      <c r="D32" s="59" t="s">
        <v>74</v>
      </c>
    </row>
    <row r="33" spans="1:4" ht="15.6" thickTop="1" thickBot="1" x14ac:dyDescent="0.35">
      <c r="A33" s="59" t="s">
        <v>172</v>
      </c>
      <c r="B33" s="59" t="s">
        <v>171</v>
      </c>
      <c r="C33" s="78" t="s">
        <v>239</v>
      </c>
      <c r="D33" s="59" t="s">
        <v>74</v>
      </c>
    </row>
    <row r="34" spans="1:4" ht="15.6" thickTop="1" thickBot="1" x14ac:dyDescent="0.35">
      <c r="A34" s="59" t="s">
        <v>170</v>
      </c>
      <c r="B34" s="59" t="s">
        <v>169</v>
      </c>
      <c r="C34" s="78" t="s">
        <v>105</v>
      </c>
      <c r="D34" s="59" t="s">
        <v>55</v>
      </c>
    </row>
    <row r="35" spans="1:4" ht="15.6" thickTop="1" thickBot="1" x14ac:dyDescent="0.35">
      <c r="A35" s="59" t="s">
        <v>168</v>
      </c>
      <c r="B35" s="59" t="s">
        <v>167</v>
      </c>
      <c r="C35" s="78" t="s">
        <v>105</v>
      </c>
      <c r="D35" s="59" t="s">
        <v>166</v>
      </c>
    </row>
    <row r="36" spans="1:4" ht="15.6" thickTop="1" thickBot="1" x14ac:dyDescent="0.35">
      <c r="A36" s="59" t="s">
        <v>165</v>
      </c>
      <c r="B36" s="59" t="s">
        <v>164</v>
      </c>
      <c r="C36" s="78" t="s">
        <v>105</v>
      </c>
      <c r="D36" s="59" t="s">
        <v>163</v>
      </c>
    </row>
    <row r="37" spans="1:4" ht="15.6" thickTop="1" thickBot="1" x14ac:dyDescent="0.35">
      <c r="A37" s="59" t="s">
        <v>162</v>
      </c>
      <c r="B37" s="59" t="s">
        <v>161</v>
      </c>
      <c r="C37" s="78" t="s">
        <v>105</v>
      </c>
      <c r="D37" s="79" t="s">
        <v>55</v>
      </c>
    </row>
    <row r="38" spans="1:4" ht="15.6" thickTop="1" thickBot="1" x14ac:dyDescent="0.35">
      <c r="A38" s="59" t="s">
        <v>160</v>
      </c>
      <c r="B38" s="59" t="s">
        <v>159</v>
      </c>
      <c r="C38" s="78" t="s">
        <v>105</v>
      </c>
      <c r="D38" s="79" t="s">
        <v>126</v>
      </c>
    </row>
    <row r="39" spans="1:4" ht="15.6" thickTop="1" thickBot="1" x14ac:dyDescent="0.35">
      <c r="A39" s="59" t="s">
        <v>158</v>
      </c>
      <c r="B39" s="59" t="s">
        <v>157</v>
      </c>
      <c r="C39" s="78" t="s">
        <v>105</v>
      </c>
      <c r="D39" s="79" t="s">
        <v>156</v>
      </c>
    </row>
    <row r="40" spans="1:4" ht="15.6" thickTop="1" thickBot="1" x14ac:dyDescent="0.35">
      <c r="A40" s="59" t="s">
        <v>155</v>
      </c>
      <c r="B40" s="59" t="s">
        <v>154</v>
      </c>
      <c r="C40" s="78" t="s">
        <v>105</v>
      </c>
      <c r="D40" s="79" t="s">
        <v>120</v>
      </c>
    </row>
    <row r="41" spans="1:4" ht="15.6" thickTop="1" thickBot="1" x14ac:dyDescent="0.35">
      <c r="A41" s="59" t="s">
        <v>153</v>
      </c>
      <c r="B41" s="59" t="s">
        <v>152</v>
      </c>
      <c r="C41" s="78" t="s">
        <v>105</v>
      </c>
      <c r="D41" s="59" t="s">
        <v>55</v>
      </c>
    </row>
    <row r="42" spans="1:4" ht="15.6" thickTop="1" thickBot="1" x14ac:dyDescent="0.35">
      <c r="A42" s="59" t="s">
        <v>151</v>
      </c>
      <c r="B42" s="59" t="s">
        <v>150</v>
      </c>
      <c r="C42" s="78" t="s">
        <v>105</v>
      </c>
      <c r="D42" s="59" t="s">
        <v>149</v>
      </c>
    </row>
    <row r="43" spans="1:4" ht="15.6" thickTop="1" thickBot="1" x14ac:dyDescent="0.35">
      <c r="A43" s="59" t="s">
        <v>5</v>
      </c>
      <c r="B43" s="59" t="s">
        <v>148</v>
      </c>
      <c r="C43" s="78" t="s">
        <v>147</v>
      </c>
      <c r="D43" s="59" t="s">
        <v>146</v>
      </c>
    </row>
    <row r="44" spans="1:4" ht="15.6" thickTop="1" thickBot="1" x14ac:dyDescent="0.35">
      <c r="A44" s="59" t="s">
        <v>145</v>
      </c>
      <c r="B44" s="59" t="s">
        <v>144</v>
      </c>
      <c r="C44" s="78" t="s">
        <v>105</v>
      </c>
      <c r="D44" s="59" t="s">
        <v>111</v>
      </c>
    </row>
    <row r="45" spans="1:4" ht="15.6" thickTop="1" thickBot="1" x14ac:dyDescent="0.35">
      <c r="A45" s="59" t="s">
        <v>143</v>
      </c>
      <c r="B45" s="59" t="s">
        <v>142</v>
      </c>
      <c r="C45" s="78" t="s">
        <v>105</v>
      </c>
      <c r="D45" s="59" t="s">
        <v>117</v>
      </c>
    </row>
    <row r="46" spans="1:4" ht="15.6" thickTop="1" thickBot="1" x14ac:dyDescent="0.35">
      <c r="A46" s="59" t="s">
        <v>141</v>
      </c>
      <c r="B46" s="59" t="s">
        <v>140</v>
      </c>
      <c r="C46" s="78" t="s">
        <v>105</v>
      </c>
      <c r="D46" s="59" t="s">
        <v>139</v>
      </c>
    </row>
    <row r="47" spans="1:4" ht="15.6" thickTop="1" thickBot="1" x14ac:dyDescent="0.35">
      <c r="A47" s="59" t="s">
        <v>138</v>
      </c>
      <c r="B47" s="59" t="s">
        <v>137</v>
      </c>
      <c r="C47" s="78" t="s">
        <v>105</v>
      </c>
      <c r="D47" s="79" t="s">
        <v>136</v>
      </c>
    </row>
    <row r="48" spans="1:4" ht="30" thickTop="1" thickBot="1" x14ac:dyDescent="0.35">
      <c r="A48" s="59" t="s">
        <v>135</v>
      </c>
      <c r="B48" s="59" t="s">
        <v>134</v>
      </c>
      <c r="C48" s="78" t="s">
        <v>105</v>
      </c>
      <c r="D48" s="79" t="s">
        <v>133</v>
      </c>
    </row>
    <row r="49" spans="1:4" ht="15.6" thickTop="1" thickBot="1" x14ac:dyDescent="0.35">
      <c r="A49" s="59" t="s">
        <v>132</v>
      </c>
      <c r="B49" s="59" t="s">
        <v>131</v>
      </c>
      <c r="C49" s="78" t="s">
        <v>105</v>
      </c>
      <c r="D49" s="59" t="s">
        <v>74</v>
      </c>
    </row>
    <row r="50" spans="1:4" ht="15.6" thickTop="1" thickBot="1" x14ac:dyDescent="0.35">
      <c r="A50" s="59" t="s">
        <v>130</v>
      </c>
      <c r="B50" s="59" t="s">
        <v>129</v>
      </c>
      <c r="C50" s="78" t="s">
        <v>105</v>
      </c>
      <c r="D50" s="79" t="s">
        <v>126</v>
      </c>
    </row>
    <row r="51" spans="1:4" ht="15.6" thickTop="1" thickBot="1" x14ac:dyDescent="0.35">
      <c r="A51" s="59" t="s">
        <v>128</v>
      </c>
      <c r="B51" s="59" t="s">
        <v>127</v>
      </c>
      <c r="C51" s="78" t="s">
        <v>105</v>
      </c>
      <c r="D51" s="79" t="s">
        <v>126</v>
      </c>
    </row>
    <row r="52" spans="1:4" ht="15.6" thickTop="1" thickBot="1" x14ac:dyDescent="0.35">
      <c r="A52" s="59" t="s">
        <v>125</v>
      </c>
      <c r="B52" s="59" t="s">
        <v>124</v>
      </c>
      <c r="C52" s="78" t="s">
        <v>105</v>
      </c>
      <c r="D52" s="59" t="s">
        <v>123</v>
      </c>
    </row>
    <row r="53" spans="1:4" ht="15.6" thickTop="1" thickBot="1" x14ac:dyDescent="0.35">
      <c r="A53" s="59" t="s">
        <v>122</v>
      </c>
      <c r="B53" s="59" t="s">
        <v>121</v>
      </c>
      <c r="C53" s="78" t="s">
        <v>105</v>
      </c>
      <c r="D53" s="79" t="s">
        <v>120</v>
      </c>
    </row>
    <row r="54" spans="1:4" ht="15.6" thickTop="1" thickBot="1" x14ac:dyDescent="0.35">
      <c r="A54" s="59" t="s">
        <v>119</v>
      </c>
      <c r="B54" s="59" t="s">
        <v>118</v>
      </c>
      <c r="C54" s="78" t="s">
        <v>105</v>
      </c>
      <c r="D54" s="59" t="s">
        <v>117</v>
      </c>
    </row>
    <row r="55" spans="1:4" ht="15.6" thickTop="1" thickBot="1" x14ac:dyDescent="0.35">
      <c r="A55" s="59" t="s">
        <v>116</v>
      </c>
      <c r="B55" s="59" t="s">
        <v>115</v>
      </c>
      <c r="C55" s="78" t="s">
        <v>105</v>
      </c>
      <c r="D55" s="59" t="s">
        <v>114</v>
      </c>
    </row>
    <row r="56" spans="1:4" ht="15.6" thickTop="1" thickBot="1" x14ac:dyDescent="0.35">
      <c r="A56" s="59" t="s">
        <v>113</v>
      </c>
      <c r="B56" s="59" t="s">
        <v>112</v>
      </c>
      <c r="C56" s="78" t="s">
        <v>105</v>
      </c>
      <c r="D56" s="59" t="s">
        <v>111</v>
      </c>
    </row>
    <row r="57" spans="1:4" ht="15.6" thickTop="1" thickBot="1" x14ac:dyDescent="0.35">
      <c r="A57" s="59" t="s">
        <v>110</v>
      </c>
      <c r="B57" s="59" t="s">
        <v>109</v>
      </c>
      <c r="C57" s="78" t="s">
        <v>105</v>
      </c>
      <c r="D57" s="79" t="s">
        <v>108</v>
      </c>
    </row>
    <row r="58" spans="1:4" ht="15.6" thickTop="1" thickBot="1" x14ac:dyDescent="0.35">
      <c r="A58" s="59" t="s">
        <v>107</v>
      </c>
      <c r="B58" s="59" t="s">
        <v>106</v>
      </c>
      <c r="C58" s="78" t="s">
        <v>105</v>
      </c>
      <c r="D58" s="59" t="s">
        <v>74</v>
      </c>
    </row>
    <row r="59" spans="1:4" ht="15.6" thickTop="1" thickBot="1" x14ac:dyDescent="0.35">
      <c r="A59" s="59" t="s">
        <v>104</v>
      </c>
      <c r="B59" s="59" t="s">
        <v>103</v>
      </c>
      <c r="C59" s="78" t="s">
        <v>56</v>
      </c>
      <c r="D59" s="59" t="s">
        <v>102</v>
      </c>
    </row>
    <row r="60" spans="1:4" ht="15.6" thickTop="1" thickBot="1" x14ac:dyDescent="0.35">
      <c r="A60" s="59" t="s">
        <v>101</v>
      </c>
      <c r="B60" s="59" t="s">
        <v>100</v>
      </c>
      <c r="C60" s="78" t="s">
        <v>56</v>
      </c>
      <c r="D60" s="59" t="s">
        <v>99</v>
      </c>
    </row>
    <row r="61" spans="1:4" ht="15.6" thickTop="1" thickBot="1" x14ac:dyDescent="0.35">
      <c r="A61" s="59" t="s">
        <v>98</v>
      </c>
      <c r="B61" s="59" t="s">
        <v>97</v>
      </c>
      <c r="C61" s="78" t="s">
        <v>56</v>
      </c>
      <c r="D61" s="59" t="s">
        <v>74</v>
      </c>
    </row>
    <row r="62" spans="1:4" ht="15.6" thickTop="1" thickBot="1" x14ac:dyDescent="0.35">
      <c r="A62" s="59" t="s">
        <v>96</v>
      </c>
      <c r="B62" s="59" t="s">
        <v>95</v>
      </c>
      <c r="C62" s="78" t="s">
        <v>56</v>
      </c>
      <c r="D62" s="59" t="s">
        <v>94</v>
      </c>
    </row>
    <row r="63" spans="1:4" ht="15.6" thickTop="1" thickBot="1" x14ac:dyDescent="0.35">
      <c r="A63" s="59" t="s">
        <v>93</v>
      </c>
      <c r="B63" s="59" t="s">
        <v>92</v>
      </c>
      <c r="C63" s="78" t="s">
        <v>56</v>
      </c>
      <c r="D63" s="59" t="s">
        <v>74</v>
      </c>
    </row>
    <row r="64" spans="1:4" ht="15.6" thickTop="1" thickBot="1" x14ac:dyDescent="0.35">
      <c r="A64" s="59" t="s">
        <v>91</v>
      </c>
      <c r="B64" s="59" t="s">
        <v>90</v>
      </c>
      <c r="C64" s="78" t="s">
        <v>56</v>
      </c>
      <c r="D64" s="59" t="s">
        <v>74</v>
      </c>
    </row>
    <row r="65" spans="1:4" ht="15.6" thickTop="1" thickBot="1" x14ac:dyDescent="0.35">
      <c r="A65" s="59" t="s">
        <v>89</v>
      </c>
      <c r="B65" s="59" t="s">
        <v>88</v>
      </c>
      <c r="C65" s="78" t="s">
        <v>56</v>
      </c>
      <c r="D65" s="59" t="s">
        <v>59</v>
      </c>
    </row>
    <row r="66" spans="1:4" ht="15.6" thickTop="1" thickBot="1" x14ac:dyDescent="0.35">
      <c r="A66" s="59" t="s">
        <v>87</v>
      </c>
      <c r="B66" s="59" t="s">
        <v>86</v>
      </c>
      <c r="C66" s="78" t="s">
        <v>56</v>
      </c>
      <c r="D66" s="59" t="s">
        <v>85</v>
      </c>
    </row>
    <row r="67" spans="1:4" ht="15.6" thickTop="1" thickBot="1" x14ac:dyDescent="0.35">
      <c r="A67" s="59" t="s">
        <v>84</v>
      </c>
      <c r="B67" s="59" t="s">
        <v>83</v>
      </c>
      <c r="C67" s="78" t="s">
        <v>56</v>
      </c>
      <c r="D67" s="59" t="s">
        <v>82</v>
      </c>
    </row>
    <row r="68" spans="1:4" ht="15.6" thickTop="1" thickBot="1" x14ac:dyDescent="0.35">
      <c r="A68" s="59" t="s">
        <v>81</v>
      </c>
      <c r="B68" s="59" t="s">
        <v>80</v>
      </c>
      <c r="C68" s="78" t="s">
        <v>56</v>
      </c>
      <c r="D68" s="59" t="s">
        <v>55</v>
      </c>
    </row>
    <row r="69" spans="1:4" ht="15.6" thickTop="1" thickBot="1" x14ac:dyDescent="0.35">
      <c r="A69" s="59" t="s">
        <v>79</v>
      </c>
      <c r="B69" s="59" t="s">
        <v>78</v>
      </c>
      <c r="C69" s="78" t="s">
        <v>56</v>
      </c>
      <c r="D69" s="59" t="s">
        <v>77</v>
      </c>
    </row>
    <row r="70" spans="1:4" ht="15.6" thickTop="1" thickBot="1" x14ac:dyDescent="0.35">
      <c r="A70" s="59" t="s">
        <v>76</v>
      </c>
      <c r="B70" s="59" t="s">
        <v>75</v>
      </c>
      <c r="C70" s="78" t="s">
        <v>56</v>
      </c>
      <c r="D70" s="59" t="s">
        <v>74</v>
      </c>
    </row>
    <row r="71" spans="1:4" ht="15.6" thickTop="1" thickBot="1" x14ac:dyDescent="0.35">
      <c r="A71" s="59" t="s">
        <v>73</v>
      </c>
      <c r="B71" s="59" t="s">
        <v>72</v>
      </c>
      <c r="C71" s="78" t="s">
        <v>56</v>
      </c>
      <c r="D71" s="59" t="s">
        <v>67</v>
      </c>
    </row>
    <row r="72" spans="1:4" ht="15.6" thickTop="1" thickBot="1" x14ac:dyDescent="0.35">
      <c r="A72" s="59" t="s">
        <v>71</v>
      </c>
      <c r="B72" s="59" t="s">
        <v>70</v>
      </c>
      <c r="C72" s="78" t="s">
        <v>56</v>
      </c>
      <c r="D72" s="59" t="s">
        <v>67</v>
      </c>
    </row>
    <row r="73" spans="1:4" ht="15.6" thickTop="1" thickBot="1" x14ac:dyDescent="0.35">
      <c r="A73" s="59" t="s">
        <v>69</v>
      </c>
      <c r="B73" s="59" t="s">
        <v>68</v>
      </c>
      <c r="C73" s="78" t="s">
        <v>56</v>
      </c>
      <c r="D73" s="59" t="s">
        <v>67</v>
      </c>
    </row>
    <row r="74" spans="1:4" ht="15.6" thickTop="1" thickBot="1" x14ac:dyDescent="0.35">
      <c r="A74" s="59" t="s">
        <v>66</v>
      </c>
      <c r="B74" s="59" t="s">
        <v>65</v>
      </c>
      <c r="C74" s="78" t="s">
        <v>56</v>
      </c>
      <c r="D74" s="59" t="s">
        <v>62</v>
      </c>
    </row>
    <row r="75" spans="1:4" ht="15.6" thickTop="1" thickBot="1" x14ac:dyDescent="0.35">
      <c r="A75" s="59" t="s">
        <v>64</v>
      </c>
      <c r="B75" s="59" t="s">
        <v>63</v>
      </c>
      <c r="C75" s="78" t="s">
        <v>56</v>
      </c>
      <c r="D75" s="59" t="s">
        <v>62</v>
      </c>
    </row>
    <row r="76" spans="1:4" ht="15.6" thickTop="1" thickBot="1" x14ac:dyDescent="0.35">
      <c r="A76" s="59" t="s">
        <v>61</v>
      </c>
      <c r="B76" s="59" t="s">
        <v>60</v>
      </c>
      <c r="C76" s="78" t="s">
        <v>56</v>
      </c>
      <c r="D76" s="59" t="s">
        <v>59</v>
      </c>
    </row>
    <row r="77" spans="1:4" ht="15.6" thickTop="1" thickBot="1" x14ac:dyDescent="0.35">
      <c r="A77" s="59" t="s">
        <v>58</v>
      </c>
      <c r="B77" s="59" t="s">
        <v>57</v>
      </c>
      <c r="C77" s="78" t="s">
        <v>56</v>
      </c>
      <c r="D77" s="59" t="s">
        <v>55</v>
      </c>
    </row>
    <row r="78" spans="1:4" ht="15.6" thickTop="1" thickBot="1" x14ac:dyDescent="0.35">
      <c r="A78" s="59" t="s">
        <v>54</v>
      </c>
      <c r="B78" s="59" t="s">
        <v>53</v>
      </c>
      <c r="C78" s="78" t="s">
        <v>47</v>
      </c>
      <c r="D78" s="59" t="s">
        <v>52</v>
      </c>
    </row>
    <row r="79" spans="1:4" ht="15.6" thickTop="1" thickBot="1" x14ac:dyDescent="0.35">
      <c r="A79" s="59" t="s">
        <v>51</v>
      </c>
      <c r="B79" s="59" t="s">
        <v>50</v>
      </c>
      <c r="C79" s="78" t="s">
        <v>47</v>
      </c>
      <c r="D79" s="59" t="s">
        <v>50</v>
      </c>
    </row>
    <row r="80" spans="1:4" ht="15.6" thickTop="1" thickBot="1" x14ac:dyDescent="0.35">
      <c r="A80" s="59" t="s">
        <v>49</v>
      </c>
      <c r="B80" s="59" t="s">
        <v>48</v>
      </c>
      <c r="C80" s="78" t="s">
        <v>47</v>
      </c>
      <c r="D80" s="59" t="s">
        <v>46</v>
      </c>
    </row>
    <row r="81" spans="1:4" ht="15.6" thickTop="1" thickBot="1" x14ac:dyDescent="0.35">
      <c r="A81" s="59" t="s">
        <v>45</v>
      </c>
      <c r="B81" s="59" t="s">
        <v>44</v>
      </c>
      <c r="C81" s="78" t="s">
        <v>240</v>
      </c>
      <c r="D81" s="59" t="s">
        <v>43</v>
      </c>
    </row>
    <row r="82" spans="1:4" ht="15.6" thickTop="1" thickBot="1" x14ac:dyDescent="0.35">
      <c r="A82" s="59" t="s">
        <v>42</v>
      </c>
      <c r="B82" s="59" t="s">
        <v>41</v>
      </c>
      <c r="C82" s="78" t="s">
        <v>240</v>
      </c>
      <c r="D82" s="59" t="s">
        <v>40</v>
      </c>
    </row>
    <row r="83" spans="1:4" ht="15.6" thickTop="1" thickBot="1" x14ac:dyDescent="0.35">
      <c r="A83" s="59" t="s">
        <v>39</v>
      </c>
      <c r="B83" s="59" t="s">
        <v>38</v>
      </c>
      <c r="C83" s="78" t="s">
        <v>240</v>
      </c>
      <c r="D83" s="59" t="s">
        <v>37</v>
      </c>
    </row>
    <row r="84" spans="1:4" ht="15" thickTop="1" x14ac:dyDescent="0.3"/>
    <row r="85" spans="1:4" x14ac:dyDescent="0.3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1783-0D5E-4974-951F-D268D979F704}">
  <sheetPr codeName="Planilha2"/>
  <dimension ref="A1:C393"/>
  <sheetViews>
    <sheetView showGridLines="0" zoomScaleNormal="100" workbookViewId="0">
      <selection activeCell="A393" sqref="A393"/>
    </sheetView>
  </sheetViews>
  <sheetFormatPr defaultColWidth="0" defaultRowHeight="14.4" zeroHeight="1" x14ac:dyDescent="0.3"/>
  <cols>
    <col min="1" max="1" width="11.5546875" bestFit="1" customWidth="1"/>
    <col min="2" max="2" width="123.5546875" customWidth="1"/>
    <col min="3" max="3" width="132.5546875" hidden="1" customWidth="1"/>
    <col min="4" max="16384" width="8.88671875" hidden="1"/>
  </cols>
  <sheetData>
    <row r="1" spans="1:3" s="13" customFormat="1" ht="30" customHeight="1" thickTop="1" thickBot="1" x14ac:dyDescent="0.35">
      <c r="A1" s="63" t="s">
        <v>646</v>
      </c>
      <c r="B1" s="63" t="s">
        <v>647</v>
      </c>
      <c r="C1" s="12" t="s">
        <v>658</v>
      </c>
    </row>
    <row r="2" spans="1:3" ht="15.6" thickTop="1" thickBot="1" x14ac:dyDescent="0.35">
      <c r="A2" s="74" t="s">
        <v>1105</v>
      </c>
      <c r="B2" s="74" t="s">
        <v>527</v>
      </c>
      <c r="C2" s="6" t="str">
        <f>CÓDIGO_CNAE[[#This Row],[CNAE]] &amp; " - " &amp; CÓDIGO_CNAE[[#This Row],[Descrição]]</f>
        <v>161-0/03 - Serviço de preparação de terreno, cultivo e colheita</v>
      </c>
    </row>
    <row r="3" spans="1:3" ht="15.6" thickTop="1" thickBot="1" x14ac:dyDescent="0.35">
      <c r="A3" s="74" t="s">
        <v>1106</v>
      </c>
      <c r="B3" s="74" t="s">
        <v>528</v>
      </c>
      <c r="C3" s="6" t="str">
        <f>CÓDIGO_CNAE[[#This Row],[CNAE]] &amp; " - " &amp; CÓDIGO_CNAE[[#This Row],[Descrição]]</f>
        <v>162-8/03 - Serviço de manejo de animais</v>
      </c>
    </row>
    <row r="4" spans="1:3" ht="15.6" thickTop="1" thickBot="1" x14ac:dyDescent="0.35">
      <c r="A4" s="74" t="s">
        <v>1107</v>
      </c>
      <c r="B4" s="74" t="s">
        <v>529</v>
      </c>
      <c r="C4" s="6" t="str">
        <f>CÓDIGO_CNAE[[#This Row],[CNAE]] &amp; " - " &amp; CÓDIGO_CNAE[[#This Row],[Descrição]]</f>
        <v>322-1/07 - Atividades de apoio à aqüicultura em água doce</v>
      </c>
    </row>
    <row r="5" spans="1:3" ht="15.6" thickTop="1" thickBot="1" x14ac:dyDescent="0.35">
      <c r="A5" s="74" t="s">
        <v>893</v>
      </c>
      <c r="B5" s="74" t="s">
        <v>530</v>
      </c>
      <c r="C5" s="6" t="str">
        <f>CÓDIGO_CNAE[[#This Row],[CNAE]] &amp; " - " &amp; CÓDIGO_CNAE[[#This Row],[Descrição]]</f>
        <v>1099-6/04 - Fabricação de gelo comum</v>
      </c>
    </row>
    <row r="6" spans="1:3" ht="15.6" thickTop="1" thickBot="1" x14ac:dyDescent="0.35">
      <c r="A6" s="74" t="s">
        <v>894</v>
      </c>
      <c r="B6" s="74" t="s">
        <v>255</v>
      </c>
      <c r="C6" s="6" t="str">
        <f>CÓDIGO_CNAE[[#This Row],[CNAE]] &amp; " - " &amp; CÓDIGO_CNAE[[#This Row],[Descrição]]</f>
        <v>3250-7/06 - Serviços de prótese dentária</v>
      </c>
    </row>
    <row r="7" spans="1:3" ht="15.6" thickTop="1" thickBot="1" x14ac:dyDescent="0.35">
      <c r="A7" s="74" t="s">
        <v>895</v>
      </c>
      <c r="B7" s="74" t="s">
        <v>256</v>
      </c>
      <c r="C7" s="6" t="str">
        <f>CÓDIGO_CNAE[[#This Row],[CNAE]] &amp; " - " &amp; CÓDIGO_CNAE[[#This Row],[Descrição]]</f>
        <v>3250-7/09 - Serviço de laboratório óptico</v>
      </c>
    </row>
    <row r="8" spans="1:3" ht="15.6" thickTop="1" thickBot="1" x14ac:dyDescent="0.35">
      <c r="A8" s="74" t="s">
        <v>896</v>
      </c>
      <c r="B8" s="74" t="s">
        <v>531</v>
      </c>
      <c r="C8" s="6" t="str">
        <f>CÓDIGO_CNAE[[#This Row],[CNAE]] &amp; " - " &amp; CÓDIGO_CNAE[[#This Row],[Descrição]]</f>
        <v>3312-1/02 - Manutenção e reparação de aparelhos e instrumentos de medida, teste e controle</v>
      </c>
    </row>
    <row r="9" spans="1:3" ht="15.6" thickTop="1" thickBot="1" x14ac:dyDescent="0.35">
      <c r="A9" s="74" t="s">
        <v>897</v>
      </c>
      <c r="B9" s="74" t="s">
        <v>532</v>
      </c>
      <c r="C9" s="6" t="str">
        <f>CÓDIGO_CNAE[[#This Row],[CNAE]] &amp; " - " &amp; CÓDIGO_CNAE[[#This Row],[Descrição]]</f>
        <v>3312-1/03 - Manutenção e reparação de aparelhos eletromédicos e eletroterapêuticos e equipamentos de irradiação</v>
      </c>
    </row>
    <row r="10" spans="1:3" ht="15.6" thickTop="1" thickBot="1" x14ac:dyDescent="0.35">
      <c r="A10" s="74" t="s">
        <v>898</v>
      </c>
      <c r="B10" s="74" t="s">
        <v>533</v>
      </c>
      <c r="C10" s="6" t="str">
        <f>CÓDIGO_CNAE[[#This Row],[CNAE]] &amp; " - " &amp; CÓDIGO_CNAE[[#This Row],[Descrição]]</f>
        <v>3312-1/04 - Manutenção e reparação de equipamentos e instrumentos ópticos</v>
      </c>
    </row>
    <row r="11" spans="1:3" ht="15.6" thickTop="1" thickBot="1" x14ac:dyDescent="0.35">
      <c r="A11" s="74" t="s">
        <v>899</v>
      </c>
      <c r="B11" s="74" t="s">
        <v>534</v>
      </c>
      <c r="C11" s="6" t="str">
        <f>CÓDIGO_CNAE[[#This Row],[CNAE]] &amp; " - " &amp; CÓDIGO_CNAE[[#This Row],[Descrição]]</f>
        <v>3313-9/01 - Manutenção e reparação de geradores, transformadores e motores elétricos</v>
      </c>
    </row>
    <row r="12" spans="1:3" ht="15.6" thickTop="1" thickBot="1" x14ac:dyDescent="0.35">
      <c r="A12" s="74" t="s">
        <v>900</v>
      </c>
      <c r="B12" s="74" t="s">
        <v>535</v>
      </c>
      <c r="C12" s="6" t="str">
        <f>CÓDIGO_CNAE[[#This Row],[CNAE]] &amp; " - " &amp; CÓDIGO_CNAE[[#This Row],[Descrição]]</f>
        <v>3313-9/02 - Manutenção e reparação de baterias e acumuladores elétricos, exceto para veículos</v>
      </c>
    </row>
    <row r="13" spans="1:3" ht="15.6" thickTop="1" thickBot="1" x14ac:dyDescent="0.35">
      <c r="A13" s="74" t="s">
        <v>892</v>
      </c>
      <c r="B13" s="74" t="s">
        <v>536</v>
      </c>
      <c r="C13" s="6" t="str">
        <f>CÓDIGO_CNAE[[#This Row],[CNAE]] &amp; " - " &amp; CÓDIGO_CNAE[[#This Row],[Descrição]]</f>
        <v>3313-9/99 - Manutenção e reparação de máquinas, aparelhos e materiais elétricos não especificados anteriormente</v>
      </c>
    </row>
    <row r="14" spans="1:3" ht="15.6" thickTop="1" thickBot="1" x14ac:dyDescent="0.35">
      <c r="A14" s="74" t="s">
        <v>901</v>
      </c>
      <c r="B14" s="74" t="s">
        <v>537</v>
      </c>
      <c r="C14" s="6" t="str">
        <f>CÓDIGO_CNAE[[#This Row],[CNAE]] &amp; " - " &amp; CÓDIGO_CNAE[[#This Row],[Descrição]]</f>
        <v>3314-7/01 - Manutenção e reparação de máquinas motrizes não-elétricas</v>
      </c>
    </row>
    <row r="15" spans="1:3" ht="15.6" thickTop="1" thickBot="1" x14ac:dyDescent="0.35">
      <c r="A15" s="74" t="s">
        <v>902</v>
      </c>
      <c r="B15" s="74" t="s">
        <v>538</v>
      </c>
      <c r="C15" s="6" t="str">
        <f>CÓDIGO_CNAE[[#This Row],[CNAE]] &amp; " - " &amp; CÓDIGO_CNAE[[#This Row],[Descrição]]</f>
        <v>3314-7/02 - Manutenção e reparação de equipamentos hidráulicos e pneumáticos, exceto válvulas</v>
      </c>
    </row>
    <row r="16" spans="1:3" ht="15.6" thickTop="1" thickBot="1" x14ac:dyDescent="0.35">
      <c r="A16" s="74" t="s">
        <v>903</v>
      </c>
      <c r="B16" s="74" t="s">
        <v>539</v>
      </c>
      <c r="C16" s="6" t="str">
        <f>CÓDIGO_CNAE[[#This Row],[CNAE]] &amp; " - " &amp; CÓDIGO_CNAE[[#This Row],[Descrição]]</f>
        <v>3314-7/03 - Manutenção e reparação de válvulas industriais</v>
      </c>
    </row>
    <row r="17" spans="1:3" ht="15.6" thickTop="1" thickBot="1" x14ac:dyDescent="0.35">
      <c r="A17" s="74" t="s">
        <v>904</v>
      </c>
      <c r="B17" s="74" t="s">
        <v>540</v>
      </c>
      <c r="C17" s="6" t="str">
        <f>CÓDIGO_CNAE[[#This Row],[CNAE]] &amp; " - " &amp; CÓDIGO_CNAE[[#This Row],[Descrição]]</f>
        <v>3314-7/04 - Manutenção e reparação de compressores</v>
      </c>
    </row>
    <row r="18" spans="1:3" ht="15.6" thickTop="1" thickBot="1" x14ac:dyDescent="0.35">
      <c r="A18" s="74" t="s">
        <v>905</v>
      </c>
      <c r="B18" s="74" t="s">
        <v>541</v>
      </c>
      <c r="C18" s="6" t="str">
        <f>CÓDIGO_CNAE[[#This Row],[CNAE]] &amp; " - " &amp; CÓDIGO_CNAE[[#This Row],[Descrição]]</f>
        <v>3314-7/05 - Manutenção e reparação de equipamentos de transmissão para fins industriais</v>
      </c>
    </row>
    <row r="19" spans="1:3" ht="15.6" thickTop="1" thickBot="1" x14ac:dyDescent="0.35">
      <c r="A19" s="74" t="s">
        <v>906</v>
      </c>
      <c r="B19" s="74" t="s">
        <v>542</v>
      </c>
      <c r="C19" s="6" t="str">
        <f>CÓDIGO_CNAE[[#This Row],[CNAE]] &amp; " - " &amp; CÓDIGO_CNAE[[#This Row],[Descrição]]</f>
        <v>3314-7/06 - Manutenção e reparação de máquinas, aparelhos e equipamentos para instalações térmicas</v>
      </c>
    </row>
    <row r="20" spans="1:3" ht="15.6" thickTop="1" thickBot="1" x14ac:dyDescent="0.35">
      <c r="A20" s="74" t="s">
        <v>907</v>
      </c>
      <c r="B20" s="74" t="s">
        <v>543</v>
      </c>
      <c r="C20" s="6" t="str">
        <f>CÓDIGO_CNAE[[#This Row],[CNAE]] &amp; " - " &amp; CÓDIGO_CNAE[[#This Row],[Descrição]]</f>
        <v>3314-7/07 - Manutenção e reparação de máquinas e aparelhos de refrigeração e ventilação para uso industrial e comercial</v>
      </c>
    </row>
    <row r="21" spans="1:3" ht="15.6" thickTop="1" thickBot="1" x14ac:dyDescent="0.35">
      <c r="A21" s="74" t="s">
        <v>908</v>
      </c>
      <c r="B21" s="74" t="s">
        <v>544</v>
      </c>
      <c r="C21" s="6" t="str">
        <f>CÓDIGO_CNAE[[#This Row],[CNAE]] &amp; " - " &amp; CÓDIGO_CNAE[[#This Row],[Descrição]]</f>
        <v>3314-7/08 - Manutenção e reparação de máquinas, equipamentos e aparelhos para transporte e elevação de cargas</v>
      </c>
    </row>
    <row r="22" spans="1:3" ht="15.6" thickTop="1" thickBot="1" x14ac:dyDescent="0.35">
      <c r="A22" s="74" t="s">
        <v>909</v>
      </c>
      <c r="B22" s="74" t="s">
        <v>545</v>
      </c>
      <c r="C22" s="6" t="str">
        <f>CÓDIGO_CNAE[[#This Row],[CNAE]] &amp; " - " &amp; CÓDIGO_CNAE[[#This Row],[Descrição]]</f>
        <v>3314-7/09 - Manutenção e reparação de máquinas de escrever, calcular e de outros equipamentos não-eletrônicos para escritório</v>
      </c>
    </row>
    <row r="23" spans="1:3" ht="15.6" thickTop="1" thickBot="1" x14ac:dyDescent="0.35">
      <c r="A23" s="74" t="s">
        <v>910</v>
      </c>
      <c r="B23" s="74" t="s">
        <v>546</v>
      </c>
      <c r="C23" s="6" t="str">
        <f>CÓDIGO_CNAE[[#This Row],[CNAE]] &amp; " - " &amp; CÓDIGO_CNAE[[#This Row],[Descrição]]</f>
        <v>3314-7/10 - Manutenção e reparação de máquinas e equipamentos para uso geral não especificados anteriormente</v>
      </c>
    </row>
    <row r="24" spans="1:3" ht="15.6" thickTop="1" thickBot="1" x14ac:dyDescent="0.35">
      <c r="A24" s="74" t="s">
        <v>911</v>
      </c>
      <c r="B24" s="74" t="s">
        <v>547</v>
      </c>
      <c r="C24" s="6" t="str">
        <f>CÓDIGO_CNAE[[#This Row],[CNAE]] &amp; " - " &amp; CÓDIGO_CNAE[[#This Row],[Descrição]]</f>
        <v>3314-7/11 - Manutenção e reparação de máquinas e equipamentos para agricultura e pecuária</v>
      </c>
    </row>
    <row r="25" spans="1:3" ht="15.6" thickTop="1" thickBot="1" x14ac:dyDescent="0.35">
      <c r="A25" s="74" t="s">
        <v>912</v>
      </c>
      <c r="B25" s="74" t="s">
        <v>548</v>
      </c>
      <c r="C25" s="6" t="str">
        <f>CÓDIGO_CNAE[[#This Row],[CNAE]] &amp; " - " &amp; CÓDIGO_CNAE[[#This Row],[Descrição]]</f>
        <v>3314-7/12 - Manutenção e reparação de tratores agrícolas</v>
      </c>
    </row>
    <row r="26" spans="1:3" ht="15.6" thickTop="1" thickBot="1" x14ac:dyDescent="0.35">
      <c r="A26" s="74" t="s">
        <v>913</v>
      </c>
      <c r="B26" s="74" t="s">
        <v>549</v>
      </c>
      <c r="C26" s="6" t="str">
        <f>CÓDIGO_CNAE[[#This Row],[CNAE]] &amp; " - " &amp; CÓDIGO_CNAE[[#This Row],[Descrição]]</f>
        <v>3314-7/13 - Manutenção e reparação de máquinas-ferramenta</v>
      </c>
    </row>
    <row r="27" spans="1:3" ht="15.6" thickTop="1" thickBot="1" x14ac:dyDescent="0.35">
      <c r="A27" s="74" t="s">
        <v>914</v>
      </c>
      <c r="B27" s="74" t="s">
        <v>550</v>
      </c>
      <c r="C27" s="6" t="str">
        <f>CÓDIGO_CNAE[[#This Row],[CNAE]] &amp; " - " &amp; CÓDIGO_CNAE[[#This Row],[Descrição]]</f>
        <v>3314-7/14 - Manutenção e reparação de máquinas e equipamentos para a prospecção e extração de petróleo</v>
      </c>
    </row>
    <row r="28" spans="1:3" ht="15.6" thickTop="1" thickBot="1" x14ac:dyDescent="0.35">
      <c r="A28" s="74" t="s">
        <v>915</v>
      </c>
      <c r="B28" s="74" t="s">
        <v>551</v>
      </c>
      <c r="C28" s="6" t="str">
        <f>CÓDIGO_CNAE[[#This Row],[CNAE]] &amp; " - " &amp; CÓDIGO_CNAE[[#This Row],[Descrição]]</f>
        <v>3314-7/15 - Manutenção e reparação de máquinas e equipamentos para uso na extração mineral, exceto na extração de petróleo</v>
      </c>
    </row>
    <row r="29" spans="1:3" ht="15.6" thickTop="1" thickBot="1" x14ac:dyDescent="0.35">
      <c r="A29" s="74" t="s">
        <v>916</v>
      </c>
      <c r="B29" s="74" t="s">
        <v>552</v>
      </c>
      <c r="C29" s="6" t="str">
        <f>CÓDIGO_CNAE[[#This Row],[CNAE]] &amp; " - " &amp; CÓDIGO_CNAE[[#This Row],[Descrição]]</f>
        <v>3314-7/16 - Manutenção e reparação de tratores, exceto agrícolas</v>
      </c>
    </row>
    <row r="30" spans="1:3" ht="15.6" thickTop="1" thickBot="1" x14ac:dyDescent="0.35">
      <c r="A30" s="74" t="s">
        <v>917</v>
      </c>
      <c r="B30" s="74" t="s">
        <v>553</v>
      </c>
      <c r="C30" s="6" t="str">
        <f>CÓDIGO_CNAE[[#This Row],[CNAE]] &amp; " - " &amp; CÓDIGO_CNAE[[#This Row],[Descrição]]</f>
        <v>3314-7/17 - Manutenção e reparação de máquinas e equipamentos de terraplenagem, pavimentação e construção, exceto tratores</v>
      </c>
    </row>
    <row r="31" spans="1:3" ht="15.6" thickTop="1" thickBot="1" x14ac:dyDescent="0.35">
      <c r="A31" s="74" t="s">
        <v>918</v>
      </c>
      <c r="B31" s="74" t="s">
        <v>554</v>
      </c>
      <c r="C31" s="6" t="str">
        <f>CÓDIGO_CNAE[[#This Row],[CNAE]] &amp; " - " &amp; CÓDIGO_CNAE[[#This Row],[Descrição]]</f>
        <v>3314-7/18 - Manutenção e reparação de máquinas para a indústria metalúrgica, exceto máquinas-ferramenta</v>
      </c>
    </row>
    <row r="32" spans="1:3" ht="15.6" thickTop="1" thickBot="1" x14ac:dyDescent="0.35">
      <c r="A32" s="74" t="s">
        <v>919</v>
      </c>
      <c r="B32" s="74" t="s">
        <v>555</v>
      </c>
      <c r="C32" s="6" t="str">
        <f>CÓDIGO_CNAE[[#This Row],[CNAE]] &amp; " - " &amp; CÓDIGO_CNAE[[#This Row],[Descrição]]</f>
        <v>3314-7/19 - Manutenção e reparação de máquinas e equipamentos para as indústrias de alimentos, bebidas e fumo</v>
      </c>
    </row>
    <row r="33" spans="1:3" ht="15.6" thickTop="1" thickBot="1" x14ac:dyDescent="0.35">
      <c r="A33" s="74" t="s">
        <v>920</v>
      </c>
      <c r="B33" s="74" t="s">
        <v>556</v>
      </c>
      <c r="C33" s="6" t="str">
        <f>CÓDIGO_CNAE[[#This Row],[CNAE]] &amp; " - " &amp; CÓDIGO_CNAE[[#This Row],[Descrição]]</f>
        <v>3314-7/20 - Manutenção e reparação de máquinas e equipamentos para a indústria têxtil, do vestuário, do couro e calçados</v>
      </c>
    </row>
    <row r="34" spans="1:3" ht="15.6" thickTop="1" thickBot="1" x14ac:dyDescent="0.35">
      <c r="A34" s="74" t="s">
        <v>921</v>
      </c>
      <c r="B34" s="74" t="s">
        <v>557</v>
      </c>
      <c r="C34" s="6" t="str">
        <f>CÓDIGO_CNAE[[#This Row],[CNAE]] &amp; " - " &amp; CÓDIGO_CNAE[[#This Row],[Descrição]]</f>
        <v>3314-7/21 - Manutenção e reparação de máquinas e aparelhos para a indústria de celulose, papel e papelão e artefatos</v>
      </c>
    </row>
    <row r="35" spans="1:3" ht="15.6" thickTop="1" thickBot="1" x14ac:dyDescent="0.35">
      <c r="A35" s="74" t="s">
        <v>922</v>
      </c>
      <c r="B35" s="74" t="s">
        <v>558</v>
      </c>
      <c r="C35" s="6" t="str">
        <f>CÓDIGO_CNAE[[#This Row],[CNAE]] &amp; " - " &amp; CÓDIGO_CNAE[[#This Row],[Descrição]]</f>
        <v>3314-7/22 - Manutenção e reparação de máquinas e aparelhos para a indústria do plástico</v>
      </c>
    </row>
    <row r="36" spans="1:3" ht="15.6" thickTop="1" thickBot="1" x14ac:dyDescent="0.35">
      <c r="A36" s="74" t="s">
        <v>891</v>
      </c>
      <c r="B36" s="74" t="s">
        <v>559</v>
      </c>
      <c r="C36" s="6" t="str">
        <f>CÓDIGO_CNAE[[#This Row],[CNAE]] &amp; " - " &amp; CÓDIGO_CNAE[[#This Row],[Descrição]]</f>
        <v>3314-7/99 - Manutenção e reparação de outras máquinas e equipamentos para usos industriais não especificados anteriormente</v>
      </c>
    </row>
    <row r="37" spans="1:3" ht="15.6" thickTop="1" thickBot="1" x14ac:dyDescent="0.35">
      <c r="A37" s="74" t="s">
        <v>890</v>
      </c>
      <c r="B37" s="74" t="s">
        <v>560</v>
      </c>
      <c r="C37" s="6" t="str">
        <f>CÓDIGO_CNAE[[#This Row],[CNAE]] &amp; " - " &amp; CÓDIGO_CNAE[[#This Row],[Descrição]]</f>
        <v>3315-5/00 - Manutenção e reparação de veículos ferroviários</v>
      </c>
    </row>
    <row r="38" spans="1:3" ht="15.6" thickTop="1" thickBot="1" x14ac:dyDescent="0.35">
      <c r="A38" s="74" t="s">
        <v>923</v>
      </c>
      <c r="B38" s="74" t="s">
        <v>561</v>
      </c>
      <c r="C38" s="6" t="str">
        <f>CÓDIGO_CNAE[[#This Row],[CNAE]] &amp; " - " &amp; CÓDIGO_CNAE[[#This Row],[Descrição]]</f>
        <v>3316-3/01 - Manutenção e reparação de aeronaves, exceto a manutenção na pista</v>
      </c>
    </row>
    <row r="39" spans="1:3" ht="15.6" thickTop="1" thickBot="1" x14ac:dyDescent="0.35">
      <c r="A39" s="74" t="s">
        <v>924</v>
      </c>
      <c r="B39" s="74" t="s">
        <v>562</v>
      </c>
      <c r="C39" s="6" t="str">
        <f>CÓDIGO_CNAE[[#This Row],[CNAE]] &amp; " - " &amp; CÓDIGO_CNAE[[#This Row],[Descrição]]</f>
        <v>3316-3/02 - Manutenção de aeronaves na pista</v>
      </c>
    </row>
    <row r="40" spans="1:3" ht="15.6" thickTop="1" thickBot="1" x14ac:dyDescent="0.35">
      <c r="A40" s="74" t="s">
        <v>925</v>
      </c>
      <c r="B40" s="74" t="s">
        <v>563</v>
      </c>
      <c r="C40" s="6" t="str">
        <f>CÓDIGO_CNAE[[#This Row],[CNAE]] &amp; " - " &amp; CÓDIGO_CNAE[[#This Row],[Descrição]]</f>
        <v>3317-1/01 - Manutenção e reparação de embarcações e estruturas flutuantes</v>
      </c>
    </row>
    <row r="41" spans="1:3" ht="15.6" thickTop="1" thickBot="1" x14ac:dyDescent="0.35">
      <c r="A41" s="74" t="s">
        <v>926</v>
      </c>
      <c r="B41" s="74" t="s">
        <v>564</v>
      </c>
      <c r="C41" s="6" t="str">
        <f>CÓDIGO_CNAE[[#This Row],[CNAE]] &amp; " - " &amp; CÓDIGO_CNAE[[#This Row],[Descrição]]</f>
        <v>3317-1/02 - Manutenção e reparação de embarcações para esporte e lazer</v>
      </c>
    </row>
    <row r="42" spans="1:3" ht="15.6" thickTop="1" thickBot="1" x14ac:dyDescent="0.35">
      <c r="A42" s="74" t="s">
        <v>889</v>
      </c>
      <c r="B42" s="74" t="s">
        <v>565</v>
      </c>
      <c r="C42" s="6" t="str">
        <f>CÓDIGO_CNAE[[#This Row],[CNAE]] &amp; " - " &amp; CÓDIGO_CNAE[[#This Row],[Descrição]]</f>
        <v>3319-8/00 - Manutenção e reparação de equipamentos e produtos não especificados anteriormente</v>
      </c>
    </row>
    <row r="43" spans="1:3" ht="15.6" thickTop="1" thickBot="1" x14ac:dyDescent="0.35">
      <c r="A43" s="74" t="s">
        <v>888</v>
      </c>
      <c r="B43" s="74" t="s">
        <v>566</v>
      </c>
      <c r="C43" s="6" t="str">
        <f>CÓDIGO_CNAE[[#This Row],[CNAE]] &amp; " - " &amp; CÓDIGO_CNAE[[#This Row],[Descrição]]</f>
        <v>3321-0/00 - Instalação de máquinas e equipamentos industriais</v>
      </c>
    </row>
    <row r="44" spans="1:3" ht="15.6" thickTop="1" thickBot="1" x14ac:dyDescent="0.35">
      <c r="A44" s="74" t="s">
        <v>927</v>
      </c>
      <c r="B44" s="74" t="s">
        <v>567</v>
      </c>
      <c r="C44" s="6" t="str">
        <f>CÓDIGO_CNAE[[#This Row],[CNAE]] &amp; " - " &amp; CÓDIGO_CNAE[[#This Row],[Descrição]]</f>
        <v>4211-1/02 - Pintura para sinalização em pistas rodoviárias e aeroportos</v>
      </c>
    </row>
    <row r="45" spans="1:3" ht="15.6" thickTop="1" thickBot="1" x14ac:dyDescent="0.35">
      <c r="A45" s="74" t="s">
        <v>928</v>
      </c>
      <c r="B45" s="74" t="s">
        <v>568</v>
      </c>
      <c r="C45" s="6" t="str">
        <f>CÓDIGO_CNAE[[#This Row],[CNAE]] &amp; " - " &amp; CÓDIGO_CNAE[[#This Row],[Descrição]]</f>
        <v>4221-9/03 - Manutenção de redes de distribuição de energia elétrica</v>
      </c>
    </row>
    <row r="46" spans="1:3" ht="15.6" thickTop="1" thickBot="1" x14ac:dyDescent="0.35">
      <c r="A46" s="74" t="s">
        <v>929</v>
      </c>
      <c r="B46" s="74" t="s">
        <v>569</v>
      </c>
      <c r="C46" s="6" t="str">
        <f>CÓDIGO_CNAE[[#This Row],[CNAE]] &amp; " - " &amp; CÓDIGO_CNAE[[#This Row],[Descrição]]</f>
        <v>4221-9/05 - Manutenção de estações e redes de telecomunicações</v>
      </c>
    </row>
    <row r="47" spans="1:3" ht="15.6" thickTop="1" thickBot="1" x14ac:dyDescent="0.35">
      <c r="A47" s="74" t="s">
        <v>887</v>
      </c>
      <c r="B47" s="74" t="s">
        <v>570</v>
      </c>
      <c r="C47" s="6" t="str">
        <f>CÓDIGO_CNAE[[#This Row],[CNAE]] &amp; " - " &amp; CÓDIGO_CNAE[[#This Row],[Descrição]]</f>
        <v>4313-4/00 - Obras de terraplenagem</v>
      </c>
    </row>
    <row r="48" spans="1:3" ht="15.6" thickTop="1" thickBot="1" x14ac:dyDescent="0.35">
      <c r="A48" s="74" t="s">
        <v>886</v>
      </c>
      <c r="B48" s="74" t="s">
        <v>571</v>
      </c>
      <c r="C48" s="6" t="str">
        <f>CÓDIGO_CNAE[[#This Row],[CNAE]] &amp; " - " &amp; CÓDIGO_CNAE[[#This Row],[Descrição]]</f>
        <v>4321-5/00 - Instalação e manutenção elétrica</v>
      </c>
    </row>
    <row r="49" spans="1:3" ht="15.6" thickTop="1" thickBot="1" x14ac:dyDescent="0.35">
      <c r="A49" s="74" t="s">
        <v>930</v>
      </c>
      <c r="B49" s="74" t="s">
        <v>572</v>
      </c>
      <c r="C49" s="6" t="str">
        <f>CÓDIGO_CNAE[[#This Row],[CNAE]] &amp; " - " &amp; CÓDIGO_CNAE[[#This Row],[Descrição]]</f>
        <v>4322-3/01 - Instalações hidráulicas, sanitárias e de gás</v>
      </c>
    </row>
    <row r="50" spans="1:3" ht="15.6" thickTop="1" thickBot="1" x14ac:dyDescent="0.35">
      <c r="A50" s="74" t="s">
        <v>931</v>
      </c>
      <c r="B50" s="74" t="s">
        <v>573</v>
      </c>
      <c r="C50" s="6" t="str">
        <f>CÓDIGO_CNAE[[#This Row],[CNAE]] &amp; " - " &amp; CÓDIGO_CNAE[[#This Row],[Descrição]]</f>
        <v>4322-3/02 - Instalação e manutenção de sistemas centrais de ar condicionado, de ventilação e refrigeração</v>
      </c>
    </row>
    <row r="51" spans="1:3" ht="15.6" thickTop="1" thickBot="1" x14ac:dyDescent="0.35">
      <c r="A51" s="74" t="s">
        <v>932</v>
      </c>
      <c r="B51" s="74" t="s">
        <v>574</v>
      </c>
      <c r="C51" s="6" t="str">
        <f>CÓDIGO_CNAE[[#This Row],[CNAE]] &amp; " - " &amp; CÓDIGO_CNAE[[#This Row],[Descrição]]</f>
        <v>4322-3/03 - Instalações de sistema de prevenção contra incêndio</v>
      </c>
    </row>
    <row r="52" spans="1:3" ht="15.6" thickTop="1" thickBot="1" x14ac:dyDescent="0.35">
      <c r="A52" s="74" t="s">
        <v>933</v>
      </c>
      <c r="B52" s="74" t="s">
        <v>575</v>
      </c>
      <c r="C52" s="6" t="str">
        <f>CÓDIGO_CNAE[[#This Row],[CNAE]] &amp; " - " &amp; CÓDIGO_CNAE[[#This Row],[Descrição]]</f>
        <v>4329-1/01 - Instalação de painéis publicitários</v>
      </c>
    </row>
    <row r="53" spans="1:3" ht="15.6" thickTop="1" thickBot="1" x14ac:dyDescent="0.35">
      <c r="A53" s="74" t="s">
        <v>934</v>
      </c>
      <c r="B53" s="74" t="s">
        <v>576</v>
      </c>
      <c r="C53" s="6" t="str">
        <f>CÓDIGO_CNAE[[#This Row],[CNAE]] &amp; " - " &amp; CÓDIGO_CNAE[[#This Row],[Descrição]]</f>
        <v>4329-1/02 - Instalação de equipamentos para orientação à navegação marítima, fluvial e lacustre</v>
      </c>
    </row>
    <row r="54" spans="1:3" ht="15.6" thickTop="1" thickBot="1" x14ac:dyDescent="0.35">
      <c r="A54" s="74" t="s">
        <v>935</v>
      </c>
      <c r="B54" s="74" t="s">
        <v>577</v>
      </c>
      <c r="C54" s="6" t="str">
        <f>CÓDIGO_CNAE[[#This Row],[CNAE]] &amp; " - " &amp; CÓDIGO_CNAE[[#This Row],[Descrição]]</f>
        <v>4329-1/03 - Instalação, manutenção e reparação de elevadores, escadas e esteiras rolantes</v>
      </c>
    </row>
    <row r="55" spans="1:3" ht="15.6" thickTop="1" thickBot="1" x14ac:dyDescent="0.35">
      <c r="A55" s="74" t="s">
        <v>936</v>
      </c>
      <c r="B55" s="74" t="s">
        <v>578</v>
      </c>
      <c r="C55" s="6" t="str">
        <f>CÓDIGO_CNAE[[#This Row],[CNAE]] &amp; " - " &amp; CÓDIGO_CNAE[[#This Row],[Descrição]]</f>
        <v>4329-1/04 - Montagem e instalação de sistemas e equipamentos de iluminação e sinalização em vias públicas, portos e aeroportos</v>
      </c>
    </row>
    <row r="56" spans="1:3" ht="15.6" thickTop="1" thickBot="1" x14ac:dyDescent="0.35">
      <c r="A56" s="74" t="s">
        <v>937</v>
      </c>
      <c r="B56" s="74" t="s">
        <v>579</v>
      </c>
      <c r="C56" s="6" t="str">
        <f>CÓDIGO_CNAE[[#This Row],[CNAE]] &amp; " - " &amp; CÓDIGO_CNAE[[#This Row],[Descrição]]</f>
        <v>4329-1/05 - Tratamentos térmicos, acústicos ou de vibração</v>
      </c>
    </row>
    <row r="57" spans="1:3" ht="15.6" thickTop="1" thickBot="1" x14ac:dyDescent="0.35">
      <c r="A57" s="74" t="s">
        <v>938</v>
      </c>
      <c r="B57" s="74" t="s">
        <v>257</v>
      </c>
      <c r="C57" s="6" t="str">
        <f>CÓDIGO_CNAE[[#This Row],[CNAE]] &amp; " - " &amp; CÓDIGO_CNAE[[#This Row],[Descrição]]</f>
        <v>4399-1/01 - Administração de obras</v>
      </c>
    </row>
    <row r="58" spans="1:3" ht="15.6" thickTop="1" thickBot="1" x14ac:dyDescent="0.35">
      <c r="A58" s="74" t="s">
        <v>939</v>
      </c>
      <c r="B58" s="74" t="s">
        <v>580</v>
      </c>
      <c r="C58" s="6" t="str">
        <f>CÓDIGO_CNAE[[#This Row],[CNAE]] &amp; " - " &amp; CÓDIGO_CNAE[[#This Row],[Descrição]]</f>
        <v>4399-1/02 - Montagem e desmontagem de andaimes e outras estruturas temporárias</v>
      </c>
    </row>
    <row r="59" spans="1:3" ht="15.6" thickTop="1" thickBot="1" x14ac:dyDescent="0.35">
      <c r="A59" s="74" t="s">
        <v>940</v>
      </c>
      <c r="B59" s="74" t="s">
        <v>581</v>
      </c>
      <c r="C59" s="6" t="str">
        <f>CÓDIGO_CNAE[[#This Row],[CNAE]] &amp; " - " &amp; CÓDIGO_CNAE[[#This Row],[Descrição]]</f>
        <v>4511-1/01 - Comércio a varejo de automóveis, camionetas e utilitários novos</v>
      </c>
    </row>
    <row r="60" spans="1:3" ht="15.6" thickTop="1" thickBot="1" x14ac:dyDescent="0.35">
      <c r="A60" s="74" t="s">
        <v>941</v>
      </c>
      <c r="B60" s="74" t="s">
        <v>258</v>
      </c>
      <c r="C60" s="6" t="str">
        <f>CÓDIGO_CNAE[[#This Row],[CNAE]] &amp; " - " &amp; CÓDIGO_CNAE[[#This Row],[Descrição]]</f>
        <v>4512-9/01 - Representantes comerciais e agentes do comércio de veículos automotores</v>
      </c>
    </row>
    <row r="61" spans="1:3" ht="15.6" thickTop="1" thickBot="1" x14ac:dyDescent="0.35">
      <c r="A61" s="74" t="s">
        <v>885</v>
      </c>
      <c r="B61" s="74" t="s">
        <v>582</v>
      </c>
      <c r="C61" s="6" t="str">
        <f>CÓDIGO_CNAE[[#This Row],[CNAE]] &amp; " - " &amp; CÓDIGO_CNAE[[#This Row],[Descrição]]</f>
        <v>4520-0/01 - Serviços de manutenção e reparação mecânica de veículos automotores</v>
      </c>
    </row>
    <row r="62" spans="1:3" ht="15.6" thickTop="1" thickBot="1" x14ac:dyDescent="0.35">
      <c r="A62" s="74" t="s">
        <v>884</v>
      </c>
      <c r="B62" s="74" t="s">
        <v>583</v>
      </c>
      <c r="C62" s="6" t="str">
        <f>CÓDIGO_CNAE[[#This Row],[CNAE]] &amp; " - " &amp; CÓDIGO_CNAE[[#This Row],[Descrição]]</f>
        <v>4520-0/02 - Serviços de lanternagem ou funilaria e pintura de veículos automotores</v>
      </c>
    </row>
    <row r="63" spans="1:3" ht="15.6" thickTop="1" thickBot="1" x14ac:dyDescent="0.35">
      <c r="A63" s="74" t="s">
        <v>883</v>
      </c>
      <c r="B63" s="74" t="s">
        <v>584</v>
      </c>
      <c r="C63" s="6" t="str">
        <f>CÓDIGO_CNAE[[#This Row],[CNAE]] &amp; " - " &amp; CÓDIGO_CNAE[[#This Row],[Descrição]]</f>
        <v>4520-0/03 - Serviços de manutenção e reparação elétrica de veículos automotores</v>
      </c>
    </row>
    <row r="64" spans="1:3" ht="15.6" thickTop="1" thickBot="1" x14ac:dyDescent="0.35">
      <c r="A64" s="74" t="s">
        <v>882</v>
      </c>
      <c r="B64" s="74" t="s">
        <v>585</v>
      </c>
      <c r="C64" s="6" t="str">
        <f>CÓDIGO_CNAE[[#This Row],[CNAE]] &amp; " - " &amp; CÓDIGO_CNAE[[#This Row],[Descrição]]</f>
        <v>4520-0/04 - Serviços de alinhamento e balanceamento de veículos automotores</v>
      </c>
    </row>
    <row r="65" spans="1:3" ht="15.6" thickTop="1" thickBot="1" x14ac:dyDescent="0.35">
      <c r="A65" s="74" t="s">
        <v>881</v>
      </c>
      <c r="B65" s="74" t="s">
        <v>586</v>
      </c>
      <c r="C65" s="6" t="str">
        <f>CÓDIGO_CNAE[[#This Row],[CNAE]] &amp; " - " &amp; CÓDIGO_CNAE[[#This Row],[Descrição]]</f>
        <v>4520-0/05 - Serviços de lavagem, lubrificação e polimento de veículos automotores</v>
      </c>
    </row>
    <row r="66" spans="1:3" ht="15.6" thickTop="1" thickBot="1" x14ac:dyDescent="0.35">
      <c r="A66" s="74" t="s">
        <v>880</v>
      </c>
      <c r="B66" s="74" t="s">
        <v>587</v>
      </c>
      <c r="C66" s="6" t="str">
        <f>CÓDIGO_CNAE[[#This Row],[CNAE]] &amp; " - " &amp; CÓDIGO_CNAE[[#This Row],[Descrição]]</f>
        <v>4520-0/06 - Serviços de borracharia para veículos automotores</v>
      </c>
    </row>
    <row r="67" spans="1:3" ht="15.6" thickTop="1" thickBot="1" x14ac:dyDescent="0.35">
      <c r="A67" s="74" t="s">
        <v>879</v>
      </c>
      <c r="B67" s="74" t="s">
        <v>588</v>
      </c>
      <c r="C67" s="6" t="str">
        <f>CÓDIGO_CNAE[[#This Row],[CNAE]] &amp; " - " &amp; CÓDIGO_CNAE[[#This Row],[Descrição]]</f>
        <v>4520-0/07 - Serviços de instalação, manutenção e reparação de acessórios para veículos automotores</v>
      </c>
    </row>
    <row r="68" spans="1:3" ht="15.6" thickTop="1" thickBot="1" x14ac:dyDescent="0.35">
      <c r="A68" s="74" t="s">
        <v>878</v>
      </c>
      <c r="B68" s="74" t="s">
        <v>589</v>
      </c>
      <c r="C68" s="6" t="str">
        <f>CÓDIGO_CNAE[[#This Row],[CNAE]] &amp; " - " &amp; CÓDIGO_CNAE[[#This Row],[Descrição]]</f>
        <v>4520-0/08 - Serviços de capotaria</v>
      </c>
    </row>
    <row r="69" spans="1:3" ht="15.6" thickTop="1" thickBot="1" x14ac:dyDescent="0.35">
      <c r="A69" s="74" t="s">
        <v>942</v>
      </c>
      <c r="B69" s="74" t="s">
        <v>590</v>
      </c>
      <c r="C69" s="6" t="str">
        <f>CÓDIGO_CNAE[[#This Row],[CNAE]] &amp; " - " &amp; CÓDIGO_CNAE[[#This Row],[Descrição]]</f>
        <v>4530-7/01 - Comércio por atacado de peças e acessórios novos para veículos automotores</v>
      </c>
    </row>
    <row r="70" spans="1:3" ht="15.6" thickTop="1" thickBot="1" x14ac:dyDescent="0.35">
      <c r="A70" s="74" t="s">
        <v>943</v>
      </c>
      <c r="B70" s="74" t="s">
        <v>259</v>
      </c>
      <c r="C70" s="6" t="str">
        <f>CÓDIGO_CNAE[[#This Row],[CNAE]] &amp; " - " &amp; CÓDIGO_CNAE[[#This Row],[Descrição]]</f>
        <v>4530-7/02 - Comércio por atacado de pneumáticos e câmaras-de-ar</v>
      </c>
    </row>
    <row r="71" spans="1:3" ht="15.6" thickTop="1" thickBot="1" x14ac:dyDescent="0.35">
      <c r="A71" s="74" t="s">
        <v>944</v>
      </c>
      <c r="B71" s="74" t="s">
        <v>260</v>
      </c>
      <c r="C71" s="6" t="str">
        <f>CÓDIGO_CNAE[[#This Row],[CNAE]] &amp; " - " &amp; CÓDIGO_CNAE[[#This Row],[Descrição]]</f>
        <v>4530-7/03 - Comércio a varejo de peças e acessórios novos para veículos automotores</v>
      </c>
    </row>
    <row r="72" spans="1:3" ht="15.6" thickTop="1" thickBot="1" x14ac:dyDescent="0.35">
      <c r="A72" s="74" t="s">
        <v>945</v>
      </c>
      <c r="B72" s="74" t="s">
        <v>261</v>
      </c>
      <c r="C72" s="6" t="str">
        <f>CÓDIGO_CNAE[[#This Row],[CNAE]] &amp; " - " &amp; CÓDIGO_CNAE[[#This Row],[Descrição]]</f>
        <v>4530-7/04 - Comércio a varejo de peças e acessórios usados para veículos automotores</v>
      </c>
    </row>
    <row r="73" spans="1:3" ht="15.6" thickTop="1" thickBot="1" x14ac:dyDescent="0.35">
      <c r="A73" s="74" t="s">
        <v>946</v>
      </c>
      <c r="B73" s="74" t="s">
        <v>262</v>
      </c>
      <c r="C73" s="6" t="str">
        <f>CÓDIGO_CNAE[[#This Row],[CNAE]] &amp; " - " &amp; CÓDIGO_CNAE[[#This Row],[Descrição]]</f>
        <v>4530-7/05 - Comércio a varejo de pneumáticos e câmaras-de-ar</v>
      </c>
    </row>
    <row r="74" spans="1:3" ht="15.6" thickTop="1" thickBot="1" x14ac:dyDescent="0.35">
      <c r="A74" s="74" t="s">
        <v>947</v>
      </c>
      <c r="B74" s="74" t="s">
        <v>263</v>
      </c>
      <c r="C74" s="6" t="str">
        <f>CÓDIGO_CNAE[[#This Row],[CNAE]] &amp; " - " &amp; CÓDIGO_CNAE[[#This Row],[Descrição]]</f>
        <v>4530-7/06 - Representantes comerciais e agentes do comércio de peças e acessórios novos e usados para veículos automotores</v>
      </c>
    </row>
    <row r="75" spans="1:3" ht="15.6" thickTop="1" thickBot="1" x14ac:dyDescent="0.35">
      <c r="A75" s="74" t="s">
        <v>948</v>
      </c>
      <c r="B75" s="74" t="s">
        <v>264</v>
      </c>
      <c r="C75" s="6" t="str">
        <f>CÓDIGO_CNAE[[#This Row],[CNAE]] &amp; " - " &amp; CÓDIGO_CNAE[[#This Row],[Descrição]]</f>
        <v>4541-2/02 - Comércio por atacado de peças e acessórios para motocicletas e motonetas</v>
      </c>
    </row>
    <row r="76" spans="1:3" ht="15.6" thickTop="1" thickBot="1" x14ac:dyDescent="0.35">
      <c r="A76" s="74" t="s">
        <v>949</v>
      </c>
      <c r="B76" s="74" t="s">
        <v>591</v>
      </c>
      <c r="C76" s="6" t="str">
        <f>CÓDIGO_CNAE[[#This Row],[CNAE]] &amp; " - " &amp; CÓDIGO_CNAE[[#This Row],[Descrição]]</f>
        <v>4541-2/03 - Comércio a varejo de motocicletas e motonetas novas</v>
      </c>
    </row>
    <row r="77" spans="1:3" ht="15.6" thickTop="1" thickBot="1" x14ac:dyDescent="0.35">
      <c r="A77" s="74" t="s">
        <v>950</v>
      </c>
      <c r="B77" s="74" t="s">
        <v>592</v>
      </c>
      <c r="C77" s="6" t="str">
        <f>CÓDIGO_CNAE[[#This Row],[CNAE]] &amp; " - " &amp; CÓDIGO_CNAE[[#This Row],[Descrição]]</f>
        <v>4541-2/04 - Comércio a varejo de motocicletas e motonetas usadas</v>
      </c>
    </row>
    <row r="78" spans="1:3" ht="15.6" thickTop="1" thickBot="1" x14ac:dyDescent="0.35">
      <c r="A78" s="74" t="s">
        <v>951</v>
      </c>
      <c r="B78" s="74" t="s">
        <v>265</v>
      </c>
      <c r="C78" s="6" t="str">
        <f>CÓDIGO_CNAE[[#This Row],[CNAE]] &amp; " - " &amp; CÓDIGO_CNAE[[#This Row],[Descrição]]</f>
        <v>4541-2/06 - Comércio a varejo de peças e acessórios novos para motocicletas e motonetas</v>
      </c>
    </row>
    <row r="79" spans="1:3" ht="15.6" thickTop="1" thickBot="1" x14ac:dyDescent="0.35">
      <c r="A79" s="74" t="s">
        <v>952</v>
      </c>
      <c r="B79" s="74" t="s">
        <v>266</v>
      </c>
      <c r="C79" s="6" t="str">
        <f>CÓDIGO_CNAE[[#This Row],[CNAE]] &amp; " - " &amp; CÓDIGO_CNAE[[#This Row],[Descrição]]</f>
        <v>4541-2/07 - Comércio a varejo de peças e acessórios usados para motocicletas e motonetas</v>
      </c>
    </row>
    <row r="80" spans="1:3" ht="15.6" thickTop="1" thickBot="1" x14ac:dyDescent="0.35">
      <c r="A80" s="74" t="s">
        <v>953</v>
      </c>
      <c r="B80" s="74" t="s">
        <v>267</v>
      </c>
      <c r="C80" s="6" t="str">
        <f>CÓDIGO_CNAE[[#This Row],[CNAE]] &amp; " - " &amp; CÓDIGO_CNAE[[#This Row],[Descrição]]</f>
        <v>4542-1/01 - Representantes comerciais e agentes do comércio de motocicletas e motonetas, peças e acessórios</v>
      </c>
    </row>
    <row r="81" spans="1:3" ht="15.6" thickTop="1" thickBot="1" x14ac:dyDescent="0.35">
      <c r="A81" s="74" t="s">
        <v>877</v>
      </c>
      <c r="B81" s="74" t="s">
        <v>593</v>
      </c>
      <c r="C81" s="6" t="str">
        <f>CÓDIGO_CNAE[[#This Row],[CNAE]] &amp; " - " &amp; CÓDIGO_CNAE[[#This Row],[Descrição]]</f>
        <v>4543-9/00 - Manutenção e reparação de motocicletas e motonetas</v>
      </c>
    </row>
    <row r="82" spans="1:3" ht="15.6" thickTop="1" thickBot="1" x14ac:dyDescent="0.35">
      <c r="A82" s="74" t="s">
        <v>876</v>
      </c>
      <c r="B82" s="74" t="s">
        <v>268</v>
      </c>
      <c r="C82" s="6" t="str">
        <f>CÓDIGO_CNAE[[#This Row],[CNAE]] &amp; " - " &amp; CÓDIGO_CNAE[[#This Row],[Descrição]]</f>
        <v>4611-7/00 - Representantes comerciais e agentes do comércio de matérias-primas agrícolas e animais vivos</v>
      </c>
    </row>
    <row r="83" spans="1:3" ht="15.6" thickTop="1" thickBot="1" x14ac:dyDescent="0.35">
      <c r="A83" s="74" t="s">
        <v>875</v>
      </c>
      <c r="B83" s="74" t="s">
        <v>269</v>
      </c>
      <c r="C83" s="6" t="str">
        <f>CÓDIGO_CNAE[[#This Row],[CNAE]] &amp; " - " &amp; CÓDIGO_CNAE[[#This Row],[Descrição]]</f>
        <v>4612-5/00 - Representantes comerciais e agentes do comércio de combustíveis, minerais, produtos siderúrgicos e químicos</v>
      </c>
    </row>
    <row r="84" spans="1:3" ht="15.6" thickTop="1" thickBot="1" x14ac:dyDescent="0.35">
      <c r="A84" s="74" t="s">
        <v>874</v>
      </c>
      <c r="B84" s="74" t="s">
        <v>270</v>
      </c>
      <c r="C84" s="6" t="str">
        <f>CÓDIGO_CNAE[[#This Row],[CNAE]] &amp; " - " &amp; CÓDIGO_CNAE[[#This Row],[Descrição]]</f>
        <v>4613-3/00 - Representantes comerciais e agentes do comércio de madeira, material de construção e ferragens</v>
      </c>
    </row>
    <row r="85" spans="1:3" ht="15.6" thickTop="1" thickBot="1" x14ac:dyDescent="0.35">
      <c r="A85" s="74" t="s">
        <v>873</v>
      </c>
      <c r="B85" s="74" t="s">
        <v>271</v>
      </c>
      <c r="C85" s="6" t="str">
        <f>CÓDIGO_CNAE[[#This Row],[CNAE]] &amp; " - " &amp; CÓDIGO_CNAE[[#This Row],[Descrição]]</f>
        <v>4614-1/00 - Representantes comerciais e agentes do comércio de máquinas, equipamentos, embarcações e aeronaves</v>
      </c>
    </row>
    <row r="86" spans="1:3" ht="15.6" thickTop="1" thickBot="1" x14ac:dyDescent="0.35">
      <c r="A86" s="74" t="s">
        <v>872</v>
      </c>
      <c r="B86" s="74" t="s">
        <v>272</v>
      </c>
      <c r="C86" s="6" t="str">
        <f>CÓDIGO_CNAE[[#This Row],[CNAE]] &amp; " - " &amp; CÓDIGO_CNAE[[#This Row],[Descrição]]</f>
        <v>4615-0/00 - Representantes comerciais e agentes do comércio de eletrodomésticos, móveis e artigos de uso doméstico</v>
      </c>
    </row>
    <row r="87" spans="1:3" ht="15.6" thickTop="1" thickBot="1" x14ac:dyDescent="0.35">
      <c r="A87" s="74" t="s">
        <v>871</v>
      </c>
      <c r="B87" s="74" t="s">
        <v>273</v>
      </c>
      <c r="C87" s="6" t="str">
        <f>CÓDIGO_CNAE[[#This Row],[CNAE]] &amp; " - " &amp; CÓDIGO_CNAE[[#This Row],[Descrição]]</f>
        <v>4616-8/00 - Representantes comerciais e agentes do comércio de têxteis, vestuário, calçados e artigos de viagem</v>
      </c>
    </row>
    <row r="88" spans="1:3" ht="15.6" thickTop="1" thickBot="1" x14ac:dyDescent="0.35">
      <c r="A88" s="74" t="s">
        <v>870</v>
      </c>
      <c r="B88" s="74" t="s">
        <v>274</v>
      </c>
      <c r="C88" s="6" t="str">
        <f>CÓDIGO_CNAE[[#This Row],[CNAE]] &amp; " - " &amp; CÓDIGO_CNAE[[#This Row],[Descrição]]</f>
        <v>4617-6/00 - Representantes comerciais e agentes do comércio de produtos alimentícios, bebidas e fumo</v>
      </c>
    </row>
    <row r="89" spans="1:3" ht="15.6" thickTop="1" thickBot="1" x14ac:dyDescent="0.35">
      <c r="A89" s="74" t="s">
        <v>954</v>
      </c>
      <c r="B89" s="74" t="s">
        <v>275</v>
      </c>
      <c r="C89" s="6" t="str">
        <f>CÓDIGO_CNAE[[#This Row],[CNAE]] &amp; " - " &amp; CÓDIGO_CNAE[[#This Row],[Descrição]]</f>
        <v>4618-4/01 - Representantes comerciais e agentes do comércio de medicamentos, cosméticos e produtos de perfumaria</v>
      </c>
    </row>
    <row r="90" spans="1:3" ht="15.6" thickTop="1" thickBot="1" x14ac:dyDescent="0.35">
      <c r="A90" s="74" t="s">
        <v>955</v>
      </c>
      <c r="B90" s="74" t="s">
        <v>276</v>
      </c>
      <c r="C90" s="6" t="str">
        <f>CÓDIGO_CNAE[[#This Row],[CNAE]] &amp; " - " &amp; CÓDIGO_CNAE[[#This Row],[Descrição]]</f>
        <v>4618-4/02 - Representantes comerciais e agentes do comércio de instrumentos e materiais odonto-médico-hospitalares</v>
      </c>
    </row>
    <row r="91" spans="1:3" ht="15.6" thickTop="1" thickBot="1" x14ac:dyDescent="0.35">
      <c r="A91" s="74" t="s">
        <v>956</v>
      </c>
      <c r="B91" s="74" t="s">
        <v>277</v>
      </c>
      <c r="C91" s="6" t="str">
        <f>CÓDIGO_CNAE[[#This Row],[CNAE]] &amp; " - " &amp; CÓDIGO_CNAE[[#This Row],[Descrição]]</f>
        <v>4618-4/03 - Representantes comerciais e agentes do comércio de jornais, revistas e outras publicações</v>
      </c>
    </row>
    <row r="92" spans="1:3" ht="15.6" thickTop="1" thickBot="1" x14ac:dyDescent="0.35">
      <c r="A92" s="74" t="s">
        <v>869</v>
      </c>
      <c r="B92" s="74" t="s">
        <v>278</v>
      </c>
      <c r="C92" s="6" t="str">
        <f>CÓDIGO_CNAE[[#This Row],[CNAE]] &amp; " - " &amp; CÓDIGO_CNAE[[#This Row],[Descrição]]</f>
        <v>4618-4/99 - Outros representantes comerciais e agentes do comércio especializado em produtos não especificados anteriormente</v>
      </c>
    </row>
    <row r="93" spans="1:3" ht="15.6" thickTop="1" thickBot="1" x14ac:dyDescent="0.35">
      <c r="A93" s="74" t="s">
        <v>868</v>
      </c>
      <c r="B93" s="74" t="s">
        <v>279</v>
      </c>
      <c r="C93" s="6" t="str">
        <f>CÓDIGO_CNAE[[#This Row],[CNAE]] &amp; " - " &amp; CÓDIGO_CNAE[[#This Row],[Descrição]]</f>
        <v>4619-2/00 - Representantes comerciais e agentes do comércio de mercadorias em geral não especializado</v>
      </c>
    </row>
    <row r="94" spans="1:3" ht="15.6" thickTop="1" thickBot="1" x14ac:dyDescent="0.35">
      <c r="A94" s="74" t="s">
        <v>957</v>
      </c>
      <c r="B94" s="74" t="s">
        <v>280</v>
      </c>
      <c r="C94" s="6" t="str">
        <f>CÓDIGO_CNAE[[#This Row],[CNAE]] &amp; " - " &amp; CÓDIGO_CNAE[[#This Row],[Descrição]]</f>
        <v>4711-3/01 - Comércio varejista de mercadorias em geral, com predominância de produtos alimentícios – hipermercados</v>
      </c>
    </row>
    <row r="95" spans="1:3" ht="15.6" thickTop="1" thickBot="1" x14ac:dyDescent="0.35">
      <c r="A95" s="74" t="s">
        <v>958</v>
      </c>
      <c r="B95" s="74" t="s">
        <v>281</v>
      </c>
      <c r="C95" s="6" t="str">
        <f>CÓDIGO_CNAE[[#This Row],[CNAE]] &amp; " - " &amp; CÓDIGO_CNAE[[#This Row],[Descrição]]</f>
        <v>4711-3/02 - Comércio varejista de mercadorias em geral, com predominância de produtos alimentícios – supermercados</v>
      </c>
    </row>
    <row r="96" spans="1:3" ht="15.6" thickTop="1" thickBot="1" x14ac:dyDescent="0.35">
      <c r="A96" s="74" t="s">
        <v>867</v>
      </c>
      <c r="B96" s="74" t="s">
        <v>282</v>
      </c>
      <c r="C96" s="6" t="str">
        <f>CÓDIGO_CNAE[[#This Row],[CNAE]] &amp; " - " &amp; CÓDIGO_CNAE[[#This Row],[Descrição]]</f>
        <v>4712-1/00 - Comércio varejista de mercadorias em geral, com predominância de produtos alimentícios – minimercados, mercearias e armazéns</v>
      </c>
    </row>
    <row r="97" spans="1:3" ht="15.6" thickTop="1" thickBot="1" x14ac:dyDescent="0.35">
      <c r="A97" s="74" t="s">
        <v>866</v>
      </c>
      <c r="B97" s="74" t="s">
        <v>283</v>
      </c>
      <c r="C97" s="6" t="str">
        <f>CÓDIGO_CNAE[[#This Row],[CNAE]] &amp; " - " &amp; CÓDIGO_CNAE[[#This Row],[Descrição]]</f>
        <v>4713-0/02 - Lojas de variedades, exceto lojas de departamentos ou magazines</v>
      </c>
    </row>
    <row r="98" spans="1:3" ht="15.6" thickTop="1" thickBot="1" x14ac:dyDescent="0.35">
      <c r="A98" s="74" t="s">
        <v>865</v>
      </c>
      <c r="B98" s="74" t="s">
        <v>284</v>
      </c>
      <c r="C98" s="6" t="str">
        <f>CÓDIGO_CNAE[[#This Row],[CNAE]] &amp; " - " &amp; CÓDIGO_CNAE[[#This Row],[Descrição]]</f>
        <v>4713-0/04 - Lojas de departamentos ou magazines, exceto lojas francas (Duty free)</v>
      </c>
    </row>
    <row r="99" spans="1:3" ht="15.6" thickTop="1" thickBot="1" x14ac:dyDescent="0.35">
      <c r="A99" s="74" t="s">
        <v>959</v>
      </c>
      <c r="B99" s="74" t="s">
        <v>285</v>
      </c>
      <c r="C99" s="6" t="str">
        <f>CÓDIGO_CNAE[[#This Row],[CNAE]] &amp; " - " &amp; CÓDIGO_CNAE[[#This Row],[Descrição]]</f>
        <v>4721-1/02 - Padaria e confeitaria com predominância de revenda</v>
      </c>
    </row>
    <row r="100" spans="1:3" ht="15.6" thickTop="1" thickBot="1" x14ac:dyDescent="0.35">
      <c r="A100" s="74" t="s">
        <v>960</v>
      </c>
      <c r="B100" s="74" t="s">
        <v>286</v>
      </c>
      <c r="C100" s="6" t="str">
        <f>CÓDIGO_CNAE[[#This Row],[CNAE]] &amp; " - " &amp; CÓDIGO_CNAE[[#This Row],[Descrição]]</f>
        <v>4721-1/03 - Comércio varejista de laticínios e frios</v>
      </c>
    </row>
    <row r="101" spans="1:3" ht="15.6" thickTop="1" thickBot="1" x14ac:dyDescent="0.35">
      <c r="A101" s="74" t="s">
        <v>961</v>
      </c>
      <c r="B101" s="74" t="s">
        <v>287</v>
      </c>
      <c r="C101" s="6" t="str">
        <f>CÓDIGO_CNAE[[#This Row],[CNAE]] &amp; " - " &amp; CÓDIGO_CNAE[[#This Row],[Descrição]]</f>
        <v>4721-1/04 - Comércio varejista de doces, balas, bombons e semelhantes</v>
      </c>
    </row>
    <row r="102" spans="1:3" ht="15.6" thickTop="1" thickBot="1" x14ac:dyDescent="0.35">
      <c r="A102" s="74" t="s">
        <v>962</v>
      </c>
      <c r="B102" s="74" t="s">
        <v>594</v>
      </c>
      <c r="C102" s="6" t="str">
        <f>CÓDIGO_CNAE[[#This Row],[CNAE]] &amp; " - " &amp; CÓDIGO_CNAE[[#This Row],[Descrição]]</f>
        <v>4722-9/02 - Peixaria</v>
      </c>
    </row>
    <row r="103" spans="1:3" ht="15.6" thickTop="1" thickBot="1" x14ac:dyDescent="0.35">
      <c r="A103" s="74" t="s">
        <v>864</v>
      </c>
      <c r="B103" s="74" t="s">
        <v>288</v>
      </c>
      <c r="C103" s="6" t="str">
        <f>CÓDIGO_CNAE[[#This Row],[CNAE]] &amp; " - " &amp; CÓDIGO_CNAE[[#This Row],[Descrição]]</f>
        <v>4723-7/00 - Comércio varejista de bebidas</v>
      </c>
    </row>
    <row r="104" spans="1:3" ht="15.6" thickTop="1" thickBot="1" x14ac:dyDescent="0.35">
      <c r="A104" s="74" t="s">
        <v>863</v>
      </c>
      <c r="B104" s="74" t="s">
        <v>289</v>
      </c>
      <c r="C104" s="6" t="str">
        <f>CÓDIGO_CNAE[[#This Row],[CNAE]] &amp; " - " &amp; CÓDIGO_CNAE[[#This Row],[Descrição]]</f>
        <v>4724-5/00 - Comércio varejista de hortifrutigranjeiros</v>
      </c>
    </row>
    <row r="105" spans="1:3" ht="15.6" thickTop="1" thickBot="1" x14ac:dyDescent="0.35">
      <c r="A105" s="74" t="s">
        <v>963</v>
      </c>
      <c r="B105" s="74" t="s">
        <v>290</v>
      </c>
      <c r="C105" s="6" t="str">
        <f>CÓDIGO_CNAE[[#This Row],[CNAE]] &amp; " - " &amp; CÓDIGO_CNAE[[#This Row],[Descrição]]</f>
        <v>4729-6/01 - Tabacaria</v>
      </c>
    </row>
    <row r="106" spans="1:3" ht="15.6" thickTop="1" thickBot="1" x14ac:dyDescent="0.35">
      <c r="A106" s="74" t="s">
        <v>964</v>
      </c>
      <c r="B106" s="74" t="s">
        <v>595</v>
      </c>
      <c r="C106" s="6" t="str">
        <f>CÓDIGO_CNAE[[#This Row],[CNAE]] &amp; " - " &amp; CÓDIGO_CNAE[[#This Row],[Descrição]]</f>
        <v>4729-6/02 - Comércio varejista de mercadorias em lojas de conveniência</v>
      </c>
    </row>
    <row r="107" spans="1:3" ht="15.6" thickTop="1" thickBot="1" x14ac:dyDescent="0.35">
      <c r="A107" s="74" t="s">
        <v>862</v>
      </c>
      <c r="B107" s="74" t="s">
        <v>291</v>
      </c>
      <c r="C107" s="6" t="str">
        <f>CÓDIGO_CNAE[[#This Row],[CNAE]] &amp; " - " &amp; CÓDIGO_CNAE[[#This Row],[Descrição]]</f>
        <v>4729-6/99 - Comércio varejista de produtos alimentícios em geral ou especializado em produtos alimentícios não especificados anteriormente</v>
      </c>
    </row>
    <row r="108" spans="1:3" ht="15.6" thickTop="1" thickBot="1" x14ac:dyDescent="0.35">
      <c r="A108" s="74" t="s">
        <v>861</v>
      </c>
      <c r="B108" s="74" t="s">
        <v>596</v>
      </c>
      <c r="C108" s="6" t="str">
        <f>CÓDIGO_CNAE[[#This Row],[CNAE]] &amp; " - " &amp; CÓDIGO_CNAE[[#This Row],[Descrição]]</f>
        <v>4741-5/00 - Comércio varejista de tintas e materiais para pintura</v>
      </c>
    </row>
    <row r="109" spans="1:3" ht="15.6" thickTop="1" thickBot="1" x14ac:dyDescent="0.35">
      <c r="A109" s="74" t="s">
        <v>860</v>
      </c>
      <c r="B109" s="74" t="s">
        <v>597</v>
      </c>
      <c r="C109" s="6" t="str">
        <f>CÓDIGO_CNAE[[#This Row],[CNAE]] &amp; " - " &amp; CÓDIGO_CNAE[[#This Row],[Descrição]]</f>
        <v>4742-3/00 - Comércio varejista de material elétrico</v>
      </c>
    </row>
    <row r="110" spans="1:3" ht="15.6" thickTop="1" thickBot="1" x14ac:dyDescent="0.35">
      <c r="A110" s="74" t="s">
        <v>859</v>
      </c>
      <c r="B110" s="74" t="s">
        <v>292</v>
      </c>
      <c r="C110" s="6" t="str">
        <f>CÓDIGO_CNAE[[#This Row],[CNAE]] &amp; " - " &amp; CÓDIGO_CNAE[[#This Row],[Descrição]]</f>
        <v>4743-1/00 - Comércio varejista de vidros</v>
      </c>
    </row>
    <row r="111" spans="1:3" ht="15.6" thickTop="1" thickBot="1" x14ac:dyDescent="0.35">
      <c r="A111" s="74" t="s">
        <v>858</v>
      </c>
      <c r="B111" s="74" t="s">
        <v>598</v>
      </c>
      <c r="C111" s="6" t="str">
        <f>CÓDIGO_CNAE[[#This Row],[CNAE]] &amp; " - " &amp; CÓDIGO_CNAE[[#This Row],[Descrição]]</f>
        <v>4744-0/01 - Comércio varejista de ferragens e ferramentas</v>
      </c>
    </row>
    <row r="112" spans="1:3" ht="15.6" thickTop="1" thickBot="1" x14ac:dyDescent="0.35">
      <c r="A112" s="74" t="s">
        <v>857</v>
      </c>
      <c r="B112" s="74" t="s">
        <v>293</v>
      </c>
      <c r="C112" s="6" t="str">
        <f>CÓDIGO_CNAE[[#This Row],[CNAE]] &amp; " - " &amp; CÓDIGO_CNAE[[#This Row],[Descrição]]</f>
        <v>4744-0/02 - Comércio varejista de madeira e artefatos</v>
      </c>
    </row>
    <row r="113" spans="1:3" ht="15.6" thickTop="1" thickBot="1" x14ac:dyDescent="0.35">
      <c r="A113" s="74" t="s">
        <v>856</v>
      </c>
      <c r="B113" s="74" t="s">
        <v>599</v>
      </c>
      <c r="C113" s="6" t="str">
        <f>CÓDIGO_CNAE[[#This Row],[CNAE]] &amp; " - " &amp; CÓDIGO_CNAE[[#This Row],[Descrição]]</f>
        <v>4744-0/03 - Comércio varejista de materiais hidráulicos</v>
      </c>
    </row>
    <row r="114" spans="1:3" ht="15.6" thickTop="1" thickBot="1" x14ac:dyDescent="0.35">
      <c r="A114" s="74" t="s">
        <v>855</v>
      </c>
      <c r="B114" s="74" t="s">
        <v>600</v>
      </c>
      <c r="C114" s="6" t="str">
        <f>CÓDIGO_CNAE[[#This Row],[CNAE]] &amp; " - " &amp; CÓDIGO_CNAE[[#This Row],[Descrição]]</f>
        <v>4744-0/04 - Comércio varejista de cal, areia, pedra britada, tijolos e telhas</v>
      </c>
    </row>
    <row r="115" spans="1:3" ht="15.6" thickTop="1" thickBot="1" x14ac:dyDescent="0.35">
      <c r="A115" s="74" t="s">
        <v>854</v>
      </c>
      <c r="B115" s="74" t="s">
        <v>601</v>
      </c>
      <c r="C115" s="6" t="str">
        <f>CÓDIGO_CNAE[[#This Row],[CNAE]] &amp; " - " &amp; CÓDIGO_CNAE[[#This Row],[Descrição]]</f>
        <v>4744-0/05 - Comércio varejista de materiais de construção não especificados anteriormente</v>
      </c>
    </row>
    <row r="116" spans="1:3" ht="15.6" thickTop="1" thickBot="1" x14ac:dyDescent="0.35">
      <c r="A116" s="74" t="s">
        <v>853</v>
      </c>
      <c r="B116" s="74" t="s">
        <v>602</v>
      </c>
      <c r="C116" s="6" t="str">
        <f>CÓDIGO_CNAE[[#This Row],[CNAE]] &amp; " - " &amp; CÓDIGO_CNAE[[#This Row],[Descrição]]</f>
        <v>4744-0/06 - Comércio varejista de pedras para revestimento</v>
      </c>
    </row>
    <row r="117" spans="1:3" ht="15.6" thickTop="1" thickBot="1" x14ac:dyDescent="0.35">
      <c r="A117" s="74" t="s">
        <v>852</v>
      </c>
      <c r="B117" s="74" t="s">
        <v>603</v>
      </c>
      <c r="C117" s="6" t="str">
        <f>CÓDIGO_CNAE[[#This Row],[CNAE]] &amp; " - " &amp; CÓDIGO_CNAE[[#This Row],[Descrição]]</f>
        <v>4744-0/99 - Comércio varejista de materiais de construção em geral</v>
      </c>
    </row>
    <row r="118" spans="1:3" ht="15.6" thickTop="1" thickBot="1" x14ac:dyDescent="0.35">
      <c r="A118" s="74" t="s">
        <v>965</v>
      </c>
      <c r="B118" s="74" t="s">
        <v>294</v>
      </c>
      <c r="C118" s="6" t="str">
        <f>CÓDIGO_CNAE[[#This Row],[CNAE]] &amp; " - " &amp; CÓDIGO_CNAE[[#This Row],[Descrição]]</f>
        <v>4751-2/01 - Comércio varejista especializado de equipamentos e suprimentos de informática</v>
      </c>
    </row>
    <row r="119" spans="1:3" ht="15.6" thickTop="1" thickBot="1" x14ac:dyDescent="0.35">
      <c r="A119" s="74" t="s">
        <v>966</v>
      </c>
      <c r="B119" s="74" t="s">
        <v>295</v>
      </c>
      <c r="C119" s="6" t="str">
        <f>CÓDIGO_CNAE[[#This Row],[CNAE]] &amp; " - " &amp; CÓDIGO_CNAE[[#This Row],[Descrição]]</f>
        <v>4751-2/02 - Recarga de cartuchos para equipamentos de informática</v>
      </c>
    </row>
    <row r="120" spans="1:3" ht="15.6" thickTop="1" thickBot="1" x14ac:dyDescent="0.35">
      <c r="A120" s="74" t="s">
        <v>851</v>
      </c>
      <c r="B120" s="74" t="s">
        <v>296</v>
      </c>
      <c r="C120" s="6" t="str">
        <f>CÓDIGO_CNAE[[#This Row],[CNAE]] &amp; " - " &amp; CÓDIGO_CNAE[[#This Row],[Descrição]]</f>
        <v>4752-1/00 - Comércio varejista especializado de equipamentos de telefonia e comunicação</v>
      </c>
    </row>
    <row r="121" spans="1:3" ht="15.6" thickTop="1" thickBot="1" x14ac:dyDescent="0.35">
      <c r="A121" s="74" t="s">
        <v>850</v>
      </c>
      <c r="B121" s="74" t="s">
        <v>297</v>
      </c>
      <c r="C121" s="6" t="str">
        <f>CÓDIGO_CNAE[[#This Row],[CNAE]] &amp; " - " &amp; CÓDIGO_CNAE[[#This Row],[Descrição]]</f>
        <v>4753-9/00 - Comércio varejista especializado de eletrodomésticos e equipamentos de áudio e vídeo</v>
      </c>
    </row>
    <row r="122" spans="1:3" ht="15.6" thickTop="1" thickBot="1" x14ac:dyDescent="0.35">
      <c r="A122" s="74" t="s">
        <v>967</v>
      </c>
      <c r="B122" s="74" t="s">
        <v>298</v>
      </c>
      <c r="C122" s="6" t="str">
        <f>CÓDIGO_CNAE[[#This Row],[CNAE]] &amp; " - " &amp; CÓDIGO_CNAE[[#This Row],[Descrição]]</f>
        <v>4754-7/01 - Comércio varejista de móveis</v>
      </c>
    </row>
    <row r="123" spans="1:3" ht="15.6" thickTop="1" thickBot="1" x14ac:dyDescent="0.35">
      <c r="A123" s="74" t="s">
        <v>968</v>
      </c>
      <c r="B123" s="74" t="s">
        <v>299</v>
      </c>
      <c r="C123" s="6" t="str">
        <f>CÓDIGO_CNAE[[#This Row],[CNAE]] &amp; " - " &amp; CÓDIGO_CNAE[[#This Row],[Descrição]]</f>
        <v>4754-7/02 - Comércio varejista de artigos de colchoaria</v>
      </c>
    </row>
    <row r="124" spans="1:3" ht="15.6" thickTop="1" thickBot="1" x14ac:dyDescent="0.35">
      <c r="A124" s="74" t="s">
        <v>969</v>
      </c>
      <c r="B124" s="74" t="s">
        <v>300</v>
      </c>
      <c r="C124" s="6" t="str">
        <f>CÓDIGO_CNAE[[#This Row],[CNAE]] &amp; " - " &amp; CÓDIGO_CNAE[[#This Row],[Descrição]]</f>
        <v>4754-7/03 - Comércio varejista de artigos de iluminação</v>
      </c>
    </row>
    <row r="125" spans="1:3" ht="15.6" thickTop="1" thickBot="1" x14ac:dyDescent="0.35">
      <c r="A125" s="74" t="s">
        <v>970</v>
      </c>
      <c r="B125" s="74" t="s">
        <v>301</v>
      </c>
      <c r="C125" s="6" t="str">
        <f>CÓDIGO_CNAE[[#This Row],[CNAE]] &amp; " - " &amp; CÓDIGO_CNAE[[#This Row],[Descrição]]</f>
        <v>4755-5/01 - Comércio varejista de tecidos</v>
      </c>
    </row>
    <row r="126" spans="1:3" ht="15.6" thickTop="1" thickBot="1" x14ac:dyDescent="0.35">
      <c r="A126" s="74" t="s">
        <v>971</v>
      </c>
      <c r="B126" s="74" t="s">
        <v>302</v>
      </c>
      <c r="C126" s="6" t="str">
        <f>CÓDIGO_CNAE[[#This Row],[CNAE]] &amp; " - " &amp; CÓDIGO_CNAE[[#This Row],[Descrição]]</f>
        <v>4755-5/02 - Comércio varejista de artigos de armarinho</v>
      </c>
    </row>
    <row r="127" spans="1:3" ht="15.6" thickTop="1" thickBot="1" x14ac:dyDescent="0.35">
      <c r="A127" s="74" t="s">
        <v>972</v>
      </c>
      <c r="B127" s="74" t="s">
        <v>303</v>
      </c>
      <c r="C127" s="6" t="str">
        <f>CÓDIGO_CNAE[[#This Row],[CNAE]] &amp; " - " &amp; CÓDIGO_CNAE[[#This Row],[Descrição]]</f>
        <v>4755-5/03 - Comércio varejista de artigos de cama, mesa e banho</v>
      </c>
    </row>
    <row r="128" spans="1:3" ht="15.6" thickTop="1" thickBot="1" x14ac:dyDescent="0.35">
      <c r="A128" s="74" t="s">
        <v>849</v>
      </c>
      <c r="B128" s="74" t="s">
        <v>304</v>
      </c>
      <c r="C128" s="6" t="str">
        <f>CÓDIGO_CNAE[[#This Row],[CNAE]] &amp; " - " &amp; CÓDIGO_CNAE[[#This Row],[Descrição]]</f>
        <v>4756-3/00 - Comércio varejista especializado de instrumentos musicais e acessórios</v>
      </c>
    </row>
    <row r="129" spans="1:3" ht="15.6" thickTop="1" thickBot="1" x14ac:dyDescent="0.35">
      <c r="A129" s="74" t="s">
        <v>848</v>
      </c>
      <c r="B129" s="74" t="s">
        <v>305</v>
      </c>
      <c r="C129" s="6" t="str">
        <f>CÓDIGO_CNAE[[#This Row],[CNAE]] &amp; " - " &amp; CÓDIGO_CNAE[[#This Row],[Descrição]]</f>
        <v>4757-1/00 - Comércio varejista especializado de peças e acessórios para aparelhos eletroeletrônicos para uso doméstico, exceto informática e comunicação</v>
      </c>
    </row>
    <row r="130" spans="1:3" ht="15.6" thickTop="1" thickBot="1" x14ac:dyDescent="0.35">
      <c r="A130" s="74" t="s">
        <v>973</v>
      </c>
      <c r="B130" s="74" t="s">
        <v>306</v>
      </c>
      <c r="C130" s="6" t="str">
        <f>CÓDIGO_CNAE[[#This Row],[CNAE]] &amp; " - " &amp; CÓDIGO_CNAE[[#This Row],[Descrição]]</f>
        <v>4759-8/01 - Comércio varejista de artigos de tapeçaria, cortinas e persianas</v>
      </c>
    </row>
    <row r="131" spans="1:3" ht="15.6" thickTop="1" thickBot="1" x14ac:dyDescent="0.35">
      <c r="A131" s="74" t="s">
        <v>847</v>
      </c>
      <c r="B131" s="74" t="s">
        <v>307</v>
      </c>
      <c r="C131" s="6" t="str">
        <f>CÓDIGO_CNAE[[#This Row],[CNAE]] &amp; " - " &amp; CÓDIGO_CNAE[[#This Row],[Descrição]]</f>
        <v>4759-8/99 - Comércio varejista de outros artigos de uso doméstico não especificados anteriormente</v>
      </c>
    </row>
    <row r="132" spans="1:3" ht="15.6" thickTop="1" thickBot="1" x14ac:dyDescent="0.35">
      <c r="A132" s="74" t="s">
        <v>846</v>
      </c>
      <c r="B132" s="74" t="s">
        <v>308</v>
      </c>
      <c r="C132" s="6" t="str">
        <f>CÓDIGO_CNAE[[#This Row],[CNAE]] &amp; " - " &amp; CÓDIGO_CNAE[[#This Row],[Descrição]]</f>
        <v>4761-0/01 - Comércio varejista de livros</v>
      </c>
    </row>
    <row r="133" spans="1:3" ht="15.6" thickTop="1" thickBot="1" x14ac:dyDescent="0.35">
      <c r="A133" s="74" t="s">
        <v>845</v>
      </c>
      <c r="B133" s="74" t="s">
        <v>309</v>
      </c>
      <c r="C133" s="6" t="str">
        <f>CÓDIGO_CNAE[[#This Row],[CNAE]] &amp; " - " &amp; CÓDIGO_CNAE[[#This Row],[Descrição]]</f>
        <v>4761-0/02 - Comércio varejista de jornais e revistas</v>
      </c>
    </row>
    <row r="134" spans="1:3" ht="15.6" thickTop="1" thickBot="1" x14ac:dyDescent="0.35">
      <c r="A134" s="74" t="s">
        <v>844</v>
      </c>
      <c r="B134" s="74" t="s">
        <v>310</v>
      </c>
      <c r="C134" s="6" t="str">
        <f>CÓDIGO_CNAE[[#This Row],[CNAE]] &amp; " - " &amp; CÓDIGO_CNAE[[#This Row],[Descrição]]</f>
        <v>4761-0/03 - Comércio varejista de artigos de papelaria</v>
      </c>
    </row>
    <row r="135" spans="1:3" ht="15.6" thickTop="1" thickBot="1" x14ac:dyDescent="0.35">
      <c r="A135" s="74" t="s">
        <v>843</v>
      </c>
      <c r="B135" s="74" t="s">
        <v>311</v>
      </c>
      <c r="C135" s="6" t="str">
        <f>CÓDIGO_CNAE[[#This Row],[CNAE]] &amp; " - " &amp; CÓDIGO_CNAE[[#This Row],[Descrição]]</f>
        <v>4762-8/00 - Comércio varejista de discos, CDs, DVDs e fitas</v>
      </c>
    </row>
    <row r="136" spans="1:3" ht="15.6" thickTop="1" thickBot="1" x14ac:dyDescent="0.35">
      <c r="A136" s="74" t="s">
        <v>974</v>
      </c>
      <c r="B136" s="74" t="s">
        <v>312</v>
      </c>
      <c r="C136" s="6" t="str">
        <f>CÓDIGO_CNAE[[#This Row],[CNAE]] &amp; " - " &amp; CÓDIGO_CNAE[[#This Row],[Descrição]]</f>
        <v>4763-6/01 - Comércio varejista de brinquedos e artigos recreativos</v>
      </c>
    </row>
    <row r="137" spans="1:3" ht="15.6" thickTop="1" thickBot="1" x14ac:dyDescent="0.35">
      <c r="A137" s="74" t="s">
        <v>975</v>
      </c>
      <c r="B137" s="74" t="s">
        <v>313</v>
      </c>
      <c r="C137" s="6" t="str">
        <f>CÓDIGO_CNAE[[#This Row],[CNAE]] &amp; " - " &amp; CÓDIGO_CNAE[[#This Row],[Descrição]]</f>
        <v>4763-6/02 - Comércio varejista de artigos esportivos</v>
      </c>
    </row>
    <row r="138" spans="1:3" ht="15.6" thickTop="1" thickBot="1" x14ac:dyDescent="0.35">
      <c r="A138" s="74" t="s">
        <v>976</v>
      </c>
      <c r="B138" s="74" t="s">
        <v>314</v>
      </c>
      <c r="C138" s="6" t="str">
        <f>CÓDIGO_CNAE[[#This Row],[CNAE]] &amp; " - " &amp; CÓDIGO_CNAE[[#This Row],[Descrição]]</f>
        <v>4763-6/03 - Comércio varejista de bicicletas e triciclos peças e acessórios</v>
      </c>
    </row>
    <row r="139" spans="1:3" ht="15.6" thickTop="1" thickBot="1" x14ac:dyDescent="0.35">
      <c r="A139" s="74" t="s">
        <v>977</v>
      </c>
      <c r="B139" s="74" t="s">
        <v>315</v>
      </c>
      <c r="C139" s="6" t="str">
        <f>CÓDIGO_CNAE[[#This Row],[CNAE]] &amp; " - " &amp; CÓDIGO_CNAE[[#This Row],[Descrição]]</f>
        <v>4763-6/04 - Comércio varejista de artigos de caça, pesca e camping</v>
      </c>
    </row>
    <row r="140" spans="1:3" ht="15.6" thickTop="1" thickBot="1" x14ac:dyDescent="0.35">
      <c r="A140" s="74" t="s">
        <v>978</v>
      </c>
      <c r="B140" s="74" t="s">
        <v>604</v>
      </c>
      <c r="C140" s="6" t="str">
        <f>CÓDIGO_CNAE[[#This Row],[CNAE]] &amp; " - " &amp; CÓDIGO_CNAE[[#This Row],[Descrição]]</f>
        <v>4763-6/05 - Comércio varejista de embarcações e outros veículos recreativos peças e acessórios</v>
      </c>
    </row>
    <row r="141" spans="1:3" ht="15.6" thickTop="1" thickBot="1" x14ac:dyDescent="0.35">
      <c r="A141" s="74" t="s">
        <v>979</v>
      </c>
      <c r="B141" s="74" t="s">
        <v>605</v>
      </c>
      <c r="C141" s="6" t="str">
        <f>CÓDIGO_CNAE[[#This Row],[CNAE]] &amp; " - " &amp; CÓDIGO_CNAE[[#This Row],[Descrição]]</f>
        <v>4771-7/04 - Comércio varejista de medicamentos veterinários</v>
      </c>
    </row>
    <row r="142" spans="1:3" ht="15.6" thickTop="1" thickBot="1" x14ac:dyDescent="0.35">
      <c r="A142" s="74" t="s">
        <v>842</v>
      </c>
      <c r="B142" s="74" t="s">
        <v>316</v>
      </c>
      <c r="C142" s="6" t="str">
        <f>CÓDIGO_CNAE[[#This Row],[CNAE]] &amp; " - " &amp; CÓDIGO_CNAE[[#This Row],[Descrição]]</f>
        <v>4772-5/00 - Comércio varejista de cosméticos, produtos de perfumaria e de higiene pessoal</v>
      </c>
    </row>
    <row r="143" spans="1:3" ht="15.6" thickTop="1" thickBot="1" x14ac:dyDescent="0.35">
      <c r="A143" s="74" t="s">
        <v>841</v>
      </c>
      <c r="B143" s="74" t="s">
        <v>606</v>
      </c>
      <c r="C143" s="6" t="str">
        <f>CÓDIGO_CNAE[[#This Row],[CNAE]] &amp; " - " &amp; CÓDIGO_CNAE[[#This Row],[Descrição]]</f>
        <v>4773-3/00 - Comércio varejista de artigos médicos e ortopédicos</v>
      </c>
    </row>
    <row r="144" spans="1:3" ht="15.6" thickTop="1" thickBot="1" x14ac:dyDescent="0.35">
      <c r="A144" s="74" t="s">
        <v>840</v>
      </c>
      <c r="B144" s="74" t="s">
        <v>317</v>
      </c>
      <c r="C144" s="6" t="str">
        <f>CÓDIGO_CNAE[[#This Row],[CNAE]] &amp; " - " &amp; CÓDIGO_CNAE[[#This Row],[Descrição]]</f>
        <v>4774-1/00 - Comércio varejista de artigos de óptica</v>
      </c>
    </row>
    <row r="145" spans="1:3" ht="15.6" thickTop="1" thickBot="1" x14ac:dyDescent="0.35">
      <c r="A145" s="74" t="s">
        <v>839</v>
      </c>
      <c r="B145" s="74" t="s">
        <v>318</v>
      </c>
      <c r="C145" s="6" t="str">
        <f>CÓDIGO_CNAE[[#This Row],[CNAE]] &amp; " - " &amp; CÓDIGO_CNAE[[#This Row],[Descrição]]</f>
        <v>4781-4/00 - Comércio varejista de artigos do vestuário e acessórios</v>
      </c>
    </row>
    <row r="146" spans="1:3" ht="15.6" thickTop="1" thickBot="1" x14ac:dyDescent="0.35">
      <c r="A146" s="74" t="s">
        <v>980</v>
      </c>
      <c r="B146" s="74" t="s">
        <v>319</v>
      </c>
      <c r="C146" s="6" t="str">
        <f>CÓDIGO_CNAE[[#This Row],[CNAE]] &amp; " - " &amp; CÓDIGO_CNAE[[#This Row],[Descrição]]</f>
        <v>4782-2/01 - Comércio varejista de calçados</v>
      </c>
    </row>
    <row r="147" spans="1:3" ht="15.6" thickTop="1" thickBot="1" x14ac:dyDescent="0.35">
      <c r="A147" s="74" t="s">
        <v>981</v>
      </c>
      <c r="B147" s="74" t="s">
        <v>320</v>
      </c>
      <c r="C147" s="6" t="str">
        <f>CÓDIGO_CNAE[[#This Row],[CNAE]] &amp; " - " &amp; CÓDIGO_CNAE[[#This Row],[Descrição]]</f>
        <v>4782-2/02 - Comércio varejista de artigos de viagem</v>
      </c>
    </row>
    <row r="148" spans="1:3" ht="15.6" thickTop="1" thickBot="1" x14ac:dyDescent="0.35">
      <c r="A148" s="74" t="s">
        <v>982</v>
      </c>
      <c r="B148" s="74" t="s">
        <v>321</v>
      </c>
      <c r="C148" s="6" t="str">
        <f>CÓDIGO_CNAE[[#This Row],[CNAE]] &amp; " - " &amp; CÓDIGO_CNAE[[#This Row],[Descrição]]</f>
        <v>4783-1/02 - Comércio varejista de artigos de relojoaria</v>
      </c>
    </row>
    <row r="149" spans="1:3" ht="15.6" thickTop="1" thickBot="1" x14ac:dyDescent="0.35">
      <c r="A149" s="74" t="s">
        <v>983</v>
      </c>
      <c r="B149" s="74" t="s">
        <v>322</v>
      </c>
      <c r="C149" s="6" t="str">
        <f>CÓDIGO_CNAE[[#This Row],[CNAE]] &amp; " - " &amp; CÓDIGO_CNAE[[#This Row],[Descrição]]</f>
        <v>4785-7/01 - Comércio varejista de antigüidades</v>
      </c>
    </row>
    <row r="150" spans="1:3" ht="15.6" thickTop="1" thickBot="1" x14ac:dyDescent="0.35">
      <c r="A150" s="74" t="s">
        <v>838</v>
      </c>
      <c r="B150" s="74" t="s">
        <v>323</v>
      </c>
      <c r="C150" s="6" t="str">
        <f>CÓDIGO_CNAE[[#This Row],[CNAE]] &amp; " - " &amp; CÓDIGO_CNAE[[#This Row],[Descrição]]</f>
        <v>4785-7/99 - Comércio varejista de outros artigos usados</v>
      </c>
    </row>
    <row r="151" spans="1:3" ht="15.6" thickTop="1" thickBot="1" x14ac:dyDescent="0.35">
      <c r="A151" s="74" t="s">
        <v>837</v>
      </c>
      <c r="B151" s="74" t="s">
        <v>324</v>
      </c>
      <c r="C151" s="6" t="str">
        <f>CÓDIGO_CNAE[[#This Row],[CNAE]] &amp; " - " &amp; CÓDIGO_CNAE[[#This Row],[Descrição]]</f>
        <v>4789-0/01 - Comércio varejista de suvenires, bijuterias e artesanatos</v>
      </c>
    </row>
    <row r="152" spans="1:3" ht="15.6" thickTop="1" thickBot="1" x14ac:dyDescent="0.35">
      <c r="A152" s="74" t="s">
        <v>836</v>
      </c>
      <c r="B152" s="74" t="s">
        <v>325</v>
      </c>
      <c r="C152" s="6" t="str">
        <f>CÓDIGO_CNAE[[#This Row],[CNAE]] &amp; " - " &amp; CÓDIGO_CNAE[[#This Row],[Descrição]]</f>
        <v>4789-0/02 - Comércio varejista de plantas e flores naturais</v>
      </c>
    </row>
    <row r="153" spans="1:3" ht="15.6" thickTop="1" thickBot="1" x14ac:dyDescent="0.35">
      <c r="A153" s="74" t="s">
        <v>835</v>
      </c>
      <c r="B153" s="74" t="s">
        <v>326</v>
      </c>
      <c r="C153" s="6" t="str">
        <f>CÓDIGO_CNAE[[#This Row],[CNAE]] &amp; " - " &amp; CÓDIGO_CNAE[[#This Row],[Descrição]]</f>
        <v>4789-0/03 - Comércio varejista de objetos de arte</v>
      </c>
    </row>
    <row r="154" spans="1:3" ht="15.6" thickTop="1" thickBot="1" x14ac:dyDescent="0.35">
      <c r="A154" s="74" t="s">
        <v>834</v>
      </c>
      <c r="B154" s="74" t="s">
        <v>607</v>
      </c>
      <c r="C154" s="6" t="str">
        <f>CÓDIGO_CNAE[[#This Row],[CNAE]] &amp; " - " &amp; CÓDIGO_CNAE[[#This Row],[Descrição]]</f>
        <v>4789-0/05 - Comércio varejista de produtos saneantes domissanitários</v>
      </c>
    </row>
    <row r="155" spans="1:3" ht="15.6" thickTop="1" thickBot="1" x14ac:dyDescent="0.35">
      <c r="A155" s="74" t="s">
        <v>833</v>
      </c>
      <c r="B155" s="74" t="s">
        <v>608</v>
      </c>
      <c r="C155" s="6" t="str">
        <f>CÓDIGO_CNAE[[#This Row],[CNAE]] &amp; " - " &amp; CÓDIGO_CNAE[[#This Row],[Descrição]]</f>
        <v>4789-0/06 - Comércio varejista de fogos de artifício e artigos pirotécnicos</v>
      </c>
    </row>
    <row r="156" spans="1:3" ht="15.6" thickTop="1" thickBot="1" x14ac:dyDescent="0.35">
      <c r="A156" s="74" t="s">
        <v>832</v>
      </c>
      <c r="B156" s="74" t="s">
        <v>327</v>
      </c>
      <c r="C156" s="6" t="str">
        <f>CÓDIGO_CNAE[[#This Row],[CNAE]] &amp; " - " &amp; CÓDIGO_CNAE[[#This Row],[Descrição]]</f>
        <v>4789-0/07 - Comércio varejista de equipamentos para escritório</v>
      </c>
    </row>
    <row r="157" spans="1:3" ht="15.6" thickTop="1" thickBot="1" x14ac:dyDescent="0.35">
      <c r="A157" s="74" t="s">
        <v>831</v>
      </c>
      <c r="B157" s="74" t="s">
        <v>328</v>
      </c>
      <c r="C157" s="6" t="str">
        <f>CÓDIGO_CNAE[[#This Row],[CNAE]] &amp; " - " &amp; CÓDIGO_CNAE[[#This Row],[Descrição]]</f>
        <v>4789-0/08 - Comércio varejista de artigos fotográficos e para filmagem</v>
      </c>
    </row>
    <row r="158" spans="1:3" ht="15.6" thickTop="1" thickBot="1" x14ac:dyDescent="0.35">
      <c r="A158" s="74" t="s">
        <v>830</v>
      </c>
      <c r="B158" s="74" t="s">
        <v>609</v>
      </c>
      <c r="C158" s="6" t="str">
        <f>CÓDIGO_CNAE[[#This Row],[CNAE]] &amp; " - " &amp; CÓDIGO_CNAE[[#This Row],[Descrição]]</f>
        <v>4789-0/09 - Comércio varejista de armas e munições</v>
      </c>
    </row>
    <row r="159" spans="1:3" ht="15.6" thickTop="1" thickBot="1" x14ac:dyDescent="0.35">
      <c r="A159" s="74" t="s">
        <v>829</v>
      </c>
      <c r="B159" s="74" t="s">
        <v>329</v>
      </c>
      <c r="C159" s="6" t="str">
        <f>CÓDIGO_CNAE[[#This Row],[CNAE]] &amp; " - " &amp; CÓDIGO_CNAE[[#This Row],[Descrição]]</f>
        <v>4789-0/99 - Comércio varejista de outros produtos não especificados anteriormente</v>
      </c>
    </row>
    <row r="160" spans="1:3" ht="15.6" thickTop="1" thickBot="1" x14ac:dyDescent="0.35">
      <c r="A160" s="74" t="s">
        <v>984</v>
      </c>
      <c r="B160" s="74" t="s">
        <v>610</v>
      </c>
      <c r="C160" s="6" t="str">
        <f>CÓDIGO_CNAE[[#This Row],[CNAE]] &amp; " - " &amp; CÓDIGO_CNAE[[#This Row],[Descrição]]</f>
        <v>5211-7/02 - Guarda-móveis</v>
      </c>
    </row>
    <row r="161" spans="1:3" ht="15.6" thickTop="1" thickBot="1" x14ac:dyDescent="0.35">
      <c r="A161" s="74" t="s">
        <v>985</v>
      </c>
      <c r="B161" s="74" t="s">
        <v>611</v>
      </c>
      <c r="C161" s="6" t="str">
        <f>CÓDIGO_CNAE[[#This Row],[CNAE]] &amp; " - " &amp; CÓDIGO_CNAE[[#This Row],[Descrição]]</f>
        <v>5320-2/01 - Serviços de malote não realizados pelo Correio Nacional</v>
      </c>
    </row>
    <row r="162" spans="1:3" ht="15.6" thickTop="1" thickBot="1" x14ac:dyDescent="0.35">
      <c r="A162" s="74" t="s">
        <v>986</v>
      </c>
      <c r="B162" s="74" t="s">
        <v>612</v>
      </c>
      <c r="C162" s="6" t="str">
        <f>CÓDIGO_CNAE[[#This Row],[CNAE]] &amp; " - " &amp; CÓDIGO_CNAE[[#This Row],[Descrição]]</f>
        <v>5320-2/02 - Serviços de entrega rápida</v>
      </c>
    </row>
    <row r="163" spans="1:3" ht="15.6" thickTop="1" thickBot="1" x14ac:dyDescent="0.35">
      <c r="A163" s="74" t="s">
        <v>987</v>
      </c>
      <c r="B163" s="74" t="s">
        <v>613</v>
      </c>
      <c r="C163" s="6" t="str">
        <f>CÓDIGO_CNAE[[#This Row],[CNAE]] &amp; " - " &amp; CÓDIGO_CNAE[[#This Row],[Descrição]]</f>
        <v>5510-8/01 - Hotéis</v>
      </c>
    </row>
    <row r="164" spans="1:3" ht="15.6" thickTop="1" thickBot="1" x14ac:dyDescent="0.35">
      <c r="A164" s="74" t="s">
        <v>988</v>
      </c>
      <c r="B164" s="74" t="s">
        <v>614</v>
      </c>
      <c r="C164" s="6" t="str">
        <f>CÓDIGO_CNAE[[#This Row],[CNAE]] &amp; " - " &amp; CÓDIGO_CNAE[[#This Row],[Descrição]]</f>
        <v>5510-8/02 - Apart-hotéis</v>
      </c>
    </row>
    <row r="165" spans="1:3" ht="15.6" thickTop="1" thickBot="1" x14ac:dyDescent="0.35">
      <c r="A165" s="74" t="s">
        <v>989</v>
      </c>
      <c r="B165" s="74" t="s">
        <v>615</v>
      </c>
      <c r="C165" s="6" t="str">
        <f>CÓDIGO_CNAE[[#This Row],[CNAE]] &amp; " - " &amp; CÓDIGO_CNAE[[#This Row],[Descrição]]</f>
        <v>5510-8/03 - Motéis</v>
      </c>
    </row>
    <row r="166" spans="1:3" ht="15.6" thickTop="1" thickBot="1" x14ac:dyDescent="0.35">
      <c r="A166" s="74" t="s">
        <v>990</v>
      </c>
      <c r="B166" s="74" t="s">
        <v>616</v>
      </c>
      <c r="C166" s="6" t="str">
        <f>CÓDIGO_CNAE[[#This Row],[CNAE]] &amp; " - " &amp; CÓDIGO_CNAE[[#This Row],[Descrição]]</f>
        <v>5590-6/01 - Albergues, exceto assistenciais</v>
      </c>
    </row>
    <row r="167" spans="1:3" ht="15.6" thickTop="1" thickBot="1" x14ac:dyDescent="0.35">
      <c r="A167" s="74" t="s">
        <v>991</v>
      </c>
      <c r="B167" s="74" t="s">
        <v>617</v>
      </c>
      <c r="C167" s="6" t="str">
        <f>CÓDIGO_CNAE[[#This Row],[CNAE]] &amp; " - " &amp; CÓDIGO_CNAE[[#This Row],[Descrição]]</f>
        <v>5590-6/02 - Campings</v>
      </c>
    </row>
    <row r="168" spans="1:3" ht="15.6" thickTop="1" thickBot="1" x14ac:dyDescent="0.35">
      <c r="A168" s="74" t="s">
        <v>992</v>
      </c>
      <c r="B168" s="74" t="s">
        <v>618</v>
      </c>
      <c r="C168" s="6" t="str">
        <f>CÓDIGO_CNAE[[#This Row],[CNAE]] &amp; " - " &amp; CÓDIGO_CNAE[[#This Row],[Descrição]]</f>
        <v>5590-6/03 - Pensões (alojamento)</v>
      </c>
    </row>
    <row r="169" spans="1:3" ht="15.6" thickTop="1" thickBot="1" x14ac:dyDescent="0.35">
      <c r="A169" s="74" t="s">
        <v>828</v>
      </c>
      <c r="B169" s="74" t="s">
        <v>619</v>
      </c>
      <c r="C169" s="6" t="str">
        <f>CÓDIGO_CNAE[[#This Row],[CNAE]] &amp; " - " &amp; CÓDIGO_CNAE[[#This Row],[Descrição]]</f>
        <v>5590-6/99 - Outros alojamentos não especificados anteriormente</v>
      </c>
    </row>
    <row r="170" spans="1:3" ht="15.6" thickTop="1" thickBot="1" x14ac:dyDescent="0.35">
      <c r="A170" s="74" t="s">
        <v>993</v>
      </c>
      <c r="B170" s="74" t="s">
        <v>330</v>
      </c>
      <c r="C170" s="6" t="str">
        <f>CÓDIGO_CNAE[[#This Row],[CNAE]] &amp; " - " &amp; CÓDIGO_CNAE[[#This Row],[Descrição]]</f>
        <v>5611-2/01 - Restaurantes e similares</v>
      </c>
    </row>
    <row r="171" spans="1:3" ht="15.6" thickTop="1" thickBot="1" x14ac:dyDescent="0.35">
      <c r="A171" s="74" t="s">
        <v>994</v>
      </c>
      <c r="B171" s="74" t="s">
        <v>331</v>
      </c>
      <c r="C171" s="6" t="str">
        <f>CÓDIGO_CNAE[[#This Row],[CNAE]] &amp; " - " &amp; CÓDIGO_CNAE[[#This Row],[Descrição]]</f>
        <v>5611-2/03 - Lanchonetes, casas de chá, de sucos e similares</v>
      </c>
    </row>
    <row r="172" spans="1:3" ht="15.6" thickTop="1" thickBot="1" x14ac:dyDescent="0.35">
      <c r="A172" s="74" t="s">
        <v>995</v>
      </c>
      <c r="B172" s="74" t="s">
        <v>332</v>
      </c>
      <c r="C172" s="6" t="str">
        <f>CÓDIGO_CNAE[[#This Row],[CNAE]] &amp; " - " &amp; CÓDIGO_CNAE[[#This Row],[Descrição]]</f>
        <v>5611-2/04 - Bares e outros estabelecimentos especializados em servir bebidas, sem entretenimento</v>
      </c>
    </row>
    <row r="173" spans="1:3" ht="15.6" thickTop="1" thickBot="1" x14ac:dyDescent="0.35">
      <c r="A173" s="74" t="s">
        <v>996</v>
      </c>
      <c r="B173" s="74" t="s">
        <v>333</v>
      </c>
      <c r="C173" s="6" t="str">
        <f>CÓDIGO_CNAE[[#This Row],[CNAE]] &amp; " - " &amp; CÓDIGO_CNAE[[#This Row],[Descrição]]</f>
        <v>5620-1/01 - Fornecimento de alimentos preparados preponderantemente para empresas</v>
      </c>
    </row>
    <row r="174" spans="1:3" ht="15.6" thickTop="1" thickBot="1" x14ac:dyDescent="0.35">
      <c r="A174" s="74" t="s">
        <v>997</v>
      </c>
      <c r="B174" s="74" t="s">
        <v>620</v>
      </c>
      <c r="C174" s="6" t="str">
        <f>CÓDIGO_CNAE[[#This Row],[CNAE]] &amp; " - " &amp; CÓDIGO_CNAE[[#This Row],[Descrição]]</f>
        <v>5620-1/02 - Serviços de alimentação para eventos e recepções – bufê</v>
      </c>
    </row>
    <row r="175" spans="1:3" ht="15.6" thickTop="1" thickBot="1" x14ac:dyDescent="0.35">
      <c r="A175" s="74" t="s">
        <v>998</v>
      </c>
      <c r="B175" s="74" t="s">
        <v>334</v>
      </c>
      <c r="C175" s="6" t="str">
        <f>CÓDIGO_CNAE[[#This Row],[CNAE]] &amp; " - " &amp; CÓDIGO_CNAE[[#This Row],[Descrição]]</f>
        <v>5620-1/03 - Cantinas – serviços de alimentação privativos</v>
      </c>
    </row>
    <row r="176" spans="1:3" ht="15.6" thickTop="1" thickBot="1" x14ac:dyDescent="0.35">
      <c r="A176" s="74" t="s">
        <v>999</v>
      </c>
      <c r="B176" s="74" t="s">
        <v>335</v>
      </c>
      <c r="C176" s="6" t="str">
        <f>CÓDIGO_CNAE[[#This Row],[CNAE]] &amp; " - " &amp; CÓDIGO_CNAE[[#This Row],[Descrição]]</f>
        <v>5620-1/04 - Fornecimento de alimentos preparados preponderantemente para consumo domiciliar</v>
      </c>
    </row>
    <row r="177" spans="1:3" ht="15.6" thickTop="1" thickBot="1" x14ac:dyDescent="0.35">
      <c r="A177" s="74" t="s">
        <v>827</v>
      </c>
      <c r="B177" s="74" t="s">
        <v>621</v>
      </c>
      <c r="C177" s="6" t="str">
        <f>CÓDIGO_CNAE[[#This Row],[CNAE]] &amp; " - " &amp; CÓDIGO_CNAE[[#This Row],[Descrição]]</f>
        <v>5811-5/00 - Edição de livros</v>
      </c>
    </row>
    <row r="178" spans="1:3" ht="15.6" thickTop="1" thickBot="1" x14ac:dyDescent="0.35">
      <c r="A178" s="74" t="s">
        <v>1000</v>
      </c>
      <c r="B178" s="74" t="s">
        <v>622</v>
      </c>
      <c r="C178" s="6" t="str">
        <f>CÓDIGO_CNAE[[#This Row],[CNAE]] &amp; " - " &amp; CÓDIGO_CNAE[[#This Row],[Descrição]]</f>
        <v>5812-3/01 - Edição de jornais diários</v>
      </c>
    </row>
    <row r="179" spans="1:3" ht="15.6" thickTop="1" thickBot="1" x14ac:dyDescent="0.35">
      <c r="A179" s="74" t="s">
        <v>1001</v>
      </c>
      <c r="B179" s="74" t="s">
        <v>623</v>
      </c>
      <c r="C179" s="6" t="str">
        <f>CÓDIGO_CNAE[[#This Row],[CNAE]] &amp; " - " &amp; CÓDIGO_CNAE[[#This Row],[Descrição]]</f>
        <v>5812-3/02 - Edição de jornais não diários</v>
      </c>
    </row>
    <row r="180" spans="1:3" ht="15.6" thickTop="1" thickBot="1" x14ac:dyDescent="0.35">
      <c r="A180" s="74" t="s">
        <v>826</v>
      </c>
      <c r="B180" s="74" t="s">
        <v>624</v>
      </c>
      <c r="C180" s="6" t="str">
        <f>CÓDIGO_CNAE[[#This Row],[CNAE]] &amp; " - " &amp; CÓDIGO_CNAE[[#This Row],[Descrição]]</f>
        <v>5813-1/00 - Edição de revistas</v>
      </c>
    </row>
    <row r="181" spans="1:3" ht="15.6" thickTop="1" thickBot="1" x14ac:dyDescent="0.35">
      <c r="A181" s="74" t="s">
        <v>825</v>
      </c>
      <c r="B181" s="74" t="s">
        <v>625</v>
      </c>
      <c r="C181" s="6" t="str">
        <f>CÓDIGO_CNAE[[#This Row],[CNAE]] &amp; " - " &amp; CÓDIGO_CNAE[[#This Row],[Descrição]]</f>
        <v>5819-1/00 - Edição de cadastros, listas e outros produtos gráficos</v>
      </c>
    </row>
    <row r="182" spans="1:3" ht="15.6" thickTop="1" thickBot="1" x14ac:dyDescent="0.35">
      <c r="A182" s="74" t="s">
        <v>1002</v>
      </c>
      <c r="B182" s="74" t="s">
        <v>336</v>
      </c>
      <c r="C182" s="6" t="str">
        <f>CÓDIGO_CNAE[[#This Row],[CNAE]] &amp; " - " &amp; CÓDIGO_CNAE[[#This Row],[Descrição]]</f>
        <v>5911-1/01 - Estúdios cinematográficos</v>
      </c>
    </row>
    <row r="183" spans="1:3" ht="15.6" thickTop="1" thickBot="1" x14ac:dyDescent="0.35">
      <c r="A183" s="74" t="s">
        <v>1003</v>
      </c>
      <c r="B183" s="74" t="s">
        <v>337</v>
      </c>
      <c r="C183" s="6" t="str">
        <f>CÓDIGO_CNAE[[#This Row],[CNAE]] &amp; " - " &amp; CÓDIGO_CNAE[[#This Row],[Descrição]]</f>
        <v>5911-1/02 - Produção de filmes para publicidade</v>
      </c>
    </row>
    <row r="184" spans="1:3" ht="15.6" thickTop="1" thickBot="1" x14ac:dyDescent="0.35">
      <c r="A184" s="74" t="s">
        <v>824</v>
      </c>
      <c r="B184" s="74" t="s">
        <v>338</v>
      </c>
      <c r="C184" s="6" t="str">
        <f>CÓDIGO_CNAE[[#This Row],[CNAE]] &amp; " - " &amp; CÓDIGO_CNAE[[#This Row],[Descrição]]</f>
        <v>5911-1/99 - Atividades de produção cinematográfica, de vídeos e de programas de televisão não especificadas anteriormente</v>
      </c>
    </row>
    <row r="185" spans="1:3" ht="15.6" thickTop="1" thickBot="1" x14ac:dyDescent="0.35">
      <c r="A185" s="74" t="s">
        <v>823</v>
      </c>
      <c r="B185" s="74" t="s">
        <v>339</v>
      </c>
      <c r="C185" s="6" t="str">
        <f>CÓDIGO_CNAE[[#This Row],[CNAE]] &amp; " - " &amp; CÓDIGO_CNAE[[#This Row],[Descrição]]</f>
        <v>5912-0/01 - Serviços de dublagem</v>
      </c>
    </row>
    <row r="186" spans="1:3" ht="15.6" thickTop="1" thickBot="1" x14ac:dyDescent="0.35">
      <c r="A186" s="74" t="s">
        <v>822</v>
      </c>
      <c r="B186" s="74" t="s">
        <v>340</v>
      </c>
      <c r="C186" s="6" t="str">
        <f>CÓDIGO_CNAE[[#This Row],[CNAE]] &amp; " - " &amp; CÓDIGO_CNAE[[#This Row],[Descrição]]</f>
        <v>5912-0/02 - Serviços de mixagem sonora em produção audiovisual</v>
      </c>
    </row>
    <row r="187" spans="1:3" ht="15.6" thickTop="1" thickBot="1" x14ac:dyDescent="0.35">
      <c r="A187" s="74" t="s">
        <v>821</v>
      </c>
      <c r="B187" s="74" t="s">
        <v>341</v>
      </c>
      <c r="C187" s="6" t="str">
        <f>CÓDIGO_CNAE[[#This Row],[CNAE]] &amp; " - " &amp; CÓDIGO_CNAE[[#This Row],[Descrição]]</f>
        <v>5912-0/99 - Atividades de pós-produção cinematográfica, de vídeos e de programas de televisão não especificadas anteriormente</v>
      </c>
    </row>
    <row r="188" spans="1:3" ht="15.6" thickTop="1" thickBot="1" x14ac:dyDescent="0.35">
      <c r="A188" s="74" t="s">
        <v>820</v>
      </c>
      <c r="B188" s="74" t="s">
        <v>342</v>
      </c>
      <c r="C188" s="6" t="str">
        <f>CÓDIGO_CNAE[[#This Row],[CNAE]] &amp; " - " &amp; CÓDIGO_CNAE[[#This Row],[Descrição]]</f>
        <v>5913-8/00 - Distribuição cinematográfica, de vídeo e de programas de televisão</v>
      </c>
    </row>
    <row r="189" spans="1:3" ht="15.6" thickTop="1" thickBot="1" x14ac:dyDescent="0.35">
      <c r="A189" s="74" t="s">
        <v>819</v>
      </c>
      <c r="B189" s="74" t="s">
        <v>343</v>
      </c>
      <c r="C189" s="6" t="str">
        <f>CÓDIGO_CNAE[[#This Row],[CNAE]] &amp; " - " &amp; CÓDIGO_CNAE[[#This Row],[Descrição]]</f>
        <v>5914-6/00 - Atividades de exibição cinematográfica</v>
      </c>
    </row>
    <row r="190" spans="1:3" ht="15.6" thickTop="1" thickBot="1" x14ac:dyDescent="0.35">
      <c r="A190" s="74" t="s">
        <v>818</v>
      </c>
      <c r="B190" s="74" t="s">
        <v>344</v>
      </c>
      <c r="C190" s="6" t="str">
        <f>CÓDIGO_CNAE[[#This Row],[CNAE]] &amp; " - " &amp; CÓDIGO_CNAE[[#This Row],[Descrição]]</f>
        <v>5920-1/00 - Atividades de gravação de som e de edição de música</v>
      </c>
    </row>
    <row r="191" spans="1:3" ht="15.6" thickTop="1" thickBot="1" x14ac:dyDescent="0.35">
      <c r="A191" s="74" t="s">
        <v>1004</v>
      </c>
      <c r="B191" s="74" t="s">
        <v>345</v>
      </c>
      <c r="C191" s="6" t="str">
        <f>CÓDIGO_CNAE[[#This Row],[CNAE]] &amp; " - " &amp; CÓDIGO_CNAE[[#This Row],[Descrição]]</f>
        <v>6201-5/01 - Desenvolvimento de programas de computador sob encomenda</v>
      </c>
    </row>
    <row r="192" spans="1:3" ht="15.6" thickTop="1" thickBot="1" x14ac:dyDescent="0.35">
      <c r="A192" s="74" t="s">
        <v>1005</v>
      </c>
      <c r="B192" s="74" t="s">
        <v>346</v>
      </c>
      <c r="C192" s="6" t="str">
        <f>CÓDIGO_CNAE[[#This Row],[CNAE]] &amp; " - " &amp; CÓDIGO_CNAE[[#This Row],[Descrição]]</f>
        <v>6201-5/02 - Web design</v>
      </c>
    </row>
    <row r="193" spans="1:3" ht="15.6" thickTop="1" thickBot="1" x14ac:dyDescent="0.35">
      <c r="A193" s="74" t="s">
        <v>817</v>
      </c>
      <c r="B193" s="74" t="s">
        <v>347</v>
      </c>
      <c r="C193" s="6" t="str">
        <f>CÓDIGO_CNAE[[#This Row],[CNAE]] &amp; " - " &amp; CÓDIGO_CNAE[[#This Row],[Descrição]]</f>
        <v>6202-3/00 - Desenvolvimento e licenciamento de programas de computador customizáveis</v>
      </c>
    </row>
    <row r="194" spans="1:3" ht="15.6" thickTop="1" thickBot="1" x14ac:dyDescent="0.35">
      <c r="A194" s="74" t="s">
        <v>816</v>
      </c>
      <c r="B194" s="74" t="s">
        <v>348</v>
      </c>
      <c r="C194" s="6" t="str">
        <f>CÓDIGO_CNAE[[#This Row],[CNAE]] &amp; " - " &amp; CÓDIGO_CNAE[[#This Row],[Descrição]]</f>
        <v>6203-1/00 - Desenvolvimento e licenciamento de programas de computador não-customizáveis</v>
      </c>
    </row>
    <row r="195" spans="1:3" ht="15.6" thickTop="1" thickBot="1" x14ac:dyDescent="0.35">
      <c r="A195" s="74" t="s">
        <v>815</v>
      </c>
      <c r="B195" s="74" t="s">
        <v>349</v>
      </c>
      <c r="C195" s="6" t="str">
        <f>CÓDIGO_CNAE[[#This Row],[CNAE]] &amp; " - " &amp; CÓDIGO_CNAE[[#This Row],[Descrição]]</f>
        <v>6204-0/00 - Consultoria em tecnologia da informação</v>
      </c>
    </row>
    <row r="196" spans="1:3" ht="15.6" thickTop="1" thickBot="1" x14ac:dyDescent="0.35">
      <c r="A196" s="74" t="s">
        <v>814</v>
      </c>
      <c r="B196" s="74" t="s">
        <v>350</v>
      </c>
      <c r="C196" s="6" t="str">
        <f>CÓDIGO_CNAE[[#This Row],[CNAE]] &amp; " - " &amp; CÓDIGO_CNAE[[#This Row],[Descrição]]</f>
        <v>6209-1/00 - Suporte técnico, manutenção e outros serviços em tecnologia da informação</v>
      </c>
    </row>
    <row r="197" spans="1:3" ht="15.6" thickTop="1" thickBot="1" x14ac:dyDescent="0.35">
      <c r="A197" s="74" t="s">
        <v>813</v>
      </c>
      <c r="B197" s="74" t="s">
        <v>351</v>
      </c>
      <c r="C197" s="6" t="str">
        <f>CÓDIGO_CNAE[[#This Row],[CNAE]] &amp; " - " &amp; CÓDIGO_CNAE[[#This Row],[Descrição]]</f>
        <v>6311-9/00 - Tratamento de dados, provedores de serviços de aplicação e serviços de hospedagem na internet</v>
      </c>
    </row>
    <row r="198" spans="1:3" ht="15.6" thickTop="1" thickBot="1" x14ac:dyDescent="0.35">
      <c r="A198" s="74" t="s">
        <v>812</v>
      </c>
      <c r="B198" s="74" t="s">
        <v>352</v>
      </c>
      <c r="C198" s="6" t="str">
        <f>CÓDIGO_CNAE[[#This Row],[CNAE]] &amp; " - " &amp; CÓDIGO_CNAE[[#This Row],[Descrição]]</f>
        <v>6319-4/00 - Portais, provedores de conteúdo e outros serviços de informação na internet</v>
      </c>
    </row>
    <row r="199" spans="1:3" ht="15.6" thickTop="1" thickBot="1" x14ac:dyDescent="0.35">
      <c r="A199" s="74" t="s">
        <v>811</v>
      </c>
      <c r="B199" s="74" t="s">
        <v>353</v>
      </c>
      <c r="C199" s="6" t="str">
        <f>CÓDIGO_CNAE[[#This Row],[CNAE]] &amp; " - " &amp; CÓDIGO_CNAE[[#This Row],[Descrição]]</f>
        <v>6391-7/00 - Agências de notícias</v>
      </c>
    </row>
    <row r="200" spans="1:3" ht="15.6" thickTop="1" thickBot="1" x14ac:dyDescent="0.35">
      <c r="A200" s="74" t="s">
        <v>810</v>
      </c>
      <c r="B200" s="74" t="s">
        <v>354</v>
      </c>
      <c r="C200" s="6" t="str">
        <f>CÓDIGO_CNAE[[#This Row],[CNAE]] &amp; " - " &amp; CÓDIGO_CNAE[[#This Row],[Descrição]]</f>
        <v>6399-2/00 - Outras atividades de prestação de serviços de informação não especificadas anteriormente</v>
      </c>
    </row>
    <row r="201" spans="1:3" ht="15.6" thickTop="1" thickBot="1" x14ac:dyDescent="0.35">
      <c r="A201" s="74" t="s">
        <v>1006</v>
      </c>
      <c r="B201" s="74" t="s">
        <v>644</v>
      </c>
      <c r="C201" s="6" t="str">
        <f>CÓDIGO_CNAE[[#This Row],[CNAE]] &amp; " - " &amp; CÓDIGO_CNAE[[#This Row],[Descrição]]</f>
        <v>6612-6/05 - Agentes de investimentos em aplicações financeiras</v>
      </c>
    </row>
    <row r="202" spans="1:3" ht="15.6" thickTop="1" thickBot="1" x14ac:dyDescent="0.35">
      <c r="A202" s="74" t="s">
        <v>1007</v>
      </c>
      <c r="B202" s="74" t="s">
        <v>355</v>
      </c>
      <c r="C202" s="6" t="str">
        <f>CÓDIGO_CNAE[[#This Row],[CNAE]] &amp; " - " &amp; CÓDIGO_CNAE[[#This Row],[Descrição]]</f>
        <v>6619-3/02 - Correspondentes de instituições financeiras</v>
      </c>
    </row>
    <row r="203" spans="1:3" ht="15.6" thickTop="1" thickBot="1" x14ac:dyDescent="0.35">
      <c r="A203" s="74" t="s">
        <v>1008</v>
      </c>
      <c r="B203" s="74" t="s">
        <v>356</v>
      </c>
      <c r="C203" s="6" t="str">
        <f>CÓDIGO_CNAE[[#This Row],[CNAE]] &amp; " - " &amp; CÓDIGO_CNAE[[#This Row],[Descrição]]</f>
        <v>6621-5/01 - Peritos e avaliadores de seguros</v>
      </c>
    </row>
    <row r="204" spans="1:3" ht="15.6" thickTop="1" thickBot="1" x14ac:dyDescent="0.35">
      <c r="A204" s="74" t="s">
        <v>1009</v>
      </c>
      <c r="B204" s="74" t="s">
        <v>357</v>
      </c>
      <c r="C204" s="6" t="str">
        <f>CÓDIGO_CNAE[[#This Row],[CNAE]] &amp; " - " &amp; CÓDIGO_CNAE[[#This Row],[Descrição]]</f>
        <v>6621-5/02 - Auditoria e consultoria atuarial</v>
      </c>
    </row>
    <row r="205" spans="1:3" ht="15.6" thickTop="1" thickBot="1" x14ac:dyDescent="0.35">
      <c r="A205" s="74" t="s">
        <v>809</v>
      </c>
      <c r="B205" s="74" t="s">
        <v>358</v>
      </c>
      <c r="C205" s="6" t="str">
        <f>CÓDIGO_CNAE[[#This Row],[CNAE]] &amp; " - " &amp; CÓDIGO_CNAE[[#This Row],[Descrição]]</f>
        <v>6622-3/00 - Corretores e agentes de seguros, de planos de previdência complementar e de saúde</v>
      </c>
    </row>
    <row r="206" spans="1:3" ht="15.6" thickTop="1" thickBot="1" x14ac:dyDescent="0.35">
      <c r="A206" s="74" t="s">
        <v>808</v>
      </c>
      <c r="B206" s="74" t="s">
        <v>359</v>
      </c>
      <c r="C206" s="6" t="str">
        <f>CÓDIGO_CNAE[[#This Row],[CNAE]] &amp; " - " &amp; CÓDIGO_CNAE[[#This Row],[Descrição]]</f>
        <v>6629-1/00 - Atividades auxiliares dos seguros, da previdência complementar e dos planos de saúde não especificadas anteriormente</v>
      </c>
    </row>
    <row r="207" spans="1:3" ht="15.6" thickTop="1" thickBot="1" x14ac:dyDescent="0.35">
      <c r="A207" s="74" t="s">
        <v>1010</v>
      </c>
      <c r="B207" s="74" t="s">
        <v>360</v>
      </c>
      <c r="C207" s="6" t="str">
        <f>CÓDIGO_CNAE[[#This Row],[CNAE]] &amp; " - " &amp; CÓDIGO_CNAE[[#This Row],[Descrição]]</f>
        <v>6821-8/01 - Corretagem na compra e venda e avaliação de imóveis</v>
      </c>
    </row>
    <row r="208" spans="1:3" ht="15.6" thickTop="1" thickBot="1" x14ac:dyDescent="0.35">
      <c r="A208" s="74" t="s">
        <v>1011</v>
      </c>
      <c r="B208" s="74" t="s">
        <v>361</v>
      </c>
      <c r="C208" s="6" t="str">
        <f>CÓDIGO_CNAE[[#This Row],[CNAE]] &amp; " - " &amp; CÓDIGO_CNAE[[#This Row],[Descrição]]</f>
        <v>6821-8/02 - Corretagem no aluguel de imóveis</v>
      </c>
    </row>
    <row r="209" spans="1:3" ht="15.6" thickTop="1" thickBot="1" x14ac:dyDescent="0.35">
      <c r="A209" s="74" t="s">
        <v>807</v>
      </c>
      <c r="B209" s="74" t="s">
        <v>626</v>
      </c>
      <c r="C209" s="6" t="str">
        <f>CÓDIGO_CNAE[[#This Row],[CNAE]] &amp; " - " &amp; CÓDIGO_CNAE[[#This Row],[Descrição]]</f>
        <v>6822-6/00 - Gestão e administração da propriedade imobiliária</v>
      </c>
    </row>
    <row r="210" spans="1:3" ht="15.6" thickTop="1" thickBot="1" x14ac:dyDescent="0.35">
      <c r="A210" s="74" t="s">
        <v>1012</v>
      </c>
      <c r="B210" s="74" t="s">
        <v>362</v>
      </c>
      <c r="C210" s="6" t="str">
        <f>CÓDIGO_CNAE[[#This Row],[CNAE]] &amp; " - " &amp; CÓDIGO_CNAE[[#This Row],[Descrição]]</f>
        <v>6911-7/01 - Serviços advocatícios</v>
      </c>
    </row>
    <row r="211" spans="1:3" ht="15.6" thickTop="1" thickBot="1" x14ac:dyDescent="0.35">
      <c r="A211" s="74" t="s">
        <v>1013</v>
      </c>
      <c r="B211" s="74" t="s">
        <v>645</v>
      </c>
      <c r="C211" s="6" t="str">
        <f>CÓDIGO_CNAE[[#This Row],[CNAE]] &amp; " - " &amp; CÓDIGO_CNAE[[#This Row],[Descrição]]</f>
        <v>6911-7/02 - Atividades auxiliares da justiça</v>
      </c>
    </row>
    <row r="212" spans="1:3" ht="15.6" thickTop="1" thickBot="1" x14ac:dyDescent="0.35">
      <c r="A212" s="74" t="s">
        <v>1014</v>
      </c>
      <c r="B212" s="74" t="s">
        <v>363</v>
      </c>
      <c r="C212" s="6" t="str">
        <f>CÓDIGO_CNAE[[#This Row],[CNAE]] &amp; " - " &amp; CÓDIGO_CNAE[[#This Row],[Descrição]]</f>
        <v>6911-7/03 - Agente de propriedade industrial</v>
      </c>
    </row>
    <row r="213" spans="1:3" ht="15.6" thickTop="1" thickBot="1" x14ac:dyDescent="0.35">
      <c r="A213" s="74" t="s">
        <v>806</v>
      </c>
      <c r="B213" s="74" t="s">
        <v>364</v>
      </c>
      <c r="C213" s="6" t="str">
        <f>CÓDIGO_CNAE[[#This Row],[CNAE]] &amp; " - " &amp; CÓDIGO_CNAE[[#This Row],[Descrição]]</f>
        <v>7020-4/00 - Atividades de consultoria em gestão empresarial, exceto consultoria técnica específica</v>
      </c>
    </row>
    <row r="214" spans="1:3" ht="15.6" thickTop="1" thickBot="1" x14ac:dyDescent="0.35">
      <c r="A214" s="74" t="s">
        <v>805</v>
      </c>
      <c r="B214" s="74" t="s">
        <v>365</v>
      </c>
      <c r="C214" s="6" t="str">
        <f>CÓDIGO_CNAE[[#This Row],[CNAE]] &amp; " - " &amp; CÓDIGO_CNAE[[#This Row],[Descrição]]</f>
        <v>7111-1/00 - Serviços de arquitetura</v>
      </c>
    </row>
    <row r="215" spans="1:3" ht="15.6" thickTop="1" thickBot="1" x14ac:dyDescent="0.35">
      <c r="A215" s="74" t="s">
        <v>804</v>
      </c>
      <c r="B215" s="74" t="s">
        <v>366</v>
      </c>
      <c r="C215" s="6" t="str">
        <f>CÓDIGO_CNAE[[#This Row],[CNAE]] &amp; " - " &amp; CÓDIGO_CNAE[[#This Row],[Descrição]]</f>
        <v>7112-0/00 - Serviços de engenharia</v>
      </c>
    </row>
    <row r="216" spans="1:3" ht="15.6" thickTop="1" thickBot="1" x14ac:dyDescent="0.35">
      <c r="A216" s="74" t="s">
        <v>1015</v>
      </c>
      <c r="B216" s="74" t="s">
        <v>367</v>
      </c>
      <c r="C216" s="6" t="str">
        <f>CÓDIGO_CNAE[[#This Row],[CNAE]] &amp; " - " &amp; CÓDIGO_CNAE[[#This Row],[Descrição]]</f>
        <v>7119-7/01 - Serviços de cartografia, topografia e geodésia</v>
      </c>
    </row>
    <row r="217" spans="1:3" ht="15.6" thickTop="1" thickBot="1" x14ac:dyDescent="0.35">
      <c r="A217" s="74" t="s">
        <v>1016</v>
      </c>
      <c r="B217" s="74" t="s">
        <v>368</v>
      </c>
      <c r="C217" s="6" t="str">
        <f>CÓDIGO_CNAE[[#This Row],[CNAE]] &amp; " - " &amp; CÓDIGO_CNAE[[#This Row],[Descrição]]</f>
        <v>7119-7/02 - Atividades de estudos geológicos</v>
      </c>
    </row>
    <row r="218" spans="1:3" ht="15.6" thickTop="1" thickBot="1" x14ac:dyDescent="0.35">
      <c r="A218" s="74" t="s">
        <v>1017</v>
      </c>
      <c r="B218" s="74" t="s">
        <v>369</v>
      </c>
      <c r="C218" s="6" t="str">
        <f>CÓDIGO_CNAE[[#This Row],[CNAE]] &amp; " - " &amp; CÓDIGO_CNAE[[#This Row],[Descrição]]</f>
        <v>7119-7/03 - Serviços de desenho técnico relacionados à arquitetura e engenharia</v>
      </c>
    </row>
    <row r="219" spans="1:3" ht="15.6" thickTop="1" thickBot="1" x14ac:dyDescent="0.35">
      <c r="A219" s="74" t="s">
        <v>1018</v>
      </c>
      <c r="B219" s="74" t="s">
        <v>370</v>
      </c>
      <c r="C219" s="6" t="str">
        <f>CÓDIGO_CNAE[[#This Row],[CNAE]] &amp; " - " &amp; CÓDIGO_CNAE[[#This Row],[Descrição]]</f>
        <v>7119-7/04 - Serviços de perícia técnica relacionados à segurança do trabalho</v>
      </c>
    </row>
    <row r="220" spans="1:3" ht="15.6" thickTop="1" thickBot="1" x14ac:dyDescent="0.35">
      <c r="A220" s="74" t="s">
        <v>803</v>
      </c>
      <c r="B220" s="74" t="s">
        <v>371</v>
      </c>
      <c r="C220" s="6" t="str">
        <f>CÓDIGO_CNAE[[#This Row],[CNAE]] &amp; " - " &amp; CÓDIGO_CNAE[[#This Row],[Descrição]]</f>
        <v>7119-7/99 - Atividades técnicas relacionadas à engenharia e arquitetura não especificadas anteriormente</v>
      </c>
    </row>
    <row r="221" spans="1:3" ht="15.6" thickTop="1" thickBot="1" x14ac:dyDescent="0.35">
      <c r="A221" s="74" t="s">
        <v>802</v>
      </c>
      <c r="B221" s="74" t="s">
        <v>372</v>
      </c>
      <c r="C221" s="6" t="str">
        <f>CÓDIGO_CNAE[[#This Row],[CNAE]] &amp; " - " &amp; CÓDIGO_CNAE[[#This Row],[Descrição]]</f>
        <v>7120-1/00 - Testes e análises técnicas</v>
      </c>
    </row>
    <row r="222" spans="1:3" ht="15.6" thickTop="1" thickBot="1" x14ac:dyDescent="0.35">
      <c r="A222" s="74" t="s">
        <v>801</v>
      </c>
      <c r="B222" s="74" t="s">
        <v>373</v>
      </c>
      <c r="C222" s="6" t="str">
        <f>CÓDIGO_CNAE[[#This Row],[CNAE]] &amp; " - " &amp; CÓDIGO_CNAE[[#This Row],[Descrição]]</f>
        <v>7210-0/00 - Pesquisa e desenvolvimento experimental em ciências físicas e naturais</v>
      </c>
    </row>
    <row r="223" spans="1:3" ht="15.6" thickTop="1" thickBot="1" x14ac:dyDescent="0.35">
      <c r="A223" s="74" t="s">
        <v>800</v>
      </c>
      <c r="B223" s="74" t="s">
        <v>374</v>
      </c>
      <c r="C223" s="6" t="str">
        <f>CÓDIGO_CNAE[[#This Row],[CNAE]] &amp; " - " &amp; CÓDIGO_CNAE[[#This Row],[Descrição]]</f>
        <v>7220-7/00 - Pesquisa e desenvolvimento experimental em ciências sociais e humanas</v>
      </c>
    </row>
    <row r="224" spans="1:3" ht="15.6" thickTop="1" thickBot="1" x14ac:dyDescent="0.35">
      <c r="A224" s="74" t="s">
        <v>799</v>
      </c>
      <c r="B224" s="74" t="s">
        <v>375</v>
      </c>
      <c r="C224" s="6" t="str">
        <f>CÓDIGO_CNAE[[#This Row],[CNAE]] &amp; " - " &amp; CÓDIGO_CNAE[[#This Row],[Descrição]]</f>
        <v>7311-4/00 - Agências de publicidade</v>
      </c>
    </row>
    <row r="225" spans="1:3" ht="15.6" thickTop="1" thickBot="1" x14ac:dyDescent="0.35">
      <c r="A225" s="74" t="s">
        <v>798</v>
      </c>
      <c r="B225" s="74" t="s">
        <v>376</v>
      </c>
      <c r="C225" s="6" t="str">
        <f>CÓDIGO_CNAE[[#This Row],[CNAE]] &amp; " - " &amp; CÓDIGO_CNAE[[#This Row],[Descrição]]</f>
        <v>7312-2/00 - Agenciamento de espaços para publicidade exceto em veículos de comunicação</v>
      </c>
    </row>
    <row r="226" spans="1:3" ht="15.6" thickTop="1" thickBot="1" x14ac:dyDescent="0.35">
      <c r="A226" s="74" t="s">
        <v>797</v>
      </c>
      <c r="B226" s="74" t="s">
        <v>377</v>
      </c>
      <c r="C226" s="6" t="str">
        <f>CÓDIGO_CNAE[[#This Row],[CNAE]] &amp; " - " &amp; CÓDIGO_CNAE[[#This Row],[Descrição]]</f>
        <v>7319-0/01 - Criação de estandes para feiras e exposições</v>
      </c>
    </row>
    <row r="227" spans="1:3" ht="15.6" thickTop="1" thickBot="1" x14ac:dyDescent="0.35">
      <c r="A227" s="74" t="s">
        <v>796</v>
      </c>
      <c r="B227" s="74" t="s">
        <v>378</v>
      </c>
      <c r="C227" s="6" t="str">
        <f>CÓDIGO_CNAE[[#This Row],[CNAE]] &amp; " - " &amp; CÓDIGO_CNAE[[#This Row],[Descrição]]</f>
        <v>7319-0/02 - Promoção de vendas</v>
      </c>
    </row>
    <row r="228" spans="1:3" ht="15.6" thickTop="1" thickBot="1" x14ac:dyDescent="0.35">
      <c r="A228" s="74" t="s">
        <v>795</v>
      </c>
      <c r="B228" s="74" t="s">
        <v>379</v>
      </c>
      <c r="C228" s="6" t="str">
        <f>CÓDIGO_CNAE[[#This Row],[CNAE]] &amp; " - " &amp; CÓDIGO_CNAE[[#This Row],[Descrição]]</f>
        <v>7319-0/03 - Marketing direto</v>
      </c>
    </row>
    <row r="229" spans="1:3" ht="15.6" thickTop="1" thickBot="1" x14ac:dyDescent="0.35">
      <c r="A229" s="74" t="s">
        <v>794</v>
      </c>
      <c r="B229" s="74" t="s">
        <v>380</v>
      </c>
      <c r="C229" s="6" t="str">
        <f>CÓDIGO_CNAE[[#This Row],[CNAE]] &amp; " - " &amp; CÓDIGO_CNAE[[#This Row],[Descrição]]</f>
        <v>7319-0/04 - Consultoria em publicidade</v>
      </c>
    </row>
    <row r="230" spans="1:3" ht="15.6" thickTop="1" thickBot="1" x14ac:dyDescent="0.35">
      <c r="A230" s="74" t="s">
        <v>793</v>
      </c>
      <c r="B230" s="74" t="s">
        <v>381</v>
      </c>
      <c r="C230" s="6" t="str">
        <f>CÓDIGO_CNAE[[#This Row],[CNAE]] &amp; " - " &amp; CÓDIGO_CNAE[[#This Row],[Descrição]]</f>
        <v>7319-0/99 - Outras atividades de publicidade não especificadas anteriormente</v>
      </c>
    </row>
    <row r="231" spans="1:3" ht="15.6" thickTop="1" thickBot="1" x14ac:dyDescent="0.35">
      <c r="A231" s="74" t="s">
        <v>792</v>
      </c>
      <c r="B231" s="74" t="s">
        <v>382</v>
      </c>
      <c r="C231" s="6" t="str">
        <f>CÓDIGO_CNAE[[#This Row],[CNAE]] &amp; " - " &amp; CÓDIGO_CNAE[[#This Row],[Descrição]]</f>
        <v>7320-3/00 - Pesquisas de mercado e de opinião pública</v>
      </c>
    </row>
    <row r="232" spans="1:3" ht="15.6" thickTop="1" thickBot="1" x14ac:dyDescent="0.35">
      <c r="A232" s="74" t="s">
        <v>1019</v>
      </c>
      <c r="B232" s="74" t="s">
        <v>383</v>
      </c>
      <c r="C232" s="6" t="str">
        <f>CÓDIGO_CNAE[[#This Row],[CNAE]] &amp; " - " &amp; CÓDIGO_CNAE[[#This Row],[Descrição]]</f>
        <v>7410-2/02 - Design de interiores</v>
      </c>
    </row>
    <row r="233" spans="1:3" ht="15.6" thickTop="1" thickBot="1" x14ac:dyDescent="0.35">
      <c r="A233" s="74" t="s">
        <v>1020</v>
      </c>
      <c r="B233" s="74" t="s">
        <v>384</v>
      </c>
      <c r="C233" s="6" t="str">
        <f>CÓDIGO_CNAE[[#This Row],[CNAE]] &amp; " - " &amp; CÓDIGO_CNAE[[#This Row],[Descrição]]</f>
        <v>7410-2/03 - Design de produto</v>
      </c>
    </row>
    <row r="234" spans="1:3" ht="15.6" thickTop="1" thickBot="1" x14ac:dyDescent="0.35">
      <c r="A234" s="74" t="s">
        <v>791</v>
      </c>
      <c r="B234" s="74" t="s">
        <v>385</v>
      </c>
      <c r="C234" s="6" t="str">
        <f>CÓDIGO_CNAE[[#This Row],[CNAE]] &amp; " - " &amp; CÓDIGO_CNAE[[#This Row],[Descrição]]</f>
        <v>7410-2/99 - Atividades de design não especificadas anteriormente</v>
      </c>
    </row>
    <row r="235" spans="1:3" ht="15.6" thickTop="1" thickBot="1" x14ac:dyDescent="0.35">
      <c r="A235" s="74" t="s">
        <v>790</v>
      </c>
      <c r="B235" s="74" t="s">
        <v>386</v>
      </c>
      <c r="C235" s="6" t="str">
        <f>CÓDIGO_CNAE[[#This Row],[CNAE]] &amp; " - " &amp; CÓDIGO_CNAE[[#This Row],[Descrição]]</f>
        <v>7420-0/01 - Atividades de produção de fotografias, exceto aérea e submarina</v>
      </c>
    </row>
    <row r="236" spans="1:3" ht="15.6" thickTop="1" thickBot="1" x14ac:dyDescent="0.35">
      <c r="A236" s="74" t="s">
        <v>789</v>
      </c>
      <c r="B236" s="74" t="s">
        <v>387</v>
      </c>
      <c r="C236" s="6" t="str">
        <f>CÓDIGO_CNAE[[#This Row],[CNAE]] &amp; " - " &amp; CÓDIGO_CNAE[[#This Row],[Descrição]]</f>
        <v>7420-0/02 - Atividades de produção de fotografias aéreas e submarinas</v>
      </c>
    </row>
    <row r="237" spans="1:3" ht="15.6" thickTop="1" thickBot="1" x14ac:dyDescent="0.35">
      <c r="A237" s="74" t="s">
        <v>788</v>
      </c>
      <c r="B237" s="74" t="s">
        <v>388</v>
      </c>
      <c r="C237" s="6" t="str">
        <f>CÓDIGO_CNAE[[#This Row],[CNAE]] &amp; " - " &amp; CÓDIGO_CNAE[[#This Row],[Descrição]]</f>
        <v>7420-0/03 - Laboratórios fotográficos</v>
      </c>
    </row>
    <row r="238" spans="1:3" ht="15.6" thickTop="1" thickBot="1" x14ac:dyDescent="0.35">
      <c r="A238" s="74" t="s">
        <v>787</v>
      </c>
      <c r="B238" s="74" t="s">
        <v>389</v>
      </c>
      <c r="C238" s="6" t="str">
        <f>CÓDIGO_CNAE[[#This Row],[CNAE]] &amp; " - " &amp; CÓDIGO_CNAE[[#This Row],[Descrição]]</f>
        <v>7420-0/04 - Filmagem de festas e eventos</v>
      </c>
    </row>
    <row r="239" spans="1:3" ht="15.6" thickTop="1" thickBot="1" x14ac:dyDescent="0.35">
      <c r="A239" s="74" t="s">
        <v>786</v>
      </c>
      <c r="B239" s="74" t="s">
        <v>390</v>
      </c>
      <c r="C239" s="6" t="str">
        <f>CÓDIGO_CNAE[[#This Row],[CNAE]] &amp; " - " &amp; CÓDIGO_CNAE[[#This Row],[Descrição]]</f>
        <v>7420-0/05 - Serviços de microfilmagem</v>
      </c>
    </row>
    <row r="240" spans="1:3" ht="15.6" thickTop="1" thickBot="1" x14ac:dyDescent="0.35">
      <c r="A240" s="74" t="s">
        <v>1021</v>
      </c>
      <c r="B240" s="74" t="s">
        <v>391</v>
      </c>
      <c r="C240" s="6" t="str">
        <f>CÓDIGO_CNAE[[#This Row],[CNAE]] &amp; " - " &amp; CÓDIGO_CNAE[[#This Row],[Descrição]]</f>
        <v>7490-1/01 - Serviços de tradução, interpretação e similares</v>
      </c>
    </row>
    <row r="241" spans="1:3" ht="15.6" thickTop="1" thickBot="1" x14ac:dyDescent="0.35">
      <c r="A241" s="74" t="s">
        <v>1022</v>
      </c>
      <c r="B241" s="74" t="s">
        <v>392</v>
      </c>
      <c r="C241" s="6" t="str">
        <f>CÓDIGO_CNAE[[#This Row],[CNAE]] &amp; " - " &amp; CÓDIGO_CNAE[[#This Row],[Descrição]]</f>
        <v>7490-1/02 - Escafandria e mergulho</v>
      </c>
    </row>
    <row r="242" spans="1:3" ht="15.6" thickTop="1" thickBot="1" x14ac:dyDescent="0.35">
      <c r="A242" s="74" t="s">
        <v>1023</v>
      </c>
      <c r="B242" s="74" t="s">
        <v>393</v>
      </c>
      <c r="C242" s="6" t="str">
        <f>CÓDIGO_CNAE[[#This Row],[CNAE]] &amp; " - " &amp; CÓDIGO_CNAE[[#This Row],[Descrição]]</f>
        <v>7490-1/03 - Serviços de agronomia e de consultoria às atividades agrícolas e pecuárias</v>
      </c>
    </row>
    <row r="243" spans="1:3" ht="15.6" thickTop="1" thickBot="1" x14ac:dyDescent="0.35">
      <c r="A243" s="74" t="s">
        <v>1024</v>
      </c>
      <c r="B243" s="74" t="s">
        <v>394</v>
      </c>
      <c r="C243" s="6" t="str">
        <f>CÓDIGO_CNAE[[#This Row],[CNAE]] &amp; " - " &amp; CÓDIGO_CNAE[[#This Row],[Descrição]]</f>
        <v>7490-1/04 - Atividades de intermediação e agenciamento de serviços e negócios em geral, exceto imobiliários</v>
      </c>
    </row>
    <row r="244" spans="1:3" ht="15.6" thickTop="1" thickBot="1" x14ac:dyDescent="0.35">
      <c r="A244" s="74" t="s">
        <v>1025</v>
      </c>
      <c r="B244" s="74" t="s">
        <v>395</v>
      </c>
      <c r="C244" s="6" t="str">
        <f>CÓDIGO_CNAE[[#This Row],[CNAE]] &amp; " - " &amp; CÓDIGO_CNAE[[#This Row],[Descrição]]</f>
        <v>7490-1/05 - Agenciamento de profissionais para atividades esportivas, culturais e artísticas</v>
      </c>
    </row>
    <row r="245" spans="1:3" ht="15.6" thickTop="1" thickBot="1" x14ac:dyDescent="0.35">
      <c r="A245" s="74" t="s">
        <v>785</v>
      </c>
      <c r="B245" s="74" t="s">
        <v>396</v>
      </c>
      <c r="C245" s="6" t="str">
        <f>CÓDIGO_CNAE[[#This Row],[CNAE]] &amp; " - " &amp; CÓDIGO_CNAE[[#This Row],[Descrição]]</f>
        <v>7490-1/99 - Outras atividades profissionais, científicas e técnicas não especificadas anteriormente</v>
      </c>
    </row>
    <row r="246" spans="1:3" ht="15.6" thickTop="1" thickBot="1" x14ac:dyDescent="0.35">
      <c r="A246" s="74" t="s">
        <v>784</v>
      </c>
      <c r="B246" s="74" t="s">
        <v>397</v>
      </c>
      <c r="C246" s="6" t="str">
        <f>CÓDIGO_CNAE[[#This Row],[CNAE]] &amp; " - " &amp; CÓDIGO_CNAE[[#This Row],[Descrição]]</f>
        <v>7500-1/00 - Atividades veterinárias</v>
      </c>
    </row>
    <row r="247" spans="1:3" ht="15.6" thickTop="1" thickBot="1" x14ac:dyDescent="0.35">
      <c r="A247" s="74" t="s">
        <v>783</v>
      </c>
      <c r="B247" s="74" t="s">
        <v>627</v>
      </c>
      <c r="C247" s="6" t="str">
        <f>CÓDIGO_CNAE[[#This Row],[CNAE]] &amp; " - " &amp; CÓDIGO_CNAE[[#This Row],[Descrição]]</f>
        <v>7711-0/00 - Locação de automóveis sem condutor</v>
      </c>
    </row>
    <row r="248" spans="1:3" ht="15.6" thickTop="1" thickBot="1" x14ac:dyDescent="0.35">
      <c r="A248" s="74" t="s">
        <v>782</v>
      </c>
      <c r="B248" s="74" t="s">
        <v>398</v>
      </c>
      <c r="C248" s="6" t="str">
        <f>CÓDIGO_CNAE[[#This Row],[CNAE]] &amp; " - " &amp; CÓDIGO_CNAE[[#This Row],[Descrição]]</f>
        <v>7721-7/00 - Aluguel de equipamentos recreativos e esportivos</v>
      </c>
    </row>
    <row r="249" spans="1:3" ht="15.6" thickTop="1" thickBot="1" x14ac:dyDescent="0.35">
      <c r="A249" s="74" t="s">
        <v>781</v>
      </c>
      <c r="B249" s="74" t="s">
        <v>399</v>
      </c>
      <c r="C249" s="6" t="str">
        <f>CÓDIGO_CNAE[[#This Row],[CNAE]] &amp; " - " &amp; CÓDIGO_CNAE[[#This Row],[Descrição]]</f>
        <v>7722-5/00 - Aluguel de fitas de vídeo, DVDs e similares</v>
      </c>
    </row>
    <row r="250" spans="1:3" ht="15.6" thickTop="1" thickBot="1" x14ac:dyDescent="0.35">
      <c r="A250" s="74" t="s">
        <v>780</v>
      </c>
      <c r="B250" s="74" t="s">
        <v>400</v>
      </c>
      <c r="C250" s="6" t="str">
        <f>CÓDIGO_CNAE[[#This Row],[CNAE]] &amp; " - " &amp; CÓDIGO_CNAE[[#This Row],[Descrição]]</f>
        <v>7723-3/00 - Aluguel de objetos do vestuário, jóias e acessórios</v>
      </c>
    </row>
    <row r="251" spans="1:3" ht="15.6" thickTop="1" thickBot="1" x14ac:dyDescent="0.35">
      <c r="A251" s="74" t="s">
        <v>1026</v>
      </c>
      <c r="B251" s="74" t="s">
        <v>401</v>
      </c>
      <c r="C251" s="6" t="str">
        <f>CÓDIGO_CNAE[[#This Row],[CNAE]] &amp; " - " &amp; CÓDIGO_CNAE[[#This Row],[Descrição]]</f>
        <v>7729-2/01 - Aluguel de aparelhos de jogos eletrônicos</v>
      </c>
    </row>
    <row r="252" spans="1:3" ht="15.6" thickTop="1" thickBot="1" x14ac:dyDescent="0.35">
      <c r="A252" s="74" t="s">
        <v>1027</v>
      </c>
      <c r="B252" s="74" t="s">
        <v>402</v>
      </c>
      <c r="C252" s="6" t="str">
        <f>CÓDIGO_CNAE[[#This Row],[CNAE]] &amp; " - " &amp; CÓDIGO_CNAE[[#This Row],[Descrição]]</f>
        <v>7729-2/02 - Aluguel de móveis, utensílios e aparelhos de uso doméstico e pessoal; instrumentos musicais</v>
      </c>
    </row>
    <row r="253" spans="1:3" ht="15.6" thickTop="1" thickBot="1" x14ac:dyDescent="0.35">
      <c r="A253" s="74" t="s">
        <v>1028</v>
      </c>
      <c r="B253" s="74" t="s">
        <v>403</v>
      </c>
      <c r="C253" s="6" t="str">
        <f>CÓDIGO_CNAE[[#This Row],[CNAE]] &amp; " - " &amp; CÓDIGO_CNAE[[#This Row],[Descrição]]</f>
        <v>7729-2/03 - Aluguel de material médico</v>
      </c>
    </row>
    <row r="254" spans="1:3" ht="15.6" thickTop="1" thickBot="1" x14ac:dyDescent="0.35">
      <c r="A254" s="74" t="s">
        <v>779</v>
      </c>
      <c r="B254" s="74" t="s">
        <v>404</v>
      </c>
      <c r="C254" s="6" t="str">
        <f>CÓDIGO_CNAE[[#This Row],[CNAE]] &amp; " - " &amp; CÓDIGO_CNAE[[#This Row],[Descrição]]</f>
        <v>7729-2/99 - Aluguel de outros objetos pessoais e domésticos não especificados anteriormente</v>
      </c>
    </row>
    <row r="255" spans="1:3" ht="15.6" thickTop="1" thickBot="1" x14ac:dyDescent="0.35">
      <c r="A255" s="74" t="s">
        <v>778</v>
      </c>
      <c r="B255" s="74" t="s">
        <v>405</v>
      </c>
      <c r="C255" s="6" t="str">
        <f>CÓDIGO_CNAE[[#This Row],[CNAE]] &amp; " - " &amp; CÓDIGO_CNAE[[#This Row],[Descrição]]</f>
        <v>7731-4/00 - Aluguel de máquinas e equipamentos agrícolas sem operador</v>
      </c>
    </row>
    <row r="256" spans="1:3" ht="15.6" thickTop="1" thickBot="1" x14ac:dyDescent="0.35">
      <c r="A256" s="74" t="s">
        <v>1029</v>
      </c>
      <c r="B256" s="74" t="s">
        <v>406</v>
      </c>
      <c r="C256" s="6" t="str">
        <f>CÓDIGO_CNAE[[#This Row],[CNAE]] &amp; " - " &amp; CÓDIGO_CNAE[[#This Row],[Descrição]]</f>
        <v>7732-2/01 - Aluguel de máquinas e equipamentos para construção sem operador, exceto andaimes</v>
      </c>
    </row>
    <row r="257" spans="1:3" ht="15.6" thickTop="1" thickBot="1" x14ac:dyDescent="0.35">
      <c r="A257" s="74" t="s">
        <v>1030</v>
      </c>
      <c r="B257" s="74" t="s">
        <v>407</v>
      </c>
      <c r="C257" s="6" t="str">
        <f>CÓDIGO_CNAE[[#This Row],[CNAE]] &amp; " - " &amp; CÓDIGO_CNAE[[#This Row],[Descrição]]</f>
        <v>7732-2/02 - Aluguel de andaimes</v>
      </c>
    </row>
    <row r="258" spans="1:3" ht="15.6" thickTop="1" thickBot="1" x14ac:dyDescent="0.35">
      <c r="A258" s="74" t="s">
        <v>777</v>
      </c>
      <c r="B258" s="74" t="s">
        <v>408</v>
      </c>
      <c r="C258" s="6" t="str">
        <f>CÓDIGO_CNAE[[#This Row],[CNAE]] &amp; " - " &amp; CÓDIGO_CNAE[[#This Row],[Descrição]]</f>
        <v>7733-1/00 - Aluguel de máquinas e equipamentos para escritório</v>
      </c>
    </row>
    <row r="259" spans="1:3" ht="15.6" thickTop="1" thickBot="1" x14ac:dyDescent="0.35">
      <c r="A259" s="74" t="s">
        <v>776</v>
      </c>
      <c r="B259" s="74" t="s">
        <v>409</v>
      </c>
      <c r="C259" s="6" t="str">
        <f>CÓDIGO_CNAE[[#This Row],[CNAE]] &amp; " - " &amp; CÓDIGO_CNAE[[#This Row],[Descrição]]</f>
        <v>7739-0/01 - Aluguel de máquinas e equipamentos para extração de minérios e petróleo, sem operador</v>
      </c>
    </row>
    <row r="260" spans="1:3" ht="15.6" thickTop="1" thickBot="1" x14ac:dyDescent="0.35">
      <c r="A260" s="74" t="s">
        <v>775</v>
      </c>
      <c r="B260" s="74" t="s">
        <v>410</v>
      </c>
      <c r="C260" s="6" t="str">
        <f>CÓDIGO_CNAE[[#This Row],[CNAE]] &amp; " - " &amp; CÓDIGO_CNAE[[#This Row],[Descrição]]</f>
        <v>7739-0/02 - Aluguel de equipamentos científicos, médicos e hospitalares, sem operador</v>
      </c>
    </row>
    <row r="261" spans="1:3" ht="15.6" thickTop="1" thickBot="1" x14ac:dyDescent="0.35">
      <c r="A261" s="74" t="s">
        <v>774</v>
      </c>
      <c r="B261" s="74" t="s">
        <v>411</v>
      </c>
      <c r="C261" s="6" t="str">
        <f>CÓDIGO_CNAE[[#This Row],[CNAE]] &amp; " - " &amp; CÓDIGO_CNAE[[#This Row],[Descrição]]</f>
        <v>7739-0/03 - Aluguel de palcos, coberturas e outras estruturas de uso temporário, exceto andaimes</v>
      </c>
    </row>
    <row r="262" spans="1:3" ht="15.6" thickTop="1" thickBot="1" x14ac:dyDescent="0.35">
      <c r="A262" s="74" t="s">
        <v>773</v>
      </c>
      <c r="B262" s="74" t="s">
        <v>412</v>
      </c>
      <c r="C262" s="6" t="str">
        <f>CÓDIGO_CNAE[[#This Row],[CNAE]] &amp; " - " &amp; CÓDIGO_CNAE[[#This Row],[Descrição]]</f>
        <v>7739-0/99 - Aluguel de outras máquinas e equipamentos comerciais e industriais não especificados anteriormente, sem operador</v>
      </c>
    </row>
    <row r="263" spans="1:3" ht="15.6" thickTop="1" thickBot="1" x14ac:dyDescent="0.35">
      <c r="A263" s="74" t="s">
        <v>772</v>
      </c>
      <c r="B263" s="74" t="s">
        <v>413</v>
      </c>
      <c r="C263" s="6" t="str">
        <f>CÓDIGO_CNAE[[#This Row],[CNAE]] &amp; " - " &amp; CÓDIGO_CNAE[[#This Row],[Descrição]]</f>
        <v>7740-3/00 - Gestão de ativos intangíveis não-financeiros</v>
      </c>
    </row>
    <row r="264" spans="1:3" ht="15.6" thickTop="1" thickBot="1" x14ac:dyDescent="0.35">
      <c r="A264" s="74" t="s">
        <v>771</v>
      </c>
      <c r="B264" s="74" t="s">
        <v>414</v>
      </c>
      <c r="C264" s="6" t="str">
        <f>CÓDIGO_CNAE[[#This Row],[CNAE]] &amp; " - " &amp; CÓDIGO_CNAE[[#This Row],[Descrição]]</f>
        <v>7911-2/00 - Agências de viagens</v>
      </c>
    </row>
    <row r="265" spans="1:3" ht="15.6" thickTop="1" thickBot="1" x14ac:dyDescent="0.35">
      <c r="A265" s="74" t="s">
        <v>770</v>
      </c>
      <c r="B265" s="74" t="s">
        <v>415</v>
      </c>
      <c r="C265" s="6" t="str">
        <f>CÓDIGO_CNAE[[#This Row],[CNAE]] &amp; " - " &amp; CÓDIGO_CNAE[[#This Row],[Descrição]]</f>
        <v>7912-1/00 - Operadores turísticos</v>
      </c>
    </row>
    <row r="266" spans="1:3" ht="15.6" thickTop="1" thickBot="1" x14ac:dyDescent="0.35">
      <c r="A266" s="74" t="s">
        <v>769</v>
      </c>
      <c r="B266" s="74" t="s">
        <v>416</v>
      </c>
      <c r="C266" s="6" t="str">
        <f>CÓDIGO_CNAE[[#This Row],[CNAE]] &amp; " - " &amp; CÓDIGO_CNAE[[#This Row],[Descrição]]</f>
        <v>7990-2/00 - Serviços de reservas e outros serviços de turismo não especificados anteriormente</v>
      </c>
    </row>
    <row r="267" spans="1:3" ht="15.6" thickTop="1" thickBot="1" x14ac:dyDescent="0.35">
      <c r="A267" s="74" t="s">
        <v>1031</v>
      </c>
      <c r="B267" s="74" t="s">
        <v>417</v>
      </c>
      <c r="C267" s="6" t="str">
        <f>CÓDIGO_CNAE[[#This Row],[CNAE]] &amp; " - " &amp; CÓDIGO_CNAE[[#This Row],[Descrição]]</f>
        <v>8011-1/02 - Serviços de adestramento de cães de guarda</v>
      </c>
    </row>
    <row r="268" spans="1:3" ht="15.6" thickTop="1" thickBot="1" x14ac:dyDescent="0.35">
      <c r="A268" s="74" t="s">
        <v>768</v>
      </c>
      <c r="B268" s="74" t="s">
        <v>628</v>
      </c>
      <c r="C268" s="6" t="str">
        <f>CÓDIGO_CNAE[[#This Row],[CNAE]] &amp; " - " &amp; CÓDIGO_CNAE[[#This Row],[Descrição]]</f>
        <v>8020-0/01 - Atividades de monitoramento de sistemas de segurança eletrônico</v>
      </c>
    </row>
    <row r="269" spans="1:3" ht="15.6" thickTop="1" thickBot="1" x14ac:dyDescent="0.35">
      <c r="A269" s="74" t="s">
        <v>767</v>
      </c>
      <c r="B269" s="74" t="s">
        <v>418</v>
      </c>
      <c r="C269" s="6" t="str">
        <f>CÓDIGO_CNAE[[#This Row],[CNAE]] &amp; " - " &amp; CÓDIGO_CNAE[[#This Row],[Descrição]]</f>
        <v>8030-7/00 - Atividades de investigação particular</v>
      </c>
    </row>
    <row r="270" spans="1:3" ht="15.6" thickTop="1" thickBot="1" x14ac:dyDescent="0.35">
      <c r="A270" s="74" t="s">
        <v>766</v>
      </c>
      <c r="B270" s="74" t="s">
        <v>419</v>
      </c>
      <c r="C270" s="6" t="str">
        <f>CÓDIGO_CNAE[[#This Row],[CNAE]] &amp; " - " &amp; CÓDIGO_CNAE[[#This Row],[Descrição]]</f>
        <v>8121-4/00 - Limpeza em prédios e em domicílios</v>
      </c>
    </row>
    <row r="271" spans="1:3" ht="15.6" thickTop="1" thickBot="1" x14ac:dyDescent="0.35">
      <c r="A271" s="74" t="s">
        <v>765</v>
      </c>
      <c r="B271" s="74" t="s">
        <v>420</v>
      </c>
      <c r="C271" s="6" t="str">
        <f>CÓDIGO_CNAE[[#This Row],[CNAE]] &amp; " - " &amp; CÓDIGO_CNAE[[#This Row],[Descrição]]</f>
        <v>8122-2/00 - Imunização e controle de pragas urbanas</v>
      </c>
    </row>
    <row r="272" spans="1:3" ht="15.6" thickTop="1" thickBot="1" x14ac:dyDescent="0.35">
      <c r="A272" s="74" t="s">
        <v>764</v>
      </c>
      <c r="B272" s="74" t="s">
        <v>421</v>
      </c>
      <c r="C272" s="6" t="str">
        <f>CÓDIGO_CNAE[[#This Row],[CNAE]] &amp; " - " &amp; CÓDIGO_CNAE[[#This Row],[Descrição]]</f>
        <v>8129-0/00 - Atividades de limpeza não especificadas anteriormente</v>
      </c>
    </row>
    <row r="273" spans="1:3" ht="15.6" thickTop="1" thickBot="1" x14ac:dyDescent="0.35">
      <c r="A273" s="74" t="s">
        <v>763</v>
      </c>
      <c r="B273" s="74" t="s">
        <v>422</v>
      </c>
      <c r="C273" s="6" t="str">
        <f>CÓDIGO_CNAE[[#This Row],[CNAE]] &amp; " - " &amp; CÓDIGO_CNAE[[#This Row],[Descrição]]</f>
        <v>8130-3/00 - Atividades paisagísticas</v>
      </c>
    </row>
    <row r="274" spans="1:3" ht="15.6" thickTop="1" thickBot="1" x14ac:dyDescent="0.35">
      <c r="A274" s="74" t="s">
        <v>762</v>
      </c>
      <c r="B274" s="74" t="s">
        <v>423</v>
      </c>
      <c r="C274" s="6" t="str">
        <f>CÓDIGO_CNAE[[#This Row],[CNAE]] &amp; " - " &amp; CÓDIGO_CNAE[[#This Row],[Descrição]]</f>
        <v>8211-3/00 - Serviços combinados de escritório e apoio administrativo</v>
      </c>
    </row>
    <row r="275" spans="1:3" ht="15.6" thickTop="1" thickBot="1" x14ac:dyDescent="0.35">
      <c r="A275" s="74" t="s">
        <v>1032</v>
      </c>
      <c r="B275" s="74" t="s">
        <v>629</v>
      </c>
      <c r="C275" s="6" t="str">
        <f>CÓDIGO_CNAE[[#This Row],[CNAE]] &amp; " - " &amp; CÓDIGO_CNAE[[#This Row],[Descrição]]</f>
        <v>8219-9/01 - Fotocópias</v>
      </c>
    </row>
    <row r="276" spans="1:3" ht="15.6" thickTop="1" thickBot="1" x14ac:dyDescent="0.35">
      <c r="A276" s="74" t="s">
        <v>761</v>
      </c>
      <c r="B276" s="74" t="s">
        <v>424</v>
      </c>
      <c r="C276" s="6" t="str">
        <f>CÓDIGO_CNAE[[#This Row],[CNAE]] &amp; " - " &amp; CÓDIGO_CNAE[[#This Row],[Descrição]]</f>
        <v>8219-9/99 - Preparação de documentos e serviços especializados de apoio administrativo não especificados anteriormente</v>
      </c>
    </row>
    <row r="277" spans="1:3" ht="15.6" thickTop="1" thickBot="1" x14ac:dyDescent="0.35">
      <c r="A277" s="74" t="s">
        <v>760</v>
      </c>
      <c r="B277" s="74" t="s">
        <v>425</v>
      </c>
      <c r="C277" s="6" t="str">
        <f>CÓDIGO_CNAE[[#This Row],[CNAE]] &amp; " - " &amp; CÓDIGO_CNAE[[#This Row],[Descrição]]</f>
        <v>8220-2/00 - Atividades de teleatendimento</v>
      </c>
    </row>
    <row r="278" spans="1:3" ht="15.6" thickTop="1" thickBot="1" x14ac:dyDescent="0.35">
      <c r="A278" s="74" t="s">
        <v>759</v>
      </c>
      <c r="B278" s="74" t="s">
        <v>426</v>
      </c>
      <c r="C278" s="6" t="str">
        <f>CÓDIGO_CNAE[[#This Row],[CNAE]] &amp; " - " &amp; CÓDIGO_CNAE[[#This Row],[Descrição]]</f>
        <v>8230-0/01 - Serviços de organização de feiras, congressos, exposições e festas</v>
      </c>
    </row>
    <row r="279" spans="1:3" ht="15.6" thickTop="1" thickBot="1" x14ac:dyDescent="0.35">
      <c r="A279" s="74" t="s">
        <v>758</v>
      </c>
      <c r="B279" s="74" t="s">
        <v>427</v>
      </c>
      <c r="C279" s="6" t="str">
        <f>CÓDIGO_CNAE[[#This Row],[CNAE]] &amp; " - " &amp; CÓDIGO_CNAE[[#This Row],[Descrição]]</f>
        <v>8230-0/02 - Casas de festas e eventos</v>
      </c>
    </row>
    <row r="280" spans="1:3" ht="15.6" thickTop="1" thickBot="1" x14ac:dyDescent="0.35">
      <c r="A280" s="74" t="s">
        <v>757</v>
      </c>
      <c r="B280" s="74" t="s">
        <v>428</v>
      </c>
      <c r="C280" s="6" t="str">
        <f>CÓDIGO_CNAE[[#This Row],[CNAE]] &amp; " - " &amp; CÓDIGO_CNAE[[#This Row],[Descrição]]</f>
        <v>8291-1/00 - Atividades de cobrança e informações cadastrais</v>
      </c>
    </row>
    <row r="281" spans="1:3" ht="15.6" thickTop="1" thickBot="1" x14ac:dyDescent="0.35">
      <c r="A281" s="74" t="s">
        <v>1033</v>
      </c>
      <c r="B281" s="74" t="s">
        <v>429</v>
      </c>
      <c r="C281" s="6" t="str">
        <f>CÓDIGO_CNAE[[#This Row],[CNAE]] &amp; " - " &amp; CÓDIGO_CNAE[[#This Row],[Descrição]]</f>
        <v>8299-7/01 - Medição de consumo de energia elétrica, gás e água</v>
      </c>
    </row>
    <row r="282" spans="1:3" ht="15.6" thickTop="1" thickBot="1" x14ac:dyDescent="0.35">
      <c r="A282" s="74" t="s">
        <v>1034</v>
      </c>
      <c r="B282" s="74" t="s">
        <v>430</v>
      </c>
      <c r="C282" s="6" t="str">
        <f>CÓDIGO_CNAE[[#This Row],[CNAE]] &amp; " - " &amp; CÓDIGO_CNAE[[#This Row],[Descrição]]</f>
        <v>8299-7/03 - Serviços de gravação de carimbos, exceto confecção</v>
      </c>
    </row>
    <row r="283" spans="1:3" ht="15.6" thickTop="1" thickBot="1" x14ac:dyDescent="0.35">
      <c r="A283" s="74" t="s">
        <v>1035</v>
      </c>
      <c r="B283" s="74" t="s">
        <v>431</v>
      </c>
      <c r="C283" s="6" t="str">
        <f>CÓDIGO_CNAE[[#This Row],[CNAE]] &amp; " - " &amp; CÓDIGO_CNAE[[#This Row],[Descrição]]</f>
        <v>8299-7/07 - Salas de acesso à internet</v>
      </c>
    </row>
    <row r="284" spans="1:3" ht="15.6" thickTop="1" thickBot="1" x14ac:dyDescent="0.35">
      <c r="A284" s="74" t="s">
        <v>756</v>
      </c>
      <c r="B284" s="74" t="s">
        <v>432</v>
      </c>
      <c r="C284" s="6" t="str">
        <f>CÓDIGO_CNAE[[#This Row],[CNAE]] &amp; " - " &amp; CÓDIGO_CNAE[[#This Row],[Descrição]]</f>
        <v>8299-7/99 - Outras atividades de serviços prestados principalmente às empresas não especificadas anteriormente</v>
      </c>
    </row>
    <row r="285" spans="1:3" ht="15.6" thickTop="1" thickBot="1" x14ac:dyDescent="0.35">
      <c r="A285" s="74" t="s">
        <v>755</v>
      </c>
      <c r="B285" s="74" t="s">
        <v>433</v>
      </c>
      <c r="C285" s="6" t="str">
        <f>CÓDIGO_CNAE[[#This Row],[CNAE]] &amp; " - " &amp; CÓDIGO_CNAE[[#This Row],[Descrição]]</f>
        <v>8511-2/00 - Educação infantil – creche</v>
      </c>
    </row>
    <row r="286" spans="1:3" ht="15.6" thickTop="1" thickBot="1" x14ac:dyDescent="0.35">
      <c r="A286" s="74" t="s">
        <v>754</v>
      </c>
      <c r="B286" s="74" t="s">
        <v>434</v>
      </c>
      <c r="C286" s="6" t="str">
        <f>CÓDIGO_CNAE[[#This Row],[CNAE]] &amp; " - " &amp; CÓDIGO_CNAE[[#This Row],[Descrição]]</f>
        <v>8512-1/00 - Educação infantil – pré-escola</v>
      </c>
    </row>
    <row r="287" spans="1:3" ht="15.6" thickTop="1" thickBot="1" x14ac:dyDescent="0.35">
      <c r="A287" s="74" t="s">
        <v>753</v>
      </c>
      <c r="B287" s="74" t="s">
        <v>435</v>
      </c>
      <c r="C287" s="6" t="str">
        <f>CÓDIGO_CNAE[[#This Row],[CNAE]] &amp; " - " &amp; CÓDIGO_CNAE[[#This Row],[Descrição]]</f>
        <v>8513-9/00 - Ensino fundamental</v>
      </c>
    </row>
    <row r="288" spans="1:3" ht="15.6" thickTop="1" thickBot="1" x14ac:dyDescent="0.35">
      <c r="A288" s="74" t="s">
        <v>752</v>
      </c>
      <c r="B288" s="74" t="s">
        <v>436</v>
      </c>
      <c r="C288" s="6" t="str">
        <f>CÓDIGO_CNAE[[#This Row],[CNAE]] &amp; " - " &amp; CÓDIGO_CNAE[[#This Row],[Descrição]]</f>
        <v>8520-1/00 - Ensino médio</v>
      </c>
    </row>
    <row r="289" spans="1:3" ht="15.6" thickTop="1" thickBot="1" x14ac:dyDescent="0.35">
      <c r="A289" s="74" t="s">
        <v>751</v>
      </c>
      <c r="B289" s="74" t="s">
        <v>437</v>
      </c>
      <c r="C289" s="6" t="str">
        <f>CÓDIGO_CNAE[[#This Row],[CNAE]] &amp; " - " &amp; CÓDIGO_CNAE[[#This Row],[Descrição]]</f>
        <v>8531-7/00 - Educação superior – graduação</v>
      </c>
    </row>
    <row r="290" spans="1:3" ht="15.6" thickTop="1" thickBot="1" x14ac:dyDescent="0.35">
      <c r="A290" s="74" t="s">
        <v>750</v>
      </c>
      <c r="B290" s="74" t="s">
        <v>438</v>
      </c>
      <c r="C290" s="6" t="str">
        <f>CÓDIGO_CNAE[[#This Row],[CNAE]] &amp; " - " &amp; CÓDIGO_CNAE[[#This Row],[Descrição]]</f>
        <v>8532-5/00 - Educação superior – graduação e pós-graduação</v>
      </c>
    </row>
    <row r="291" spans="1:3" ht="15.6" thickTop="1" thickBot="1" x14ac:dyDescent="0.35">
      <c r="A291" s="74" t="s">
        <v>749</v>
      </c>
      <c r="B291" s="74" t="s">
        <v>439</v>
      </c>
      <c r="C291" s="6" t="str">
        <f>CÓDIGO_CNAE[[#This Row],[CNAE]] &amp; " - " &amp; CÓDIGO_CNAE[[#This Row],[Descrição]]</f>
        <v>8533-3/00 - Educação superior – pós-graduação e extensão</v>
      </c>
    </row>
    <row r="292" spans="1:3" ht="15.6" thickTop="1" thickBot="1" x14ac:dyDescent="0.35">
      <c r="A292" s="74" t="s">
        <v>748</v>
      </c>
      <c r="B292" s="74" t="s">
        <v>440</v>
      </c>
      <c r="C292" s="6" t="str">
        <f>CÓDIGO_CNAE[[#This Row],[CNAE]] &amp; " - " &amp; CÓDIGO_CNAE[[#This Row],[Descrição]]</f>
        <v>8541-4/00 - Educação profissional de nível técnico</v>
      </c>
    </row>
    <row r="293" spans="1:3" ht="15.6" thickTop="1" thickBot="1" x14ac:dyDescent="0.35">
      <c r="A293" s="74" t="s">
        <v>747</v>
      </c>
      <c r="B293" s="74" t="s">
        <v>441</v>
      </c>
      <c r="C293" s="6" t="str">
        <f>CÓDIGO_CNAE[[#This Row],[CNAE]] &amp; " - " &amp; CÓDIGO_CNAE[[#This Row],[Descrição]]</f>
        <v>8542-2/00 - Educação profissional de nível tecnológico</v>
      </c>
    </row>
    <row r="294" spans="1:3" ht="15.6" thickTop="1" thickBot="1" x14ac:dyDescent="0.35">
      <c r="A294" s="74" t="s">
        <v>1036</v>
      </c>
      <c r="B294" s="74" t="s">
        <v>442</v>
      </c>
      <c r="C294" s="6" t="str">
        <f>CÓDIGO_CNAE[[#This Row],[CNAE]] &amp; " - " &amp; CÓDIGO_CNAE[[#This Row],[Descrição]]</f>
        <v>8550-3/02 - Atividades de apoio à educação, exceto caixas escolares</v>
      </c>
    </row>
    <row r="295" spans="1:3" ht="15.6" thickTop="1" thickBot="1" x14ac:dyDescent="0.35">
      <c r="A295" s="74" t="s">
        <v>746</v>
      </c>
      <c r="B295" s="74" t="s">
        <v>443</v>
      </c>
      <c r="C295" s="6" t="str">
        <f>CÓDIGO_CNAE[[#This Row],[CNAE]] &amp; " - " &amp; CÓDIGO_CNAE[[#This Row],[Descrição]]</f>
        <v>8591-1/00 - Ensino de esportes</v>
      </c>
    </row>
    <row r="296" spans="1:3" ht="15.6" thickTop="1" thickBot="1" x14ac:dyDescent="0.35">
      <c r="A296" s="74" t="s">
        <v>1037</v>
      </c>
      <c r="B296" s="74" t="s">
        <v>444</v>
      </c>
      <c r="C296" s="6" t="str">
        <f>CÓDIGO_CNAE[[#This Row],[CNAE]] &amp; " - " &amp; CÓDIGO_CNAE[[#This Row],[Descrição]]</f>
        <v>8592-9/01 - Ensino de dança</v>
      </c>
    </row>
    <row r="297" spans="1:3" ht="15.6" thickTop="1" thickBot="1" x14ac:dyDescent="0.35">
      <c r="A297" s="74" t="s">
        <v>1038</v>
      </c>
      <c r="B297" s="74" t="s">
        <v>445</v>
      </c>
      <c r="C297" s="6" t="str">
        <f>CÓDIGO_CNAE[[#This Row],[CNAE]] &amp; " - " &amp; CÓDIGO_CNAE[[#This Row],[Descrição]]</f>
        <v>8592-9/02 - Ensino de artes cênicas, exceto dança</v>
      </c>
    </row>
    <row r="298" spans="1:3" ht="15.6" thickTop="1" thickBot="1" x14ac:dyDescent="0.35">
      <c r="A298" s="74" t="s">
        <v>1039</v>
      </c>
      <c r="B298" s="74" t="s">
        <v>446</v>
      </c>
      <c r="C298" s="6" t="str">
        <f>CÓDIGO_CNAE[[#This Row],[CNAE]] &amp; " - " &amp; CÓDIGO_CNAE[[#This Row],[Descrição]]</f>
        <v>8592-9/03 - Ensino de música</v>
      </c>
    </row>
    <row r="299" spans="1:3" ht="15.6" thickTop="1" thickBot="1" x14ac:dyDescent="0.35">
      <c r="A299" s="74" t="s">
        <v>745</v>
      </c>
      <c r="B299" s="74" t="s">
        <v>447</v>
      </c>
      <c r="C299" s="6" t="str">
        <f>CÓDIGO_CNAE[[#This Row],[CNAE]] &amp; " - " &amp; CÓDIGO_CNAE[[#This Row],[Descrição]]</f>
        <v>8592-9/99 - Ensino de arte e cultura não especificado anteriormente</v>
      </c>
    </row>
    <row r="300" spans="1:3" ht="15.6" thickTop="1" thickBot="1" x14ac:dyDescent="0.35">
      <c r="A300" s="74" t="s">
        <v>744</v>
      </c>
      <c r="B300" s="74" t="s">
        <v>448</v>
      </c>
      <c r="C300" s="6" t="str">
        <f>CÓDIGO_CNAE[[#This Row],[CNAE]] &amp; " - " &amp; CÓDIGO_CNAE[[#This Row],[Descrição]]</f>
        <v>8593-7/00 - Ensino de idiomas</v>
      </c>
    </row>
    <row r="301" spans="1:3" ht="15.6" thickTop="1" thickBot="1" x14ac:dyDescent="0.35">
      <c r="A301" s="74" t="s">
        <v>1040</v>
      </c>
      <c r="B301" s="74" t="s">
        <v>630</v>
      </c>
      <c r="C301" s="6" t="str">
        <f>CÓDIGO_CNAE[[#This Row],[CNAE]] &amp; " - " &amp; CÓDIGO_CNAE[[#This Row],[Descrição]]</f>
        <v>8599-6/01 - Formação de condutores</v>
      </c>
    </row>
    <row r="302" spans="1:3" ht="15.6" thickTop="1" thickBot="1" x14ac:dyDescent="0.35">
      <c r="A302" s="74" t="s">
        <v>1041</v>
      </c>
      <c r="B302" s="74" t="s">
        <v>631</v>
      </c>
      <c r="C302" s="6" t="str">
        <f>CÓDIGO_CNAE[[#This Row],[CNAE]] &amp; " - " &amp; CÓDIGO_CNAE[[#This Row],[Descrição]]</f>
        <v>8599-6/02 - Cursos de pilotagem</v>
      </c>
    </row>
    <row r="303" spans="1:3" ht="15.6" thickTop="1" thickBot="1" x14ac:dyDescent="0.35">
      <c r="A303" s="74" t="s">
        <v>1042</v>
      </c>
      <c r="B303" s="74" t="s">
        <v>449</v>
      </c>
      <c r="C303" s="6" t="str">
        <f>CÓDIGO_CNAE[[#This Row],[CNAE]] &amp; " - " &amp; CÓDIGO_CNAE[[#This Row],[Descrição]]</f>
        <v>8599-6/03 - Treinamento em informática</v>
      </c>
    </row>
    <row r="304" spans="1:3" ht="15.6" thickTop="1" thickBot="1" x14ac:dyDescent="0.35">
      <c r="A304" s="74" t="s">
        <v>1043</v>
      </c>
      <c r="B304" s="74" t="s">
        <v>450</v>
      </c>
      <c r="C304" s="6" t="str">
        <f>CÓDIGO_CNAE[[#This Row],[CNAE]] &amp; " - " &amp; CÓDIGO_CNAE[[#This Row],[Descrição]]</f>
        <v>8599-6/04 - Treinamento em desenvolvimento profissional e gerencial</v>
      </c>
    </row>
    <row r="305" spans="1:3" ht="15.6" thickTop="1" thickBot="1" x14ac:dyDescent="0.35">
      <c r="A305" s="74" t="s">
        <v>1044</v>
      </c>
      <c r="B305" s="74" t="s">
        <v>451</v>
      </c>
      <c r="C305" s="6" t="str">
        <f>CÓDIGO_CNAE[[#This Row],[CNAE]] &amp; " - " &amp; CÓDIGO_CNAE[[#This Row],[Descrição]]</f>
        <v>8599-6/05 - Cursos preparatórios para concursos</v>
      </c>
    </row>
    <row r="306" spans="1:3" ht="15.6" thickTop="1" thickBot="1" x14ac:dyDescent="0.35">
      <c r="A306" s="74" t="s">
        <v>743</v>
      </c>
      <c r="B306" s="74" t="s">
        <v>452</v>
      </c>
      <c r="C306" s="6" t="str">
        <f>CÓDIGO_CNAE[[#This Row],[CNAE]] &amp; " - " &amp; CÓDIGO_CNAE[[#This Row],[Descrição]]</f>
        <v>8599-6/99 - Outras atividades de ensino não especificadas anteriormente</v>
      </c>
    </row>
    <row r="307" spans="1:3" ht="15.6" thickTop="1" thickBot="1" x14ac:dyDescent="0.35">
      <c r="A307" s="74" t="s">
        <v>1045</v>
      </c>
      <c r="B307" s="74" t="s">
        <v>453</v>
      </c>
      <c r="C307" s="6" t="str">
        <f>CÓDIGO_CNAE[[#This Row],[CNAE]] &amp; " - " &amp; CÓDIGO_CNAE[[#This Row],[Descrição]]</f>
        <v>8610-1/01 - Atividades de atendimento hospitalar, exceto pronto-socorro e unidades para atendimento a urgências</v>
      </c>
    </row>
    <row r="308" spans="1:3" ht="15.6" thickTop="1" thickBot="1" x14ac:dyDescent="0.35">
      <c r="A308" s="74" t="s">
        <v>1046</v>
      </c>
      <c r="B308" s="74" t="s">
        <v>632</v>
      </c>
      <c r="C308" s="6" t="str">
        <f>CÓDIGO_CNAE[[#This Row],[CNAE]] &amp; " - " &amp; CÓDIGO_CNAE[[#This Row],[Descrição]]</f>
        <v>8610-1/02 - Atividades de atendimento em pronto-socorro e unidades hospitalares para atendimento a urgências</v>
      </c>
    </row>
    <row r="309" spans="1:3" ht="15.6" thickTop="1" thickBot="1" x14ac:dyDescent="0.35">
      <c r="A309" s="74" t="s">
        <v>1047</v>
      </c>
      <c r="B309" s="74" t="s">
        <v>633</v>
      </c>
      <c r="C309" s="6" t="str">
        <f>CÓDIGO_CNAE[[#This Row],[CNAE]] &amp; " - " &amp; CÓDIGO_CNAE[[#This Row],[Descrição]]</f>
        <v>8621-6/01 - UTI móvel</v>
      </c>
    </row>
    <row r="310" spans="1:3" ht="15.6" thickTop="1" thickBot="1" x14ac:dyDescent="0.35">
      <c r="A310" s="74" t="s">
        <v>1048</v>
      </c>
      <c r="B310" s="74" t="s">
        <v>634</v>
      </c>
      <c r="C310" s="6" t="str">
        <f>CÓDIGO_CNAE[[#This Row],[CNAE]] &amp; " - " &amp; CÓDIGO_CNAE[[#This Row],[Descrição]]</f>
        <v>8621-6/02 - Serviços móveis de atendimento a urgências, exceto por UTI móvel</v>
      </c>
    </row>
    <row r="311" spans="1:3" ht="15.6" thickTop="1" thickBot="1" x14ac:dyDescent="0.35">
      <c r="A311" s="74" t="s">
        <v>742</v>
      </c>
      <c r="B311" s="74" t="s">
        <v>635</v>
      </c>
      <c r="C311" s="6" t="str">
        <f>CÓDIGO_CNAE[[#This Row],[CNAE]] &amp; " - " &amp; CÓDIGO_CNAE[[#This Row],[Descrição]]</f>
        <v>8622-4/00 - Serviços de remoção de pacientes, exceto os serviços móveis de atendimento a urgências</v>
      </c>
    </row>
    <row r="312" spans="1:3" ht="15.6" thickTop="1" thickBot="1" x14ac:dyDescent="0.35">
      <c r="A312" s="74" t="s">
        <v>1049</v>
      </c>
      <c r="B312" s="74" t="s">
        <v>454</v>
      </c>
      <c r="C312" s="6" t="str">
        <f>CÓDIGO_CNAE[[#This Row],[CNAE]] &amp; " - " &amp; CÓDIGO_CNAE[[#This Row],[Descrição]]</f>
        <v>8630-5/01 - Atividade médica ambulatorial com recursos para realização de procedimentos cirúrgicos</v>
      </c>
    </row>
    <row r="313" spans="1:3" ht="15.6" thickTop="1" thickBot="1" x14ac:dyDescent="0.35">
      <c r="A313" s="74" t="s">
        <v>1050</v>
      </c>
      <c r="B313" s="74" t="s">
        <v>455</v>
      </c>
      <c r="C313" s="6" t="str">
        <f>CÓDIGO_CNAE[[#This Row],[CNAE]] &amp; " - " &amp; CÓDIGO_CNAE[[#This Row],[Descrição]]</f>
        <v>8630-5/02 - Atividade médica ambulatorial com recursos para realização de exames complementares</v>
      </c>
    </row>
    <row r="314" spans="1:3" ht="15.6" thickTop="1" thickBot="1" x14ac:dyDescent="0.35">
      <c r="A314" s="74" t="s">
        <v>1051</v>
      </c>
      <c r="B314" s="74" t="s">
        <v>456</v>
      </c>
      <c r="C314" s="6" t="str">
        <f>CÓDIGO_CNAE[[#This Row],[CNAE]] &amp; " - " &amp; CÓDIGO_CNAE[[#This Row],[Descrição]]</f>
        <v>8630-5/03 - Atividade médica ambulatorial restrita a consultas</v>
      </c>
    </row>
    <row r="315" spans="1:3" ht="15.6" thickTop="1" thickBot="1" x14ac:dyDescent="0.35">
      <c r="A315" s="74" t="s">
        <v>1052</v>
      </c>
      <c r="B315" s="74" t="s">
        <v>457</v>
      </c>
      <c r="C315" s="6" t="str">
        <f>CÓDIGO_CNAE[[#This Row],[CNAE]] &amp; " - " &amp; CÓDIGO_CNAE[[#This Row],[Descrição]]</f>
        <v>8630-5/04 - Atividade odontológica</v>
      </c>
    </row>
    <row r="316" spans="1:3" ht="15.6" thickTop="1" thickBot="1" x14ac:dyDescent="0.35">
      <c r="A316" s="74" t="s">
        <v>1053</v>
      </c>
      <c r="B316" s="74" t="s">
        <v>458</v>
      </c>
      <c r="C316" s="6" t="str">
        <f>CÓDIGO_CNAE[[#This Row],[CNAE]] &amp; " - " &amp; CÓDIGO_CNAE[[#This Row],[Descrição]]</f>
        <v>8630-5/06 - Serviços de vacinação e imunização humana</v>
      </c>
    </row>
    <row r="317" spans="1:3" ht="15.6" thickTop="1" thickBot="1" x14ac:dyDescent="0.35">
      <c r="A317" s="74" t="s">
        <v>1054</v>
      </c>
      <c r="B317" s="74" t="s">
        <v>459</v>
      </c>
      <c r="C317" s="6" t="str">
        <f>CÓDIGO_CNAE[[#This Row],[CNAE]] &amp; " - " &amp; CÓDIGO_CNAE[[#This Row],[Descrição]]</f>
        <v>8630-5/07 - Atividades de reprodução humana assistida</v>
      </c>
    </row>
    <row r="318" spans="1:3" ht="15.6" thickTop="1" thickBot="1" x14ac:dyDescent="0.35">
      <c r="A318" s="74" t="s">
        <v>741</v>
      </c>
      <c r="B318" s="74" t="s">
        <v>460</v>
      </c>
      <c r="C318" s="6" t="str">
        <f>CÓDIGO_CNAE[[#This Row],[CNAE]] &amp; " - " &amp; CÓDIGO_CNAE[[#This Row],[Descrição]]</f>
        <v>8630-5/99 - Atividades de atenção ambulatorial não especificadas anteriormente</v>
      </c>
    </row>
    <row r="319" spans="1:3" ht="15.6" thickTop="1" thickBot="1" x14ac:dyDescent="0.35">
      <c r="A319" s="74" t="s">
        <v>1055</v>
      </c>
      <c r="B319" s="74" t="s">
        <v>461</v>
      </c>
      <c r="C319" s="6" t="str">
        <f>CÓDIGO_CNAE[[#This Row],[CNAE]] &amp; " - " &amp; CÓDIGO_CNAE[[#This Row],[Descrição]]</f>
        <v>8640-2/01 - Laboratórios de anatomia patológica e citológica</v>
      </c>
    </row>
    <row r="320" spans="1:3" ht="15.6" thickTop="1" thickBot="1" x14ac:dyDescent="0.35">
      <c r="A320" s="74" t="s">
        <v>1056</v>
      </c>
      <c r="B320" s="74" t="s">
        <v>462</v>
      </c>
      <c r="C320" s="6" t="str">
        <f>CÓDIGO_CNAE[[#This Row],[CNAE]] &amp; " - " &amp; CÓDIGO_CNAE[[#This Row],[Descrição]]</f>
        <v>8640-2/02 - Laboratórios clínicos</v>
      </c>
    </row>
    <row r="321" spans="1:3" ht="15.6" thickTop="1" thickBot="1" x14ac:dyDescent="0.35">
      <c r="A321" s="74" t="s">
        <v>1057</v>
      </c>
      <c r="B321" s="74" t="s">
        <v>463</v>
      </c>
      <c r="C321" s="6" t="str">
        <f>CÓDIGO_CNAE[[#This Row],[CNAE]] &amp; " - " &amp; CÓDIGO_CNAE[[#This Row],[Descrição]]</f>
        <v>8640-2/03 - Serviços de diálise e nefrologia</v>
      </c>
    </row>
    <row r="322" spans="1:3" ht="15.6" thickTop="1" thickBot="1" x14ac:dyDescent="0.35">
      <c r="A322" s="74" t="s">
        <v>1058</v>
      </c>
      <c r="B322" s="74" t="s">
        <v>464</v>
      </c>
      <c r="C322" s="6" t="str">
        <f>CÓDIGO_CNAE[[#This Row],[CNAE]] &amp; " - " &amp; CÓDIGO_CNAE[[#This Row],[Descrição]]</f>
        <v>8640-2/04 - Serviços de tomografia</v>
      </c>
    </row>
    <row r="323" spans="1:3" ht="15.6" thickTop="1" thickBot="1" x14ac:dyDescent="0.35">
      <c r="A323" s="74" t="s">
        <v>1059</v>
      </c>
      <c r="B323" s="74" t="s">
        <v>465</v>
      </c>
      <c r="C323" s="6" t="str">
        <f>CÓDIGO_CNAE[[#This Row],[CNAE]] &amp; " - " &amp; CÓDIGO_CNAE[[#This Row],[Descrição]]</f>
        <v>8640-2/05 - Serviços de diagnóstico por imagem com uso de radiação ionizante, exceto tomografia</v>
      </c>
    </row>
    <row r="324" spans="1:3" ht="15.6" thickTop="1" thickBot="1" x14ac:dyDescent="0.35">
      <c r="A324" s="74" t="s">
        <v>1060</v>
      </c>
      <c r="B324" s="74" t="s">
        <v>466</v>
      </c>
      <c r="C324" s="6" t="str">
        <f>CÓDIGO_CNAE[[#This Row],[CNAE]] &amp; " - " &amp; CÓDIGO_CNAE[[#This Row],[Descrição]]</f>
        <v>8640-2/06 - Serviços de ressonância magnética</v>
      </c>
    </row>
    <row r="325" spans="1:3" ht="15.6" thickTop="1" thickBot="1" x14ac:dyDescent="0.35">
      <c r="A325" s="74" t="s">
        <v>1061</v>
      </c>
      <c r="B325" s="74" t="s">
        <v>467</v>
      </c>
      <c r="C325" s="6" t="str">
        <f>CÓDIGO_CNAE[[#This Row],[CNAE]] &amp; " - " &amp; CÓDIGO_CNAE[[#This Row],[Descrição]]</f>
        <v>8640-2/07 - Serviços de diagnóstico por imagem sem uso de radiação ionizante, exceto ressonância magnética</v>
      </c>
    </row>
    <row r="326" spans="1:3" ht="15.6" thickTop="1" thickBot="1" x14ac:dyDescent="0.35">
      <c r="A326" s="74" t="s">
        <v>1062</v>
      </c>
      <c r="B326" s="74" t="s">
        <v>468</v>
      </c>
      <c r="C326" s="6" t="str">
        <f>CÓDIGO_CNAE[[#This Row],[CNAE]] &amp; " - " &amp; CÓDIGO_CNAE[[#This Row],[Descrição]]</f>
        <v>8640-2/08 - Serviços de diagnóstico por registro gráfico – ECG, EEG e outros exames análogos</v>
      </c>
    </row>
    <row r="327" spans="1:3" ht="15.6" thickTop="1" thickBot="1" x14ac:dyDescent="0.35">
      <c r="A327" s="74" t="s">
        <v>1063</v>
      </c>
      <c r="B327" s="74" t="s">
        <v>469</v>
      </c>
      <c r="C327" s="6" t="str">
        <f>CÓDIGO_CNAE[[#This Row],[CNAE]] &amp; " - " &amp; CÓDIGO_CNAE[[#This Row],[Descrição]]</f>
        <v>8640-2/09 - Serviços de diagnóstico por métodos ópticos – endoscopia e outros exames análogos</v>
      </c>
    </row>
    <row r="328" spans="1:3" ht="15.6" thickTop="1" thickBot="1" x14ac:dyDescent="0.35">
      <c r="A328" s="74" t="s">
        <v>1064</v>
      </c>
      <c r="B328" s="74" t="s">
        <v>470</v>
      </c>
      <c r="C328" s="6" t="str">
        <f>CÓDIGO_CNAE[[#This Row],[CNAE]] &amp; " - " &amp; CÓDIGO_CNAE[[#This Row],[Descrição]]</f>
        <v>8640-2/10 - Serviços de quimioterapia</v>
      </c>
    </row>
    <row r="329" spans="1:3" ht="15.6" thickTop="1" thickBot="1" x14ac:dyDescent="0.35">
      <c r="A329" s="74" t="s">
        <v>1065</v>
      </c>
      <c r="B329" s="74" t="s">
        <v>471</v>
      </c>
      <c r="C329" s="6" t="str">
        <f>CÓDIGO_CNAE[[#This Row],[CNAE]] &amp; " - " &amp; CÓDIGO_CNAE[[#This Row],[Descrição]]</f>
        <v>8640-2/11 - Serviços de radioterapia</v>
      </c>
    </row>
    <row r="330" spans="1:3" ht="15.6" thickTop="1" thickBot="1" x14ac:dyDescent="0.35">
      <c r="A330" s="74" t="s">
        <v>1066</v>
      </c>
      <c r="B330" s="74" t="s">
        <v>472</v>
      </c>
      <c r="C330" s="6" t="str">
        <f>CÓDIGO_CNAE[[#This Row],[CNAE]] &amp; " - " &amp; CÓDIGO_CNAE[[#This Row],[Descrição]]</f>
        <v>8640-2/12 - Serviços de hemoterapia</v>
      </c>
    </row>
    <row r="331" spans="1:3" ht="15.6" thickTop="1" thickBot="1" x14ac:dyDescent="0.35">
      <c r="A331" s="74" t="s">
        <v>1067</v>
      </c>
      <c r="B331" s="74" t="s">
        <v>473</v>
      </c>
      <c r="C331" s="6" t="str">
        <f>CÓDIGO_CNAE[[#This Row],[CNAE]] &amp; " - " &amp; CÓDIGO_CNAE[[#This Row],[Descrição]]</f>
        <v>8640-2/13 - Serviços de litotripsia</v>
      </c>
    </row>
    <row r="332" spans="1:3" ht="15.6" thickTop="1" thickBot="1" x14ac:dyDescent="0.35">
      <c r="A332" s="74" t="s">
        <v>1068</v>
      </c>
      <c r="B332" s="74" t="s">
        <v>474</v>
      </c>
      <c r="C332" s="6" t="str">
        <f>CÓDIGO_CNAE[[#This Row],[CNAE]] &amp; " - " &amp; CÓDIGO_CNAE[[#This Row],[Descrição]]</f>
        <v>8640-2/14 - Serviços de bancos de células e tecidos humanos</v>
      </c>
    </row>
    <row r="333" spans="1:3" ht="15.6" thickTop="1" thickBot="1" x14ac:dyDescent="0.35">
      <c r="A333" s="74" t="s">
        <v>740</v>
      </c>
      <c r="B333" s="74" t="s">
        <v>475</v>
      </c>
      <c r="C333" s="6" t="str">
        <f>CÓDIGO_CNAE[[#This Row],[CNAE]] &amp; " - " &amp; CÓDIGO_CNAE[[#This Row],[Descrição]]</f>
        <v>8640-2/99 - Atividades de serviços de complementação diagnóstica e terapêutica não especificadas anteriormente</v>
      </c>
    </row>
    <row r="334" spans="1:3" ht="15.6" thickTop="1" thickBot="1" x14ac:dyDescent="0.35">
      <c r="A334" s="74" t="s">
        <v>739</v>
      </c>
      <c r="B334" s="74" t="s">
        <v>476</v>
      </c>
      <c r="C334" s="6" t="str">
        <f>CÓDIGO_CNAE[[#This Row],[CNAE]] &amp; " - " &amp; CÓDIGO_CNAE[[#This Row],[Descrição]]</f>
        <v>8650-0/01 - Atividades de enfermagem</v>
      </c>
    </row>
    <row r="335" spans="1:3" ht="15.6" thickTop="1" thickBot="1" x14ac:dyDescent="0.35">
      <c r="A335" s="74" t="s">
        <v>738</v>
      </c>
      <c r="B335" s="74" t="s">
        <v>477</v>
      </c>
      <c r="C335" s="6" t="str">
        <f>CÓDIGO_CNAE[[#This Row],[CNAE]] &amp; " - " &amp; CÓDIGO_CNAE[[#This Row],[Descrição]]</f>
        <v>8650-0/02 - Atividades de profissionais da nutrição</v>
      </c>
    </row>
    <row r="336" spans="1:3" ht="15.6" thickTop="1" thickBot="1" x14ac:dyDescent="0.35">
      <c r="A336" s="74" t="s">
        <v>737</v>
      </c>
      <c r="B336" s="74" t="s">
        <v>478</v>
      </c>
      <c r="C336" s="6" t="str">
        <f>CÓDIGO_CNAE[[#This Row],[CNAE]] &amp; " - " &amp; CÓDIGO_CNAE[[#This Row],[Descrição]]</f>
        <v>8650-0/03 - Atividades de psicologia e psicanálise</v>
      </c>
    </row>
    <row r="337" spans="1:3" ht="15.6" thickTop="1" thickBot="1" x14ac:dyDescent="0.35">
      <c r="A337" s="74" t="s">
        <v>736</v>
      </c>
      <c r="B337" s="74" t="s">
        <v>479</v>
      </c>
      <c r="C337" s="6" t="str">
        <f>CÓDIGO_CNAE[[#This Row],[CNAE]] &amp; " - " &amp; CÓDIGO_CNAE[[#This Row],[Descrição]]</f>
        <v>8650-0/04 - Atividades de fisioterapia</v>
      </c>
    </row>
    <row r="338" spans="1:3" ht="15.6" thickTop="1" thickBot="1" x14ac:dyDescent="0.35">
      <c r="A338" s="74" t="s">
        <v>735</v>
      </c>
      <c r="B338" s="74" t="s">
        <v>480</v>
      </c>
      <c r="C338" s="6" t="str">
        <f>CÓDIGO_CNAE[[#This Row],[CNAE]] &amp; " - " &amp; CÓDIGO_CNAE[[#This Row],[Descrição]]</f>
        <v>8650-0/05 - Atividades de terapia ocupacional</v>
      </c>
    </row>
    <row r="339" spans="1:3" ht="15.6" thickTop="1" thickBot="1" x14ac:dyDescent="0.35">
      <c r="A339" s="74" t="s">
        <v>734</v>
      </c>
      <c r="B339" s="74" t="s">
        <v>481</v>
      </c>
      <c r="C339" s="6" t="str">
        <f>CÓDIGO_CNAE[[#This Row],[CNAE]] &amp; " - " &amp; CÓDIGO_CNAE[[#This Row],[Descrição]]</f>
        <v>8650-0/06 - Atividades de fonoaudiologia</v>
      </c>
    </row>
    <row r="340" spans="1:3" ht="15.6" thickTop="1" thickBot="1" x14ac:dyDescent="0.35">
      <c r="A340" s="74" t="s">
        <v>733</v>
      </c>
      <c r="B340" s="74" t="s">
        <v>482</v>
      </c>
      <c r="C340" s="6" t="str">
        <f>CÓDIGO_CNAE[[#This Row],[CNAE]] &amp; " - " &amp; CÓDIGO_CNAE[[#This Row],[Descrição]]</f>
        <v>8650-0/07 - Atividades de terapia de nutrição enteral e parenteral</v>
      </c>
    </row>
    <row r="341" spans="1:3" ht="15.6" thickTop="1" thickBot="1" x14ac:dyDescent="0.35">
      <c r="A341" s="74" t="s">
        <v>732</v>
      </c>
      <c r="B341" s="74" t="s">
        <v>483</v>
      </c>
      <c r="C341" s="6" t="str">
        <f>CÓDIGO_CNAE[[#This Row],[CNAE]] &amp; " - " &amp; CÓDIGO_CNAE[[#This Row],[Descrição]]</f>
        <v>8650-0/99 - Atividades de profissionais da área de saúde não especificadas anteriormente</v>
      </c>
    </row>
    <row r="342" spans="1:3" ht="15.6" thickTop="1" thickBot="1" x14ac:dyDescent="0.35">
      <c r="A342" s="74" t="s">
        <v>731</v>
      </c>
      <c r="B342" s="74" t="s">
        <v>484</v>
      </c>
      <c r="C342" s="6" t="str">
        <f>CÓDIGO_CNAE[[#This Row],[CNAE]] &amp; " - " &amp; CÓDIGO_CNAE[[#This Row],[Descrição]]</f>
        <v>8660-7/00 - Atividades de apoio à gestão de saúde</v>
      </c>
    </row>
    <row r="343" spans="1:3" ht="15.6" thickTop="1" thickBot="1" x14ac:dyDescent="0.35">
      <c r="A343" s="74" t="s">
        <v>1069</v>
      </c>
      <c r="B343" s="74" t="s">
        <v>485</v>
      </c>
      <c r="C343" s="6" t="str">
        <f>CÓDIGO_CNAE[[#This Row],[CNAE]] &amp; " - " &amp; CÓDIGO_CNAE[[#This Row],[Descrição]]</f>
        <v>8690-9/01 - Atividades de práticas integrativas e complementares em saúde humana</v>
      </c>
    </row>
    <row r="344" spans="1:3" ht="15.6" thickTop="1" thickBot="1" x14ac:dyDescent="0.35">
      <c r="A344" s="74" t="s">
        <v>1070</v>
      </c>
      <c r="B344" s="74" t="s">
        <v>636</v>
      </c>
      <c r="C344" s="6" t="str">
        <f>CÓDIGO_CNAE[[#This Row],[CNAE]] &amp; " - " &amp; CÓDIGO_CNAE[[#This Row],[Descrição]]</f>
        <v>8690-9/02 - Atividades de banco de leite humano</v>
      </c>
    </row>
    <row r="345" spans="1:3" ht="15.6" thickTop="1" thickBot="1" x14ac:dyDescent="0.35">
      <c r="A345" s="74" t="s">
        <v>1071</v>
      </c>
      <c r="B345" s="74" t="s">
        <v>486</v>
      </c>
      <c r="C345" s="6" t="str">
        <f>CÓDIGO_CNAE[[#This Row],[CNAE]] &amp; " - " &amp; CÓDIGO_CNAE[[#This Row],[Descrição]]</f>
        <v>8690-9/03 - Atividades de acupuntura</v>
      </c>
    </row>
    <row r="346" spans="1:3" ht="15.6" thickTop="1" thickBot="1" x14ac:dyDescent="0.35">
      <c r="A346" s="74" t="s">
        <v>1072</v>
      </c>
      <c r="B346" s="74" t="s">
        <v>487</v>
      </c>
      <c r="C346" s="6" t="str">
        <f>CÓDIGO_CNAE[[#This Row],[CNAE]] &amp; " - " &amp; CÓDIGO_CNAE[[#This Row],[Descrição]]</f>
        <v>8690-9/04 - Atividades de podologia</v>
      </c>
    </row>
    <row r="347" spans="1:3" ht="15.6" thickTop="1" thickBot="1" x14ac:dyDescent="0.35">
      <c r="A347" s="74" t="s">
        <v>730</v>
      </c>
      <c r="B347" s="74" t="s">
        <v>488</v>
      </c>
      <c r="C347" s="6" t="str">
        <f>CÓDIGO_CNAE[[#This Row],[CNAE]] &amp; " - " &amp; CÓDIGO_CNAE[[#This Row],[Descrição]]</f>
        <v>8690-9/99 - Outras atividades de atenção à saúde humana não especificadas anteriormente</v>
      </c>
    </row>
    <row r="348" spans="1:3" ht="15.6" thickTop="1" thickBot="1" x14ac:dyDescent="0.35">
      <c r="A348" s="74" t="s">
        <v>1073</v>
      </c>
      <c r="B348" s="74" t="s">
        <v>637</v>
      </c>
      <c r="C348" s="6" t="str">
        <f>CÓDIGO_CNAE[[#This Row],[CNAE]] &amp; " - " &amp; CÓDIGO_CNAE[[#This Row],[Descrição]]</f>
        <v>8711-5/01 - Clínicas e residências geriátricas</v>
      </c>
    </row>
    <row r="349" spans="1:3" ht="15.6" thickTop="1" thickBot="1" x14ac:dyDescent="0.35">
      <c r="A349" s="74" t="s">
        <v>1074</v>
      </c>
      <c r="B349" s="74" t="s">
        <v>638</v>
      </c>
      <c r="C349" s="6" t="str">
        <f>CÓDIGO_CNAE[[#This Row],[CNAE]] &amp; " - " &amp; CÓDIGO_CNAE[[#This Row],[Descrição]]</f>
        <v>8711-5/02 - Instituições de longa permanência para idosos</v>
      </c>
    </row>
    <row r="350" spans="1:3" ht="15.6" thickTop="1" thickBot="1" x14ac:dyDescent="0.35">
      <c r="A350" s="74" t="s">
        <v>729</v>
      </c>
      <c r="B350" s="74" t="s">
        <v>639</v>
      </c>
      <c r="C350" s="6" t="str">
        <f>CÓDIGO_CNAE[[#This Row],[CNAE]] &amp; " - " &amp; CÓDIGO_CNAE[[#This Row],[Descrição]]</f>
        <v>8712-3/00 - Atividades de fornecimento de infra-estrutura de apoio e assistência a paciente no domicílio</v>
      </c>
    </row>
    <row r="351" spans="1:3" ht="15.6" thickTop="1" thickBot="1" x14ac:dyDescent="0.35">
      <c r="A351" s="74" t="s">
        <v>1075</v>
      </c>
      <c r="B351" s="74" t="s">
        <v>489</v>
      </c>
      <c r="C351" s="6" t="str">
        <f>CÓDIGO_CNAE[[#This Row],[CNAE]] &amp; " - " &amp; CÓDIGO_CNAE[[#This Row],[Descrição]]</f>
        <v>9001-9/01 - Produção teatral</v>
      </c>
    </row>
    <row r="352" spans="1:3" ht="15.6" thickTop="1" thickBot="1" x14ac:dyDescent="0.35">
      <c r="A352" s="74" t="s">
        <v>1076</v>
      </c>
      <c r="B352" s="74" t="s">
        <v>490</v>
      </c>
      <c r="C352" s="6" t="str">
        <f>CÓDIGO_CNAE[[#This Row],[CNAE]] &amp; " - " &amp; CÓDIGO_CNAE[[#This Row],[Descrição]]</f>
        <v>9001-9/02 - Produção musical</v>
      </c>
    </row>
    <row r="353" spans="1:3" ht="15.6" thickTop="1" thickBot="1" x14ac:dyDescent="0.35">
      <c r="A353" s="74" t="s">
        <v>1077</v>
      </c>
      <c r="B353" s="74" t="s">
        <v>491</v>
      </c>
      <c r="C353" s="6" t="str">
        <f>CÓDIGO_CNAE[[#This Row],[CNAE]] &amp; " - " &amp; CÓDIGO_CNAE[[#This Row],[Descrição]]</f>
        <v>9001-9/03 - Produção de espetáculos de dança</v>
      </c>
    </row>
    <row r="354" spans="1:3" ht="15.6" thickTop="1" thickBot="1" x14ac:dyDescent="0.35">
      <c r="A354" s="74" t="s">
        <v>1078</v>
      </c>
      <c r="B354" s="74" t="s">
        <v>492</v>
      </c>
      <c r="C354" s="6" t="str">
        <f>CÓDIGO_CNAE[[#This Row],[CNAE]] &amp; " - " &amp; CÓDIGO_CNAE[[#This Row],[Descrição]]</f>
        <v>9001-9/04 - Produção de espetáculos circenses, de marionetes e similares</v>
      </c>
    </row>
    <row r="355" spans="1:3" ht="15.6" thickTop="1" thickBot="1" x14ac:dyDescent="0.35">
      <c r="A355" s="74" t="s">
        <v>1079</v>
      </c>
      <c r="B355" s="74" t="s">
        <v>493</v>
      </c>
      <c r="C355" s="6" t="str">
        <f>CÓDIGO_CNAE[[#This Row],[CNAE]] &amp; " - " &amp; CÓDIGO_CNAE[[#This Row],[Descrição]]</f>
        <v>9001-9/05 - Produção de espetáculos de rodeios, vaquejadas e similares</v>
      </c>
    </row>
    <row r="356" spans="1:3" ht="15.6" thickTop="1" thickBot="1" x14ac:dyDescent="0.35">
      <c r="A356" s="74" t="s">
        <v>1080</v>
      </c>
      <c r="B356" s="74" t="s">
        <v>494</v>
      </c>
      <c r="C356" s="6" t="str">
        <f>CÓDIGO_CNAE[[#This Row],[CNAE]] &amp; " - " &amp; CÓDIGO_CNAE[[#This Row],[Descrição]]</f>
        <v>9001-9/06 - Atividades de sonorização e de iluminação</v>
      </c>
    </row>
    <row r="357" spans="1:3" ht="15.6" thickTop="1" thickBot="1" x14ac:dyDescent="0.35">
      <c r="A357" s="74" t="s">
        <v>728</v>
      </c>
      <c r="B357" s="74" t="s">
        <v>495</v>
      </c>
      <c r="C357" s="6" t="str">
        <f>CÓDIGO_CNAE[[#This Row],[CNAE]] &amp; " - " &amp; CÓDIGO_CNAE[[#This Row],[Descrição]]</f>
        <v>9001-9/99 - Artes cênicas, espetáculos e atividades complementares não especificadas anteriormente</v>
      </c>
    </row>
    <row r="358" spans="1:3" ht="15.6" thickTop="1" thickBot="1" x14ac:dyDescent="0.35">
      <c r="A358" s="74" t="s">
        <v>1081</v>
      </c>
      <c r="B358" s="74" t="s">
        <v>496</v>
      </c>
      <c r="C358" s="6" t="str">
        <f>CÓDIGO_CNAE[[#This Row],[CNAE]] &amp; " - " &amp; CÓDIGO_CNAE[[#This Row],[Descrição]]</f>
        <v>9002-7/01 - Atividades de artistas plásticos, jornalistas independentes e escritores</v>
      </c>
    </row>
    <row r="359" spans="1:3" ht="15.6" thickTop="1" thickBot="1" x14ac:dyDescent="0.35">
      <c r="A359" s="74" t="s">
        <v>1082</v>
      </c>
      <c r="B359" s="74" t="s">
        <v>497</v>
      </c>
      <c r="C359" s="6" t="str">
        <f>CÓDIGO_CNAE[[#This Row],[CNAE]] &amp; " - " &amp; CÓDIGO_CNAE[[#This Row],[Descrição]]</f>
        <v>9002-7/02 - Restauração de obras de arte</v>
      </c>
    </row>
    <row r="360" spans="1:3" ht="15.6" thickTop="1" thickBot="1" x14ac:dyDescent="0.35">
      <c r="A360" s="74" t="s">
        <v>727</v>
      </c>
      <c r="B360" s="74" t="s">
        <v>640</v>
      </c>
      <c r="C360" s="6" t="str">
        <f>CÓDIGO_CNAE[[#This Row],[CNAE]] &amp; " - " &amp; CÓDIGO_CNAE[[#This Row],[Descrição]]</f>
        <v>9003-5/00 - Gestão de espaços para artes cênicas, espetáculos e outras atividades artísticas</v>
      </c>
    </row>
    <row r="361" spans="1:3" ht="15.6" thickTop="1" thickBot="1" x14ac:dyDescent="0.35">
      <c r="A361" s="74" t="s">
        <v>726</v>
      </c>
      <c r="B361" s="74" t="s">
        <v>641</v>
      </c>
      <c r="C361" s="6" t="str">
        <f>CÓDIGO_CNAE[[#This Row],[CNAE]] &amp; " - " &amp; CÓDIGO_CNAE[[#This Row],[Descrição]]</f>
        <v>9101-5/00 - Atividades de bibliotecas e arquivos</v>
      </c>
    </row>
    <row r="362" spans="1:3" ht="15.6" thickTop="1" thickBot="1" x14ac:dyDescent="0.35">
      <c r="A362" s="74" t="s">
        <v>1083</v>
      </c>
      <c r="B362" s="74" t="s">
        <v>642</v>
      </c>
      <c r="C362" s="6" t="str">
        <f>CÓDIGO_CNAE[[#This Row],[CNAE]] &amp; " - " &amp; CÓDIGO_CNAE[[#This Row],[Descrição]]</f>
        <v>9102-3/01 - Atividades de museus e de exploração de lugares e prédios históricos e atrações similares</v>
      </c>
    </row>
    <row r="363" spans="1:3" ht="15.6" thickTop="1" thickBot="1" x14ac:dyDescent="0.35">
      <c r="A363" s="74" t="s">
        <v>1084</v>
      </c>
      <c r="B363" s="74" t="s">
        <v>643</v>
      </c>
      <c r="C363" s="6" t="str">
        <f>CÓDIGO_CNAE[[#This Row],[CNAE]] &amp; " - " &amp; CÓDIGO_CNAE[[#This Row],[Descrição]]</f>
        <v>9102-3/02 - Restauração e conservação de lugares e prédios históricos</v>
      </c>
    </row>
    <row r="364" spans="1:3" ht="15.6" thickTop="1" thickBot="1" x14ac:dyDescent="0.35">
      <c r="A364" s="74" t="s">
        <v>725</v>
      </c>
      <c r="B364" s="74" t="s">
        <v>498</v>
      </c>
      <c r="C364" s="6" t="str">
        <f>CÓDIGO_CNAE[[#This Row],[CNAE]] &amp; " - " &amp; CÓDIGO_CNAE[[#This Row],[Descrição]]</f>
        <v>9311-5/00 - Gestão de instalações de esportes</v>
      </c>
    </row>
    <row r="365" spans="1:3" ht="15.6" thickTop="1" thickBot="1" x14ac:dyDescent="0.35">
      <c r="A365" s="74" t="s">
        <v>724</v>
      </c>
      <c r="B365" s="74" t="s">
        <v>499</v>
      </c>
      <c r="C365" s="6" t="str">
        <f>CÓDIGO_CNAE[[#This Row],[CNAE]] &amp; " - " &amp; CÓDIGO_CNAE[[#This Row],[Descrição]]</f>
        <v>9313-1/00 - Atividades de condicionamento físico</v>
      </c>
    </row>
    <row r="366" spans="1:3" ht="15.6" thickTop="1" thickBot="1" x14ac:dyDescent="0.35">
      <c r="A366" s="74" t="s">
        <v>1085</v>
      </c>
      <c r="B366" s="74" t="s">
        <v>500</v>
      </c>
      <c r="C366" s="6" t="str">
        <f>CÓDIGO_CNAE[[#This Row],[CNAE]] &amp; " - " &amp; CÓDIGO_CNAE[[#This Row],[Descrição]]</f>
        <v>9319-1/01 - Produção e promoção de eventos esportivos</v>
      </c>
    </row>
    <row r="367" spans="1:3" ht="15.6" thickTop="1" thickBot="1" x14ac:dyDescent="0.35">
      <c r="A367" s="74" t="s">
        <v>723</v>
      </c>
      <c r="B367" s="74" t="s">
        <v>501</v>
      </c>
      <c r="C367" s="6" t="str">
        <f>CÓDIGO_CNAE[[#This Row],[CNAE]] &amp; " - " &amp; CÓDIGO_CNAE[[#This Row],[Descrição]]</f>
        <v>9319-1/99 - Outras atividades esportivas não especificadas anteriormente</v>
      </c>
    </row>
    <row r="368" spans="1:3" ht="15.6" thickTop="1" thickBot="1" x14ac:dyDescent="0.35">
      <c r="A368" s="74" t="s">
        <v>1086</v>
      </c>
      <c r="B368" s="74" t="s">
        <v>502</v>
      </c>
      <c r="C368" s="6" t="str">
        <f>CÓDIGO_CNAE[[#This Row],[CNAE]] &amp; " - " &amp; CÓDIGO_CNAE[[#This Row],[Descrição]]</f>
        <v>9329-8/02 - Exploração de boliches</v>
      </c>
    </row>
    <row r="369" spans="1:3" ht="15.6" thickTop="1" thickBot="1" x14ac:dyDescent="0.35">
      <c r="A369" s="74" t="s">
        <v>1087</v>
      </c>
      <c r="B369" s="74" t="s">
        <v>503</v>
      </c>
      <c r="C369" s="6" t="str">
        <f>CÓDIGO_CNAE[[#This Row],[CNAE]] &amp; " - " &amp; CÓDIGO_CNAE[[#This Row],[Descrição]]</f>
        <v>9329-8/03 - Exploração de jogos de sinuca, bilhar e similares</v>
      </c>
    </row>
    <row r="370" spans="1:3" ht="15.6" thickTop="1" thickBot="1" x14ac:dyDescent="0.35">
      <c r="A370" s="74" t="s">
        <v>1088</v>
      </c>
      <c r="B370" s="74" t="s">
        <v>504</v>
      </c>
      <c r="C370" s="6" t="str">
        <f>CÓDIGO_CNAE[[#This Row],[CNAE]] &amp; " - " &amp; CÓDIGO_CNAE[[#This Row],[Descrição]]</f>
        <v>9329-8/04 - Exploração de jogos eletrônicos recreativos</v>
      </c>
    </row>
    <row r="371" spans="1:3" ht="15.6" thickTop="1" thickBot="1" x14ac:dyDescent="0.35">
      <c r="A371" s="74" t="s">
        <v>722</v>
      </c>
      <c r="B371" s="74" t="s">
        <v>505</v>
      </c>
      <c r="C371" s="6" t="str">
        <f>CÓDIGO_CNAE[[#This Row],[CNAE]] &amp; " - " &amp; CÓDIGO_CNAE[[#This Row],[Descrição]]</f>
        <v>9329-8/99 - Outras atividades de recreação e lazer não especificadas anteriormente</v>
      </c>
    </row>
    <row r="372" spans="1:3" ht="15.6" thickTop="1" thickBot="1" x14ac:dyDescent="0.35">
      <c r="A372" s="74" t="s">
        <v>721</v>
      </c>
      <c r="B372" s="74" t="s">
        <v>506</v>
      </c>
      <c r="C372" s="6" t="str">
        <f>CÓDIGO_CNAE[[#This Row],[CNAE]] &amp; " - " &amp; CÓDIGO_CNAE[[#This Row],[Descrição]]</f>
        <v>9511-8/00 - Reparação e manutenção de computadores e de equipamentos periféricos</v>
      </c>
    </row>
    <row r="373" spans="1:3" ht="15.6" thickTop="1" thickBot="1" x14ac:dyDescent="0.35">
      <c r="A373" s="74" t="s">
        <v>720</v>
      </c>
      <c r="B373" s="74" t="s">
        <v>507</v>
      </c>
      <c r="C373" s="6" t="str">
        <f>CÓDIGO_CNAE[[#This Row],[CNAE]] &amp; " - " &amp; CÓDIGO_CNAE[[#This Row],[Descrição]]</f>
        <v>9512-6/00 - Reparação e manutenção de equipamentos de comunicação</v>
      </c>
    </row>
    <row r="374" spans="1:3" ht="15.6" thickTop="1" thickBot="1" x14ac:dyDescent="0.35">
      <c r="A374" s="74" t="s">
        <v>719</v>
      </c>
      <c r="B374" s="74" t="s">
        <v>508</v>
      </c>
      <c r="C374" s="6" t="str">
        <f>CÓDIGO_CNAE[[#This Row],[CNAE]] &amp; " - " &amp; CÓDIGO_CNAE[[#This Row],[Descrição]]</f>
        <v>9521-5/00 - Reparação e manutenção de equipamentos eletroeletrônicos de uso pessoal e doméstico</v>
      </c>
    </row>
    <row r="375" spans="1:3" ht="15.6" thickTop="1" thickBot="1" x14ac:dyDescent="0.35">
      <c r="A375" s="74" t="s">
        <v>1089</v>
      </c>
      <c r="B375" s="74" t="s">
        <v>509</v>
      </c>
      <c r="C375" s="6" t="str">
        <f>CÓDIGO_CNAE[[#This Row],[CNAE]] &amp; " - " &amp; CÓDIGO_CNAE[[#This Row],[Descrição]]</f>
        <v>9529-1/01 - Reparação de calçados, bolsas e artigos de viagem</v>
      </c>
    </row>
    <row r="376" spans="1:3" ht="15.6" thickTop="1" thickBot="1" x14ac:dyDescent="0.35">
      <c r="A376" s="74" t="s">
        <v>1090</v>
      </c>
      <c r="B376" s="74" t="s">
        <v>510</v>
      </c>
      <c r="C376" s="6" t="str">
        <f>CÓDIGO_CNAE[[#This Row],[CNAE]] &amp; " - " &amp; CÓDIGO_CNAE[[#This Row],[Descrição]]</f>
        <v>9529-1/02 - Chaveiros</v>
      </c>
    </row>
    <row r="377" spans="1:3" ht="15.6" thickTop="1" thickBot="1" x14ac:dyDescent="0.35">
      <c r="A377" s="74" t="s">
        <v>1091</v>
      </c>
      <c r="B377" s="74" t="s">
        <v>511</v>
      </c>
      <c r="C377" s="6" t="str">
        <f>CÓDIGO_CNAE[[#This Row],[CNAE]] &amp; " - " &amp; CÓDIGO_CNAE[[#This Row],[Descrição]]</f>
        <v>9529-1/03 - Reparação de relógios</v>
      </c>
    </row>
    <row r="378" spans="1:3" ht="15.6" thickTop="1" thickBot="1" x14ac:dyDescent="0.35">
      <c r="A378" s="74" t="s">
        <v>1092</v>
      </c>
      <c r="B378" s="74" t="s">
        <v>512</v>
      </c>
      <c r="C378" s="6" t="str">
        <f>CÓDIGO_CNAE[[#This Row],[CNAE]] &amp; " - " &amp; CÓDIGO_CNAE[[#This Row],[Descrição]]</f>
        <v>9529-1/04 - Reparação de bicicletas, triciclos e outros veículos não-motorizados</v>
      </c>
    </row>
    <row r="379" spans="1:3" ht="15.6" thickTop="1" thickBot="1" x14ac:dyDescent="0.35">
      <c r="A379" s="74" t="s">
        <v>1093</v>
      </c>
      <c r="B379" s="74" t="s">
        <v>513</v>
      </c>
      <c r="C379" s="6" t="str">
        <f>CÓDIGO_CNAE[[#This Row],[CNAE]] &amp; " - " &amp; CÓDIGO_CNAE[[#This Row],[Descrição]]</f>
        <v>9529-1/05 - Reparação de artigos do mobiliário</v>
      </c>
    </row>
    <row r="380" spans="1:3" ht="15.6" thickTop="1" thickBot="1" x14ac:dyDescent="0.35">
      <c r="A380" s="74" t="s">
        <v>1094</v>
      </c>
      <c r="B380" s="74" t="s">
        <v>514</v>
      </c>
      <c r="C380" s="6" t="str">
        <f>CÓDIGO_CNAE[[#This Row],[CNAE]] &amp; " - " &amp; CÓDIGO_CNAE[[#This Row],[Descrição]]</f>
        <v>9529-1/06 - Reparação de jóias</v>
      </c>
    </row>
    <row r="381" spans="1:3" ht="15.6" thickTop="1" thickBot="1" x14ac:dyDescent="0.35">
      <c r="A381" s="74" t="s">
        <v>718</v>
      </c>
      <c r="B381" s="74" t="s">
        <v>515</v>
      </c>
      <c r="C381" s="6" t="str">
        <f>CÓDIGO_CNAE[[#This Row],[CNAE]] &amp; " - " &amp; CÓDIGO_CNAE[[#This Row],[Descrição]]</f>
        <v>9529-1/99 - Reparação e manutenção de outros objetos e equipamentos pessoais e domésticos não especificados anteriormente</v>
      </c>
    </row>
    <row r="382" spans="1:3" ht="15.6" thickTop="1" thickBot="1" x14ac:dyDescent="0.35">
      <c r="A382" s="74" t="s">
        <v>1095</v>
      </c>
      <c r="B382" s="74" t="s">
        <v>516</v>
      </c>
      <c r="C382" s="6" t="str">
        <f>CÓDIGO_CNAE[[#This Row],[CNAE]] &amp; " - " &amp; CÓDIGO_CNAE[[#This Row],[Descrição]]</f>
        <v>9601-7/01 - Lavanderias</v>
      </c>
    </row>
    <row r="383" spans="1:3" ht="15.6" thickTop="1" thickBot="1" x14ac:dyDescent="0.35">
      <c r="A383" s="74" t="s">
        <v>1096</v>
      </c>
      <c r="B383" s="74" t="s">
        <v>517</v>
      </c>
      <c r="C383" s="6" t="str">
        <f>CÓDIGO_CNAE[[#This Row],[CNAE]] &amp; " - " &amp; CÓDIGO_CNAE[[#This Row],[Descrição]]</f>
        <v>9601-7/02 - Tinturarias</v>
      </c>
    </row>
    <row r="384" spans="1:3" ht="15.6" thickTop="1" thickBot="1" x14ac:dyDescent="0.35">
      <c r="A384" s="74" t="s">
        <v>1097</v>
      </c>
      <c r="B384" s="74" t="s">
        <v>518</v>
      </c>
      <c r="C384" s="6" t="str">
        <f>CÓDIGO_CNAE[[#This Row],[CNAE]] &amp; " - " &amp; CÓDIGO_CNAE[[#This Row],[Descrição]]</f>
        <v>9601-7/03 - Toalheiros</v>
      </c>
    </row>
    <row r="385" spans="1:3" ht="15.6" thickTop="1" thickBot="1" x14ac:dyDescent="0.35">
      <c r="A385" s="74" t="s">
        <v>1098</v>
      </c>
      <c r="B385" s="74" t="s">
        <v>519</v>
      </c>
      <c r="C385" s="6" t="str">
        <f>CÓDIGO_CNAE[[#This Row],[CNAE]] &amp; " - " &amp; CÓDIGO_CNAE[[#This Row],[Descrição]]</f>
        <v>9602-5/01 - Cabeleireiros, manicure e pedicure</v>
      </c>
    </row>
    <row r="386" spans="1:3" ht="15.6" thickTop="1" thickBot="1" x14ac:dyDescent="0.35">
      <c r="A386" s="74" t="s">
        <v>1099</v>
      </c>
      <c r="B386" s="74" t="s">
        <v>520</v>
      </c>
      <c r="C386" s="6" t="str">
        <f>CÓDIGO_CNAE[[#This Row],[CNAE]] &amp; " - " &amp; CÓDIGO_CNAE[[#This Row],[Descrição]]</f>
        <v>9602-5/02 - Atividades de Estética e outros serviços de cuidados com a beleza</v>
      </c>
    </row>
    <row r="387" spans="1:3" ht="15.6" thickTop="1" thickBot="1" x14ac:dyDescent="0.35">
      <c r="A387" s="74" t="s">
        <v>1100</v>
      </c>
      <c r="B387" s="74" t="s">
        <v>521</v>
      </c>
      <c r="C387" s="6" t="str">
        <f>CÓDIGO_CNAE[[#This Row],[CNAE]] &amp; " - " &amp; CÓDIGO_CNAE[[#This Row],[Descrição]]</f>
        <v>9609-2/02 - Agências matrimoniais</v>
      </c>
    </row>
    <row r="388" spans="1:3" ht="15.6" thickTop="1" thickBot="1" x14ac:dyDescent="0.35">
      <c r="A388" s="74" t="s">
        <v>1101</v>
      </c>
      <c r="B388" s="74" t="s">
        <v>522</v>
      </c>
      <c r="C388" s="6" t="str">
        <f>CÓDIGO_CNAE[[#This Row],[CNAE]] &amp; " - " &amp; CÓDIGO_CNAE[[#This Row],[Descrição]]</f>
        <v>9609-2/05 - Atividades de sauna e banhos</v>
      </c>
    </row>
    <row r="389" spans="1:3" ht="15.6" thickTop="1" thickBot="1" x14ac:dyDescent="0.35">
      <c r="A389" s="74" t="s">
        <v>1102</v>
      </c>
      <c r="B389" s="74" t="s">
        <v>523</v>
      </c>
      <c r="C389" s="6" t="str">
        <f>CÓDIGO_CNAE[[#This Row],[CNAE]] &amp; " - " &amp; CÓDIGO_CNAE[[#This Row],[Descrição]]</f>
        <v>9609-2/06 - Serviços de tatuagem e colocação de piercing</v>
      </c>
    </row>
    <row r="390" spans="1:3" ht="15.6" thickTop="1" thickBot="1" x14ac:dyDescent="0.35">
      <c r="A390" s="74" t="s">
        <v>1103</v>
      </c>
      <c r="B390" s="74" t="s">
        <v>524</v>
      </c>
      <c r="C390" s="6" t="str">
        <f>CÓDIGO_CNAE[[#This Row],[CNAE]] &amp; " - " &amp; CÓDIGO_CNAE[[#This Row],[Descrição]]</f>
        <v>9609-2/07 - Alojamento de animais domésticos</v>
      </c>
    </row>
    <row r="391" spans="1:3" ht="15.6" thickTop="1" thickBot="1" x14ac:dyDescent="0.35">
      <c r="A391" s="74" t="s">
        <v>1104</v>
      </c>
      <c r="B391" s="74" t="s">
        <v>525</v>
      </c>
      <c r="C391" s="6" t="str">
        <f>CÓDIGO_CNAE[[#This Row],[CNAE]] &amp; " - " &amp; CÓDIGO_CNAE[[#This Row],[Descrição]]</f>
        <v>9609-2/08 - Higiene e embelezamento de animais domésticos</v>
      </c>
    </row>
    <row r="392" spans="1:3" ht="15.6" thickTop="1" thickBot="1" x14ac:dyDescent="0.35">
      <c r="A392" s="74" t="s">
        <v>717</v>
      </c>
      <c r="B392" s="74" t="s">
        <v>526</v>
      </c>
      <c r="C392" s="6" t="str">
        <f>CÓDIGO_CNAE[[#This Row],[CNAE]] &amp; " - " &amp; CÓDIGO_CNAE[[#This Row],[Descrição]]</f>
        <v>9609-2/99 - Outras atividades de serviços pessoais não especificadas anteriormente</v>
      </c>
    </row>
    <row r="393" spans="1:3" ht="15.6" customHeight="1" thickTop="1" x14ac:dyDescent="0.3"/>
  </sheetData>
  <conditionalFormatting sqref="A1:A392 A405:A1048576">
    <cfRule type="duplicateValues" dxfId="28" priority="2"/>
  </conditionalFormatting>
  <conditionalFormatting sqref="A1:A1048576">
    <cfRule type="duplicateValues" dxfId="27" priority="1"/>
  </conditionalFormatting>
  <conditionalFormatting sqref="B1:B392 B405:B1048576">
    <cfRule type="duplicateValues" dxfId="26" priority="3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E847-539C-4068-97B2-AC6D5621FC39}">
  <sheetPr codeName="Planilha8"/>
  <dimension ref="A4:N29"/>
  <sheetViews>
    <sheetView showGridLines="0" topLeftCell="A4" zoomScale="75" zoomScaleNormal="75" workbookViewId="0">
      <selection activeCell="I18" sqref="I18"/>
    </sheetView>
  </sheetViews>
  <sheetFormatPr defaultColWidth="0" defaultRowHeight="14.4" zeroHeight="1" x14ac:dyDescent="0.3"/>
  <cols>
    <col min="1" max="1" width="2.21875" customWidth="1"/>
    <col min="2" max="2" width="44.5546875" bestFit="1" customWidth="1"/>
    <col min="3" max="3" width="69.21875" bestFit="1" customWidth="1"/>
    <col min="4" max="5" width="2.21875" customWidth="1"/>
    <col min="6" max="6" width="77.21875" bestFit="1" customWidth="1"/>
    <col min="7" max="7" width="111.77734375" bestFit="1" customWidth="1"/>
    <col min="8" max="8" width="53.6640625" bestFit="1" customWidth="1"/>
    <col min="9" max="9" width="7.21875" customWidth="1"/>
    <col min="10" max="10" width="22.5546875" hidden="1" customWidth="1"/>
    <col min="11" max="12" width="39.5546875" hidden="1" customWidth="1"/>
    <col min="13" max="14" width="36.6640625" hidden="1" customWidth="1"/>
    <col min="15" max="16384" width="8.88671875" hidden="1"/>
  </cols>
  <sheetData>
    <row r="4" spans="2:8" x14ac:dyDescent="0.3"/>
    <row r="5" spans="2:8" x14ac:dyDescent="0.3">
      <c r="B5" s="55" t="s">
        <v>1191</v>
      </c>
      <c r="C5" s="55" t="s">
        <v>1194</v>
      </c>
      <c r="D5" s="54"/>
      <c r="E5" s="30"/>
      <c r="F5" s="100" t="s">
        <v>1148</v>
      </c>
      <c r="G5" s="100"/>
      <c r="H5" s="11"/>
    </row>
    <row r="6" spans="2:8" x14ac:dyDescent="0.3">
      <c r="B6" s="40" t="s">
        <v>649</v>
      </c>
      <c r="C6" s="40">
        <f>COUNTIF('CONTROLE DIÁRIO DE CONSULTAS'!$I$10:$I$1048576,TAB.AUXILIAR!B5:B6)</f>
        <v>1</v>
      </c>
      <c r="D6" s="11"/>
      <c r="E6" s="11"/>
      <c r="F6" s="40" t="s">
        <v>687</v>
      </c>
      <c r="G6" s="56" t="s">
        <v>688</v>
      </c>
      <c r="H6" s="11"/>
    </row>
    <row r="7" spans="2:8" x14ac:dyDescent="0.3">
      <c r="B7" s="40" t="s">
        <v>650</v>
      </c>
      <c r="C7" s="40">
        <f>COUNTIF('CONTROLE DIÁRIO DE CONSULTAS'!$I$10:$I$1048576,TAB.AUXILIAR!B6:B7)</f>
        <v>5</v>
      </c>
      <c r="D7" s="11"/>
      <c r="E7" s="11"/>
      <c r="F7" s="40" t="s">
        <v>689</v>
      </c>
      <c r="G7" s="40" t="s">
        <v>696</v>
      </c>
      <c r="H7" s="11"/>
    </row>
    <row r="8" spans="2:8" x14ac:dyDescent="0.3">
      <c r="B8" s="40" t="s">
        <v>651</v>
      </c>
      <c r="C8" s="40">
        <f>COUNTIF('CONTROLE DIÁRIO DE CONSULTAS'!$I$10:$I$1048576,TAB.AUXILIAR!B7:B8)</f>
        <v>3</v>
      </c>
      <c r="D8" s="11"/>
      <c r="E8" s="11"/>
      <c r="F8" s="40" t="s">
        <v>690</v>
      </c>
      <c r="G8" s="40" t="s">
        <v>691</v>
      </c>
      <c r="H8" s="11"/>
    </row>
    <row r="9" spans="2:8" x14ac:dyDescent="0.3">
      <c r="B9" s="40" t="s">
        <v>652</v>
      </c>
      <c r="C9" s="40">
        <f>COUNTIF('CONTROLE DIÁRIO DE CONSULTAS'!$I$10:$I$1048576,TAB.AUXILIAR!B8:B9)</f>
        <v>14</v>
      </c>
      <c r="D9" s="11"/>
      <c r="E9" s="11"/>
      <c r="F9" s="40" t="s">
        <v>692</v>
      </c>
      <c r="G9" s="40" t="s">
        <v>693</v>
      </c>
      <c r="H9" s="11"/>
    </row>
    <row r="10" spans="2:8" x14ac:dyDescent="0.3">
      <c r="B10" s="40" t="s">
        <v>653</v>
      </c>
      <c r="C10" s="40">
        <f>COUNTIF('CONTROLE DIÁRIO DE CONSULTAS'!$I$10:$I$1048576,TAB.AUXILIAR!B9:B10)</f>
        <v>3</v>
      </c>
      <c r="D10" s="11"/>
      <c r="E10" s="11"/>
      <c r="F10" s="40" t="s">
        <v>694</v>
      </c>
      <c r="G10" s="40" t="s">
        <v>695</v>
      </c>
      <c r="H10" s="11"/>
    </row>
    <row r="11" spans="2:8" x14ac:dyDescent="0.3">
      <c r="B11" s="11"/>
      <c r="C11" s="11"/>
      <c r="D11" s="11"/>
      <c r="E11" s="11"/>
      <c r="F11" s="11"/>
      <c r="G11" s="11"/>
      <c r="H11" s="11"/>
    </row>
    <row r="12" spans="2:8" x14ac:dyDescent="0.3">
      <c r="B12" s="55" t="s">
        <v>19</v>
      </c>
      <c r="C12" s="11"/>
      <c r="D12" s="11"/>
      <c r="E12" s="11"/>
      <c r="F12" s="100" t="s">
        <v>1149</v>
      </c>
      <c r="G12" s="100"/>
      <c r="H12" s="100"/>
    </row>
    <row r="13" spans="2:8" x14ac:dyDescent="0.3">
      <c r="B13" s="40" t="s">
        <v>664</v>
      </c>
      <c r="D13" s="11"/>
      <c r="E13" s="11"/>
      <c r="F13" s="42" t="s">
        <v>673</v>
      </c>
      <c r="G13" s="42" t="s">
        <v>674</v>
      </c>
      <c r="H13" s="42" t="s">
        <v>647</v>
      </c>
    </row>
    <row r="14" spans="2:8" x14ac:dyDescent="0.3">
      <c r="B14" s="40" t="s">
        <v>665</v>
      </c>
      <c r="D14" s="11"/>
      <c r="E14" s="11"/>
      <c r="F14" s="40" t="s">
        <v>675</v>
      </c>
      <c r="G14" s="40" t="s">
        <v>27</v>
      </c>
      <c r="H14" s="40" t="s">
        <v>676</v>
      </c>
    </row>
    <row r="15" spans="2:8" x14ac:dyDescent="0.3">
      <c r="B15" s="40" t="s">
        <v>666</v>
      </c>
      <c r="D15" s="11"/>
      <c r="E15" s="11"/>
      <c r="F15" s="40" t="s">
        <v>677</v>
      </c>
      <c r="G15" s="40" t="s">
        <v>678</v>
      </c>
      <c r="H15" s="40" t="s">
        <v>679</v>
      </c>
    </row>
    <row r="16" spans="2:8" x14ac:dyDescent="0.3">
      <c r="B16" s="11"/>
      <c r="D16" s="11"/>
      <c r="E16" s="11"/>
      <c r="F16" s="40" t="s">
        <v>680</v>
      </c>
      <c r="G16" s="40" t="s">
        <v>667</v>
      </c>
      <c r="H16" s="40" t="s">
        <v>681</v>
      </c>
    </row>
    <row r="17" spans="2:8" x14ac:dyDescent="0.3">
      <c r="B17" s="55" t="s">
        <v>1192</v>
      </c>
      <c r="D17" s="11"/>
      <c r="E17" s="11"/>
      <c r="F17" s="40" t="s">
        <v>682</v>
      </c>
      <c r="G17" s="40" t="s">
        <v>683</v>
      </c>
      <c r="H17" s="40" t="s">
        <v>684</v>
      </c>
    </row>
    <row r="18" spans="2:8" x14ac:dyDescent="0.3">
      <c r="B18" s="40" t="s">
        <v>655</v>
      </c>
      <c r="D18" s="11"/>
      <c r="E18" s="11"/>
      <c r="F18" s="40" t="s">
        <v>685</v>
      </c>
      <c r="G18" s="40" t="s">
        <v>672</v>
      </c>
      <c r="H18" s="40" t="s">
        <v>686</v>
      </c>
    </row>
    <row r="19" spans="2:8" x14ac:dyDescent="0.3">
      <c r="B19" s="40" t="s">
        <v>1195</v>
      </c>
      <c r="C19" s="11"/>
      <c r="D19" s="11"/>
      <c r="E19" s="11"/>
      <c r="F19" s="11"/>
      <c r="G19" s="11"/>
      <c r="H19" s="11"/>
    </row>
    <row r="20" spans="2:8" x14ac:dyDescent="0.3">
      <c r="B20" s="40" t="s">
        <v>656</v>
      </c>
      <c r="F20" s="55" t="s">
        <v>1150</v>
      </c>
    </row>
    <row r="21" spans="2:8" x14ac:dyDescent="0.3">
      <c r="F21" s="42" t="s">
        <v>1155</v>
      </c>
    </row>
    <row r="22" spans="2:8" x14ac:dyDescent="0.3">
      <c r="B22" s="55" t="s">
        <v>1193</v>
      </c>
      <c r="F22" s="40" t="s">
        <v>1151</v>
      </c>
    </row>
    <row r="23" spans="2:8" x14ac:dyDescent="0.3">
      <c r="B23" s="71" t="s">
        <v>1133</v>
      </c>
      <c r="F23" s="40" t="s">
        <v>1152</v>
      </c>
    </row>
    <row r="24" spans="2:8" x14ac:dyDescent="0.3">
      <c r="B24" s="71" t="s">
        <v>1190</v>
      </c>
      <c r="F24" s="40" t="s">
        <v>1153</v>
      </c>
    </row>
    <row r="25" spans="2:8" x14ac:dyDescent="0.3">
      <c r="B25" s="71" t="s">
        <v>1189</v>
      </c>
      <c r="F25" s="40" t="s">
        <v>1154</v>
      </c>
    </row>
    <row r="26" spans="2:8" x14ac:dyDescent="0.3">
      <c r="B26" s="71" t="s">
        <v>1197</v>
      </c>
    </row>
    <row r="27" spans="2:8" x14ac:dyDescent="0.3">
      <c r="B27" s="71" t="s">
        <v>1188</v>
      </c>
    </row>
    <row r="28" spans="2:8" x14ac:dyDescent="0.3">
      <c r="B28" s="71" t="s">
        <v>1196</v>
      </c>
    </row>
    <row r="29" spans="2:8" x14ac:dyDescent="0.3"/>
  </sheetData>
  <mergeCells count="2">
    <mergeCell ref="F12:H12"/>
    <mergeCell ref="F5:G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EA7-96DF-43E9-A319-DA544665AF03}">
  <sheetPr codeName="Planilha5"/>
  <dimension ref="A1:AJ551"/>
  <sheetViews>
    <sheetView showGridLines="0" showRowColHeaders="0" tabSelected="1" zoomScale="75" zoomScaleNormal="75" workbookViewId="0">
      <selection activeCell="K551" sqref="K551"/>
    </sheetView>
  </sheetViews>
  <sheetFormatPr defaultColWidth="0" defaultRowHeight="14.4" x14ac:dyDescent="0.3"/>
  <cols>
    <col min="1" max="3" width="2.21875" customWidth="1"/>
    <col min="4" max="4" width="24.88671875" style="1" bestFit="1" customWidth="1"/>
    <col min="5" max="5" width="24.44140625" bestFit="1" customWidth="1"/>
    <col min="6" max="6" width="19.33203125" bestFit="1" customWidth="1"/>
    <col min="7" max="7" width="40.88671875" bestFit="1" customWidth="1"/>
    <col min="8" max="8" width="54.44140625" bestFit="1" customWidth="1"/>
    <col min="9" max="9" width="18.88671875" bestFit="1" customWidth="1"/>
    <col min="10" max="10" width="39.109375" bestFit="1" customWidth="1"/>
    <col min="11" max="11" width="25.21875" bestFit="1" customWidth="1"/>
    <col min="12" max="12" width="8.88671875" customWidth="1"/>
    <col min="13" max="13" width="9.109375" style="9" hidden="1" customWidth="1"/>
    <col min="14" max="14" width="54.44140625" style="5" hidden="1" customWidth="1"/>
    <col min="15" max="15" width="43.33203125" style="5" hidden="1" customWidth="1"/>
    <col min="16" max="16" width="8.88671875" style="5" hidden="1" customWidth="1"/>
    <col min="17" max="17" width="131.88671875" style="5" hidden="1" customWidth="1"/>
    <col min="18" max="18" width="11.21875" style="5" hidden="1" customWidth="1"/>
    <col min="19" max="19" width="131.88671875" style="5" hidden="1" customWidth="1"/>
    <col min="20" max="20" width="20.77734375" style="5" hidden="1" customWidth="1"/>
    <col min="21" max="22" width="9.44140625" style="5" hidden="1" customWidth="1"/>
    <col min="23" max="23" width="49.5546875" style="5" hidden="1" customWidth="1"/>
    <col min="24" max="24" width="10.21875" style="5" hidden="1" customWidth="1"/>
    <col min="25" max="25" width="60" style="5" hidden="1" customWidth="1"/>
    <col min="26" max="26" width="8.88671875" style="5" hidden="1" customWidth="1"/>
    <col min="27" max="27" width="47.21875" style="5" hidden="1" customWidth="1"/>
    <col min="28" max="28" width="8.88671875" style="5" hidden="1" customWidth="1"/>
    <col min="29" max="29" width="9.44140625" style="5" hidden="1" customWidth="1"/>
    <col min="30" max="30" width="84.21875" style="5" hidden="1" customWidth="1"/>
    <col min="31" max="36" width="8.88671875" style="5" hidden="1" customWidth="1"/>
    <col min="37" max="16384" width="8.88671875" hidden="1"/>
  </cols>
  <sheetData>
    <row r="1" spans="1:36" s="15" customFormat="1" ht="28.8" x14ac:dyDescent="0.3">
      <c r="A1" s="102" t="s">
        <v>1206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s="15" customFormat="1" ht="15.6" hidden="1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M2" s="19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pans="1:36" s="15" customFormat="1" ht="15.6" hidden="1" customHeight="1" thickBo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6" s="15" customFormat="1" ht="15.6" customHeight="1" thickBo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6" s="15" customFormat="1" ht="30" thickTop="1" thickBot="1" x14ac:dyDescent="0.35">
      <c r="A5" s="14"/>
      <c r="B5" s="14"/>
      <c r="C5" s="14"/>
      <c r="D5" s="101" t="s">
        <v>241</v>
      </c>
      <c r="E5" s="14"/>
      <c r="F5" s="14"/>
      <c r="G5" s="14"/>
      <c r="H5" s="14"/>
      <c r="I5" s="14"/>
      <c r="J5" s="14"/>
      <c r="K5" s="14"/>
      <c r="M5" s="19"/>
      <c r="N5" s="25" t="s">
        <v>655</v>
      </c>
      <c r="O5" s="25">
        <f ca="1">COUNTIF(A:K,N5)</f>
        <v>20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 spans="1:36" ht="15.6" thickTop="1" thickBot="1" x14ac:dyDescent="0.35">
      <c r="D6" s="101"/>
      <c r="N6" s="26" t="s">
        <v>1195</v>
      </c>
      <c r="O6" s="25">
        <f ca="1">COUNTIF(A:K,N6)</f>
        <v>1</v>
      </c>
    </row>
    <row r="7" spans="1:36" ht="15.6" thickTop="1" thickBot="1" x14ac:dyDescent="0.35">
      <c r="D7" s="4">
        <f ca="1">TODAY()</f>
        <v>45738</v>
      </c>
      <c r="N7" s="26" t="s">
        <v>656</v>
      </c>
      <c r="O7" s="25">
        <f ca="1">COUNTIF(A:K,N7)</f>
        <v>5</v>
      </c>
    </row>
    <row r="8" spans="1:36" ht="16.8" customHeight="1" thickTop="1" thickBot="1" x14ac:dyDescent="0.35"/>
    <row r="9" spans="1:36" ht="30" customHeight="1" thickTop="1" thickBot="1" x14ac:dyDescent="0.35">
      <c r="D9" s="62" t="s">
        <v>242</v>
      </c>
      <c r="E9" s="63" t="s">
        <v>648</v>
      </c>
      <c r="F9" s="63" t="s">
        <v>657</v>
      </c>
      <c r="G9" s="63" t="s">
        <v>697</v>
      </c>
      <c r="H9" s="63" t="s">
        <v>1157</v>
      </c>
      <c r="I9" s="63" t="s">
        <v>0</v>
      </c>
      <c r="J9" s="64" t="s">
        <v>1198</v>
      </c>
      <c r="K9" s="64" t="s">
        <v>654</v>
      </c>
      <c r="M9" s="8" t="s">
        <v>698</v>
      </c>
      <c r="N9" s="21" t="s">
        <v>1109</v>
      </c>
      <c r="O9" s="21" t="s">
        <v>1109</v>
      </c>
      <c r="Q9" s="23" t="s">
        <v>1109</v>
      </c>
      <c r="R9" s="23" t="s">
        <v>1110</v>
      </c>
      <c r="U9" s="24" t="s">
        <v>1111</v>
      </c>
      <c r="V9" s="24" t="s">
        <v>1112</v>
      </c>
      <c r="X9" s="24"/>
      <c r="Y9" s="27" t="s">
        <v>1200</v>
      </c>
      <c r="Z9" s="27"/>
      <c r="AA9" s="27"/>
      <c r="AB9" s="80" t="s">
        <v>1201</v>
      </c>
      <c r="AC9" s="27" t="s">
        <v>1112</v>
      </c>
      <c r="AD9" s="80"/>
      <c r="AE9" s="80"/>
    </row>
    <row r="10" spans="1:36" ht="15.6" thickTop="1" thickBot="1" x14ac:dyDescent="0.35">
      <c r="D10" s="57">
        <v>45293</v>
      </c>
      <c r="E10" s="58" t="s">
        <v>1161</v>
      </c>
      <c r="F10" s="59" t="s">
        <v>243</v>
      </c>
      <c r="G10" s="59" t="s">
        <v>669</v>
      </c>
      <c r="H10" s="59" t="s">
        <v>1114</v>
      </c>
      <c r="I10" s="60" t="s">
        <v>649</v>
      </c>
      <c r="J10" s="61" t="s">
        <v>1188</v>
      </c>
      <c r="K10" s="61" t="s">
        <v>1195</v>
      </c>
      <c r="M10" s="9" t="str">
        <f t="shared" ref="M10:M73" si="0">IF(ISBLANK(D10), "", IFERROR(PROPER(TEXT(D10,"mmmm")),""))</f>
        <v>Janeiro</v>
      </c>
      <c r="N10" s="22" t="str">
        <f>H10</f>
        <v>4783-1/02 - Comércio varejista de artigos de relojoaria</v>
      </c>
      <c r="O10" s="22" t="str">
        <f>IFERROR(RIGHT(N10,LEN(N10)-SEARCH("- ",N10)-1),"")</f>
        <v>Comércio varejista de artigos de relojoaria</v>
      </c>
      <c r="Q10" s="5" t="str">
        <f>'CNAE_Cód.Atividade Econômica'!B152</f>
        <v>Comércio varejista de plantas e flores naturais</v>
      </c>
      <c r="R10" s="5">
        <f t="shared" ref="R10:R73" ca="1" si="1">COUNTIF($O:$O,Q10)</f>
        <v>8</v>
      </c>
      <c r="S10" s="5" t="str">
        <f t="shared" ref="S10:S73" si="2">Q10</f>
        <v>Comércio varejista de plantas e flores naturais</v>
      </c>
      <c r="U10" s="5">
        <f ca="1">COUNTIF(R$10:R10,R10)</f>
        <v>1</v>
      </c>
      <c r="V10" s="5" t="str">
        <f t="shared" ref="V10:V73" ca="1" si="3">R10&amp;U10</f>
        <v>81</v>
      </c>
      <c r="W10" s="5" t="str">
        <f t="shared" ref="W10:W73" ca="1" si="4">INDEX($S$10:$S$401, MATCH(V10,$V$10:$V$1048576, 0))</f>
        <v>Comércio varejista de plantas e flores naturais</v>
      </c>
      <c r="Y10" s="5">
        <v>1</v>
      </c>
      <c r="Z10" s="5">
        <f ca="1">LARGE($R$10:$R$1048576,Y10)</f>
        <v>8</v>
      </c>
      <c r="AA10" s="5" t="str">
        <f ca="1">INDEX(S$10:S$1000, MATCH(R10, R$10:R$1000, 0))</f>
        <v>Comércio varejista de plantas e flores naturais</v>
      </c>
      <c r="AB10" s="5">
        <f ca="1">COUNTIF(R$10:R10,R10)</f>
        <v>1</v>
      </c>
      <c r="AC10" s="5" t="str">
        <f ca="1">R10&amp;U10</f>
        <v>81</v>
      </c>
      <c r="AD10" s="5" t="str">
        <f ca="1">INDEX($S$10:$S$1048576, MATCH(AC10, $V$10:$V$1048576, 0))</f>
        <v>Comércio varejista de plantas e flores naturais</v>
      </c>
      <c r="AE10" s="5">
        <f ca="1">Z10</f>
        <v>8</v>
      </c>
    </row>
    <row r="11" spans="1:36" ht="15.6" thickTop="1" thickBot="1" x14ac:dyDescent="0.35">
      <c r="D11" s="57">
        <v>45293</v>
      </c>
      <c r="E11" s="58" t="s">
        <v>1162</v>
      </c>
      <c r="F11" s="59" t="s">
        <v>244</v>
      </c>
      <c r="G11" s="59" t="s">
        <v>668</v>
      </c>
      <c r="H11" s="59" t="s">
        <v>1114</v>
      </c>
      <c r="I11" s="60" t="s">
        <v>650</v>
      </c>
      <c r="J11" s="61" t="s">
        <v>1188</v>
      </c>
      <c r="K11" s="61" t="s">
        <v>655</v>
      </c>
      <c r="M11" s="9" t="str">
        <f t="shared" si="0"/>
        <v>Janeiro</v>
      </c>
      <c r="N11" s="22" t="str">
        <f t="shared" ref="N11:N22" si="5">H11</f>
        <v>4783-1/02 - Comércio varejista de artigos de relojoaria</v>
      </c>
      <c r="O11" s="22" t="str">
        <f t="shared" ref="O11:O74" si="6">IFERROR(RIGHT(N11,LEN(N11)-SEARCH("- ",N11)-1),"")</f>
        <v>Comércio varejista de artigos de relojoaria</v>
      </c>
      <c r="Q11" s="5" t="str">
        <f>'CNAE_Cód.Atividade Econômica'!B149</f>
        <v>Comércio varejista de antigüidades</v>
      </c>
      <c r="R11" s="5">
        <f t="shared" ca="1" si="1"/>
        <v>7</v>
      </c>
      <c r="S11" s="5" t="str">
        <f t="shared" si="2"/>
        <v>Comércio varejista de antigüidades</v>
      </c>
      <c r="U11" s="5">
        <f ca="1">COUNTIF(R$10:R11,R11)</f>
        <v>1</v>
      </c>
      <c r="V11" s="5" t="str">
        <f t="shared" ca="1" si="3"/>
        <v>71</v>
      </c>
      <c r="W11" s="5" t="str">
        <f t="shared" ca="1" si="4"/>
        <v>Comércio varejista de antigüidades</v>
      </c>
      <c r="Y11" s="5">
        <v>2</v>
      </c>
      <c r="Z11" s="5">
        <f t="shared" ref="Z11:Z74" ca="1" si="7">LARGE($R$10:$R$1048576,Y11)</f>
        <v>7</v>
      </c>
      <c r="AA11" s="5" t="str">
        <f t="shared" ref="AA11:AA74" ca="1" si="8">INDEX(S$10:S$1000, MATCH(R11, R$10:R$1000, 0))</f>
        <v>Comércio varejista de antigüidades</v>
      </c>
      <c r="AB11" s="5">
        <f ca="1">COUNTIF(R$10:R11,R11)</f>
        <v>1</v>
      </c>
      <c r="AC11" s="5" t="str">
        <f t="shared" ref="AC11:AC74" ca="1" si="9">R11&amp;U11</f>
        <v>71</v>
      </c>
      <c r="AD11" s="5" t="str">
        <f t="shared" ref="AD11:AD74" ca="1" si="10">INDEX($S$10:$S$1048576, MATCH(AC11, $V$10:$V$1048576, 0))</f>
        <v>Comércio varejista de antigüidades</v>
      </c>
      <c r="AE11" s="5">
        <f t="shared" ref="AE11:AE74" ca="1" si="11">Z11</f>
        <v>7</v>
      </c>
    </row>
    <row r="12" spans="1:36" ht="15.6" thickTop="1" thickBot="1" x14ac:dyDescent="0.35">
      <c r="D12" s="57">
        <v>45293</v>
      </c>
      <c r="E12" s="58" t="s">
        <v>1163</v>
      </c>
      <c r="F12" s="59" t="s">
        <v>245</v>
      </c>
      <c r="G12" s="59" t="s">
        <v>713</v>
      </c>
      <c r="H12" s="59" t="s">
        <v>1129</v>
      </c>
      <c r="I12" s="60" t="s">
        <v>650</v>
      </c>
      <c r="J12" s="61" t="s">
        <v>1188</v>
      </c>
      <c r="K12" s="61" t="s">
        <v>656</v>
      </c>
      <c r="M12" s="9" t="str">
        <f t="shared" si="0"/>
        <v>Janeiro</v>
      </c>
      <c r="N12" s="22" t="str">
        <f t="shared" si="5"/>
        <v>4789-0/02 - Comércio varejista de plantas e flores naturais</v>
      </c>
      <c r="O12" s="22" t="str">
        <f t="shared" si="6"/>
        <v>Comércio varejista de plantas e flores naturais</v>
      </c>
      <c r="Q12" s="5" t="str">
        <f>'CNAE_Cód.Atividade Econômica'!B148</f>
        <v>Comércio varejista de artigos de relojoaria</v>
      </c>
      <c r="R12" s="5">
        <f t="shared" ca="1" si="1"/>
        <v>4</v>
      </c>
      <c r="S12" s="5" t="str">
        <f t="shared" si="2"/>
        <v>Comércio varejista de artigos de relojoaria</v>
      </c>
      <c r="U12" s="5">
        <f ca="1">COUNTIF(R$10:R12,R12)</f>
        <v>1</v>
      </c>
      <c r="V12" s="5" t="str">
        <f t="shared" ca="1" si="3"/>
        <v>41</v>
      </c>
      <c r="W12" s="5" t="str">
        <f t="shared" ca="1" si="4"/>
        <v>Comércio varejista de artigos de relojoaria</v>
      </c>
      <c r="Y12" s="5">
        <v>3</v>
      </c>
      <c r="Z12" s="5">
        <f t="shared" ca="1" si="7"/>
        <v>4</v>
      </c>
      <c r="AA12" s="5" t="str">
        <f t="shared" ca="1" si="8"/>
        <v>Comércio varejista de artigos de relojoaria</v>
      </c>
      <c r="AB12" s="5">
        <f ca="1">COUNTIF(R$10:R12,R12)</f>
        <v>1</v>
      </c>
      <c r="AC12" s="5" t="str">
        <f t="shared" ca="1" si="9"/>
        <v>41</v>
      </c>
      <c r="AD12" s="5" t="str">
        <f t="shared" ca="1" si="10"/>
        <v>Comércio varejista de artigos de relojoaria</v>
      </c>
      <c r="AE12" s="5">
        <f t="shared" ca="1" si="11"/>
        <v>4</v>
      </c>
    </row>
    <row r="13" spans="1:36" ht="15.6" thickTop="1" thickBot="1" x14ac:dyDescent="0.35">
      <c r="D13" s="57">
        <v>45294</v>
      </c>
      <c r="E13" s="58" t="s">
        <v>1164</v>
      </c>
      <c r="F13" s="59" t="s">
        <v>671</v>
      </c>
      <c r="G13" s="59" t="s">
        <v>713</v>
      </c>
      <c r="H13" s="59" t="s">
        <v>1129</v>
      </c>
      <c r="I13" s="60" t="s">
        <v>650</v>
      </c>
      <c r="J13" s="61" t="s">
        <v>1188</v>
      </c>
      <c r="K13" s="61" t="s">
        <v>655</v>
      </c>
      <c r="M13" s="9" t="str">
        <f t="shared" si="0"/>
        <v>Janeiro</v>
      </c>
      <c r="N13" s="22" t="str">
        <f t="shared" si="5"/>
        <v>4789-0/02 - Comércio varejista de plantas e flores naturais</v>
      </c>
      <c r="O13" s="22" t="str">
        <f t="shared" si="6"/>
        <v>Comércio varejista de plantas e flores naturais</v>
      </c>
      <c r="Q13" s="5" t="str">
        <f>'CNAE_Cód.Atividade Econômica'!B68</f>
        <v>Serviços de capotaria</v>
      </c>
      <c r="R13" s="5">
        <f t="shared" ca="1" si="1"/>
        <v>2</v>
      </c>
      <c r="S13" s="5" t="str">
        <f t="shared" si="2"/>
        <v>Serviços de capotaria</v>
      </c>
      <c r="U13" s="5">
        <f ca="1">COUNTIF(R$10:R13,R13)</f>
        <v>1</v>
      </c>
      <c r="V13" s="5" t="str">
        <f t="shared" ca="1" si="3"/>
        <v>21</v>
      </c>
      <c r="W13" s="5" t="str">
        <f t="shared" ca="1" si="4"/>
        <v>Serviços de capotaria</v>
      </c>
      <c r="Y13" s="5">
        <v>4</v>
      </c>
      <c r="Z13" s="5">
        <f t="shared" ca="1" si="7"/>
        <v>2</v>
      </c>
      <c r="AA13" s="5" t="str">
        <f t="shared" ca="1" si="8"/>
        <v>Serviços de capotaria</v>
      </c>
      <c r="AB13" s="5">
        <f ca="1">COUNTIF(R$10:R13,R13)</f>
        <v>1</v>
      </c>
      <c r="AC13" s="5" t="str">
        <f t="shared" ca="1" si="9"/>
        <v>21</v>
      </c>
      <c r="AD13" s="5" t="str">
        <f t="shared" ca="1" si="10"/>
        <v>Serviços de capotaria</v>
      </c>
      <c r="AE13" s="5">
        <f t="shared" ca="1" si="11"/>
        <v>2</v>
      </c>
    </row>
    <row r="14" spans="1:36" ht="15.6" thickTop="1" thickBot="1" x14ac:dyDescent="0.35">
      <c r="D14" s="57">
        <v>45323</v>
      </c>
      <c r="E14" s="58" t="s">
        <v>1165</v>
      </c>
      <c r="F14" s="59" t="s">
        <v>246</v>
      </c>
      <c r="G14" s="59" t="s">
        <v>670</v>
      </c>
      <c r="H14" s="59" t="s">
        <v>1129</v>
      </c>
      <c r="I14" s="60" t="s">
        <v>650</v>
      </c>
      <c r="J14" s="61" t="s">
        <v>1188</v>
      </c>
      <c r="K14" s="61" t="s">
        <v>655</v>
      </c>
      <c r="M14" s="9" t="str">
        <f t="shared" si="0"/>
        <v>Fevereiro</v>
      </c>
      <c r="N14" s="22" t="str">
        <f t="shared" si="5"/>
        <v>4789-0/02 - Comércio varejista de plantas e flores naturais</v>
      </c>
      <c r="O14" s="22" t="str">
        <f t="shared" si="6"/>
        <v>Comércio varejista de plantas e flores naturais</v>
      </c>
      <c r="Q14" s="5" t="str">
        <f>'CNAE_Cód.Atividade Econômica'!B167</f>
        <v>Campings</v>
      </c>
      <c r="R14" s="5">
        <f t="shared" ca="1" si="1"/>
        <v>2</v>
      </c>
      <c r="S14" s="5" t="str">
        <f t="shared" si="2"/>
        <v>Campings</v>
      </c>
      <c r="U14" s="5">
        <f ca="1">COUNTIF(R$10:R14,R14)</f>
        <v>2</v>
      </c>
      <c r="V14" s="5" t="str">
        <f t="shared" ca="1" si="3"/>
        <v>22</v>
      </c>
      <c r="W14" s="5" t="str">
        <f t="shared" ca="1" si="4"/>
        <v>Campings</v>
      </c>
      <c r="Y14" s="5">
        <v>5</v>
      </c>
      <c r="Z14" s="5">
        <f t="shared" ca="1" si="7"/>
        <v>2</v>
      </c>
      <c r="AA14" s="5" t="str">
        <f t="shared" ca="1" si="8"/>
        <v>Serviços de capotaria</v>
      </c>
      <c r="AB14" s="5">
        <f ca="1">COUNTIF(R$10:R14,R14)</f>
        <v>2</v>
      </c>
      <c r="AC14" s="5" t="str">
        <f t="shared" ca="1" si="9"/>
        <v>22</v>
      </c>
      <c r="AD14" s="5" t="str">
        <f t="shared" ca="1" si="10"/>
        <v>Campings</v>
      </c>
      <c r="AE14" s="5">
        <f t="shared" ca="1" si="11"/>
        <v>2</v>
      </c>
    </row>
    <row r="15" spans="1:36" ht="15.6" thickTop="1" thickBot="1" x14ac:dyDescent="0.35">
      <c r="D15" s="57">
        <v>45323</v>
      </c>
      <c r="E15" s="58" t="s">
        <v>1166</v>
      </c>
      <c r="F15" s="59" t="s">
        <v>247</v>
      </c>
      <c r="G15" s="59" t="s">
        <v>670</v>
      </c>
      <c r="H15" s="59" t="s">
        <v>1129</v>
      </c>
      <c r="I15" s="60" t="s">
        <v>650</v>
      </c>
      <c r="J15" s="61" t="s">
        <v>1188</v>
      </c>
      <c r="K15" s="61" t="s">
        <v>655</v>
      </c>
      <c r="M15" s="9" t="str">
        <f t="shared" si="0"/>
        <v>Fevereiro</v>
      </c>
      <c r="N15" s="22" t="str">
        <f t="shared" si="5"/>
        <v>4789-0/02 - Comércio varejista de plantas e flores naturais</v>
      </c>
      <c r="O15" s="22" t="str">
        <f t="shared" si="6"/>
        <v>Comércio varejista de plantas e flores naturais</v>
      </c>
      <c r="Q15" s="5" t="str">
        <f>'CNAE_Cód.Atividade Econômica'!B160</f>
        <v>Guarda-móveis</v>
      </c>
      <c r="R15" s="5">
        <f t="shared" ca="1" si="1"/>
        <v>0</v>
      </c>
      <c r="S15" s="5" t="str">
        <f t="shared" si="2"/>
        <v>Guarda-móveis</v>
      </c>
      <c r="U15" s="5">
        <f ca="1">COUNTIF(R$10:R15,R15)</f>
        <v>1</v>
      </c>
      <c r="V15" s="5" t="str">
        <f t="shared" ca="1" si="3"/>
        <v>01</v>
      </c>
      <c r="W15" s="5" t="str">
        <f t="shared" ca="1" si="4"/>
        <v>Guarda-móveis</v>
      </c>
      <c r="Y15" s="5">
        <v>6</v>
      </c>
      <c r="Z15" s="5">
        <f t="shared" ca="1" si="7"/>
        <v>1</v>
      </c>
      <c r="AA15" s="5" t="str">
        <f t="shared" ca="1" si="8"/>
        <v>Guarda-móveis</v>
      </c>
      <c r="AB15" s="5">
        <f ca="1">COUNTIF(R$10:R15,R15)</f>
        <v>1</v>
      </c>
      <c r="AC15" s="5" t="str">
        <f t="shared" ca="1" si="9"/>
        <v>01</v>
      </c>
      <c r="AD15" s="5" t="str">
        <f t="shared" ca="1" si="10"/>
        <v>Guarda-móveis</v>
      </c>
      <c r="AE15" s="5">
        <f t="shared" ca="1" si="11"/>
        <v>1</v>
      </c>
    </row>
    <row r="16" spans="1:36" ht="15.6" thickTop="1" thickBot="1" x14ac:dyDescent="0.35">
      <c r="D16" s="57">
        <v>45323</v>
      </c>
      <c r="E16" s="58" t="s">
        <v>1167</v>
      </c>
      <c r="F16" s="59" t="s">
        <v>248</v>
      </c>
      <c r="G16" s="59" t="s">
        <v>670</v>
      </c>
      <c r="H16" s="59" t="s">
        <v>1129</v>
      </c>
      <c r="I16" s="60" t="s">
        <v>651</v>
      </c>
      <c r="J16" s="61" t="s">
        <v>1188</v>
      </c>
      <c r="K16" s="61" t="s">
        <v>655</v>
      </c>
      <c r="M16" s="9" t="str">
        <f t="shared" si="0"/>
        <v>Fevereiro</v>
      </c>
      <c r="N16" s="22" t="str">
        <f t="shared" si="5"/>
        <v>4789-0/02 - Comércio varejista de plantas e flores naturais</v>
      </c>
      <c r="O16" s="22" t="str">
        <f t="shared" si="6"/>
        <v>Comércio varejista de plantas e flores naturais</v>
      </c>
      <c r="Q16" s="5" t="str">
        <f>'CNAE_Cód.Atividade Econômica'!B150</f>
        <v>Comércio varejista de outros artigos usados</v>
      </c>
      <c r="R16" s="5">
        <f t="shared" ca="1" si="1"/>
        <v>1</v>
      </c>
      <c r="S16" s="5" t="str">
        <f t="shared" si="2"/>
        <v>Comércio varejista de outros artigos usados</v>
      </c>
      <c r="U16" s="5">
        <f ca="1">COUNTIF(R$10:R16,R16)</f>
        <v>1</v>
      </c>
      <c r="V16" s="5" t="str">
        <f t="shared" ca="1" si="3"/>
        <v>11</v>
      </c>
      <c r="W16" s="5" t="str">
        <f t="shared" ca="1" si="4"/>
        <v>Comércio varejista de outros artigos usados</v>
      </c>
      <c r="Y16" s="5">
        <v>7</v>
      </c>
      <c r="Z16" s="5">
        <f t="shared" ca="1" si="7"/>
        <v>1</v>
      </c>
      <c r="AA16" s="5" t="str">
        <f t="shared" ca="1" si="8"/>
        <v>Comércio varejista de outros artigos usados</v>
      </c>
      <c r="AB16" s="5">
        <f ca="1">COUNTIF(R$10:R16,R16)</f>
        <v>1</v>
      </c>
      <c r="AC16" s="5" t="str">
        <f t="shared" ca="1" si="9"/>
        <v>11</v>
      </c>
      <c r="AD16" s="5" t="str">
        <f t="shared" ca="1" si="10"/>
        <v>Comércio varejista de outros artigos usados</v>
      </c>
      <c r="AE16" s="5">
        <f t="shared" ca="1" si="11"/>
        <v>1</v>
      </c>
    </row>
    <row r="17" spans="4:31" ht="15.6" thickTop="1" thickBot="1" x14ac:dyDescent="0.35">
      <c r="D17" s="57">
        <v>45323</v>
      </c>
      <c r="E17" s="58" t="s">
        <v>1168</v>
      </c>
      <c r="F17" s="59" t="s">
        <v>249</v>
      </c>
      <c r="G17" s="59" t="s">
        <v>670</v>
      </c>
      <c r="H17" s="59" t="s">
        <v>1129</v>
      </c>
      <c r="I17" s="60" t="s">
        <v>651</v>
      </c>
      <c r="J17" s="61" t="s">
        <v>1188</v>
      </c>
      <c r="K17" s="61" t="s">
        <v>655</v>
      </c>
      <c r="M17" s="9" t="str">
        <f t="shared" si="0"/>
        <v>Fevereiro</v>
      </c>
      <c r="N17" s="22" t="str">
        <f t="shared" si="5"/>
        <v>4789-0/02 - Comércio varejista de plantas e flores naturais</v>
      </c>
      <c r="O17" s="22" t="str">
        <f t="shared" si="6"/>
        <v>Comércio varejista de plantas e flores naturais</v>
      </c>
      <c r="Q17" s="5" t="str">
        <f>'CNAE_Cód.Atividade Econômica'!B151</f>
        <v>Comércio varejista de suvenires, bijuterias e artesanatos</v>
      </c>
      <c r="R17" s="5">
        <f t="shared" ca="1" si="1"/>
        <v>1</v>
      </c>
      <c r="S17" s="5" t="str">
        <f t="shared" si="2"/>
        <v>Comércio varejista de suvenires, bijuterias e artesanatos</v>
      </c>
      <c r="U17" s="5">
        <f ca="1">COUNTIF(R$10:R17,R17)</f>
        <v>2</v>
      </c>
      <c r="V17" s="5" t="str">
        <f t="shared" ca="1" si="3"/>
        <v>12</v>
      </c>
      <c r="W17" s="5" t="str">
        <f t="shared" ca="1" si="4"/>
        <v>Comércio varejista de suvenires, bijuterias e artesanatos</v>
      </c>
      <c r="Y17" s="5">
        <v>8</v>
      </c>
      <c r="Z17" s="5">
        <f t="shared" ca="1" si="7"/>
        <v>1</v>
      </c>
      <c r="AA17" s="5" t="str">
        <f t="shared" ca="1" si="8"/>
        <v>Comércio varejista de outros artigos usados</v>
      </c>
      <c r="AB17" s="5">
        <f ca="1">COUNTIF(R$10:R17,R17)</f>
        <v>2</v>
      </c>
      <c r="AC17" s="5" t="str">
        <f t="shared" ca="1" si="9"/>
        <v>12</v>
      </c>
      <c r="AD17" s="5" t="str">
        <f t="shared" ca="1" si="10"/>
        <v>Comércio varejista de suvenires, bijuterias e artesanatos</v>
      </c>
      <c r="AE17" s="5">
        <f t="shared" ca="1" si="11"/>
        <v>1</v>
      </c>
    </row>
    <row r="18" spans="4:31" ht="15.6" thickTop="1" thickBot="1" x14ac:dyDescent="0.35">
      <c r="D18" s="57">
        <v>45323</v>
      </c>
      <c r="E18" s="58" t="s">
        <v>1169</v>
      </c>
      <c r="F18" s="59" t="s">
        <v>250</v>
      </c>
      <c r="G18" s="59" t="s">
        <v>670</v>
      </c>
      <c r="H18" s="59" t="s">
        <v>1129</v>
      </c>
      <c r="I18" s="60" t="s">
        <v>651</v>
      </c>
      <c r="J18" s="61" t="s">
        <v>1188</v>
      </c>
      <c r="K18" s="61" t="s">
        <v>655</v>
      </c>
      <c r="M18" s="9" t="str">
        <f t="shared" si="0"/>
        <v>Fevereiro</v>
      </c>
      <c r="N18" s="22" t="str">
        <f t="shared" si="5"/>
        <v>4789-0/02 - Comércio varejista de plantas e flores naturais</v>
      </c>
      <c r="O18" s="22" t="str">
        <f t="shared" si="6"/>
        <v>Comércio varejista de plantas e flores naturais</v>
      </c>
      <c r="Q18" s="5" t="str">
        <f>'CNAE_Cód.Atividade Econômica'!B153</f>
        <v>Comércio varejista de objetos de arte</v>
      </c>
      <c r="R18" s="5">
        <f t="shared" ca="1" si="1"/>
        <v>1</v>
      </c>
      <c r="S18" s="5" t="str">
        <f t="shared" si="2"/>
        <v>Comércio varejista de objetos de arte</v>
      </c>
      <c r="U18" s="5">
        <f ca="1">COUNTIF(R$10:R18,R18)</f>
        <v>3</v>
      </c>
      <c r="V18" s="5" t="str">
        <f t="shared" ca="1" si="3"/>
        <v>13</v>
      </c>
      <c r="W18" s="5" t="str">
        <f t="shared" ca="1" si="4"/>
        <v>Comércio varejista de objetos de arte</v>
      </c>
      <c r="Y18" s="5">
        <v>9</v>
      </c>
      <c r="Z18" s="5">
        <f t="shared" ca="1" si="7"/>
        <v>0</v>
      </c>
      <c r="AA18" s="5" t="str">
        <f t="shared" ca="1" si="8"/>
        <v>Comércio varejista de outros artigos usados</v>
      </c>
      <c r="AB18" s="5">
        <f ca="1">COUNTIF(R$10:R18,R18)</f>
        <v>3</v>
      </c>
      <c r="AC18" s="5" t="str">
        <f t="shared" ca="1" si="9"/>
        <v>13</v>
      </c>
      <c r="AD18" s="5" t="str">
        <f t="shared" ca="1" si="10"/>
        <v>Comércio varejista de objetos de arte</v>
      </c>
      <c r="AE18" s="5">
        <f t="shared" ca="1" si="11"/>
        <v>0</v>
      </c>
    </row>
    <row r="19" spans="4:31" ht="15.6" thickTop="1" thickBot="1" x14ac:dyDescent="0.35">
      <c r="D19" s="57">
        <v>45356</v>
      </c>
      <c r="E19" s="58" t="s">
        <v>1170</v>
      </c>
      <c r="F19" s="59" t="s">
        <v>251</v>
      </c>
      <c r="G19" s="59" t="s">
        <v>669</v>
      </c>
      <c r="H19" s="59" t="s">
        <v>1128</v>
      </c>
      <c r="I19" s="60" t="s">
        <v>653</v>
      </c>
      <c r="J19" s="61" t="s">
        <v>1188</v>
      </c>
      <c r="K19" s="61" t="s">
        <v>655</v>
      </c>
      <c r="M19" s="9" t="str">
        <f t="shared" si="0"/>
        <v>Março</v>
      </c>
      <c r="N19" s="22" t="str">
        <f t="shared" si="5"/>
        <v>4785-7/99 - Comércio varejista de outros artigos usados</v>
      </c>
      <c r="O19" s="22" t="str">
        <f t="shared" si="6"/>
        <v>Comércio varejista de outros artigos usados</v>
      </c>
      <c r="Q19" s="5" t="str">
        <f>'CNAE_Cód.Atividade Econômica'!B2</f>
        <v>Serviço de preparação de terreno, cultivo e colheita</v>
      </c>
      <c r="R19" s="5">
        <f t="shared" ca="1" si="1"/>
        <v>0</v>
      </c>
      <c r="S19" s="5" t="str">
        <f t="shared" si="2"/>
        <v>Serviço de preparação de terreno, cultivo e colheita</v>
      </c>
      <c r="U19" s="5">
        <f ca="1">COUNTIF(R$10:R19,R19)</f>
        <v>2</v>
      </c>
      <c r="V19" s="5" t="str">
        <f t="shared" ca="1" si="3"/>
        <v>02</v>
      </c>
      <c r="W19" s="5" t="str">
        <f t="shared" ca="1" si="4"/>
        <v>Serviço de preparação de terreno, cultivo e colheita</v>
      </c>
      <c r="Y19" s="5">
        <v>10</v>
      </c>
      <c r="Z19" s="5">
        <f t="shared" ca="1" si="7"/>
        <v>0</v>
      </c>
      <c r="AA19" s="5" t="str">
        <f t="shared" ca="1" si="8"/>
        <v>Guarda-móveis</v>
      </c>
      <c r="AB19" s="5">
        <f ca="1">COUNTIF(R$10:R19,R19)</f>
        <v>2</v>
      </c>
      <c r="AC19" s="5" t="str">
        <f t="shared" ca="1" si="9"/>
        <v>02</v>
      </c>
      <c r="AD19" s="5" t="str">
        <f t="shared" ca="1" si="10"/>
        <v>Serviço de preparação de terreno, cultivo e colheita</v>
      </c>
      <c r="AE19" s="5">
        <f t="shared" ca="1" si="11"/>
        <v>0</v>
      </c>
    </row>
    <row r="20" spans="4:31" ht="15.6" thickTop="1" thickBot="1" x14ac:dyDescent="0.35">
      <c r="D20" s="57">
        <v>45356</v>
      </c>
      <c r="E20" s="58" t="s">
        <v>1171</v>
      </c>
      <c r="F20" s="59" t="s">
        <v>252</v>
      </c>
      <c r="G20" s="59" t="s">
        <v>669</v>
      </c>
      <c r="H20" s="59" t="s">
        <v>1160</v>
      </c>
      <c r="I20" s="60" t="s">
        <v>653</v>
      </c>
      <c r="J20" s="61" t="s">
        <v>1188</v>
      </c>
      <c r="K20" s="61" t="s">
        <v>655</v>
      </c>
      <c r="M20" s="9" t="str">
        <f t="shared" si="0"/>
        <v>Março</v>
      </c>
      <c r="N20" s="22" t="str">
        <f t="shared" si="5"/>
        <v>5590-6/02 - Campings</v>
      </c>
      <c r="O20" s="22" t="str">
        <f t="shared" si="6"/>
        <v>Campings</v>
      </c>
      <c r="Q20" s="5" t="str">
        <f>'CNAE_Cód.Atividade Econômica'!B386</f>
        <v>Atividades de Estética e outros serviços de cuidados com a beleza</v>
      </c>
      <c r="R20" s="5">
        <f t="shared" ca="1" si="1"/>
        <v>0</v>
      </c>
      <c r="S20" s="5" t="str">
        <f t="shared" si="2"/>
        <v>Atividades de Estética e outros serviços de cuidados com a beleza</v>
      </c>
      <c r="U20" s="5">
        <f ca="1">COUNTIF(R$10:R20,R20)</f>
        <v>3</v>
      </c>
      <c r="V20" s="5" t="str">
        <f t="shared" ca="1" si="3"/>
        <v>03</v>
      </c>
      <c r="W20" s="5" t="str">
        <f t="shared" ca="1" si="4"/>
        <v>Atividades de Estética e outros serviços de cuidados com a beleza</v>
      </c>
      <c r="Y20" s="5">
        <v>11</v>
      </c>
      <c r="Z20" s="5">
        <f t="shared" ca="1" si="7"/>
        <v>0</v>
      </c>
      <c r="AA20" s="5" t="str">
        <f t="shared" ca="1" si="8"/>
        <v>Guarda-móveis</v>
      </c>
      <c r="AB20" s="5">
        <f ca="1">COUNTIF(R$10:R20,R20)</f>
        <v>3</v>
      </c>
      <c r="AC20" s="5" t="str">
        <f t="shared" ca="1" si="9"/>
        <v>03</v>
      </c>
      <c r="AD20" s="5" t="str">
        <f t="shared" ca="1" si="10"/>
        <v>Atividades de Estética e outros serviços de cuidados com a beleza</v>
      </c>
      <c r="AE20" s="5">
        <f t="shared" ca="1" si="11"/>
        <v>0</v>
      </c>
    </row>
    <row r="21" spans="4:31" ht="15.6" thickTop="1" thickBot="1" x14ac:dyDescent="0.35">
      <c r="D21" s="57">
        <v>45383</v>
      </c>
      <c r="E21" s="58" t="s">
        <v>1172</v>
      </c>
      <c r="F21" s="59" t="s">
        <v>253</v>
      </c>
      <c r="G21" s="59" t="s">
        <v>669</v>
      </c>
      <c r="H21" s="59" t="s">
        <v>1187</v>
      </c>
      <c r="I21" s="60" t="s">
        <v>653</v>
      </c>
      <c r="J21" s="61" t="s">
        <v>1188</v>
      </c>
      <c r="K21" s="61" t="s">
        <v>655</v>
      </c>
      <c r="M21" s="9" t="str">
        <f t="shared" si="0"/>
        <v>Abril</v>
      </c>
      <c r="N21" s="22" t="str">
        <f t="shared" si="5"/>
        <v>4789-0/01 - Comércio varejista de suvenires, bijuterias e artesanatos</v>
      </c>
      <c r="O21" s="22" t="str">
        <f t="shared" si="6"/>
        <v>Comércio varejista de suvenires, bijuterias e artesanatos</v>
      </c>
      <c r="Q21" s="5" t="str">
        <f>'CNAE_Cód.Atividade Econômica'!B388</f>
        <v>Atividades de sauna e banhos</v>
      </c>
      <c r="R21" s="5">
        <f t="shared" ca="1" si="1"/>
        <v>0</v>
      </c>
      <c r="S21" s="5" t="str">
        <f t="shared" si="2"/>
        <v>Atividades de sauna e banhos</v>
      </c>
      <c r="U21" s="5">
        <f ca="1">COUNTIF(R$10:R21,R21)</f>
        <v>4</v>
      </c>
      <c r="V21" s="5" t="str">
        <f t="shared" ca="1" si="3"/>
        <v>04</v>
      </c>
      <c r="W21" s="5" t="str">
        <f t="shared" ca="1" si="4"/>
        <v>Atividades de sauna e banhos</v>
      </c>
      <c r="Y21" s="5">
        <v>12</v>
      </c>
      <c r="Z21" s="5">
        <f t="shared" ca="1" si="7"/>
        <v>0</v>
      </c>
      <c r="AA21" s="5" t="str">
        <f t="shared" ca="1" si="8"/>
        <v>Guarda-móveis</v>
      </c>
      <c r="AB21" s="5">
        <f ca="1">COUNTIF(R$10:R21,R21)</f>
        <v>4</v>
      </c>
      <c r="AC21" s="5" t="str">
        <f t="shared" ca="1" si="9"/>
        <v>04</v>
      </c>
      <c r="AD21" s="5" t="str">
        <f t="shared" ca="1" si="10"/>
        <v>Atividades de sauna e banhos</v>
      </c>
      <c r="AE21" s="5">
        <f t="shared" ca="1" si="11"/>
        <v>0</v>
      </c>
    </row>
    <row r="22" spans="4:31" ht="15.6" thickTop="1" thickBot="1" x14ac:dyDescent="0.35">
      <c r="D22" s="57">
        <v>45383</v>
      </c>
      <c r="E22" s="58" t="s">
        <v>1173</v>
      </c>
      <c r="F22" s="59" t="s">
        <v>254</v>
      </c>
      <c r="G22" s="59" t="s">
        <v>669</v>
      </c>
      <c r="H22" s="59" t="s">
        <v>1113</v>
      </c>
      <c r="I22" s="60" t="s">
        <v>652</v>
      </c>
      <c r="J22" s="61" t="s">
        <v>1188</v>
      </c>
      <c r="K22" s="61" t="s">
        <v>655</v>
      </c>
      <c r="M22" s="9" t="str">
        <f t="shared" si="0"/>
        <v>Abril</v>
      </c>
      <c r="N22" s="22" t="str">
        <f t="shared" si="5"/>
        <v>4785-7/01 - Comércio varejista de antigüidades</v>
      </c>
      <c r="O22" s="22" t="str">
        <f t="shared" si="6"/>
        <v>Comércio varejista de antigüidades</v>
      </c>
      <c r="Q22" s="5" t="str">
        <f>'CNAE_Cód.Atividade Econômica'!B7</f>
        <v>Serviço de laboratório óptico</v>
      </c>
      <c r="R22" s="5">
        <f t="shared" ca="1" si="1"/>
        <v>0</v>
      </c>
      <c r="S22" s="5" t="str">
        <f t="shared" si="2"/>
        <v>Serviço de laboratório óptico</v>
      </c>
      <c r="U22" s="5">
        <f ca="1">COUNTIF(R$10:R22,R22)</f>
        <v>5</v>
      </c>
      <c r="V22" s="5" t="str">
        <f t="shared" ca="1" si="3"/>
        <v>05</v>
      </c>
      <c r="W22" s="5" t="str">
        <f t="shared" ca="1" si="4"/>
        <v>Serviço de laboratório óptico</v>
      </c>
      <c r="Y22" s="5">
        <v>13</v>
      </c>
      <c r="Z22" s="5">
        <f t="shared" ca="1" si="7"/>
        <v>0</v>
      </c>
      <c r="AA22" s="5" t="str">
        <f t="shared" ca="1" si="8"/>
        <v>Guarda-móveis</v>
      </c>
      <c r="AB22" s="5">
        <f ca="1">COUNTIF(R$10:R22,R22)</f>
        <v>5</v>
      </c>
      <c r="AC22" s="5" t="str">
        <f t="shared" ca="1" si="9"/>
        <v>05</v>
      </c>
      <c r="AD22" s="5" t="str">
        <f t="shared" ca="1" si="10"/>
        <v>Serviço de laboratório óptico</v>
      </c>
      <c r="AE22" s="5">
        <f t="shared" ca="1" si="11"/>
        <v>0</v>
      </c>
    </row>
    <row r="23" spans="4:31" ht="15.6" thickTop="1" thickBot="1" x14ac:dyDescent="0.35">
      <c r="D23" s="57">
        <v>45413</v>
      </c>
      <c r="E23" s="58" t="s">
        <v>1174</v>
      </c>
      <c r="F23" s="59" t="s">
        <v>1115</v>
      </c>
      <c r="G23" s="59" t="s">
        <v>712</v>
      </c>
      <c r="H23" s="59" t="s">
        <v>1113</v>
      </c>
      <c r="I23" s="60" t="s">
        <v>652</v>
      </c>
      <c r="J23" s="61" t="s">
        <v>1188</v>
      </c>
      <c r="K23" s="61" t="s">
        <v>656</v>
      </c>
      <c r="M23" s="9" t="str">
        <f t="shared" si="0"/>
        <v>Maio</v>
      </c>
      <c r="N23" s="22" t="str">
        <f t="shared" ref="N23:N86" si="12">IF(H23="","",H23)</f>
        <v>4785-7/01 - Comércio varejista de antigüidades</v>
      </c>
      <c r="O23" s="22" t="str">
        <f t="shared" si="6"/>
        <v>Comércio varejista de antigüidades</v>
      </c>
      <c r="Q23" s="5" t="str">
        <f>'CNAE_Cód.Atividade Econômica'!B389</f>
        <v>Serviços de tatuagem e colocação de piercing</v>
      </c>
      <c r="R23" s="5">
        <f t="shared" ca="1" si="1"/>
        <v>0</v>
      </c>
      <c r="S23" s="5" t="str">
        <f t="shared" si="2"/>
        <v>Serviços de tatuagem e colocação de piercing</v>
      </c>
      <c r="U23" s="5">
        <f ca="1">COUNTIF(R$10:R23,R23)</f>
        <v>6</v>
      </c>
      <c r="V23" s="5" t="str">
        <f t="shared" ca="1" si="3"/>
        <v>06</v>
      </c>
      <c r="W23" s="5" t="str">
        <f t="shared" ca="1" si="4"/>
        <v>Serviços de tatuagem e colocação de piercing</v>
      </c>
      <c r="Y23" s="5">
        <v>14</v>
      </c>
      <c r="Z23" s="5">
        <f t="shared" ca="1" si="7"/>
        <v>0</v>
      </c>
      <c r="AA23" s="5" t="str">
        <f t="shared" ca="1" si="8"/>
        <v>Guarda-móveis</v>
      </c>
      <c r="AB23" s="5">
        <f ca="1">COUNTIF(R$10:R23,R23)</f>
        <v>6</v>
      </c>
      <c r="AC23" s="5" t="str">
        <f t="shared" ca="1" si="9"/>
        <v>06</v>
      </c>
      <c r="AD23" s="5" t="str">
        <f t="shared" ca="1" si="10"/>
        <v>Serviços de tatuagem e colocação de piercing</v>
      </c>
      <c r="AE23" s="5">
        <f t="shared" ca="1" si="11"/>
        <v>0</v>
      </c>
    </row>
    <row r="24" spans="4:31" ht="15.6" thickTop="1" thickBot="1" x14ac:dyDescent="0.35">
      <c r="D24" s="57">
        <v>45413</v>
      </c>
      <c r="E24" s="58" t="s">
        <v>1175</v>
      </c>
      <c r="F24" s="59" t="s">
        <v>1116</v>
      </c>
      <c r="G24" s="59" t="s">
        <v>712</v>
      </c>
      <c r="H24" s="59" t="s">
        <v>1113</v>
      </c>
      <c r="I24" s="60" t="s">
        <v>652</v>
      </c>
      <c r="J24" s="61" t="s">
        <v>1188</v>
      </c>
      <c r="K24" s="61" t="s">
        <v>656</v>
      </c>
      <c r="M24" s="9" t="str">
        <f t="shared" si="0"/>
        <v>Maio</v>
      </c>
      <c r="N24" s="22" t="str">
        <f t="shared" si="12"/>
        <v>4785-7/01 - Comércio varejista de antigüidades</v>
      </c>
      <c r="O24" s="22" t="str">
        <f t="shared" si="6"/>
        <v>Comércio varejista de antigüidades</v>
      </c>
      <c r="Q24" s="5" t="str">
        <f>'CNAE_Cód.Atividade Econômica'!B158</f>
        <v>Comércio varejista de armas e munições</v>
      </c>
      <c r="R24" s="5">
        <f t="shared" ca="1" si="1"/>
        <v>0</v>
      </c>
      <c r="S24" s="5" t="str">
        <f t="shared" si="2"/>
        <v>Comércio varejista de armas e munições</v>
      </c>
      <c r="U24" s="5">
        <f ca="1">COUNTIF(R$10:R24,R24)</f>
        <v>7</v>
      </c>
      <c r="V24" s="5" t="str">
        <f t="shared" ca="1" si="3"/>
        <v>07</v>
      </c>
      <c r="W24" s="5" t="str">
        <f t="shared" ca="1" si="4"/>
        <v>Comércio varejista de armas e munições</v>
      </c>
      <c r="Y24" s="5">
        <v>15</v>
      </c>
      <c r="Z24" s="5">
        <f t="shared" ca="1" si="7"/>
        <v>0</v>
      </c>
      <c r="AA24" s="5" t="str">
        <f t="shared" ca="1" si="8"/>
        <v>Guarda-móveis</v>
      </c>
      <c r="AB24" s="5">
        <f ca="1">COUNTIF(R$10:R24,R24)</f>
        <v>7</v>
      </c>
      <c r="AC24" s="5" t="str">
        <f t="shared" ca="1" si="9"/>
        <v>07</v>
      </c>
      <c r="AD24" s="5" t="str">
        <f t="shared" ca="1" si="10"/>
        <v>Comércio varejista de armas e munições</v>
      </c>
      <c r="AE24" s="5">
        <f t="shared" ca="1" si="11"/>
        <v>0</v>
      </c>
    </row>
    <row r="25" spans="4:31" ht="15.6" thickTop="1" thickBot="1" x14ac:dyDescent="0.35">
      <c r="D25" s="57">
        <v>45413</v>
      </c>
      <c r="E25" s="58" t="s">
        <v>1176</v>
      </c>
      <c r="F25" s="59" t="s">
        <v>1117</v>
      </c>
      <c r="G25" s="59" t="s">
        <v>712</v>
      </c>
      <c r="H25" s="59" t="s">
        <v>1113</v>
      </c>
      <c r="I25" s="60" t="s">
        <v>652</v>
      </c>
      <c r="J25" s="61" t="s">
        <v>1188</v>
      </c>
      <c r="K25" s="61" t="s">
        <v>656</v>
      </c>
      <c r="M25" s="9" t="str">
        <f t="shared" si="0"/>
        <v>Maio</v>
      </c>
      <c r="N25" s="22" t="str">
        <f t="shared" si="12"/>
        <v>4785-7/01 - Comércio varejista de antigüidades</v>
      </c>
      <c r="O25" s="22" t="str">
        <f t="shared" si="6"/>
        <v>Comércio varejista de antigüidades</v>
      </c>
      <c r="Q25" s="5" t="str">
        <f>'CNAE_Cód.Atividade Econômica'!B3</f>
        <v>Serviço de manejo de animais</v>
      </c>
      <c r="R25" s="5">
        <f t="shared" ca="1" si="1"/>
        <v>0</v>
      </c>
      <c r="S25" s="5" t="str">
        <f t="shared" si="2"/>
        <v>Serviço de manejo de animais</v>
      </c>
      <c r="U25" s="5">
        <f ca="1">COUNTIF(R$10:R25,R25)</f>
        <v>8</v>
      </c>
      <c r="V25" s="5" t="str">
        <f t="shared" ca="1" si="3"/>
        <v>08</v>
      </c>
      <c r="W25" s="5" t="str">
        <f t="shared" ca="1" si="4"/>
        <v>Serviço de manejo de animais</v>
      </c>
      <c r="Y25" s="5">
        <v>16</v>
      </c>
      <c r="Z25" s="5">
        <f t="shared" ca="1" si="7"/>
        <v>0</v>
      </c>
      <c r="AA25" s="5" t="str">
        <f t="shared" ca="1" si="8"/>
        <v>Guarda-móveis</v>
      </c>
      <c r="AB25" s="5">
        <f ca="1">COUNTIF(R$10:R25,R25)</f>
        <v>8</v>
      </c>
      <c r="AC25" s="5" t="str">
        <f t="shared" ca="1" si="9"/>
        <v>08</v>
      </c>
      <c r="AD25" s="5" t="str">
        <f t="shared" ca="1" si="10"/>
        <v>Serviço de manejo de animais</v>
      </c>
      <c r="AE25" s="5">
        <f t="shared" ca="1" si="11"/>
        <v>0</v>
      </c>
    </row>
    <row r="26" spans="4:31" ht="15.6" thickTop="1" thickBot="1" x14ac:dyDescent="0.35">
      <c r="D26" s="57">
        <v>45414</v>
      </c>
      <c r="E26" s="58" t="s">
        <v>1177</v>
      </c>
      <c r="F26" s="59" t="s">
        <v>1118</v>
      </c>
      <c r="G26" s="59" t="s">
        <v>712</v>
      </c>
      <c r="H26" s="59" t="s">
        <v>1113</v>
      </c>
      <c r="I26" s="60" t="s">
        <v>652</v>
      </c>
      <c r="J26" s="61" t="s">
        <v>1188</v>
      </c>
      <c r="K26" s="61" t="s">
        <v>656</v>
      </c>
      <c r="M26" s="9" t="str">
        <f t="shared" si="0"/>
        <v>Maio</v>
      </c>
      <c r="N26" s="22" t="str">
        <f t="shared" si="12"/>
        <v>4785-7/01 - Comércio varejista de antigüidades</v>
      </c>
      <c r="O26" s="22" t="str">
        <f t="shared" si="6"/>
        <v>Comércio varejista de antigüidades</v>
      </c>
      <c r="Q26" s="5" t="str">
        <f>'CNAE_Cód.Atividade Econômica'!B4</f>
        <v>Atividades de apoio à aqüicultura em água doce</v>
      </c>
      <c r="R26" s="5">
        <f t="shared" ca="1" si="1"/>
        <v>0</v>
      </c>
      <c r="S26" s="5" t="str">
        <f t="shared" si="2"/>
        <v>Atividades de apoio à aqüicultura em água doce</v>
      </c>
      <c r="U26" s="5">
        <f ca="1">COUNTIF(R$10:R26,R26)</f>
        <v>9</v>
      </c>
      <c r="V26" s="5" t="str">
        <f t="shared" ca="1" si="3"/>
        <v>09</v>
      </c>
      <c r="W26" s="5" t="str">
        <f t="shared" ca="1" si="4"/>
        <v>Atividades de apoio à aqüicultura em água doce</v>
      </c>
      <c r="Y26" s="5">
        <v>17</v>
      </c>
      <c r="Z26" s="5">
        <f t="shared" ca="1" si="7"/>
        <v>0</v>
      </c>
      <c r="AA26" s="5" t="str">
        <f t="shared" ca="1" si="8"/>
        <v>Guarda-móveis</v>
      </c>
      <c r="AB26" s="5">
        <f ca="1">COUNTIF(R$10:R26,R26)</f>
        <v>9</v>
      </c>
      <c r="AC26" s="5" t="str">
        <f t="shared" ca="1" si="9"/>
        <v>09</v>
      </c>
      <c r="AD26" s="5" t="str">
        <f t="shared" ca="1" si="10"/>
        <v>Atividades de apoio à aqüicultura em água doce</v>
      </c>
      <c r="AE26" s="5">
        <f t="shared" ca="1" si="11"/>
        <v>0</v>
      </c>
    </row>
    <row r="27" spans="4:31" ht="15.6" thickTop="1" thickBot="1" x14ac:dyDescent="0.35">
      <c r="D27" s="57">
        <v>45446</v>
      </c>
      <c r="E27" s="58" t="s">
        <v>1178</v>
      </c>
      <c r="F27" s="59" t="s">
        <v>1119</v>
      </c>
      <c r="G27" s="59" t="s">
        <v>669</v>
      </c>
      <c r="H27" s="59" t="s">
        <v>1113</v>
      </c>
      <c r="I27" s="60" t="s">
        <v>652</v>
      </c>
      <c r="J27" s="61" t="s">
        <v>1188</v>
      </c>
      <c r="K27" s="61" t="s">
        <v>655</v>
      </c>
      <c r="M27" s="9" t="str">
        <f t="shared" si="0"/>
        <v>Junho</v>
      </c>
      <c r="N27" s="5" t="str">
        <f t="shared" si="12"/>
        <v>4785-7/01 - Comércio varejista de antigüidades</v>
      </c>
      <c r="O27" s="5" t="str">
        <f t="shared" si="6"/>
        <v>Comércio varejista de antigüidades</v>
      </c>
      <c r="Q27" s="5" t="str">
        <f>'CNAE_Cód.Atividade Econômica'!B5</f>
        <v>Fabricação de gelo comum</v>
      </c>
      <c r="R27" s="5">
        <f t="shared" ca="1" si="1"/>
        <v>0</v>
      </c>
      <c r="S27" s="5" t="str">
        <f t="shared" si="2"/>
        <v>Fabricação de gelo comum</v>
      </c>
      <c r="U27" s="5">
        <f ca="1">COUNTIF(R$10:R27,R27)</f>
        <v>10</v>
      </c>
      <c r="V27" s="5" t="str">
        <f t="shared" ca="1" si="3"/>
        <v>010</v>
      </c>
      <c r="W27" s="5" t="str">
        <f t="shared" ca="1" si="4"/>
        <v>Fabricação de gelo comum</v>
      </c>
      <c r="Y27" s="5">
        <v>18</v>
      </c>
      <c r="Z27" s="5">
        <f t="shared" ca="1" si="7"/>
        <v>0</v>
      </c>
      <c r="AA27" s="5" t="str">
        <f t="shared" ca="1" si="8"/>
        <v>Guarda-móveis</v>
      </c>
      <c r="AB27" s="5">
        <f ca="1">COUNTIF(R$10:R27,R27)</f>
        <v>10</v>
      </c>
      <c r="AC27" s="5" t="str">
        <f t="shared" ca="1" si="9"/>
        <v>010</v>
      </c>
      <c r="AD27" s="5" t="str">
        <f t="shared" ca="1" si="10"/>
        <v>Fabricação de gelo comum</v>
      </c>
      <c r="AE27" s="5">
        <f t="shared" ca="1" si="11"/>
        <v>0</v>
      </c>
    </row>
    <row r="28" spans="4:31" ht="15.6" thickTop="1" thickBot="1" x14ac:dyDescent="0.35">
      <c r="D28" s="57">
        <v>45446</v>
      </c>
      <c r="E28" s="58" t="s">
        <v>1179</v>
      </c>
      <c r="F28" s="59" t="s">
        <v>1120</v>
      </c>
      <c r="G28" s="59" t="s">
        <v>669</v>
      </c>
      <c r="H28" s="59" t="s">
        <v>1113</v>
      </c>
      <c r="I28" s="60" t="s">
        <v>652</v>
      </c>
      <c r="J28" s="61" t="s">
        <v>1188</v>
      </c>
      <c r="K28" s="61" t="s">
        <v>655</v>
      </c>
      <c r="M28" s="9" t="str">
        <f t="shared" si="0"/>
        <v>Junho</v>
      </c>
      <c r="N28" s="5" t="str">
        <f t="shared" si="12"/>
        <v>4785-7/01 - Comércio varejista de antigüidades</v>
      </c>
      <c r="O28" s="5" t="str">
        <f t="shared" si="6"/>
        <v>Comércio varejista de antigüidades</v>
      </c>
      <c r="Q28" s="5" t="str">
        <f>'CNAE_Cód.Atividade Econômica'!B6</f>
        <v>Serviços de prótese dentária</v>
      </c>
      <c r="R28" s="5">
        <f t="shared" ca="1" si="1"/>
        <v>0</v>
      </c>
      <c r="S28" s="5" t="str">
        <f t="shared" si="2"/>
        <v>Serviços de prótese dentária</v>
      </c>
      <c r="U28" s="5">
        <f ca="1">COUNTIF(R$10:R28,R28)</f>
        <v>11</v>
      </c>
      <c r="V28" s="5" t="str">
        <f t="shared" ca="1" si="3"/>
        <v>011</v>
      </c>
      <c r="W28" s="5" t="str">
        <f t="shared" ca="1" si="4"/>
        <v>Serviços de prótese dentária</v>
      </c>
      <c r="Y28" s="5">
        <v>19</v>
      </c>
      <c r="Z28" s="5">
        <f t="shared" ca="1" si="7"/>
        <v>0</v>
      </c>
      <c r="AA28" s="5" t="str">
        <f t="shared" ca="1" si="8"/>
        <v>Guarda-móveis</v>
      </c>
      <c r="AB28" s="5">
        <f ca="1">COUNTIF(R$10:R28,R28)</f>
        <v>11</v>
      </c>
      <c r="AC28" s="5" t="str">
        <f t="shared" ca="1" si="9"/>
        <v>011</v>
      </c>
      <c r="AD28" s="5" t="str">
        <f t="shared" ca="1" si="10"/>
        <v>Serviços de prótese dentária</v>
      </c>
      <c r="AE28" s="5">
        <f t="shared" ca="1" si="11"/>
        <v>0</v>
      </c>
    </row>
    <row r="29" spans="4:31" ht="15.6" thickTop="1" thickBot="1" x14ac:dyDescent="0.35">
      <c r="D29" s="57">
        <v>45478</v>
      </c>
      <c r="E29" s="58" t="s">
        <v>1180</v>
      </c>
      <c r="F29" s="59" t="s">
        <v>1121</v>
      </c>
      <c r="G29" s="59" t="s">
        <v>669</v>
      </c>
      <c r="H29" s="59" t="s">
        <v>1114</v>
      </c>
      <c r="I29" s="60" t="s">
        <v>652</v>
      </c>
      <c r="J29" s="61" t="s">
        <v>1188</v>
      </c>
      <c r="K29" s="61" t="s">
        <v>655</v>
      </c>
      <c r="M29" s="9" t="str">
        <f t="shared" si="0"/>
        <v>Julho</v>
      </c>
      <c r="N29" s="5" t="str">
        <f t="shared" si="12"/>
        <v>4783-1/02 - Comércio varejista de artigos de relojoaria</v>
      </c>
      <c r="O29" s="5" t="str">
        <f t="shared" si="6"/>
        <v>Comércio varejista de artigos de relojoaria</v>
      </c>
      <c r="Q29" s="5" t="str">
        <f>'CNAE_Cód.Atividade Econômica'!B8</f>
        <v>Manutenção e reparação de aparelhos e instrumentos de medida, teste e controle</v>
      </c>
      <c r="R29" s="5">
        <f t="shared" ca="1" si="1"/>
        <v>0</v>
      </c>
      <c r="S29" s="5" t="str">
        <f t="shared" si="2"/>
        <v>Manutenção e reparação de aparelhos e instrumentos de medida, teste e controle</v>
      </c>
      <c r="U29" s="5">
        <f ca="1">COUNTIF(R$10:R29,R29)</f>
        <v>12</v>
      </c>
      <c r="V29" s="5" t="str">
        <f t="shared" ca="1" si="3"/>
        <v>012</v>
      </c>
      <c r="W29" s="5" t="str">
        <f t="shared" ca="1" si="4"/>
        <v>Manutenção e reparação de aparelhos e instrumentos de medida, teste e controle</v>
      </c>
      <c r="Y29" s="5">
        <v>20</v>
      </c>
      <c r="Z29" s="5">
        <f t="shared" ca="1" si="7"/>
        <v>0</v>
      </c>
      <c r="AA29" s="5" t="str">
        <f t="shared" ca="1" si="8"/>
        <v>Guarda-móveis</v>
      </c>
      <c r="AB29" s="5">
        <f ca="1">COUNTIF(R$10:R29,R29)</f>
        <v>12</v>
      </c>
      <c r="AC29" s="5" t="str">
        <f t="shared" ca="1" si="9"/>
        <v>012</v>
      </c>
      <c r="AD29" s="5" t="str">
        <f t="shared" ca="1" si="10"/>
        <v>Manutenção e reparação de aparelhos e instrumentos de medida, teste e controle</v>
      </c>
      <c r="AE29" s="5">
        <f t="shared" ca="1" si="11"/>
        <v>0</v>
      </c>
    </row>
    <row r="30" spans="4:31" ht="15.6" thickTop="1" thickBot="1" x14ac:dyDescent="0.35">
      <c r="D30" s="57">
        <v>45478</v>
      </c>
      <c r="E30" s="58" t="s">
        <v>1181</v>
      </c>
      <c r="F30" s="59" t="s">
        <v>1122</v>
      </c>
      <c r="G30" s="59" t="s">
        <v>669</v>
      </c>
      <c r="H30" s="59" t="s">
        <v>1114</v>
      </c>
      <c r="I30" s="60" t="s">
        <v>652</v>
      </c>
      <c r="J30" s="61" t="s">
        <v>1188</v>
      </c>
      <c r="K30" s="61" t="s">
        <v>655</v>
      </c>
      <c r="M30" s="9" t="str">
        <f t="shared" si="0"/>
        <v>Julho</v>
      </c>
      <c r="N30" s="5" t="str">
        <f t="shared" si="12"/>
        <v>4783-1/02 - Comércio varejista de artigos de relojoaria</v>
      </c>
      <c r="O30" s="5" t="str">
        <f t="shared" si="6"/>
        <v>Comércio varejista de artigos de relojoaria</v>
      </c>
      <c r="Q30" s="5" t="str">
        <f>'CNAE_Cód.Atividade Econômica'!B9</f>
        <v>Manutenção e reparação de aparelhos eletromédicos e eletroterapêuticos e equipamentos de irradiação</v>
      </c>
      <c r="R30" s="5">
        <f t="shared" ca="1" si="1"/>
        <v>0</v>
      </c>
      <c r="S30" s="5" t="str">
        <f t="shared" si="2"/>
        <v>Manutenção e reparação de aparelhos eletromédicos e eletroterapêuticos e equipamentos de irradiação</v>
      </c>
      <c r="U30" s="5">
        <f ca="1">COUNTIF(R$10:R30,R30)</f>
        <v>13</v>
      </c>
      <c r="V30" s="5" t="str">
        <f t="shared" ca="1" si="3"/>
        <v>013</v>
      </c>
      <c r="W30" s="5" t="str">
        <f t="shared" ca="1" si="4"/>
        <v>Manutenção e reparação de aparelhos eletromédicos e eletroterapêuticos e equipamentos de irradiação</v>
      </c>
      <c r="Y30" s="5">
        <v>21</v>
      </c>
      <c r="Z30" s="5">
        <f t="shared" ca="1" si="7"/>
        <v>0</v>
      </c>
      <c r="AA30" s="5" t="str">
        <f t="shared" ca="1" si="8"/>
        <v>Guarda-móveis</v>
      </c>
      <c r="AB30" s="5">
        <f ca="1">COUNTIF(R$10:R30,R30)</f>
        <v>13</v>
      </c>
      <c r="AC30" s="5" t="str">
        <f t="shared" ca="1" si="9"/>
        <v>013</v>
      </c>
      <c r="AD30" s="5" t="str">
        <f t="shared" ca="1" si="10"/>
        <v>Manutenção e reparação de aparelhos eletromédicos e eletroterapêuticos e equipamentos de irradiação</v>
      </c>
      <c r="AE30" s="5">
        <f t="shared" ca="1" si="11"/>
        <v>0</v>
      </c>
    </row>
    <row r="31" spans="4:31" ht="15.6" thickTop="1" thickBot="1" x14ac:dyDescent="0.35">
      <c r="D31" s="57">
        <v>45511</v>
      </c>
      <c r="E31" s="58" t="s">
        <v>1182</v>
      </c>
      <c r="F31" s="59" t="s">
        <v>1123</v>
      </c>
      <c r="G31" s="59" t="s">
        <v>1127</v>
      </c>
      <c r="H31" s="59" t="s">
        <v>1199</v>
      </c>
      <c r="I31" s="60" t="s">
        <v>652</v>
      </c>
      <c r="J31" s="61" t="s">
        <v>1188</v>
      </c>
      <c r="K31" s="61" t="s">
        <v>655</v>
      </c>
      <c r="M31" s="9" t="str">
        <f t="shared" si="0"/>
        <v>Agosto</v>
      </c>
      <c r="N31" s="5" t="str">
        <f t="shared" si="12"/>
        <v>4789-0/03 - Comércio varejista de objetos de arte</v>
      </c>
      <c r="O31" s="5" t="str">
        <f t="shared" si="6"/>
        <v>Comércio varejista de objetos de arte</v>
      </c>
      <c r="Q31" s="5" t="str">
        <f>'CNAE_Cód.Atividade Econômica'!B10</f>
        <v>Manutenção e reparação de equipamentos e instrumentos ópticos</v>
      </c>
      <c r="R31" s="5">
        <f t="shared" ca="1" si="1"/>
        <v>0</v>
      </c>
      <c r="S31" s="5" t="str">
        <f t="shared" si="2"/>
        <v>Manutenção e reparação de equipamentos e instrumentos ópticos</v>
      </c>
      <c r="U31" s="5">
        <f ca="1">COUNTIF(R$10:R31,R31)</f>
        <v>14</v>
      </c>
      <c r="V31" s="5" t="str">
        <f t="shared" ca="1" si="3"/>
        <v>014</v>
      </c>
      <c r="W31" s="5" t="str">
        <f t="shared" ca="1" si="4"/>
        <v>Manutenção e reparação de equipamentos e instrumentos ópticos</v>
      </c>
      <c r="Y31" s="5">
        <v>22</v>
      </c>
      <c r="Z31" s="5">
        <f t="shared" ca="1" si="7"/>
        <v>0</v>
      </c>
      <c r="AA31" s="5" t="str">
        <f t="shared" ca="1" si="8"/>
        <v>Guarda-móveis</v>
      </c>
      <c r="AB31" s="5">
        <f ca="1">COUNTIF(R$10:R31,R31)</f>
        <v>14</v>
      </c>
      <c r="AC31" s="5" t="str">
        <f t="shared" ca="1" si="9"/>
        <v>014</v>
      </c>
      <c r="AD31" s="5" t="str">
        <f t="shared" ca="1" si="10"/>
        <v>Manutenção e reparação de equipamentos e instrumentos ópticos</v>
      </c>
      <c r="AE31" s="5">
        <f t="shared" ca="1" si="11"/>
        <v>0</v>
      </c>
    </row>
    <row r="32" spans="4:31" ht="15.6" thickTop="1" thickBot="1" x14ac:dyDescent="0.35">
      <c r="D32" s="57">
        <v>45511</v>
      </c>
      <c r="E32" s="58" t="s">
        <v>1183</v>
      </c>
      <c r="F32" s="59" t="s">
        <v>1124</v>
      </c>
      <c r="G32" s="59" t="s">
        <v>1127</v>
      </c>
      <c r="H32" s="59" t="s">
        <v>1129</v>
      </c>
      <c r="I32" s="60" t="s">
        <v>652</v>
      </c>
      <c r="J32" s="61" t="s">
        <v>1188</v>
      </c>
      <c r="K32" s="61" t="s">
        <v>655</v>
      </c>
      <c r="M32" s="9" t="str">
        <f t="shared" si="0"/>
        <v>Agosto</v>
      </c>
      <c r="N32" s="5" t="str">
        <f t="shared" si="12"/>
        <v>4789-0/02 - Comércio varejista de plantas e flores naturais</v>
      </c>
      <c r="O32" s="5" t="str">
        <f t="shared" si="6"/>
        <v>Comércio varejista de plantas e flores naturais</v>
      </c>
      <c r="Q32" s="5" t="str">
        <f>'CNAE_Cód.Atividade Econômica'!B11</f>
        <v>Manutenção e reparação de geradores, transformadores e motores elétricos</v>
      </c>
      <c r="R32" s="5">
        <f t="shared" ca="1" si="1"/>
        <v>0</v>
      </c>
      <c r="S32" s="5" t="str">
        <f t="shared" si="2"/>
        <v>Manutenção e reparação de geradores, transformadores e motores elétricos</v>
      </c>
      <c r="U32" s="5">
        <f ca="1">COUNTIF(R$10:R32,R32)</f>
        <v>15</v>
      </c>
      <c r="V32" s="5" t="str">
        <f t="shared" ca="1" si="3"/>
        <v>015</v>
      </c>
      <c r="W32" s="5" t="str">
        <f t="shared" ca="1" si="4"/>
        <v>Manutenção e reparação de geradores, transformadores e motores elétricos</v>
      </c>
      <c r="Y32" s="5">
        <v>23</v>
      </c>
      <c r="Z32" s="5">
        <f t="shared" ca="1" si="7"/>
        <v>0</v>
      </c>
      <c r="AA32" s="5" t="str">
        <f t="shared" ca="1" si="8"/>
        <v>Guarda-móveis</v>
      </c>
      <c r="AB32" s="5">
        <f ca="1">COUNTIF(R$10:R32,R32)</f>
        <v>15</v>
      </c>
      <c r="AC32" s="5" t="str">
        <f t="shared" ca="1" si="9"/>
        <v>015</v>
      </c>
      <c r="AD32" s="5" t="str">
        <f t="shared" ca="1" si="10"/>
        <v>Manutenção e reparação de geradores, transformadores e motores elétricos</v>
      </c>
      <c r="AE32" s="5">
        <f t="shared" ca="1" si="11"/>
        <v>0</v>
      </c>
    </row>
    <row r="33" spans="4:31" ht="15.6" thickTop="1" thickBot="1" x14ac:dyDescent="0.35">
      <c r="D33" s="57">
        <v>45544</v>
      </c>
      <c r="E33" s="58" t="s">
        <v>1184</v>
      </c>
      <c r="F33" s="59" t="s">
        <v>1125</v>
      </c>
      <c r="G33" s="59" t="s">
        <v>1127</v>
      </c>
      <c r="H33" s="59" t="s">
        <v>1160</v>
      </c>
      <c r="I33" s="60" t="s">
        <v>652</v>
      </c>
      <c r="J33" s="61" t="s">
        <v>1188</v>
      </c>
      <c r="K33" s="61" t="s">
        <v>655</v>
      </c>
      <c r="M33" s="9" t="str">
        <f t="shared" si="0"/>
        <v>Setembro</v>
      </c>
      <c r="N33" s="5" t="str">
        <f t="shared" si="12"/>
        <v>5590-6/02 - Campings</v>
      </c>
      <c r="O33" s="5" t="str">
        <f t="shared" si="6"/>
        <v>Campings</v>
      </c>
      <c r="Q33" s="5" t="str">
        <f>'CNAE_Cód.Atividade Econômica'!B12</f>
        <v>Manutenção e reparação de baterias e acumuladores elétricos, exceto para veículos</v>
      </c>
      <c r="R33" s="5">
        <f t="shared" ca="1" si="1"/>
        <v>0</v>
      </c>
      <c r="S33" s="5" t="str">
        <f t="shared" si="2"/>
        <v>Manutenção e reparação de baterias e acumuladores elétricos, exceto para veículos</v>
      </c>
      <c r="U33" s="5">
        <f ca="1">COUNTIF(R$10:R33,R33)</f>
        <v>16</v>
      </c>
      <c r="V33" s="5" t="str">
        <f t="shared" ca="1" si="3"/>
        <v>016</v>
      </c>
      <c r="W33" s="5" t="str">
        <f t="shared" ca="1" si="4"/>
        <v>Manutenção e reparação de baterias e acumuladores elétricos, exceto para veículos</v>
      </c>
      <c r="Y33" s="5">
        <v>24</v>
      </c>
      <c r="Z33" s="5">
        <f t="shared" ca="1" si="7"/>
        <v>0</v>
      </c>
      <c r="AA33" s="5" t="str">
        <f t="shared" ca="1" si="8"/>
        <v>Guarda-móveis</v>
      </c>
      <c r="AB33" s="5">
        <f ca="1">COUNTIF(R$10:R33,R33)</f>
        <v>16</v>
      </c>
      <c r="AC33" s="5" t="str">
        <f t="shared" ca="1" si="9"/>
        <v>016</v>
      </c>
      <c r="AD33" s="5" t="str">
        <f t="shared" ca="1" si="10"/>
        <v>Manutenção e reparação de baterias e acumuladores elétricos, exceto para veículos</v>
      </c>
      <c r="AE33" s="5">
        <f t="shared" ca="1" si="11"/>
        <v>0</v>
      </c>
    </row>
    <row r="34" spans="4:31" ht="15.6" thickTop="1" thickBot="1" x14ac:dyDescent="0.35">
      <c r="D34" s="57">
        <v>45544</v>
      </c>
      <c r="E34" s="58" t="s">
        <v>1185</v>
      </c>
      <c r="F34" s="59" t="s">
        <v>1126</v>
      </c>
      <c r="G34" s="59" t="s">
        <v>1127</v>
      </c>
      <c r="H34" s="59" t="s">
        <v>1158</v>
      </c>
      <c r="I34" s="60" t="s">
        <v>652</v>
      </c>
      <c r="J34" s="61" t="s">
        <v>1188</v>
      </c>
      <c r="K34" s="61" t="s">
        <v>655</v>
      </c>
      <c r="M34" s="9" t="str">
        <f t="shared" si="0"/>
        <v>Setembro</v>
      </c>
      <c r="N34" s="5" t="str">
        <f t="shared" si="12"/>
        <v>4520-0/08 - Serviços de capotaria</v>
      </c>
      <c r="O34" s="5" t="str">
        <f t="shared" si="6"/>
        <v>Serviços de capotaria</v>
      </c>
      <c r="Q34" s="5" t="str">
        <f>'CNAE_Cód.Atividade Econômica'!B13</f>
        <v>Manutenção e reparação de máquinas, aparelhos e materiais elétricos não especificados anteriormente</v>
      </c>
      <c r="R34" s="5">
        <f t="shared" ca="1" si="1"/>
        <v>0</v>
      </c>
      <c r="S34" s="5" t="str">
        <f t="shared" si="2"/>
        <v>Manutenção e reparação de máquinas, aparelhos e materiais elétricos não especificados anteriormente</v>
      </c>
      <c r="U34" s="5">
        <f ca="1">COUNTIF(R$10:R34,R34)</f>
        <v>17</v>
      </c>
      <c r="V34" s="5" t="str">
        <f t="shared" ca="1" si="3"/>
        <v>017</v>
      </c>
      <c r="W34" s="5" t="str">
        <f t="shared" ca="1" si="4"/>
        <v>Manutenção e reparação de máquinas, aparelhos e materiais elétricos não especificados anteriormente</v>
      </c>
      <c r="Y34" s="5">
        <v>25</v>
      </c>
      <c r="Z34" s="5">
        <f t="shared" ca="1" si="7"/>
        <v>0</v>
      </c>
      <c r="AA34" s="5" t="str">
        <f t="shared" ca="1" si="8"/>
        <v>Guarda-móveis</v>
      </c>
      <c r="AB34" s="5">
        <f ca="1">COUNTIF(R$10:R34,R34)</f>
        <v>17</v>
      </c>
      <c r="AC34" s="5" t="str">
        <f t="shared" ca="1" si="9"/>
        <v>017</v>
      </c>
      <c r="AD34" s="5" t="str">
        <f t="shared" ca="1" si="10"/>
        <v>Manutenção e reparação de máquinas, aparelhos e materiais elétricos não especificados anteriormente</v>
      </c>
      <c r="AE34" s="5">
        <f t="shared" ca="1" si="11"/>
        <v>0</v>
      </c>
    </row>
    <row r="35" spans="4:31" ht="15.6" thickTop="1" thickBot="1" x14ac:dyDescent="0.35">
      <c r="D35" s="57">
        <v>45545</v>
      </c>
      <c r="E35" s="58" t="s">
        <v>1186</v>
      </c>
      <c r="F35" s="59" t="s">
        <v>1159</v>
      </c>
      <c r="G35" s="59" t="s">
        <v>712</v>
      </c>
      <c r="H35" s="59" t="s">
        <v>1158</v>
      </c>
      <c r="I35" s="60" t="s">
        <v>652</v>
      </c>
      <c r="J35" s="61" t="s">
        <v>1188</v>
      </c>
      <c r="K35" s="61" t="s">
        <v>655</v>
      </c>
      <c r="M35" s="9" t="str">
        <f t="shared" si="0"/>
        <v>Setembro</v>
      </c>
      <c r="N35" s="5" t="str">
        <f t="shared" si="12"/>
        <v>4520-0/08 - Serviços de capotaria</v>
      </c>
      <c r="O35" s="5" t="str">
        <f t="shared" si="6"/>
        <v>Serviços de capotaria</v>
      </c>
      <c r="Q35" s="5" t="str">
        <f>'CNAE_Cód.Atividade Econômica'!B14</f>
        <v>Manutenção e reparação de máquinas motrizes não-elétricas</v>
      </c>
      <c r="R35" s="5">
        <f t="shared" ca="1" si="1"/>
        <v>0</v>
      </c>
      <c r="S35" s="5" t="str">
        <f t="shared" si="2"/>
        <v>Manutenção e reparação de máquinas motrizes não-elétricas</v>
      </c>
      <c r="U35" s="5">
        <f ca="1">COUNTIF(R$10:R35,R35)</f>
        <v>18</v>
      </c>
      <c r="V35" s="5" t="str">
        <f t="shared" ca="1" si="3"/>
        <v>018</v>
      </c>
      <c r="W35" s="5" t="str">
        <f t="shared" ca="1" si="4"/>
        <v>Manutenção e reparação de máquinas motrizes não-elétricas</v>
      </c>
      <c r="Y35" s="5">
        <v>26</v>
      </c>
      <c r="Z35" s="5">
        <f t="shared" ca="1" si="7"/>
        <v>0</v>
      </c>
      <c r="AA35" s="5" t="str">
        <f t="shared" ca="1" si="8"/>
        <v>Guarda-móveis</v>
      </c>
      <c r="AB35" s="5">
        <f ca="1">COUNTIF(R$10:R35,R35)</f>
        <v>18</v>
      </c>
      <c r="AC35" s="5" t="str">
        <f t="shared" ca="1" si="9"/>
        <v>018</v>
      </c>
      <c r="AD35" s="5" t="str">
        <f t="shared" ca="1" si="10"/>
        <v>Manutenção e reparação de máquinas motrizes não-elétricas</v>
      </c>
      <c r="AE35" s="5">
        <f t="shared" ca="1" si="11"/>
        <v>0</v>
      </c>
    </row>
    <row r="36" spans="4:31" ht="15.6" thickTop="1" thickBot="1" x14ac:dyDescent="0.35">
      <c r="D36" s="57"/>
      <c r="E36" s="58"/>
      <c r="F36" s="59"/>
      <c r="G36" s="59"/>
      <c r="H36" s="59"/>
      <c r="I36" s="60"/>
      <c r="J36" s="61"/>
      <c r="K36" s="61"/>
      <c r="M36" s="9" t="str">
        <f t="shared" si="0"/>
        <v/>
      </c>
      <c r="N36" s="5" t="str">
        <f t="shared" si="12"/>
        <v/>
      </c>
      <c r="O36" s="5" t="str">
        <f t="shared" si="6"/>
        <v/>
      </c>
      <c r="Q36" s="5" t="str">
        <f>'CNAE_Cód.Atividade Econômica'!B15</f>
        <v>Manutenção e reparação de equipamentos hidráulicos e pneumáticos, exceto válvulas</v>
      </c>
      <c r="R36" s="5">
        <f t="shared" ca="1" si="1"/>
        <v>0</v>
      </c>
      <c r="S36" s="5" t="str">
        <f t="shared" si="2"/>
        <v>Manutenção e reparação de equipamentos hidráulicos e pneumáticos, exceto válvulas</v>
      </c>
      <c r="U36" s="5">
        <f ca="1">COUNTIF(R$10:R36,R36)</f>
        <v>19</v>
      </c>
      <c r="V36" s="5" t="str">
        <f t="shared" ca="1" si="3"/>
        <v>019</v>
      </c>
      <c r="W36" s="5" t="str">
        <f t="shared" ca="1" si="4"/>
        <v>Manutenção e reparação de equipamentos hidráulicos e pneumáticos, exceto válvulas</v>
      </c>
      <c r="Y36" s="5">
        <v>27</v>
      </c>
      <c r="Z36" s="5">
        <f t="shared" ca="1" si="7"/>
        <v>0</v>
      </c>
      <c r="AA36" s="5" t="str">
        <f t="shared" ca="1" si="8"/>
        <v>Guarda-móveis</v>
      </c>
      <c r="AB36" s="5">
        <f ca="1">COUNTIF(R$10:R36,R36)</f>
        <v>19</v>
      </c>
      <c r="AC36" s="5" t="str">
        <f t="shared" ca="1" si="9"/>
        <v>019</v>
      </c>
      <c r="AD36" s="5" t="str">
        <f t="shared" ca="1" si="10"/>
        <v>Manutenção e reparação de equipamentos hidráulicos e pneumáticos, exceto válvulas</v>
      </c>
      <c r="AE36" s="5">
        <f t="shared" ca="1" si="11"/>
        <v>0</v>
      </c>
    </row>
    <row r="37" spans="4:31" ht="15.6" thickTop="1" thickBot="1" x14ac:dyDescent="0.35">
      <c r="D37" s="57"/>
      <c r="E37" s="58"/>
      <c r="F37" s="59"/>
      <c r="G37" s="59"/>
      <c r="H37" s="59"/>
      <c r="I37" s="60"/>
      <c r="J37" s="61"/>
      <c r="K37" s="61"/>
      <c r="M37" s="9" t="str">
        <f t="shared" si="0"/>
        <v/>
      </c>
      <c r="N37" s="5" t="str">
        <f t="shared" si="12"/>
        <v/>
      </c>
      <c r="O37" s="5" t="str">
        <f t="shared" si="6"/>
        <v/>
      </c>
      <c r="Q37" s="5" t="str">
        <f>'CNAE_Cód.Atividade Econômica'!B16</f>
        <v>Manutenção e reparação de válvulas industriais</v>
      </c>
      <c r="R37" s="5">
        <f t="shared" ca="1" si="1"/>
        <v>0</v>
      </c>
      <c r="S37" s="5" t="str">
        <f t="shared" si="2"/>
        <v>Manutenção e reparação de válvulas industriais</v>
      </c>
      <c r="U37" s="5">
        <f ca="1">COUNTIF(R$10:R37,R37)</f>
        <v>20</v>
      </c>
      <c r="V37" s="5" t="str">
        <f t="shared" ca="1" si="3"/>
        <v>020</v>
      </c>
      <c r="W37" s="5" t="str">
        <f t="shared" ca="1" si="4"/>
        <v>Manutenção e reparação de válvulas industriais</v>
      </c>
      <c r="Y37" s="5">
        <v>28</v>
      </c>
      <c r="Z37" s="5">
        <f t="shared" ca="1" si="7"/>
        <v>0</v>
      </c>
      <c r="AA37" s="5" t="str">
        <f t="shared" ca="1" si="8"/>
        <v>Guarda-móveis</v>
      </c>
      <c r="AB37" s="5">
        <f ca="1">COUNTIF(R$10:R37,R37)</f>
        <v>20</v>
      </c>
      <c r="AC37" s="5" t="str">
        <f t="shared" ca="1" si="9"/>
        <v>020</v>
      </c>
      <c r="AD37" s="5" t="str">
        <f t="shared" ca="1" si="10"/>
        <v>Manutenção e reparação de válvulas industriais</v>
      </c>
      <c r="AE37" s="5">
        <f t="shared" ca="1" si="11"/>
        <v>0</v>
      </c>
    </row>
    <row r="38" spans="4:31" ht="15.6" thickTop="1" thickBot="1" x14ac:dyDescent="0.35">
      <c r="D38" s="57"/>
      <c r="E38" s="58"/>
      <c r="F38" s="59"/>
      <c r="G38" s="59"/>
      <c r="H38" s="59"/>
      <c r="I38" s="60"/>
      <c r="J38" s="61"/>
      <c r="K38" s="61"/>
      <c r="M38" s="9" t="str">
        <f t="shared" si="0"/>
        <v/>
      </c>
      <c r="N38" s="5" t="str">
        <f t="shared" si="12"/>
        <v/>
      </c>
      <c r="O38" s="5" t="str">
        <f t="shared" si="6"/>
        <v/>
      </c>
      <c r="Q38" s="5" t="str">
        <f>'CNAE_Cód.Atividade Econômica'!B17</f>
        <v>Manutenção e reparação de compressores</v>
      </c>
      <c r="R38" s="5">
        <f t="shared" ca="1" si="1"/>
        <v>0</v>
      </c>
      <c r="S38" s="5" t="str">
        <f t="shared" si="2"/>
        <v>Manutenção e reparação de compressores</v>
      </c>
      <c r="U38" s="5">
        <f ca="1">COUNTIF(R$10:R38,R38)</f>
        <v>21</v>
      </c>
      <c r="V38" s="5" t="str">
        <f t="shared" ca="1" si="3"/>
        <v>021</v>
      </c>
      <c r="W38" s="5" t="str">
        <f t="shared" ca="1" si="4"/>
        <v>Manutenção e reparação de compressores</v>
      </c>
      <c r="Y38" s="5">
        <v>29</v>
      </c>
      <c r="Z38" s="5">
        <f t="shared" ca="1" si="7"/>
        <v>0</v>
      </c>
      <c r="AA38" s="5" t="str">
        <f t="shared" ca="1" si="8"/>
        <v>Guarda-móveis</v>
      </c>
      <c r="AB38" s="5">
        <f ca="1">COUNTIF(R$10:R38,R38)</f>
        <v>21</v>
      </c>
      <c r="AC38" s="5" t="str">
        <f t="shared" ca="1" si="9"/>
        <v>021</v>
      </c>
      <c r="AD38" s="5" t="str">
        <f t="shared" ca="1" si="10"/>
        <v>Manutenção e reparação de compressores</v>
      </c>
      <c r="AE38" s="5">
        <f t="shared" ca="1" si="11"/>
        <v>0</v>
      </c>
    </row>
    <row r="39" spans="4:31" ht="15.6" thickTop="1" thickBot="1" x14ac:dyDescent="0.35">
      <c r="D39" s="57"/>
      <c r="E39" s="58"/>
      <c r="F39" s="59"/>
      <c r="G39" s="59"/>
      <c r="H39" s="59"/>
      <c r="I39" s="60"/>
      <c r="J39" s="61"/>
      <c r="K39" s="61"/>
      <c r="M39" s="9" t="str">
        <f t="shared" si="0"/>
        <v/>
      </c>
      <c r="N39" s="5" t="str">
        <f t="shared" si="12"/>
        <v/>
      </c>
      <c r="O39" s="5" t="str">
        <f t="shared" si="6"/>
        <v/>
      </c>
      <c r="Q39" s="5" t="str">
        <f>'CNAE_Cód.Atividade Econômica'!B18</f>
        <v>Manutenção e reparação de equipamentos de transmissão para fins industriais</v>
      </c>
      <c r="R39" s="5">
        <f t="shared" ca="1" si="1"/>
        <v>0</v>
      </c>
      <c r="S39" s="5" t="str">
        <f t="shared" si="2"/>
        <v>Manutenção e reparação de equipamentos de transmissão para fins industriais</v>
      </c>
      <c r="U39" s="5">
        <f ca="1">COUNTIF(R$10:R39,R39)</f>
        <v>22</v>
      </c>
      <c r="V39" s="5" t="str">
        <f t="shared" ca="1" si="3"/>
        <v>022</v>
      </c>
      <c r="W39" s="5" t="str">
        <f t="shared" ca="1" si="4"/>
        <v>Manutenção e reparação de equipamentos de transmissão para fins industriais</v>
      </c>
      <c r="Y39" s="5">
        <v>30</v>
      </c>
      <c r="Z39" s="5">
        <f t="shared" ca="1" si="7"/>
        <v>0</v>
      </c>
      <c r="AA39" s="5" t="str">
        <f t="shared" ca="1" si="8"/>
        <v>Guarda-móveis</v>
      </c>
      <c r="AB39" s="5">
        <f ca="1">COUNTIF(R$10:R39,R39)</f>
        <v>22</v>
      </c>
      <c r="AC39" s="5" t="str">
        <f t="shared" ca="1" si="9"/>
        <v>022</v>
      </c>
      <c r="AD39" s="5" t="str">
        <f t="shared" ca="1" si="10"/>
        <v>Manutenção e reparação de equipamentos de transmissão para fins industriais</v>
      </c>
      <c r="AE39" s="5">
        <f t="shared" ca="1" si="11"/>
        <v>0</v>
      </c>
    </row>
    <row r="40" spans="4:31" ht="15.6" customHeight="1" thickTop="1" thickBot="1" x14ac:dyDescent="0.35">
      <c r="D40" s="57"/>
      <c r="E40" s="58"/>
      <c r="F40" s="59"/>
      <c r="G40" s="59"/>
      <c r="H40" s="59"/>
      <c r="I40" s="60"/>
      <c r="J40" s="61"/>
      <c r="K40" s="61"/>
      <c r="M40" s="9" t="str">
        <f t="shared" si="0"/>
        <v/>
      </c>
      <c r="N40" s="5" t="str">
        <f t="shared" si="12"/>
        <v/>
      </c>
      <c r="O40" s="5" t="str">
        <f t="shared" si="6"/>
        <v/>
      </c>
      <c r="Q40" s="5" t="str">
        <f>'CNAE_Cód.Atividade Econômica'!B19</f>
        <v>Manutenção e reparação de máquinas, aparelhos e equipamentos para instalações térmicas</v>
      </c>
      <c r="R40" s="5">
        <f t="shared" ca="1" si="1"/>
        <v>0</v>
      </c>
      <c r="S40" s="5" t="str">
        <f t="shared" si="2"/>
        <v>Manutenção e reparação de máquinas, aparelhos e equipamentos para instalações térmicas</v>
      </c>
      <c r="U40" s="5">
        <f ca="1">COUNTIF(R$10:R40,R40)</f>
        <v>23</v>
      </c>
      <c r="V40" s="5" t="str">
        <f t="shared" ca="1" si="3"/>
        <v>023</v>
      </c>
      <c r="W40" s="5" t="str">
        <f t="shared" ca="1" si="4"/>
        <v>Manutenção e reparação de máquinas, aparelhos e equipamentos para instalações térmicas</v>
      </c>
      <c r="Y40" s="5">
        <v>31</v>
      </c>
      <c r="Z40" s="5">
        <f t="shared" ca="1" si="7"/>
        <v>0</v>
      </c>
      <c r="AA40" s="5" t="str">
        <f t="shared" ca="1" si="8"/>
        <v>Guarda-móveis</v>
      </c>
      <c r="AB40" s="5">
        <f ca="1">COUNTIF(R$10:R40,R40)</f>
        <v>23</v>
      </c>
      <c r="AC40" s="5" t="str">
        <f t="shared" ca="1" si="9"/>
        <v>023</v>
      </c>
      <c r="AD40" s="5" t="str">
        <f t="shared" ca="1" si="10"/>
        <v>Manutenção e reparação de máquinas, aparelhos e equipamentos para instalações térmicas</v>
      </c>
      <c r="AE40" s="5">
        <f t="shared" ca="1" si="11"/>
        <v>0</v>
      </c>
    </row>
    <row r="41" spans="4:31" ht="15.6" customHeight="1" thickTop="1" thickBot="1" x14ac:dyDescent="0.35">
      <c r="D41" s="57"/>
      <c r="E41" s="58"/>
      <c r="F41" s="59"/>
      <c r="G41" s="59"/>
      <c r="H41" s="59"/>
      <c r="I41" s="60"/>
      <c r="J41" s="61"/>
      <c r="K41" s="61"/>
      <c r="M41" s="9" t="str">
        <f t="shared" si="0"/>
        <v/>
      </c>
      <c r="N41" s="5" t="str">
        <f t="shared" si="12"/>
        <v/>
      </c>
      <c r="O41" s="5" t="str">
        <f t="shared" si="6"/>
        <v/>
      </c>
      <c r="Q41" s="5" t="str">
        <f>'CNAE_Cód.Atividade Econômica'!B20</f>
        <v>Manutenção e reparação de máquinas e aparelhos de refrigeração e ventilação para uso industrial e comercial</v>
      </c>
      <c r="R41" s="5">
        <f t="shared" ca="1" si="1"/>
        <v>0</v>
      </c>
      <c r="S41" s="5" t="str">
        <f t="shared" si="2"/>
        <v>Manutenção e reparação de máquinas e aparelhos de refrigeração e ventilação para uso industrial e comercial</v>
      </c>
      <c r="U41" s="5">
        <f ca="1">COUNTIF(R$10:R41,R41)</f>
        <v>24</v>
      </c>
      <c r="V41" s="5" t="str">
        <f t="shared" ca="1" si="3"/>
        <v>024</v>
      </c>
      <c r="W41" s="5" t="str">
        <f t="shared" ca="1" si="4"/>
        <v>Manutenção e reparação de máquinas e aparelhos de refrigeração e ventilação para uso industrial e comercial</v>
      </c>
      <c r="Y41" s="5">
        <v>32</v>
      </c>
      <c r="Z41" s="5">
        <f t="shared" ca="1" si="7"/>
        <v>0</v>
      </c>
      <c r="AA41" s="5" t="str">
        <f t="shared" ca="1" si="8"/>
        <v>Guarda-móveis</v>
      </c>
      <c r="AB41" s="5">
        <f ca="1">COUNTIF(R$10:R41,R41)</f>
        <v>24</v>
      </c>
      <c r="AC41" s="5" t="str">
        <f t="shared" ca="1" si="9"/>
        <v>024</v>
      </c>
      <c r="AD41" s="5" t="str">
        <f t="shared" ca="1" si="10"/>
        <v>Manutenção e reparação de máquinas e aparelhos de refrigeração e ventilação para uso industrial e comercial</v>
      </c>
      <c r="AE41" s="5">
        <f t="shared" ca="1" si="11"/>
        <v>0</v>
      </c>
    </row>
    <row r="42" spans="4:31" ht="15.6" thickTop="1" thickBot="1" x14ac:dyDescent="0.35">
      <c r="D42" s="57"/>
      <c r="E42" s="58"/>
      <c r="F42" s="59"/>
      <c r="G42" s="59"/>
      <c r="H42" s="59"/>
      <c r="I42" s="60"/>
      <c r="J42" s="61"/>
      <c r="K42" s="61"/>
      <c r="M42" s="9" t="str">
        <f t="shared" si="0"/>
        <v/>
      </c>
      <c r="N42" s="5" t="str">
        <f t="shared" si="12"/>
        <v/>
      </c>
      <c r="O42" s="5" t="str">
        <f t="shared" si="6"/>
        <v/>
      </c>
      <c r="Q42" s="5" t="str">
        <f>'CNAE_Cód.Atividade Econômica'!B21</f>
        <v>Manutenção e reparação de máquinas, equipamentos e aparelhos para transporte e elevação de cargas</v>
      </c>
      <c r="R42" s="5">
        <f t="shared" ca="1" si="1"/>
        <v>0</v>
      </c>
      <c r="S42" s="5" t="str">
        <f t="shared" si="2"/>
        <v>Manutenção e reparação de máquinas, equipamentos e aparelhos para transporte e elevação de cargas</v>
      </c>
      <c r="U42" s="5">
        <f ca="1">COUNTIF(R$10:R42,R42)</f>
        <v>25</v>
      </c>
      <c r="V42" s="5" t="str">
        <f t="shared" ca="1" si="3"/>
        <v>025</v>
      </c>
      <c r="W42" s="5" t="str">
        <f t="shared" ca="1" si="4"/>
        <v>Manutenção e reparação de máquinas, equipamentos e aparelhos para transporte e elevação de cargas</v>
      </c>
      <c r="Y42" s="5">
        <v>33</v>
      </c>
      <c r="Z42" s="5">
        <f t="shared" ca="1" si="7"/>
        <v>0</v>
      </c>
      <c r="AA42" s="5" t="str">
        <f t="shared" ca="1" si="8"/>
        <v>Guarda-móveis</v>
      </c>
      <c r="AB42" s="5">
        <f ca="1">COUNTIF(R$10:R42,R42)</f>
        <v>25</v>
      </c>
      <c r="AC42" s="5" t="str">
        <f t="shared" ca="1" si="9"/>
        <v>025</v>
      </c>
      <c r="AD42" s="5" t="str">
        <f t="shared" ca="1" si="10"/>
        <v>Manutenção e reparação de máquinas, equipamentos e aparelhos para transporte e elevação de cargas</v>
      </c>
      <c r="AE42" s="5">
        <f t="shared" ca="1" si="11"/>
        <v>0</v>
      </c>
    </row>
    <row r="43" spans="4:31" ht="12" customHeight="1" thickTop="1" thickBot="1" x14ac:dyDescent="0.35">
      <c r="D43" s="57"/>
      <c r="E43" s="58"/>
      <c r="F43" s="59"/>
      <c r="G43" s="59"/>
      <c r="H43" s="59"/>
      <c r="I43" s="60"/>
      <c r="J43" s="61"/>
      <c r="K43" s="61"/>
      <c r="M43" s="9" t="str">
        <f t="shared" si="0"/>
        <v/>
      </c>
      <c r="N43" s="5" t="str">
        <f t="shared" si="12"/>
        <v/>
      </c>
      <c r="O43" s="5" t="str">
        <f t="shared" si="6"/>
        <v/>
      </c>
      <c r="Q43" s="5" t="str">
        <f>'CNAE_Cód.Atividade Econômica'!B22</f>
        <v>Manutenção e reparação de máquinas de escrever, calcular e de outros equipamentos não-eletrônicos para escritório</v>
      </c>
      <c r="R43" s="5">
        <f t="shared" ca="1" si="1"/>
        <v>0</v>
      </c>
      <c r="S43" s="5" t="str">
        <f t="shared" si="2"/>
        <v>Manutenção e reparação de máquinas de escrever, calcular e de outros equipamentos não-eletrônicos para escritório</v>
      </c>
      <c r="U43" s="5">
        <f ca="1">COUNTIF(R$10:R43,R43)</f>
        <v>26</v>
      </c>
      <c r="V43" s="5" t="str">
        <f t="shared" ca="1" si="3"/>
        <v>026</v>
      </c>
      <c r="W43" s="5" t="str">
        <f t="shared" ca="1" si="4"/>
        <v>Manutenção e reparação de máquinas de escrever, calcular e de outros equipamentos não-eletrônicos para escritório</v>
      </c>
      <c r="Y43" s="5">
        <v>34</v>
      </c>
      <c r="Z43" s="5">
        <f t="shared" ca="1" si="7"/>
        <v>0</v>
      </c>
      <c r="AA43" s="5" t="str">
        <f t="shared" ca="1" si="8"/>
        <v>Guarda-móveis</v>
      </c>
      <c r="AB43" s="5">
        <f ca="1">COUNTIF(R$10:R43,R43)</f>
        <v>26</v>
      </c>
      <c r="AC43" s="5" t="str">
        <f t="shared" ca="1" si="9"/>
        <v>026</v>
      </c>
      <c r="AD43" s="5" t="str">
        <f t="shared" ca="1" si="10"/>
        <v>Manutenção e reparação de máquinas de escrever, calcular e de outros equipamentos não-eletrônicos para escritório</v>
      </c>
      <c r="AE43" s="5">
        <f t="shared" ca="1" si="11"/>
        <v>0</v>
      </c>
    </row>
    <row r="44" spans="4:31" ht="15.6" thickTop="1" thickBot="1" x14ac:dyDescent="0.35">
      <c r="D44" s="57"/>
      <c r="E44" s="58"/>
      <c r="F44" s="59"/>
      <c r="G44" s="59"/>
      <c r="H44" s="59"/>
      <c r="I44" s="60"/>
      <c r="J44" s="61"/>
      <c r="K44" s="61"/>
      <c r="M44" s="9" t="str">
        <f t="shared" si="0"/>
        <v/>
      </c>
      <c r="N44" s="5" t="str">
        <f t="shared" si="12"/>
        <v/>
      </c>
      <c r="O44" s="5" t="str">
        <f t="shared" si="6"/>
        <v/>
      </c>
      <c r="Q44" s="5" t="str">
        <f>'CNAE_Cód.Atividade Econômica'!B23</f>
        <v>Manutenção e reparação de máquinas e equipamentos para uso geral não especificados anteriormente</v>
      </c>
      <c r="R44" s="5">
        <f t="shared" ca="1" si="1"/>
        <v>0</v>
      </c>
      <c r="S44" s="5" t="str">
        <f t="shared" si="2"/>
        <v>Manutenção e reparação de máquinas e equipamentos para uso geral não especificados anteriormente</v>
      </c>
      <c r="U44" s="5">
        <f ca="1">COUNTIF(R$10:R44,R44)</f>
        <v>27</v>
      </c>
      <c r="V44" s="5" t="str">
        <f t="shared" ca="1" si="3"/>
        <v>027</v>
      </c>
      <c r="W44" s="5" t="str">
        <f t="shared" ca="1" si="4"/>
        <v>Manutenção e reparação de máquinas e equipamentos para uso geral não especificados anteriormente</v>
      </c>
      <c r="Y44" s="5">
        <v>35</v>
      </c>
      <c r="Z44" s="5">
        <f t="shared" ca="1" si="7"/>
        <v>0</v>
      </c>
      <c r="AA44" s="5" t="str">
        <f t="shared" ca="1" si="8"/>
        <v>Guarda-móveis</v>
      </c>
      <c r="AB44" s="5">
        <f ca="1">COUNTIF(R$10:R44,R44)</f>
        <v>27</v>
      </c>
      <c r="AC44" s="5" t="str">
        <f t="shared" ca="1" si="9"/>
        <v>027</v>
      </c>
      <c r="AD44" s="5" t="str">
        <f t="shared" ca="1" si="10"/>
        <v>Manutenção e reparação de máquinas e equipamentos para uso geral não especificados anteriormente</v>
      </c>
      <c r="AE44" s="5">
        <f t="shared" ca="1" si="11"/>
        <v>0</v>
      </c>
    </row>
    <row r="45" spans="4:31" ht="15.6" thickTop="1" thickBot="1" x14ac:dyDescent="0.35">
      <c r="D45" s="57"/>
      <c r="E45" s="58"/>
      <c r="F45" s="59"/>
      <c r="G45" s="59"/>
      <c r="H45" s="59"/>
      <c r="I45" s="60"/>
      <c r="J45" s="61"/>
      <c r="K45" s="61"/>
      <c r="M45" s="9" t="str">
        <f t="shared" si="0"/>
        <v/>
      </c>
      <c r="N45" s="5" t="str">
        <f t="shared" si="12"/>
        <v/>
      </c>
      <c r="O45" s="5" t="str">
        <f t="shared" si="6"/>
        <v/>
      </c>
      <c r="Q45" s="5" t="str">
        <f>'CNAE_Cód.Atividade Econômica'!B24</f>
        <v>Manutenção e reparação de máquinas e equipamentos para agricultura e pecuária</v>
      </c>
      <c r="R45" s="5">
        <f t="shared" ca="1" si="1"/>
        <v>0</v>
      </c>
      <c r="S45" s="5" t="str">
        <f t="shared" si="2"/>
        <v>Manutenção e reparação de máquinas e equipamentos para agricultura e pecuária</v>
      </c>
      <c r="U45" s="5">
        <f ca="1">COUNTIF(R$10:R45,R45)</f>
        <v>28</v>
      </c>
      <c r="V45" s="5" t="str">
        <f t="shared" ca="1" si="3"/>
        <v>028</v>
      </c>
      <c r="W45" s="5" t="str">
        <f t="shared" ca="1" si="4"/>
        <v>Manutenção e reparação de máquinas e equipamentos para agricultura e pecuária</v>
      </c>
      <c r="Y45" s="5">
        <v>36</v>
      </c>
      <c r="Z45" s="5">
        <f t="shared" ca="1" si="7"/>
        <v>0</v>
      </c>
      <c r="AA45" s="5" t="str">
        <f t="shared" ca="1" si="8"/>
        <v>Guarda-móveis</v>
      </c>
      <c r="AB45" s="5">
        <f ca="1">COUNTIF(R$10:R45,R45)</f>
        <v>28</v>
      </c>
      <c r="AC45" s="5" t="str">
        <f t="shared" ca="1" si="9"/>
        <v>028</v>
      </c>
      <c r="AD45" s="5" t="str">
        <f t="shared" ca="1" si="10"/>
        <v>Manutenção e reparação de máquinas e equipamentos para agricultura e pecuária</v>
      </c>
      <c r="AE45" s="5">
        <f t="shared" ca="1" si="11"/>
        <v>0</v>
      </c>
    </row>
    <row r="46" spans="4:31" ht="15.6" thickTop="1" thickBot="1" x14ac:dyDescent="0.35">
      <c r="D46" s="57"/>
      <c r="E46" s="58"/>
      <c r="F46" s="59"/>
      <c r="G46" s="59"/>
      <c r="H46" s="59"/>
      <c r="I46" s="60"/>
      <c r="J46" s="61"/>
      <c r="K46" s="61"/>
      <c r="M46" s="9" t="str">
        <f t="shared" si="0"/>
        <v/>
      </c>
      <c r="N46" s="5" t="str">
        <f t="shared" si="12"/>
        <v/>
      </c>
      <c r="O46" s="5" t="str">
        <f t="shared" si="6"/>
        <v/>
      </c>
      <c r="Q46" s="5" t="str">
        <f>'CNAE_Cód.Atividade Econômica'!B25</f>
        <v>Manutenção e reparação de tratores agrícolas</v>
      </c>
      <c r="R46" s="5">
        <f t="shared" ca="1" si="1"/>
        <v>0</v>
      </c>
      <c r="S46" s="5" t="str">
        <f t="shared" si="2"/>
        <v>Manutenção e reparação de tratores agrícolas</v>
      </c>
      <c r="U46" s="5">
        <f ca="1">COUNTIF(R$10:R46,R46)</f>
        <v>29</v>
      </c>
      <c r="V46" s="5" t="str">
        <f t="shared" ca="1" si="3"/>
        <v>029</v>
      </c>
      <c r="W46" s="5" t="str">
        <f t="shared" ca="1" si="4"/>
        <v>Manutenção e reparação de tratores agrícolas</v>
      </c>
      <c r="Y46" s="5">
        <v>37</v>
      </c>
      <c r="Z46" s="5">
        <f t="shared" ca="1" si="7"/>
        <v>0</v>
      </c>
      <c r="AA46" s="5" t="str">
        <f t="shared" ca="1" si="8"/>
        <v>Guarda-móveis</v>
      </c>
      <c r="AB46" s="5">
        <f ca="1">COUNTIF(R$10:R46,R46)</f>
        <v>29</v>
      </c>
      <c r="AC46" s="5" t="str">
        <f t="shared" ca="1" si="9"/>
        <v>029</v>
      </c>
      <c r="AD46" s="5" t="str">
        <f t="shared" ca="1" si="10"/>
        <v>Manutenção e reparação de tratores agrícolas</v>
      </c>
      <c r="AE46" s="5">
        <f t="shared" ca="1" si="11"/>
        <v>0</v>
      </c>
    </row>
    <row r="47" spans="4:31" ht="15.6" thickTop="1" thickBot="1" x14ac:dyDescent="0.35">
      <c r="D47" s="57"/>
      <c r="E47" s="58"/>
      <c r="F47" s="59"/>
      <c r="G47" s="59"/>
      <c r="H47" s="59"/>
      <c r="I47" s="60"/>
      <c r="J47" s="61"/>
      <c r="K47" s="61"/>
      <c r="M47" s="9" t="str">
        <f t="shared" si="0"/>
        <v/>
      </c>
      <c r="N47" s="5" t="str">
        <f t="shared" si="12"/>
        <v/>
      </c>
      <c r="O47" s="5" t="str">
        <f t="shared" si="6"/>
        <v/>
      </c>
      <c r="Q47" s="5" t="str">
        <f>'CNAE_Cód.Atividade Econômica'!B26</f>
        <v>Manutenção e reparação de máquinas-ferramenta</v>
      </c>
      <c r="R47" s="5">
        <f t="shared" ca="1" si="1"/>
        <v>0</v>
      </c>
      <c r="S47" s="5" t="str">
        <f t="shared" si="2"/>
        <v>Manutenção e reparação de máquinas-ferramenta</v>
      </c>
      <c r="U47" s="5">
        <f ca="1">COUNTIF(R$10:R47,R47)</f>
        <v>30</v>
      </c>
      <c r="V47" s="5" t="str">
        <f t="shared" ca="1" si="3"/>
        <v>030</v>
      </c>
      <c r="W47" s="5" t="str">
        <f t="shared" ca="1" si="4"/>
        <v>Manutenção e reparação de máquinas-ferramenta</v>
      </c>
      <c r="Y47" s="5">
        <v>38</v>
      </c>
      <c r="Z47" s="5">
        <f t="shared" ca="1" si="7"/>
        <v>0</v>
      </c>
      <c r="AA47" s="5" t="str">
        <f t="shared" ca="1" si="8"/>
        <v>Guarda-móveis</v>
      </c>
      <c r="AB47" s="5">
        <f ca="1">COUNTIF(R$10:R47,R47)</f>
        <v>30</v>
      </c>
      <c r="AC47" s="5" t="str">
        <f t="shared" ca="1" si="9"/>
        <v>030</v>
      </c>
      <c r="AD47" s="5" t="str">
        <f t="shared" ca="1" si="10"/>
        <v>Manutenção e reparação de máquinas-ferramenta</v>
      </c>
      <c r="AE47" s="5">
        <f t="shared" ca="1" si="11"/>
        <v>0</v>
      </c>
    </row>
    <row r="48" spans="4:31" ht="15.6" thickTop="1" thickBot="1" x14ac:dyDescent="0.35">
      <c r="D48" s="57"/>
      <c r="E48" s="58"/>
      <c r="F48" s="59"/>
      <c r="G48" s="59"/>
      <c r="H48" s="59"/>
      <c r="I48" s="60"/>
      <c r="J48" s="61"/>
      <c r="K48" s="61"/>
      <c r="M48" s="9" t="str">
        <f t="shared" si="0"/>
        <v/>
      </c>
      <c r="N48" s="5" t="str">
        <f t="shared" si="12"/>
        <v/>
      </c>
      <c r="O48" s="5" t="str">
        <f t="shared" si="6"/>
        <v/>
      </c>
      <c r="Q48" s="5" t="str">
        <f>'CNAE_Cód.Atividade Econômica'!B27</f>
        <v>Manutenção e reparação de máquinas e equipamentos para a prospecção e extração de petróleo</v>
      </c>
      <c r="R48" s="5">
        <f t="shared" ca="1" si="1"/>
        <v>0</v>
      </c>
      <c r="S48" s="5" t="str">
        <f t="shared" si="2"/>
        <v>Manutenção e reparação de máquinas e equipamentos para a prospecção e extração de petróleo</v>
      </c>
      <c r="U48" s="5">
        <f ca="1">COUNTIF(R$10:R48,R48)</f>
        <v>31</v>
      </c>
      <c r="V48" s="5" t="str">
        <f t="shared" ca="1" si="3"/>
        <v>031</v>
      </c>
      <c r="W48" s="5" t="str">
        <f t="shared" ca="1" si="4"/>
        <v>Manutenção e reparação de máquinas e equipamentos para a prospecção e extração de petróleo</v>
      </c>
      <c r="Y48" s="5">
        <v>39</v>
      </c>
      <c r="Z48" s="5">
        <f t="shared" ca="1" si="7"/>
        <v>0</v>
      </c>
      <c r="AA48" s="5" t="str">
        <f t="shared" ca="1" si="8"/>
        <v>Guarda-móveis</v>
      </c>
      <c r="AB48" s="5">
        <f ca="1">COUNTIF(R$10:R48,R48)</f>
        <v>31</v>
      </c>
      <c r="AC48" s="5" t="str">
        <f t="shared" ca="1" si="9"/>
        <v>031</v>
      </c>
      <c r="AD48" s="5" t="str">
        <f t="shared" ca="1" si="10"/>
        <v>Manutenção e reparação de máquinas e equipamentos para a prospecção e extração de petróleo</v>
      </c>
      <c r="AE48" s="5">
        <f t="shared" ca="1" si="11"/>
        <v>0</v>
      </c>
    </row>
    <row r="49" spans="4:31" ht="15.6" thickTop="1" thickBot="1" x14ac:dyDescent="0.35">
      <c r="D49" s="57"/>
      <c r="E49" s="58"/>
      <c r="F49" s="59"/>
      <c r="G49" s="59"/>
      <c r="H49" s="59"/>
      <c r="I49" s="60"/>
      <c r="J49" s="61"/>
      <c r="K49" s="61"/>
      <c r="M49" s="9" t="str">
        <f t="shared" si="0"/>
        <v/>
      </c>
      <c r="N49" s="5" t="str">
        <f t="shared" si="12"/>
        <v/>
      </c>
      <c r="O49" s="5" t="str">
        <f t="shared" si="6"/>
        <v/>
      </c>
      <c r="Q49" s="5" t="str">
        <f>'CNAE_Cód.Atividade Econômica'!B28</f>
        <v>Manutenção e reparação de máquinas e equipamentos para uso na extração mineral, exceto na extração de petróleo</v>
      </c>
      <c r="R49" s="5">
        <f t="shared" ca="1" si="1"/>
        <v>0</v>
      </c>
      <c r="S49" s="5" t="str">
        <f t="shared" si="2"/>
        <v>Manutenção e reparação de máquinas e equipamentos para uso na extração mineral, exceto na extração de petróleo</v>
      </c>
      <c r="U49" s="5">
        <f ca="1">COUNTIF(R$10:R49,R49)</f>
        <v>32</v>
      </c>
      <c r="V49" s="5" t="str">
        <f t="shared" ca="1" si="3"/>
        <v>032</v>
      </c>
      <c r="W49" s="5" t="str">
        <f t="shared" ca="1" si="4"/>
        <v>Manutenção e reparação de máquinas e equipamentos para uso na extração mineral, exceto na extração de petróleo</v>
      </c>
      <c r="Y49" s="5">
        <v>40</v>
      </c>
      <c r="Z49" s="5">
        <f t="shared" ca="1" si="7"/>
        <v>0</v>
      </c>
      <c r="AA49" s="5" t="str">
        <f t="shared" ca="1" si="8"/>
        <v>Guarda-móveis</v>
      </c>
      <c r="AB49" s="5">
        <f ca="1">COUNTIF(R$10:R49,R49)</f>
        <v>32</v>
      </c>
      <c r="AC49" s="5" t="str">
        <f t="shared" ca="1" si="9"/>
        <v>032</v>
      </c>
      <c r="AD49" s="5" t="str">
        <f t="shared" ca="1" si="10"/>
        <v>Manutenção e reparação de máquinas e equipamentos para uso na extração mineral, exceto na extração de petróleo</v>
      </c>
      <c r="AE49" s="5">
        <f t="shared" ca="1" si="11"/>
        <v>0</v>
      </c>
    </row>
    <row r="50" spans="4:31" ht="15.6" thickTop="1" thickBot="1" x14ac:dyDescent="0.35">
      <c r="D50" s="57"/>
      <c r="E50" s="58"/>
      <c r="F50" s="59"/>
      <c r="G50" s="59"/>
      <c r="H50" s="59"/>
      <c r="I50" s="60"/>
      <c r="J50" s="61"/>
      <c r="K50" s="61"/>
      <c r="M50" s="9" t="str">
        <f t="shared" si="0"/>
        <v/>
      </c>
      <c r="N50" s="5" t="str">
        <f t="shared" si="12"/>
        <v/>
      </c>
      <c r="O50" s="5" t="str">
        <f t="shared" si="6"/>
        <v/>
      </c>
      <c r="Q50" s="5" t="str">
        <f>'CNAE_Cód.Atividade Econômica'!B29</f>
        <v>Manutenção e reparação de tratores, exceto agrícolas</v>
      </c>
      <c r="R50" s="5">
        <f t="shared" ca="1" si="1"/>
        <v>0</v>
      </c>
      <c r="S50" s="5" t="str">
        <f t="shared" si="2"/>
        <v>Manutenção e reparação de tratores, exceto agrícolas</v>
      </c>
      <c r="U50" s="5">
        <f ca="1">COUNTIF(R$10:R50,R50)</f>
        <v>33</v>
      </c>
      <c r="V50" s="5" t="str">
        <f t="shared" ca="1" si="3"/>
        <v>033</v>
      </c>
      <c r="W50" s="5" t="str">
        <f t="shared" ca="1" si="4"/>
        <v>Manutenção e reparação de tratores, exceto agrícolas</v>
      </c>
      <c r="Y50" s="5">
        <v>41</v>
      </c>
      <c r="Z50" s="5">
        <f t="shared" ca="1" si="7"/>
        <v>0</v>
      </c>
      <c r="AA50" s="5" t="str">
        <f t="shared" ca="1" si="8"/>
        <v>Guarda-móveis</v>
      </c>
      <c r="AB50" s="5">
        <f ca="1">COUNTIF(R$10:R50,R50)</f>
        <v>33</v>
      </c>
      <c r="AC50" s="5" t="str">
        <f t="shared" ca="1" si="9"/>
        <v>033</v>
      </c>
      <c r="AD50" s="5" t="str">
        <f t="shared" ca="1" si="10"/>
        <v>Manutenção e reparação de tratores, exceto agrícolas</v>
      </c>
      <c r="AE50" s="5">
        <f t="shared" ca="1" si="11"/>
        <v>0</v>
      </c>
    </row>
    <row r="51" spans="4:31" ht="15.6" thickTop="1" thickBot="1" x14ac:dyDescent="0.35">
      <c r="D51" s="57"/>
      <c r="E51" s="58"/>
      <c r="F51" s="59"/>
      <c r="G51" s="59"/>
      <c r="H51" s="59"/>
      <c r="I51" s="60"/>
      <c r="J51" s="61"/>
      <c r="K51" s="61"/>
      <c r="M51" s="9" t="str">
        <f t="shared" si="0"/>
        <v/>
      </c>
      <c r="N51" s="5" t="str">
        <f t="shared" si="12"/>
        <v/>
      </c>
      <c r="O51" s="5" t="str">
        <f t="shared" si="6"/>
        <v/>
      </c>
      <c r="Q51" s="5" t="str">
        <f>'CNAE_Cód.Atividade Econômica'!B30</f>
        <v>Manutenção e reparação de máquinas e equipamentos de terraplenagem, pavimentação e construção, exceto tratores</v>
      </c>
      <c r="R51" s="5">
        <f t="shared" ca="1" si="1"/>
        <v>0</v>
      </c>
      <c r="S51" s="5" t="str">
        <f t="shared" si="2"/>
        <v>Manutenção e reparação de máquinas e equipamentos de terraplenagem, pavimentação e construção, exceto tratores</v>
      </c>
      <c r="U51" s="5">
        <f ca="1">COUNTIF(R$10:R51,R51)</f>
        <v>34</v>
      </c>
      <c r="V51" s="5" t="str">
        <f t="shared" ca="1" si="3"/>
        <v>034</v>
      </c>
      <c r="W51" s="5" t="str">
        <f t="shared" ca="1" si="4"/>
        <v>Manutenção e reparação de máquinas e equipamentos de terraplenagem, pavimentação e construção, exceto tratores</v>
      </c>
      <c r="Y51" s="5">
        <v>42</v>
      </c>
      <c r="Z51" s="5">
        <f t="shared" ca="1" si="7"/>
        <v>0</v>
      </c>
      <c r="AA51" s="5" t="str">
        <f t="shared" ca="1" si="8"/>
        <v>Guarda-móveis</v>
      </c>
      <c r="AB51" s="5">
        <f ca="1">COUNTIF(R$10:R51,R51)</f>
        <v>34</v>
      </c>
      <c r="AC51" s="5" t="str">
        <f t="shared" ca="1" si="9"/>
        <v>034</v>
      </c>
      <c r="AD51" s="5" t="str">
        <f t="shared" ca="1" si="10"/>
        <v>Manutenção e reparação de máquinas e equipamentos de terraplenagem, pavimentação e construção, exceto tratores</v>
      </c>
      <c r="AE51" s="5">
        <f t="shared" ca="1" si="11"/>
        <v>0</v>
      </c>
    </row>
    <row r="52" spans="4:31" ht="15.6" thickTop="1" thickBot="1" x14ac:dyDescent="0.35">
      <c r="D52" s="57"/>
      <c r="E52" s="58"/>
      <c r="F52" s="59"/>
      <c r="G52" s="59"/>
      <c r="H52" s="59"/>
      <c r="I52" s="60"/>
      <c r="J52" s="61"/>
      <c r="K52" s="61"/>
      <c r="M52" s="9" t="str">
        <f t="shared" si="0"/>
        <v/>
      </c>
      <c r="N52" s="5" t="str">
        <f t="shared" si="12"/>
        <v/>
      </c>
      <c r="O52" s="5" t="str">
        <f t="shared" si="6"/>
        <v/>
      </c>
      <c r="Q52" s="5" t="str">
        <f>'CNAE_Cód.Atividade Econômica'!B31</f>
        <v>Manutenção e reparação de máquinas para a indústria metalúrgica, exceto máquinas-ferramenta</v>
      </c>
      <c r="R52" s="5">
        <f t="shared" ca="1" si="1"/>
        <v>0</v>
      </c>
      <c r="S52" s="5" t="str">
        <f t="shared" si="2"/>
        <v>Manutenção e reparação de máquinas para a indústria metalúrgica, exceto máquinas-ferramenta</v>
      </c>
      <c r="U52" s="5">
        <f ca="1">COUNTIF(R$10:R52,R52)</f>
        <v>35</v>
      </c>
      <c r="V52" s="5" t="str">
        <f t="shared" ca="1" si="3"/>
        <v>035</v>
      </c>
      <c r="W52" s="5" t="str">
        <f t="shared" ca="1" si="4"/>
        <v>Manutenção e reparação de máquinas para a indústria metalúrgica, exceto máquinas-ferramenta</v>
      </c>
      <c r="Y52" s="5">
        <v>43</v>
      </c>
      <c r="Z52" s="5">
        <f t="shared" ca="1" si="7"/>
        <v>0</v>
      </c>
      <c r="AA52" s="5" t="str">
        <f t="shared" ca="1" si="8"/>
        <v>Guarda-móveis</v>
      </c>
      <c r="AB52" s="5">
        <f ca="1">COUNTIF(R$10:R52,R52)</f>
        <v>35</v>
      </c>
      <c r="AC52" s="5" t="str">
        <f t="shared" ca="1" si="9"/>
        <v>035</v>
      </c>
      <c r="AD52" s="5" t="str">
        <f t="shared" ca="1" si="10"/>
        <v>Manutenção e reparação de máquinas para a indústria metalúrgica, exceto máquinas-ferramenta</v>
      </c>
      <c r="AE52" s="5">
        <f t="shared" ca="1" si="11"/>
        <v>0</v>
      </c>
    </row>
    <row r="53" spans="4:31" ht="15.6" thickTop="1" thickBot="1" x14ac:dyDescent="0.35">
      <c r="D53" s="57"/>
      <c r="E53" s="58"/>
      <c r="F53" s="59"/>
      <c r="G53" s="59"/>
      <c r="H53" s="59"/>
      <c r="I53" s="60"/>
      <c r="J53" s="61"/>
      <c r="K53" s="61"/>
      <c r="M53" s="9" t="str">
        <f t="shared" si="0"/>
        <v/>
      </c>
      <c r="N53" s="5" t="str">
        <f t="shared" si="12"/>
        <v/>
      </c>
      <c r="O53" s="5" t="str">
        <f t="shared" si="6"/>
        <v/>
      </c>
      <c r="Q53" s="5" t="str">
        <f>'CNAE_Cód.Atividade Econômica'!B32</f>
        <v>Manutenção e reparação de máquinas e equipamentos para as indústrias de alimentos, bebidas e fumo</v>
      </c>
      <c r="R53" s="5">
        <f t="shared" ca="1" si="1"/>
        <v>0</v>
      </c>
      <c r="S53" s="5" t="str">
        <f t="shared" si="2"/>
        <v>Manutenção e reparação de máquinas e equipamentos para as indústrias de alimentos, bebidas e fumo</v>
      </c>
      <c r="U53" s="5">
        <f ca="1">COUNTIF(R$10:R53,R53)</f>
        <v>36</v>
      </c>
      <c r="V53" s="5" t="str">
        <f t="shared" ca="1" si="3"/>
        <v>036</v>
      </c>
      <c r="W53" s="5" t="str">
        <f t="shared" ca="1" si="4"/>
        <v>Manutenção e reparação de máquinas e equipamentos para as indústrias de alimentos, bebidas e fumo</v>
      </c>
      <c r="Y53" s="5">
        <v>44</v>
      </c>
      <c r="Z53" s="5">
        <f t="shared" ca="1" si="7"/>
        <v>0</v>
      </c>
      <c r="AA53" s="5" t="str">
        <f t="shared" ca="1" si="8"/>
        <v>Guarda-móveis</v>
      </c>
      <c r="AB53" s="5">
        <f ca="1">COUNTIF(R$10:R53,R53)</f>
        <v>36</v>
      </c>
      <c r="AC53" s="5" t="str">
        <f t="shared" ca="1" si="9"/>
        <v>036</v>
      </c>
      <c r="AD53" s="5" t="str">
        <f t="shared" ca="1" si="10"/>
        <v>Manutenção e reparação de máquinas e equipamentos para as indústrias de alimentos, bebidas e fumo</v>
      </c>
      <c r="AE53" s="5">
        <f t="shared" ca="1" si="11"/>
        <v>0</v>
      </c>
    </row>
    <row r="54" spans="4:31" ht="15.6" thickTop="1" thickBot="1" x14ac:dyDescent="0.35">
      <c r="D54" s="57"/>
      <c r="E54" s="58"/>
      <c r="F54" s="59"/>
      <c r="G54" s="59"/>
      <c r="H54" s="59"/>
      <c r="I54" s="60"/>
      <c r="J54" s="61"/>
      <c r="K54" s="61"/>
      <c r="M54" s="9" t="str">
        <f t="shared" si="0"/>
        <v/>
      </c>
      <c r="N54" s="5" t="str">
        <f t="shared" si="12"/>
        <v/>
      </c>
      <c r="O54" s="5" t="str">
        <f t="shared" si="6"/>
        <v/>
      </c>
      <c r="Q54" s="5" t="str">
        <f>'CNAE_Cód.Atividade Econômica'!B33</f>
        <v>Manutenção e reparação de máquinas e equipamentos para a indústria têxtil, do vestuário, do couro e calçados</v>
      </c>
      <c r="R54" s="5">
        <f t="shared" ca="1" si="1"/>
        <v>0</v>
      </c>
      <c r="S54" s="5" t="str">
        <f t="shared" si="2"/>
        <v>Manutenção e reparação de máquinas e equipamentos para a indústria têxtil, do vestuário, do couro e calçados</v>
      </c>
      <c r="U54" s="5">
        <f ca="1">COUNTIF(R$10:R54,R54)</f>
        <v>37</v>
      </c>
      <c r="V54" s="5" t="str">
        <f t="shared" ca="1" si="3"/>
        <v>037</v>
      </c>
      <c r="W54" s="5" t="str">
        <f t="shared" ca="1" si="4"/>
        <v>Manutenção e reparação de máquinas e equipamentos para a indústria têxtil, do vestuário, do couro e calçados</v>
      </c>
      <c r="Y54" s="5">
        <v>45</v>
      </c>
      <c r="Z54" s="5">
        <f t="shared" ca="1" si="7"/>
        <v>0</v>
      </c>
      <c r="AA54" s="5" t="str">
        <f t="shared" ca="1" si="8"/>
        <v>Guarda-móveis</v>
      </c>
      <c r="AB54" s="5">
        <f ca="1">COUNTIF(R$10:R54,R54)</f>
        <v>37</v>
      </c>
      <c r="AC54" s="5" t="str">
        <f t="shared" ca="1" si="9"/>
        <v>037</v>
      </c>
      <c r="AD54" s="5" t="str">
        <f t="shared" ca="1" si="10"/>
        <v>Manutenção e reparação de máquinas e equipamentos para a indústria têxtil, do vestuário, do couro e calçados</v>
      </c>
      <c r="AE54" s="5">
        <f t="shared" ca="1" si="11"/>
        <v>0</v>
      </c>
    </row>
    <row r="55" spans="4:31" ht="15.6" thickTop="1" thickBot="1" x14ac:dyDescent="0.35">
      <c r="D55" s="57"/>
      <c r="E55" s="58"/>
      <c r="F55" s="59"/>
      <c r="G55" s="59"/>
      <c r="H55" s="59"/>
      <c r="I55" s="60"/>
      <c r="J55" s="61"/>
      <c r="K55" s="61"/>
      <c r="M55" s="9" t="str">
        <f t="shared" si="0"/>
        <v/>
      </c>
      <c r="N55" s="5" t="str">
        <f t="shared" si="12"/>
        <v/>
      </c>
      <c r="O55" s="5" t="str">
        <f t="shared" si="6"/>
        <v/>
      </c>
      <c r="Q55" s="5" t="str">
        <f>'CNAE_Cód.Atividade Econômica'!B34</f>
        <v>Manutenção e reparação de máquinas e aparelhos para a indústria de celulose, papel e papelão e artefatos</v>
      </c>
      <c r="R55" s="5">
        <f t="shared" ca="1" si="1"/>
        <v>0</v>
      </c>
      <c r="S55" s="5" t="str">
        <f t="shared" si="2"/>
        <v>Manutenção e reparação de máquinas e aparelhos para a indústria de celulose, papel e papelão e artefatos</v>
      </c>
      <c r="U55" s="5">
        <f ca="1">COUNTIF(R$10:R55,R55)</f>
        <v>38</v>
      </c>
      <c r="V55" s="5" t="str">
        <f t="shared" ca="1" si="3"/>
        <v>038</v>
      </c>
      <c r="W55" s="5" t="str">
        <f t="shared" ca="1" si="4"/>
        <v>Manutenção e reparação de máquinas e aparelhos para a indústria de celulose, papel e papelão e artefatos</v>
      </c>
      <c r="Y55" s="5">
        <v>46</v>
      </c>
      <c r="Z55" s="5">
        <f t="shared" ca="1" si="7"/>
        <v>0</v>
      </c>
      <c r="AA55" s="5" t="str">
        <f t="shared" ca="1" si="8"/>
        <v>Guarda-móveis</v>
      </c>
      <c r="AB55" s="5">
        <f ca="1">COUNTIF(R$10:R55,R55)</f>
        <v>38</v>
      </c>
      <c r="AC55" s="5" t="str">
        <f t="shared" ca="1" si="9"/>
        <v>038</v>
      </c>
      <c r="AD55" s="5" t="str">
        <f t="shared" ca="1" si="10"/>
        <v>Manutenção e reparação de máquinas e aparelhos para a indústria de celulose, papel e papelão e artefatos</v>
      </c>
      <c r="AE55" s="5">
        <f t="shared" ca="1" si="11"/>
        <v>0</v>
      </c>
    </row>
    <row r="56" spans="4:31" ht="15.6" thickTop="1" thickBot="1" x14ac:dyDescent="0.35">
      <c r="D56" s="57"/>
      <c r="E56" s="58"/>
      <c r="F56" s="59"/>
      <c r="G56" s="59"/>
      <c r="H56" s="59"/>
      <c r="I56" s="60"/>
      <c r="J56" s="61"/>
      <c r="K56" s="61"/>
      <c r="M56" s="9" t="str">
        <f t="shared" si="0"/>
        <v/>
      </c>
      <c r="N56" s="5" t="str">
        <f t="shared" si="12"/>
        <v/>
      </c>
      <c r="O56" s="5" t="str">
        <f t="shared" si="6"/>
        <v/>
      </c>
      <c r="Q56" s="5" t="str">
        <f>'CNAE_Cód.Atividade Econômica'!B35</f>
        <v>Manutenção e reparação de máquinas e aparelhos para a indústria do plástico</v>
      </c>
      <c r="R56" s="5">
        <f t="shared" ca="1" si="1"/>
        <v>0</v>
      </c>
      <c r="S56" s="5" t="str">
        <f t="shared" si="2"/>
        <v>Manutenção e reparação de máquinas e aparelhos para a indústria do plástico</v>
      </c>
      <c r="U56" s="5">
        <f ca="1">COUNTIF(R$10:R56,R56)</f>
        <v>39</v>
      </c>
      <c r="V56" s="5" t="str">
        <f t="shared" ca="1" si="3"/>
        <v>039</v>
      </c>
      <c r="W56" s="5" t="str">
        <f t="shared" ca="1" si="4"/>
        <v>Manutenção e reparação de máquinas e aparelhos para a indústria do plástico</v>
      </c>
      <c r="Y56" s="5">
        <v>47</v>
      </c>
      <c r="Z56" s="5">
        <f t="shared" ca="1" si="7"/>
        <v>0</v>
      </c>
      <c r="AA56" s="5" t="str">
        <f t="shared" ca="1" si="8"/>
        <v>Guarda-móveis</v>
      </c>
      <c r="AB56" s="5">
        <f ca="1">COUNTIF(R$10:R56,R56)</f>
        <v>39</v>
      </c>
      <c r="AC56" s="5" t="str">
        <f t="shared" ca="1" si="9"/>
        <v>039</v>
      </c>
      <c r="AD56" s="5" t="str">
        <f t="shared" ca="1" si="10"/>
        <v>Manutenção e reparação de máquinas e aparelhos para a indústria do plástico</v>
      </c>
      <c r="AE56" s="5">
        <f t="shared" ca="1" si="11"/>
        <v>0</v>
      </c>
    </row>
    <row r="57" spans="4:31" ht="15.6" thickTop="1" thickBot="1" x14ac:dyDescent="0.35">
      <c r="D57" s="57"/>
      <c r="E57" s="58"/>
      <c r="F57" s="59"/>
      <c r="G57" s="59"/>
      <c r="H57" s="59"/>
      <c r="I57" s="60"/>
      <c r="J57" s="61"/>
      <c r="K57" s="61"/>
      <c r="M57" s="9" t="str">
        <f t="shared" si="0"/>
        <v/>
      </c>
      <c r="N57" s="5" t="str">
        <f t="shared" si="12"/>
        <v/>
      </c>
      <c r="O57" s="5" t="str">
        <f t="shared" si="6"/>
        <v/>
      </c>
      <c r="Q57" s="5" t="str">
        <f>'CNAE_Cód.Atividade Econômica'!B36</f>
        <v>Manutenção e reparação de outras máquinas e equipamentos para usos industriais não especificados anteriormente</v>
      </c>
      <c r="R57" s="5">
        <f t="shared" ca="1" si="1"/>
        <v>0</v>
      </c>
      <c r="S57" s="5" t="str">
        <f t="shared" si="2"/>
        <v>Manutenção e reparação de outras máquinas e equipamentos para usos industriais não especificados anteriormente</v>
      </c>
      <c r="U57" s="5">
        <f ca="1">COUNTIF(R$10:R57,R57)</f>
        <v>40</v>
      </c>
      <c r="V57" s="5" t="str">
        <f t="shared" ca="1" si="3"/>
        <v>040</v>
      </c>
      <c r="W57" s="5" t="str">
        <f t="shared" ca="1" si="4"/>
        <v>Manutenção e reparação de outras máquinas e equipamentos para usos industriais não especificados anteriormente</v>
      </c>
      <c r="Y57" s="5">
        <v>48</v>
      </c>
      <c r="Z57" s="5">
        <f t="shared" ca="1" si="7"/>
        <v>0</v>
      </c>
      <c r="AA57" s="5" t="str">
        <f t="shared" ca="1" si="8"/>
        <v>Guarda-móveis</v>
      </c>
      <c r="AB57" s="5">
        <f ca="1">COUNTIF(R$10:R57,R57)</f>
        <v>40</v>
      </c>
      <c r="AC57" s="5" t="str">
        <f t="shared" ca="1" si="9"/>
        <v>040</v>
      </c>
      <c r="AD57" s="5" t="str">
        <f t="shared" ca="1" si="10"/>
        <v>Manutenção e reparação de outras máquinas e equipamentos para usos industriais não especificados anteriormente</v>
      </c>
      <c r="AE57" s="5">
        <f t="shared" ca="1" si="11"/>
        <v>0</v>
      </c>
    </row>
    <row r="58" spans="4:31" ht="15.6" thickTop="1" thickBot="1" x14ac:dyDescent="0.35">
      <c r="D58" s="57"/>
      <c r="E58" s="58"/>
      <c r="F58" s="59"/>
      <c r="G58" s="59"/>
      <c r="H58" s="59"/>
      <c r="I58" s="60"/>
      <c r="J58" s="61"/>
      <c r="K58" s="61"/>
      <c r="M58" s="9" t="str">
        <f t="shared" si="0"/>
        <v/>
      </c>
      <c r="N58" s="5" t="str">
        <f t="shared" si="12"/>
        <v/>
      </c>
      <c r="O58" s="5" t="str">
        <f t="shared" si="6"/>
        <v/>
      </c>
      <c r="Q58" s="5" t="str">
        <f>'CNAE_Cód.Atividade Econômica'!B37</f>
        <v>Manutenção e reparação de veículos ferroviários</v>
      </c>
      <c r="R58" s="5">
        <f t="shared" ca="1" si="1"/>
        <v>0</v>
      </c>
      <c r="S58" s="5" t="str">
        <f t="shared" si="2"/>
        <v>Manutenção e reparação de veículos ferroviários</v>
      </c>
      <c r="U58" s="5">
        <f ca="1">COUNTIF(R$10:R58,R58)</f>
        <v>41</v>
      </c>
      <c r="V58" s="5" t="str">
        <f t="shared" ca="1" si="3"/>
        <v>041</v>
      </c>
      <c r="W58" s="5" t="str">
        <f t="shared" ca="1" si="4"/>
        <v>Manutenção e reparação de veículos ferroviários</v>
      </c>
      <c r="Y58" s="5">
        <v>49</v>
      </c>
      <c r="Z58" s="5">
        <f t="shared" ca="1" si="7"/>
        <v>0</v>
      </c>
      <c r="AA58" s="5" t="str">
        <f t="shared" ca="1" si="8"/>
        <v>Guarda-móveis</v>
      </c>
      <c r="AB58" s="5">
        <f ca="1">COUNTIF(R$10:R58,R58)</f>
        <v>41</v>
      </c>
      <c r="AC58" s="5" t="str">
        <f t="shared" ca="1" si="9"/>
        <v>041</v>
      </c>
      <c r="AD58" s="5" t="str">
        <f t="shared" ca="1" si="10"/>
        <v>Manutenção e reparação de veículos ferroviários</v>
      </c>
      <c r="AE58" s="5">
        <f t="shared" ca="1" si="11"/>
        <v>0</v>
      </c>
    </row>
    <row r="59" spans="4:31" ht="15.6" thickTop="1" thickBot="1" x14ac:dyDescent="0.35">
      <c r="D59" s="57"/>
      <c r="E59" s="58"/>
      <c r="F59" s="59"/>
      <c r="G59" s="59"/>
      <c r="H59" s="59"/>
      <c r="I59" s="60"/>
      <c r="J59" s="61"/>
      <c r="K59" s="61"/>
      <c r="M59" s="9" t="str">
        <f t="shared" si="0"/>
        <v/>
      </c>
      <c r="N59" s="5" t="str">
        <f t="shared" si="12"/>
        <v/>
      </c>
      <c r="O59" s="5" t="str">
        <f t="shared" si="6"/>
        <v/>
      </c>
      <c r="Q59" s="5" t="str">
        <f>'CNAE_Cód.Atividade Econômica'!B38</f>
        <v>Manutenção e reparação de aeronaves, exceto a manutenção na pista</v>
      </c>
      <c r="R59" s="5">
        <f t="shared" ca="1" si="1"/>
        <v>0</v>
      </c>
      <c r="S59" s="5" t="str">
        <f t="shared" si="2"/>
        <v>Manutenção e reparação de aeronaves, exceto a manutenção na pista</v>
      </c>
      <c r="U59" s="5">
        <f ca="1">COUNTIF(R$10:R59,R59)</f>
        <v>42</v>
      </c>
      <c r="V59" s="5" t="str">
        <f t="shared" ca="1" si="3"/>
        <v>042</v>
      </c>
      <c r="W59" s="5" t="str">
        <f t="shared" ca="1" si="4"/>
        <v>Manutenção e reparação de aeronaves, exceto a manutenção na pista</v>
      </c>
      <c r="Y59" s="5">
        <v>50</v>
      </c>
      <c r="Z59" s="5">
        <f t="shared" ca="1" si="7"/>
        <v>0</v>
      </c>
      <c r="AA59" s="5" t="str">
        <f t="shared" ca="1" si="8"/>
        <v>Guarda-móveis</v>
      </c>
      <c r="AB59" s="5">
        <f ca="1">COUNTIF(R$10:R59,R59)</f>
        <v>42</v>
      </c>
      <c r="AC59" s="5" t="str">
        <f t="shared" ca="1" si="9"/>
        <v>042</v>
      </c>
      <c r="AD59" s="5" t="str">
        <f t="shared" ca="1" si="10"/>
        <v>Manutenção e reparação de aeronaves, exceto a manutenção na pista</v>
      </c>
      <c r="AE59" s="5">
        <f t="shared" ca="1" si="11"/>
        <v>0</v>
      </c>
    </row>
    <row r="60" spans="4:31" ht="15.6" thickTop="1" thickBot="1" x14ac:dyDescent="0.35">
      <c r="D60" s="57"/>
      <c r="E60" s="58"/>
      <c r="F60" s="59"/>
      <c r="G60" s="59"/>
      <c r="H60" s="59"/>
      <c r="I60" s="60"/>
      <c r="J60" s="61"/>
      <c r="K60" s="61"/>
      <c r="M60" s="9" t="str">
        <f t="shared" si="0"/>
        <v/>
      </c>
      <c r="N60" s="5" t="str">
        <f t="shared" si="12"/>
        <v/>
      </c>
      <c r="O60" s="5" t="str">
        <f t="shared" si="6"/>
        <v/>
      </c>
      <c r="Q60" s="5" t="str">
        <f>'CNAE_Cód.Atividade Econômica'!B39</f>
        <v>Manutenção de aeronaves na pista</v>
      </c>
      <c r="R60" s="5">
        <f t="shared" ca="1" si="1"/>
        <v>0</v>
      </c>
      <c r="S60" s="5" t="str">
        <f t="shared" si="2"/>
        <v>Manutenção de aeronaves na pista</v>
      </c>
      <c r="U60" s="5">
        <f ca="1">COUNTIF(R$10:R60,R60)</f>
        <v>43</v>
      </c>
      <c r="V60" s="5" t="str">
        <f t="shared" ca="1" si="3"/>
        <v>043</v>
      </c>
      <c r="W60" s="5" t="str">
        <f t="shared" ca="1" si="4"/>
        <v>Manutenção de aeronaves na pista</v>
      </c>
      <c r="Y60" s="5">
        <v>51</v>
      </c>
      <c r="Z60" s="5">
        <f t="shared" ca="1" si="7"/>
        <v>0</v>
      </c>
      <c r="AA60" s="5" t="str">
        <f t="shared" ca="1" si="8"/>
        <v>Guarda-móveis</v>
      </c>
      <c r="AB60" s="5">
        <f ca="1">COUNTIF(R$10:R60,R60)</f>
        <v>43</v>
      </c>
      <c r="AC60" s="5" t="str">
        <f t="shared" ca="1" si="9"/>
        <v>043</v>
      </c>
      <c r="AD60" s="5" t="str">
        <f t="shared" ca="1" si="10"/>
        <v>Manutenção de aeronaves na pista</v>
      </c>
      <c r="AE60" s="5">
        <f t="shared" ca="1" si="11"/>
        <v>0</v>
      </c>
    </row>
    <row r="61" spans="4:31" ht="15.6" thickTop="1" thickBot="1" x14ac:dyDescent="0.35">
      <c r="D61" s="57"/>
      <c r="E61" s="58"/>
      <c r="F61" s="59"/>
      <c r="G61" s="59"/>
      <c r="H61" s="59"/>
      <c r="I61" s="60"/>
      <c r="J61" s="61"/>
      <c r="K61" s="61"/>
      <c r="M61" s="9" t="str">
        <f t="shared" si="0"/>
        <v/>
      </c>
      <c r="N61" s="5" t="str">
        <f t="shared" si="12"/>
        <v/>
      </c>
      <c r="O61" s="5" t="str">
        <f t="shared" si="6"/>
        <v/>
      </c>
      <c r="Q61" s="5" t="str">
        <f>'CNAE_Cód.Atividade Econômica'!B40</f>
        <v>Manutenção e reparação de embarcações e estruturas flutuantes</v>
      </c>
      <c r="R61" s="5">
        <f t="shared" ca="1" si="1"/>
        <v>0</v>
      </c>
      <c r="S61" s="5" t="str">
        <f t="shared" si="2"/>
        <v>Manutenção e reparação de embarcações e estruturas flutuantes</v>
      </c>
      <c r="U61" s="5">
        <f ca="1">COUNTIF(R$10:R61,R61)</f>
        <v>44</v>
      </c>
      <c r="V61" s="5" t="str">
        <f t="shared" ca="1" si="3"/>
        <v>044</v>
      </c>
      <c r="W61" s="5" t="str">
        <f t="shared" ca="1" si="4"/>
        <v>Manutenção e reparação de embarcações e estruturas flutuantes</v>
      </c>
      <c r="Y61" s="5">
        <v>52</v>
      </c>
      <c r="Z61" s="5">
        <f t="shared" ca="1" si="7"/>
        <v>0</v>
      </c>
      <c r="AA61" s="5" t="str">
        <f t="shared" ca="1" si="8"/>
        <v>Guarda-móveis</v>
      </c>
      <c r="AB61" s="5">
        <f ca="1">COUNTIF(R$10:R61,R61)</f>
        <v>44</v>
      </c>
      <c r="AC61" s="5" t="str">
        <f t="shared" ca="1" si="9"/>
        <v>044</v>
      </c>
      <c r="AD61" s="5" t="str">
        <f t="shared" ca="1" si="10"/>
        <v>Manutenção e reparação de embarcações e estruturas flutuantes</v>
      </c>
      <c r="AE61" s="5">
        <f t="shared" ca="1" si="11"/>
        <v>0</v>
      </c>
    </row>
    <row r="62" spans="4:31" ht="15.6" thickTop="1" thickBot="1" x14ac:dyDescent="0.35">
      <c r="D62" s="57"/>
      <c r="E62" s="58"/>
      <c r="F62" s="59"/>
      <c r="G62" s="59"/>
      <c r="H62" s="59"/>
      <c r="I62" s="60"/>
      <c r="J62" s="61"/>
      <c r="K62" s="61"/>
      <c r="M62" s="9" t="str">
        <f t="shared" si="0"/>
        <v/>
      </c>
      <c r="N62" s="5" t="str">
        <f t="shared" si="12"/>
        <v/>
      </c>
      <c r="O62" s="5" t="str">
        <f t="shared" si="6"/>
        <v/>
      </c>
      <c r="Q62" s="5" t="str">
        <f>'CNAE_Cód.Atividade Econômica'!B41</f>
        <v>Manutenção e reparação de embarcações para esporte e lazer</v>
      </c>
      <c r="R62" s="5">
        <f t="shared" ca="1" si="1"/>
        <v>0</v>
      </c>
      <c r="S62" s="5" t="str">
        <f t="shared" si="2"/>
        <v>Manutenção e reparação de embarcações para esporte e lazer</v>
      </c>
      <c r="U62" s="5">
        <f ca="1">COUNTIF(R$10:R62,R62)</f>
        <v>45</v>
      </c>
      <c r="V62" s="5" t="str">
        <f t="shared" ca="1" si="3"/>
        <v>045</v>
      </c>
      <c r="W62" s="5" t="str">
        <f t="shared" ca="1" si="4"/>
        <v>Manutenção e reparação de embarcações para esporte e lazer</v>
      </c>
      <c r="Y62" s="5">
        <v>53</v>
      </c>
      <c r="Z62" s="5">
        <f t="shared" ca="1" si="7"/>
        <v>0</v>
      </c>
      <c r="AA62" s="5" t="str">
        <f t="shared" ca="1" si="8"/>
        <v>Guarda-móveis</v>
      </c>
      <c r="AB62" s="5">
        <f ca="1">COUNTIF(R$10:R62,R62)</f>
        <v>45</v>
      </c>
      <c r="AC62" s="5" t="str">
        <f t="shared" ca="1" si="9"/>
        <v>045</v>
      </c>
      <c r="AD62" s="5" t="str">
        <f t="shared" ca="1" si="10"/>
        <v>Manutenção e reparação de embarcações para esporte e lazer</v>
      </c>
      <c r="AE62" s="5">
        <f t="shared" ca="1" si="11"/>
        <v>0</v>
      </c>
    </row>
    <row r="63" spans="4:31" ht="15.6" thickTop="1" thickBot="1" x14ac:dyDescent="0.35">
      <c r="D63" s="57"/>
      <c r="E63" s="58"/>
      <c r="F63" s="59"/>
      <c r="G63" s="59"/>
      <c r="H63" s="59"/>
      <c r="I63" s="60"/>
      <c r="J63" s="61"/>
      <c r="K63" s="61"/>
      <c r="M63" s="9" t="str">
        <f t="shared" si="0"/>
        <v/>
      </c>
      <c r="N63" s="5" t="str">
        <f t="shared" si="12"/>
        <v/>
      </c>
      <c r="O63" s="5" t="str">
        <f t="shared" si="6"/>
        <v/>
      </c>
      <c r="Q63" s="5" t="str">
        <f>'CNAE_Cód.Atividade Econômica'!B42</f>
        <v>Manutenção e reparação de equipamentos e produtos não especificados anteriormente</v>
      </c>
      <c r="R63" s="5">
        <f t="shared" ca="1" si="1"/>
        <v>0</v>
      </c>
      <c r="S63" s="5" t="str">
        <f t="shared" si="2"/>
        <v>Manutenção e reparação de equipamentos e produtos não especificados anteriormente</v>
      </c>
      <c r="U63" s="5">
        <f ca="1">COUNTIF(R$10:R63,R63)</f>
        <v>46</v>
      </c>
      <c r="V63" s="5" t="str">
        <f t="shared" ca="1" si="3"/>
        <v>046</v>
      </c>
      <c r="W63" s="5" t="str">
        <f t="shared" ca="1" si="4"/>
        <v>Manutenção e reparação de equipamentos e produtos não especificados anteriormente</v>
      </c>
      <c r="Y63" s="5">
        <v>54</v>
      </c>
      <c r="Z63" s="5">
        <f t="shared" ca="1" si="7"/>
        <v>0</v>
      </c>
      <c r="AA63" s="5" t="str">
        <f t="shared" ca="1" si="8"/>
        <v>Guarda-móveis</v>
      </c>
      <c r="AB63" s="5">
        <f ca="1">COUNTIF(R$10:R63,R63)</f>
        <v>46</v>
      </c>
      <c r="AC63" s="5" t="str">
        <f t="shared" ca="1" si="9"/>
        <v>046</v>
      </c>
      <c r="AD63" s="5" t="str">
        <f t="shared" ca="1" si="10"/>
        <v>Manutenção e reparação de equipamentos e produtos não especificados anteriormente</v>
      </c>
      <c r="AE63" s="5">
        <f t="shared" ca="1" si="11"/>
        <v>0</v>
      </c>
    </row>
    <row r="64" spans="4:31" ht="15.6" thickTop="1" thickBot="1" x14ac:dyDescent="0.35">
      <c r="D64" s="57"/>
      <c r="E64" s="58"/>
      <c r="F64" s="59"/>
      <c r="G64" s="59"/>
      <c r="H64" s="59"/>
      <c r="I64" s="60"/>
      <c r="J64" s="61"/>
      <c r="K64" s="61"/>
      <c r="M64" s="9" t="str">
        <f t="shared" si="0"/>
        <v/>
      </c>
      <c r="N64" s="5" t="str">
        <f t="shared" si="12"/>
        <v/>
      </c>
      <c r="O64" s="5" t="str">
        <f t="shared" si="6"/>
        <v/>
      </c>
      <c r="Q64" s="5" t="str">
        <f>'CNAE_Cód.Atividade Econômica'!B43</f>
        <v>Instalação de máquinas e equipamentos industriais</v>
      </c>
      <c r="R64" s="5">
        <f t="shared" ca="1" si="1"/>
        <v>0</v>
      </c>
      <c r="S64" s="5" t="str">
        <f t="shared" si="2"/>
        <v>Instalação de máquinas e equipamentos industriais</v>
      </c>
      <c r="U64" s="5">
        <f ca="1">COUNTIF(R$10:R64,R64)</f>
        <v>47</v>
      </c>
      <c r="V64" s="5" t="str">
        <f t="shared" ca="1" si="3"/>
        <v>047</v>
      </c>
      <c r="W64" s="5" t="str">
        <f t="shared" ca="1" si="4"/>
        <v>Instalação de máquinas e equipamentos industriais</v>
      </c>
      <c r="Y64" s="5">
        <v>55</v>
      </c>
      <c r="Z64" s="5">
        <f t="shared" ca="1" si="7"/>
        <v>0</v>
      </c>
      <c r="AA64" s="5" t="str">
        <f t="shared" ca="1" si="8"/>
        <v>Guarda-móveis</v>
      </c>
      <c r="AB64" s="5">
        <f ca="1">COUNTIF(R$10:R64,R64)</f>
        <v>47</v>
      </c>
      <c r="AC64" s="5" t="str">
        <f t="shared" ca="1" si="9"/>
        <v>047</v>
      </c>
      <c r="AD64" s="5" t="str">
        <f t="shared" ca="1" si="10"/>
        <v>Instalação de máquinas e equipamentos industriais</v>
      </c>
      <c r="AE64" s="5">
        <f t="shared" ca="1" si="11"/>
        <v>0</v>
      </c>
    </row>
    <row r="65" spans="4:31" ht="15.6" thickTop="1" thickBot="1" x14ac:dyDescent="0.35">
      <c r="D65" s="57"/>
      <c r="E65" s="58"/>
      <c r="F65" s="59"/>
      <c r="G65" s="59"/>
      <c r="H65" s="59"/>
      <c r="I65" s="60"/>
      <c r="J65" s="61"/>
      <c r="K65" s="61"/>
      <c r="M65" s="9" t="str">
        <f t="shared" si="0"/>
        <v/>
      </c>
      <c r="N65" s="5" t="str">
        <f t="shared" si="12"/>
        <v/>
      </c>
      <c r="O65" s="5" t="str">
        <f t="shared" si="6"/>
        <v/>
      </c>
      <c r="Q65" s="5" t="str">
        <f>'CNAE_Cód.Atividade Econômica'!B44</f>
        <v>Pintura para sinalização em pistas rodoviárias e aeroportos</v>
      </c>
      <c r="R65" s="5">
        <f t="shared" ca="1" si="1"/>
        <v>0</v>
      </c>
      <c r="S65" s="5" t="str">
        <f t="shared" si="2"/>
        <v>Pintura para sinalização em pistas rodoviárias e aeroportos</v>
      </c>
      <c r="U65" s="5">
        <f ca="1">COUNTIF(R$10:R65,R65)</f>
        <v>48</v>
      </c>
      <c r="V65" s="5" t="str">
        <f t="shared" ca="1" si="3"/>
        <v>048</v>
      </c>
      <c r="W65" s="5" t="str">
        <f t="shared" ca="1" si="4"/>
        <v>Pintura para sinalização em pistas rodoviárias e aeroportos</v>
      </c>
      <c r="Y65" s="5">
        <v>56</v>
      </c>
      <c r="Z65" s="5">
        <f t="shared" ca="1" si="7"/>
        <v>0</v>
      </c>
      <c r="AA65" s="5" t="str">
        <f t="shared" ca="1" si="8"/>
        <v>Guarda-móveis</v>
      </c>
      <c r="AB65" s="5">
        <f ca="1">COUNTIF(R$10:R65,R65)</f>
        <v>48</v>
      </c>
      <c r="AC65" s="5" t="str">
        <f t="shared" ca="1" si="9"/>
        <v>048</v>
      </c>
      <c r="AD65" s="5" t="str">
        <f t="shared" ca="1" si="10"/>
        <v>Pintura para sinalização em pistas rodoviárias e aeroportos</v>
      </c>
      <c r="AE65" s="5">
        <f t="shared" ca="1" si="11"/>
        <v>0</v>
      </c>
    </row>
    <row r="66" spans="4:31" ht="15.6" thickTop="1" thickBot="1" x14ac:dyDescent="0.35">
      <c r="D66" s="57"/>
      <c r="E66" s="58"/>
      <c r="F66" s="59"/>
      <c r="G66" s="59"/>
      <c r="H66" s="59"/>
      <c r="I66" s="60"/>
      <c r="J66" s="61"/>
      <c r="K66" s="61"/>
      <c r="M66" s="9" t="str">
        <f t="shared" si="0"/>
        <v/>
      </c>
      <c r="N66" s="5" t="str">
        <f t="shared" si="12"/>
        <v/>
      </c>
      <c r="O66" s="5" t="str">
        <f t="shared" si="6"/>
        <v/>
      </c>
      <c r="Q66" s="5" t="str">
        <f>'CNAE_Cód.Atividade Econômica'!B45</f>
        <v>Manutenção de redes de distribuição de energia elétrica</v>
      </c>
      <c r="R66" s="5">
        <f t="shared" ca="1" si="1"/>
        <v>0</v>
      </c>
      <c r="S66" s="5" t="str">
        <f t="shared" si="2"/>
        <v>Manutenção de redes de distribuição de energia elétrica</v>
      </c>
      <c r="U66" s="5">
        <f ca="1">COUNTIF(R$10:R66,R66)</f>
        <v>49</v>
      </c>
      <c r="V66" s="5" t="str">
        <f t="shared" ca="1" si="3"/>
        <v>049</v>
      </c>
      <c r="W66" s="5" t="str">
        <f t="shared" ca="1" si="4"/>
        <v>Manutenção de redes de distribuição de energia elétrica</v>
      </c>
      <c r="Y66" s="5">
        <v>57</v>
      </c>
      <c r="Z66" s="5">
        <f t="shared" ca="1" si="7"/>
        <v>0</v>
      </c>
      <c r="AA66" s="5" t="str">
        <f t="shared" ca="1" si="8"/>
        <v>Guarda-móveis</v>
      </c>
      <c r="AB66" s="5">
        <f ca="1">COUNTIF(R$10:R66,R66)</f>
        <v>49</v>
      </c>
      <c r="AC66" s="5" t="str">
        <f t="shared" ca="1" si="9"/>
        <v>049</v>
      </c>
      <c r="AD66" s="5" t="str">
        <f t="shared" ca="1" si="10"/>
        <v>Manutenção de redes de distribuição de energia elétrica</v>
      </c>
      <c r="AE66" s="5">
        <f t="shared" ca="1" si="11"/>
        <v>0</v>
      </c>
    </row>
    <row r="67" spans="4:31" ht="15.6" thickTop="1" thickBot="1" x14ac:dyDescent="0.35">
      <c r="D67" s="57"/>
      <c r="E67" s="58"/>
      <c r="F67" s="59"/>
      <c r="G67" s="59"/>
      <c r="H67" s="59"/>
      <c r="I67" s="60"/>
      <c r="J67" s="61"/>
      <c r="K67" s="61"/>
      <c r="M67" s="9" t="str">
        <f t="shared" si="0"/>
        <v/>
      </c>
      <c r="N67" s="5" t="str">
        <f t="shared" si="12"/>
        <v/>
      </c>
      <c r="O67" s="5" t="str">
        <f t="shared" si="6"/>
        <v/>
      </c>
      <c r="Q67" s="5" t="str">
        <f>'CNAE_Cód.Atividade Econômica'!B46</f>
        <v>Manutenção de estações e redes de telecomunicações</v>
      </c>
      <c r="R67" s="5">
        <f t="shared" ca="1" si="1"/>
        <v>0</v>
      </c>
      <c r="S67" s="5" t="str">
        <f t="shared" si="2"/>
        <v>Manutenção de estações e redes de telecomunicações</v>
      </c>
      <c r="U67" s="5">
        <f ca="1">COUNTIF(R$10:R67,R67)</f>
        <v>50</v>
      </c>
      <c r="V67" s="5" t="str">
        <f t="shared" ca="1" si="3"/>
        <v>050</v>
      </c>
      <c r="W67" s="5" t="str">
        <f t="shared" ca="1" si="4"/>
        <v>Manutenção de estações e redes de telecomunicações</v>
      </c>
      <c r="Y67" s="5">
        <v>58</v>
      </c>
      <c r="Z67" s="5">
        <f t="shared" ca="1" si="7"/>
        <v>0</v>
      </c>
      <c r="AA67" s="5" t="str">
        <f t="shared" ca="1" si="8"/>
        <v>Guarda-móveis</v>
      </c>
      <c r="AB67" s="5">
        <f ca="1">COUNTIF(R$10:R67,R67)</f>
        <v>50</v>
      </c>
      <c r="AC67" s="5" t="str">
        <f t="shared" ca="1" si="9"/>
        <v>050</v>
      </c>
      <c r="AD67" s="5" t="str">
        <f t="shared" ca="1" si="10"/>
        <v>Manutenção de estações e redes de telecomunicações</v>
      </c>
      <c r="AE67" s="5">
        <f t="shared" ca="1" si="11"/>
        <v>0</v>
      </c>
    </row>
    <row r="68" spans="4:31" ht="15.6" thickTop="1" thickBot="1" x14ac:dyDescent="0.35">
      <c r="D68" s="57"/>
      <c r="E68" s="58"/>
      <c r="F68" s="59"/>
      <c r="G68" s="59"/>
      <c r="H68" s="59"/>
      <c r="I68" s="60"/>
      <c r="J68" s="61"/>
      <c r="K68" s="61"/>
      <c r="M68" s="9" t="str">
        <f t="shared" si="0"/>
        <v/>
      </c>
      <c r="N68" s="5" t="str">
        <f t="shared" si="12"/>
        <v/>
      </c>
      <c r="O68" s="5" t="str">
        <f t="shared" si="6"/>
        <v/>
      </c>
      <c r="Q68" s="5" t="str">
        <f>'CNAE_Cód.Atividade Econômica'!B47</f>
        <v>Obras de terraplenagem</v>
      </c>
      <c r="R68" s="5">
        <f t="shared" ca="1" si="1"/>
        <v>0</v>
      </c>
      <c r="S68" s="5" t="str">
        <f t="shared" si="2"/>
        <v>Obras de terraplenagem</v>
      </c>
      <c r="U68" s="5">
        <f ca="1">COUNTIF(R$10:R68,R68)</f>
        <v>51</v>
      </c>
      <c r="V68" s="5" t="str">
        <f t="shared" ca="1" si="3"/>
        <v>051</v>
      </c>
      <c r="W68" s="5" t="str">
        <f t="shared" ca="1" si="4"/>
        <v>Obras de terraplenagem</v>
      </c>
      <c r="Y68" s="5">
        <v>59</v>
      </c>
      <c r="Z68" s="5">
        <f t="shared" ca="1" si="7"/>
        <v>0</v>
      </c>
      <c r="AA68" s="5" t="str">
        <f t="shared" ca="1" si="8"/>
        <v>Guarda-móveis</v>
      </c>
      <c r="AB68" s="5">
        <f ca="1">COUNTIF(R$10:R68,R68)</f>
        <v>51</v>
      </c>
      <c r="AC68" s="5" t="str">
        <f t="shared" ca="1" si="9"/>
        <v>051</v>
      </c>
      <c r="AD68" s="5" t="str">
        <f t="shared" ca="1" si="10"/>
        <v>Obras de terraplenagem</v>
      </c>
      <c r="AE68" s="5">
        <f t="shared" ca="1" si="11"/>
        <v>0</v>
      </c>
    </row>
    <row r="69" spans="4:31" ht="15.6" thickTop="1" thickBot="1" x14ac:dyDescent="0.35">
      <c r="D69" s="57"/>
      <c r="E69" s="58"/>
      <c r="F69" s="59"/>
      <c r="G69" s="59"/>
      <c r="H69" s="59"/>
      <c r="I69" s="60"/>
      <c r="J69" s="61"/>
      <c r="K69" s="61"/>
      <c r="M69" s="9" t="str">
        <f t="shared" si="0"/>
        <v/>
      </c>
      <c r="N69" s="5" t="str">
        <f t="shared" si="12"/>
        <v/>
      </c>
      <c r="O69" s="5" t="str">
        <f t="shared" si="6"/>
        <v/>
      </c>
      <c r="Q69" s="5" t="str">
        <f>'CNAE_Cód.Atividade Econômica'!B48</f>
        <v>Instalação e manutenção elétrica</v>
      </c>
      <c r="R69" s="5">
        <f t="shared" ca="1" si="1"/>
        <v>0</v>
      </c>
      <c r="S69" s="5" t="str">
        <f t="shared" si="2"/>
        <v>Instalação e manutenção elétrica</v>
      </c>
      <c r="U69" s="5">
        <f ca="1">COUNTIF(R$10:R69,R69)</f>
        <v>52</v>
      </c>
      <c r="V69" s="5" t="str">
        <f t="shared" ca="1" si="3"/>
        <v>052</v>
      </c>
      <c r="W69" s="5" t="str">
        <f t="shared" ca="1" si="4"/>
        <v>Instalação e manutenção elétrica</v>
      </c>
      <c r="Y69" s="5">
        <v>60</v>
      </c>
      <c r="Z69" s="5">
        <f t="shared" ca="1" si="7"/>
        <v>0</v>
      </c>
      <c r="AA69" s="5" t="str">
        <f t="shared" ca="1" si="8"/>
        <v>Guarda-móveis</v>
      </c>
      <c r="AB69" s="5">
        <f ca="1">COUNTIF(R$10:R69,R69)</f>
        <v>52</v>
      </c>
      <c r="AC69" s="5" t="str">
        <f t="shared" ca="1" si="9"/>
        <v>052</v>
      </c>
      <c r="AD69" s="5" t="str">
        <f t="shared" ca="1" si="10"/>
        <v>Instalação e manutenção elétrica</v>
      </c>
      <c r="AE69" s="5">
        <f t="shared" ca="1" si="11"/>
        <v>0</v>
      </c>
    </row>
    <row r="70" spans="4:31" ht="15.6" thickTop="1" thickBot="1" x14ac:dyDescent="0.35">
      <c r="D70" s="57"/>
      <c r="E70" s="58"/>
      <c r="F70" s="59"/>
      <c r="G70" s="59"/>
      <c r="H70" s="59"/>
      <c r="I70" s="60"/>
      <c r="J70" s="61"/>
      <c r="K70" s="61"/>
      <c r="M70" s="9" t="str">
        <f t="shared" si="0"/>
        <v/>
      </c>
      <c r="N70" s="5" t="str">
        <f t="shared" si="12"/>
        <v/>
      </c>
      <c r="O70" s="5" t="str">
        <f t="shared" si="6"/>
        <v/>
      </c>
      <c r="Q70" s="5" t="str">
        <f>'CNAE_Cód.Atividade Econômica'!B49</f>
        <v>Instalações hidráulicas, sanitárias e de gás</v>
      </c>
      <c r="R70" s="5">
        <f t="shared" ca="1" si="1"/>
        <v>0</v>
      </c>
      <c r="S70" s="5" t="str">
        <f t="shared" si="2"/>
        <v>Instalações hidráulicas, sanitárias e de gás</v>
      </c>
      <c r="U70" s="5">
        <f ca="1">COUNTIF(R$10:R70,R70)</f>
        <v>53</v>
      </c>
      <c r="V70" s="5" t="str">
        <f t="shared" ca="1" si="3"/>
        <v>053</v>
      </c>
      <c r="W70" s="5" t="str">
        <f t="shared" ca="1" si="4"/>
        <v>Instalações hidráulicas, sanitárias e de gás</v>
      </c>
      <c r="Y70" s="5">
        <v>61</v>
      </c>
      <c r="Z70" s="5">
        <f t="shared" ca="1" si="7"/>
        <v>0</v>
      </c>
      <c r="AA70" s="5" t="str">
        <f t="shared" ca="1" si="8"/>
        <v>Guarda-móveis</v>
      </c>
      <c r="AB70" s="5">
        <f ca="1">COUNTIF(R$10:R70,R70)</f>
        <v>53</v>
      </c>
      <c r="AC70" s="5" t="str">
        <f t="shared" ca="1" si="9"/>
        <v>053</v>
      </c>
      <c r="AD70" s="5" t="str">
        <f t="shared" ca="1" si="10"/>
        <v>Instalações hidráulicas, sanitárias e de gás</v>
      </c>
      <c r="AE70" s="5">
        <f t="shared" ca="1" si="11"/>
        <v>0</v>
      </c>
    </row>
    <row r="71" spans="4:31" ht="15.6" thickTop="1" thickBot="1" x14ac:dyDescent="0.35">
      <c r="D71" s="57"/>
      <c r="E71" s="58"/>
      <c r="F71" s="59"/>
      <c r="G71" s="59"/>
      <c r="H71" s="59"/>
      <c r="I71" s="60"/>
      <c r="J71" s="61"/>
      <c r="K71" s="61"/>
      <c r="M71" s="9" t="str">
        <f t="shared" si="0"/>
        <v/>
      </c>
      <c r="N71" s="5" t="str">
        <f t="shared" si="12"/>
        <v/>
      </c>
      <c r="O71" s="5" t="str">
        <f t="shared" si="6"/>
        <v/>
      </c>
      <c r="Q71" s="5" t="str">
        <f>'CNAE_Cód.Atividade Econômica'!B50</f>
        <v>Instalação e manutenção de sistemas centrais de ar condicionado, de ventilação e refrigeração</v>
      </c>
      <c r="R71" s="5">
        <f t="shared" ca="1" si="1"/>
        <v>0</v>
      </c>
      <c r="S71" s="5" t="str">
        <f t="shared" si="2"/>
        <v>Instalação e manutenção de sistemas centrais de ar condicionado, de ventilação e refrigeração</v>
      </c>
      <c r="U71" s="5">
        <f ca="1">COUNTIF(R$10:R71,R71)</f>
        <v>54</v>
      </c>
      <c r="V71" s="5" t="str">
        <f t="shared" ca="1" si="3"/>
        <v>054</v>
      </c>
      <c r="W71" s="5" t="str">
        <f t="shared" ca="1" si="4"/>
        <v>Instalação e manutenção de sistemas centrais de ar condicionado, de ventilação e refrigeração</v>
      </c>
      <c r="Y71" s="5">
        <v>62</v>
      </c>
      <c r="Z71" s="5">
        <f t="shared" ca="1" si="7"/>
        <v>0</v>
      </c>
      <c r="AA71" s="5" t="str">
        <f t="shared" ca="1" si="8"/>
        <v>Guarda-móveis</v>
      </c>
      <c r="AB71" s="5">
        <f ca="1">COUNTIF(R$10:R71,R71)</f>
        <v>54</v>
      </c>
      <c r="AC71" s="5" t="str">
        <f t="shared" ca="1" si="9"/>
        <v>054</v>
      </c>
      <c r="AD71" s="5" t="str">
        <f t="shared" ca="1" si="10"/>
        <v>Instalação e manutenção de sistemas centrais de ar condicionado, de ventilação e refrigeração</v>
      </c>
      <c r="AE71" s="5">
        <f t="shared" ca="1" si="11"/>
        <v>0</v>
      </c>
    </row>
    <row r="72" spans="4:31" ht="15.6" thickTop="1" thickBot="1" x14ac:dyDescent="0.35">
      <c r="D72" s="57"/>
      <c r="E72" s="58"/>
      <c r="F72" s="59"/>
      <c r="G72" s="59"/>
      <c r="H72" s="59"/>
      <c r="I72" s="60"/>
      <c r="J72" s="61"/>
      <c r="K72" s="61"/>
      <c r="M72" s="9" t="str">
        <f t="shared" si="0"/>
        <v/>
      </c>
      <c r="N72" s="5" t="str">
        <f t="shared" si="12"/>
        <v/>
      </c>
      <c r="O72" s="5" t="str">
        <f t="shared" si="6"/>
        <v/>
      </c>
      <c r="Q72" s="5" t="str">
        <f>'CNAE_Cód.Atividade Econômica'!B51</f>
        <v>Instalações de sistema de prevenção contra incêndio</v>
      </c>
      <c r="R72" s="5">
        <f t="shared" ca="1" si="1"/>
        <v>0</v>
      </c>
      <c r="S72" s="5" t="str">
        <f t="shared" si="2"/>
        <v>Instalações de sistema de prevenção contra incêndio</v>
      </c>
      <c r="U72" s="5">
        <f ca="1">COUNTIF(R$10:R72,R72)</f>
        <v>55</v>
      </c>
      <c r="V72" s="5" t="str">
        <f t="shared" ca="1" si="3"/>
        <v>055</v>
      </c>
      <c r="W72" s="5" t="str">
        <f t="shared" ca="1" si="4"/>
        <v>Instalações de sistema de prevenção contra incêndio</v>
      </c>
      <c r="Y72" s="5">
        <v>63</v>
      </c>
      <c r="Z72" s="5">
        <f t="shared" ca="1" si="7"/>
        <v>0</v>
      </c>
      <c r="AA72" s="5" t="str">
        <f t="shared" ca="1" si="8"/>
        <v>Guarda-móveis</v>
      </c>
      <c r="AB72" s="5">
        <f ca="1">COUNTIF(R$10:R72,R72)</f>
        <v>55</v>
      </c>
      <c r="AC72" s="5" t="str">
        <f t="shared" ca="1" si="9"/>
        <v>055</v>
      </c>
      <c r="AD72" s="5" t="str">
        <f t="shared" ca="1" si="10"/>
        <v>Instalações de sistema de prevenção contra incêndio</v>
      </c>
      <c r="AE72" s="5">
        <f t="shared" ca="1" si="11"/>
        <v>0</v>
      </c>
    </row>
    <row r="73" spans="4:31" ht="15.6" thickTop="1" thickBot="1" x14ac:dyDescent="0.35">
      <c r="D73" s="57"/>
      <c r="E73" s="58"/>
      <c r="F73" s="59"/>
      <c r="G73" s="59"/>
      <c r="H73" s="59"/>
      <c r="I73" s="60"/>
      <c r="J73" s="61"/>
      <c r="K73" s="61"/>
      <c r="M73" s="9" t="str">
        <f t="shared" si="0"/>
        <v/>
      </c>
      <c r="N73" s="5" t="str">
        <f t="shared" si="12"/>
        <v/>
      </c>
      <c r="O73" s="5" t="str">
        <f t="shared" si="6"/>
        <v/>
      </c>
      <c r="Q73" s="5" t="str">
        <f>'CNAE_Cód.Atividade Econômica'!B52</f>
        <v>Instalação de painéis publicitários</v>
      </c>
      <c r="R73" s="5">
        <f t="shared" ca="1" si="1"/>
        <v>0</v>
      </c>
      <c r="S73" s="5" t="str">
        <f t="shared" si="2"/>
        <v>Instalação de painéis publicitários</v>
      </c>
      <c r="U73" s="5">
        <f ca="1">COUNTIF(R$10:R73,R73)</f>
        <v>56</v>
      </c>
      <c r="V73" s="5" t="str">
        <f t="shared" ca="1" si="3"/>
        <v>056</v>
      </c>
      <c r="W73" s="5" t="str">
        <f t="shared" ca="1" si="4"/>
        <v>Instalação de painéis publicitários</v>
      </c>
      <c r="Y73" s="5">
        <v>64</v>
      </c>
      <c r="Z73" s="5">
        <f t="shared" ca="1" si="7"/>
        <v>0</v>
      </c>
      <c r="AA73" s="5" t="str">
        <f t="shared" ca="1" si="8"/>
        <v>Guarda-móveis</v>
      </c>
      <c r="AB73" s="5">
        <f ca="1">COUNTIF(R$10:R73,R73)</f>
        <v>56</v>
      </c>
      <c r="AC73" s="5" t="str">
        <f t="shared" ca="1" si="9"/>
        <v>056</v>
      </c>
      <c r="AD73" s="5" t="str">
        <f t="shared" ca="1" si="10"/>
        <v>Instalação de painéis publicitários</v>
      </c>
      <c r="AE73" s="5">
        <f t="shared" ca="1" si="11"/>
        <v>0</v>
      </c>
    </row>
    <row r="74" spans="4:31" ht="15.6" thickTop="1" thickBot="1" x14ac:dyDescent="0.35">
      <c r="D74" s="57"/>
      <c r="E74" s="58"/>
      <c r="F74" s="59"/>
      <c r="G74" s="59"/>
      <c r="H74" s="59"/>
      <c r="I74" s="60"/>
      <c r="J74" s="61"/>
      <c r="K74" s="61"/>
      <c r="M74" s="9" t="str">
        <f t="shared" ref="M74:M137" si="13">IF(ISBLANK(D74), "", IFERROR(PROPER(TEXT(D74,"mmmm")),""))</f>
        <v/>
      </c>
      <c r="N74" s="5" t="str">
        <f t="shared" si="12"/>
        <v/>
      </c>
      <c r="O74" s="5" t="str">
        <f t="shared" si="6"/>
        <v/>
      </c>
      <c r="Q74" s="5" t="str">
        <f>'CNAE_Cód.Atividade Econômica'!B53</f>
        <v>Instalação de equipamentos para orientação à navegação marítima, fluvial e lacustre</v>
      </c>
      <c r="R74" s="5">
        <f t="shared" ref="R74:R137" ca="1" si="14">COUNTIF($O:$O,Q74)</f>
        <v>0</v>
      </c>
      <c r="S74" s="5" t="str">
        <f t="shared" ref="S74:S137" si="15">Q74</f>
        <v>Instalação de equipamentos para orientação à navegação marítima, fluvial e lacustre</v>
      </c>
      <c r="U74" s="5">
        <f ca="1">COUNTIF(R$10:R74,R74)</f>
        <v>57</v>
      </c>
      <c r="V74" s="5" t="str">
        <f t="shared" ref="V74:V137" ca="1" si="16">R74&amp;U74</f>
        <v>057</v>
      </c>
      <c r="W74" s="5" t="str">
        <f t="shared" ref="W74:W137" ca="1" si="17">INDEX($S$10:$S$401, MATCH(V74,$V$10:$V$1048576, 0))</f>
        <v>Instalação de equipamentos para orientação à navegação marítima, fluvial e lacustre</v>
      </c>
      <c r="Y74" s="5">
        <v>65</v>
      </c>
      <c r="Z74" s="5">
        <f t="shared" ca="1" si="7"/>
        <v>0</v>
      </c>
      <c r="AA74" s="5" t="str">
        <f t="shared" ca="1" si="8"/>
        <v>Guarda-móveis</v>
      </c>
      <c r="AB74" s="5">
        <f ca="1">COUNTIF(R$10:R74,R74)</f>
        <v>57</v>
      </c>
      <c r="AC74" s="5" t="str">
        <f t="shared" ca="1" si="9"/>
        <v>057</v>
      </c>
      <c r="AD74" s="5" t="str">
        <f t="shared" ca="1" si="10"/>
        <v>Instalação de equipamentos para orientação à navegação marítima, fluvial e lacustre</v>
      </c>
      <c r="AE74" s="5">
        <f t="shared" ca="1" si="11"/>
        <v>0</v>
      </c>
    </row>
    <row r="75" spans="4:31" ht="15.6" thickTop="1" thickBot="1" x14ac:dyDescent="0.35">
      <c r="D75" s="57"/>
      <c r="E75" s="58"/>
      <c r="F75" s="59"/>
      <c r="G75" s="59"/>
      <c r="H75" s="59"/>
      <c r="I75" s="60"/>
      <c r="J75" s="61"/>
      <c r="K75" s="61"/>
      <c r="M75" s="9" t="str">
        <f t="shared" si="13"/>
        <v/>
      </c>
      <c r="N75" s="5" t="str">
        <f t="shared" si="12"/>
        <v/>
      </c>
      <c r="O75" s="5" t="str">
        <f t="shared" ref="O75:O138" si="18">IFERROR(RIGHT(N75,LEN(N75)-SEARCH("- ",N75)-1),"")</f>
        <v/>
      </c>
      <c r="Q75" s="5" t="str">
        <f>'CNAE_Cód.Atividade Econômica'!B54</f>
        <v>Instalação, manutenção e reparação de elevadores, escadas e esteiras rolantes</v>
      </c>
      <c r="R75" s="5">
        <f t="shared" ca="1" si="14"/>
        <v>0</v>
      </c>
      <c r="S75" s="5" t="str">
        <f t="shared" si="15"/>
        <v>Instalação, manutenção e reparação de elevadores, escadas e esteiras rolantes</v>
      </c>
      <c r="U75" s="5">
        <f ca="1">COUNTIF(R$10:R75,R75)</f>
        <v>58</v>
      </c>
      <c r="V75" s="5" t="str">
        <f t="shared" ca="1" si="16"/>
        <v>058</v>
      </c>
      <c r="W75" s="5" t="str">
        <f t="shared" ca="1" si="17"/>
        <v>Instalação, manutenção e reparação de elevadores, escadas e esteiras rolantes</v>
      </c>
      <c r="Y75" s="5">
        <v>66</v>
      </c>
      <c r="Z75" s="5">
        <f t="shared" ref="Z75:Z138" ca="1" si="19">LARGE($R$10:$R$1048576,Y75)</f>
        <v>0</v>
      </c>
      <c r="AA75" s="5" t="str">
        <f t="shared" ref="AA75:AA138" ca="1" si="20">INDEX(S$10:S$1000, MATCH(R75, R$10:R$1000, 0))</f>
        <v>Guarda-móveis</v>
      </c>
      <c r="AB75" s="5">
        <f ca="1">COUNTIF(R$10:R75,R75)</f>
        <v>58</v>
      </c>
      <c r="AC75" s="5" t="str">
        <f t="shared" ref="AC75:AC138" ca="1" si="21">R75&amp;U75</f>
        <v>058</v>
      </c>
      <c r="AD75" s="5" t="str">
        <f t="shared" ref="AD75:AD138" ca="1" si="22">INDEX($S$10:$S$1048576, MATCH(AC75, $V$10:$V$1048576, 0))</f>
        <v>Instalação, manutenção e reparação de elevadores, escadas e esteiras rolantes</v>
      </c>
      <c r="AE75" s="5">
        <f t="shared" ref="AE75:AE138" ca="1" si="23">Z75</f>
        <v>0</v>
      </c>
    </row>
    <row r="76" spans="4:31" ht="15.6" thickTop="1" thickBot="1" x14ac:dyDescent="0.35">
      <c r="D76" s="57"/>
      <c r="E76" s="58"/>
      <c r="F76" s="59"/>
      <c r="G76" s="59"/>
      <c r="H76" s="59"/>
      <c r="I76" s="60"/>
      <c r="J76" s="61"/>
      <c r="K76" s="61"/>
      <c r="M76" s="9" t="str">
        <f t="shared" si="13"/>
        <v/>
      </c>
      <c r="N76" s="5" t="str">
        <f t="shared" si="12"/>
        <v/>
      </c>
      <c r="O76" s="5" t="str">
        <f t="shared" si="18"/>
        <v/>
      </c>
      <c r="Q76" s="5" t="str">
        <f>'CNAE_Cód.Atividade Econômica'!B55</f>
        <v>Montagem e instalação de sistemas e equipamentos de iluminação e sinalização em vias públicas, portos e aeroportos</v>
      </c>
      <c r="R76" s="5">
        <f t="shared" ca="1" si="14"/>
        <v>0</v>
      </c>
      <c r="S76" s="5" t="str">
        <f t="shared" si="15"/>
        <v>Montagem e instalação de sistemas e equipamentos de iluminação e sinalização em vias públicas, portos e aeroportos</v>
      </c>
      <c r="U76" s="5">
        <f ca="1">COUNTIF(R$10:R76,R76)</f>
        <v>59</v>
      </c>
      <c r="V76" s="5" t="str">
        <f t="shared" ca="1" si="16"/>
        <v>059</v>
      </c>
      <c r="W76" s="5" t="str">
        <f t="shared" ca="1" si="17"/>
        <v>Montagem e instalação de sistemas e equipamentos de iluminação e sinalização em vias públicas, portos e aeroportos</v>
      </c>
      <c r="Y76" s="5">
        <v>67</v>
      </c>
      <c r="Z76" s="5">
        <f t="shared" ca="1" si="19"/>
        <v>0</v>
      </c>
      <c r="AA76" s="5" t="str">
        <f t="shared" ca="1" si="20"/>
        <v>Guarda-móveis</v>
      </c>
      <c r="AB76" s="5">
        <f ca="1">COUNTIF(R$10:R76,R76)</f>
        <v>59</v>
      </c>
      <c r="AC76" s="5" t="str">
        <f t="shared" ca="1" si="21"/>
        <v>059</v>
      </c>
      <c r="AD76" s="5" t="str">
        <f t="shared" ca="1" si="22"/>
        <v>Montagem e instalação de sistemas e equipamentos de iluminação e sinalização em vias públicas, portos e aeroportos</v>
      </c>
      <c r="AE76" s="5">
        <f t="shared" ca="1" si="23"/>
        <v>0</v>
      </c>
    </row>
    <row r="77" spans="4:31" ht="15.6" thickTop="1" thickBot="1" x14ac:dyDescent="0.35">
      <c r="D77" s="57"/>
      <c r="E77" s="58"/>
      <c r="F77" s="59"/>
      <c r="G77" s="59"/>
      <c r="H77" s="59"/>
      <c r="I77" s="60"/>
      <c r="J77" s="61"/>
      <c r="K77" s="61"/>
      <c r="M77" s="9" t="str">
        <f t="shared" si="13"/>
        <v/>
      </c>
      <c r="N77" s="5" t="str">
        <f t="shared" si="12"/>
        <v/>
      </c>
      <c r="O77" s="5" t="str">
        <f t="shared" si="18"/>
        <v/>
      </c>
      <c r="Q77" s="5" t="str">
        <f>'CNAE_Cód.Atividade Econômica'!B56</f>
        <v>Tratamentos térmicos, acústicos ou de vibração</v>
      </c>
      <c r="R77" s="5">
        <f t="shared" ca="1" si="14"/>
        <v>0</v>
      </c>
      <c r="S77" s="5" t="str">
        <f t="shared" si="15"/>
        <v>Tratamentos térmicos, acústicos ou de vibração</v>
      </c>
      <c r="U77" s="5">
        <f ca="1">COUNTIF(R$10:R77,R77)</f>
        <v>60</v>
      </c>
      <c r="V77" s="5" t="str">
        <f t="shared" ca="1" si="16"/>
        <v>060</v>
      </c>
      <c r="W77" s="5" t="str">
        <f t="shared" ca="1" si="17"/>
        <v>Tratamentos térmicos, acústicos ou de vibração</v>
      </c>
      <c r="Y77" s="5">
        <v>68</v>
      </c>
      <c r="Z77" s="5">
        <f t="shared" ca="1" si="19"/>
        <v>0</v>
      </c>
      <c r="AA77" s="5" t="str">
        <f t="shared" ca="1" si="20"/>
        <v>Guarda-móveis</v>
      </c>
      <c r="AB77" s="5">
        <f ca="1">COUNTIF(R$10:R77,R77)</f>
        <v>60</v>
      </c>
      <c r="AC77" s="5" t="str">
        <f t="shared" ca="1" si="21"/>
        <v>060</v>
      </c>
      <c r="AD77" s="5" t="str">
        <f t="shared" ca="1" si="22"/>
        <v>Tratamentos térmicos, acústicos ou de vibração</v>
      </c>
      <c r="AE77" s="5">
        <f t="shared" ca="1" si="23"/>
        <v>0</v>
      </c>
    </row>
    <row r="78" spans="4:31" ht="15.6" thickTop="1" thickBot="1" x14ac:dyDescent="0.35">
      <c r="D78" s="57"/>
      <c r="E78" s="58"/>
      <c r="F78" s="59"/>
      <c r="G78" s="59"/>
      <c r="H78" s="59"/>
      <c r="I78" s="60"/>
      <c r="J78" s="61"/>
      <c r="K78" s="61"/>
      <c r="M78" s="9" t="str">
        <f t="shared" si="13"/>
        <v/>
      </c>
      <c r="N78" s="5" t="str">
        <f t="shared" si="12"/>
        <v/>
      </c>
      <c r="O78" s="5" t="str">
        <f t="shared" si="18"/>
        <v/>
      </c>
      <c r="Q78" s="5" t="str">
        <f>'CNAE_Cód.Atividade Econômica'!B57</f>
        <v>Administração de obras</v>
      </c>
      <c r="R78" s="5">
        <f t="shared" ca="1" si="14"/>
        <v>0</v>
      </c>
      <c r="S78" s="5" t="str">
        <f t="shared" si="15"/>
        <v>Administração de obras</v>
      </c>
      <c r="U78" s="5">
        <f ca="1">COUNTIF(R$10:R78,R78)</f>
        <v>61</v>
      </c>
      <c r="V78" s="5" t="str">
        <f t="shared" ca="1" si="16"/>
        <v>061</v>
      </c>
      <c r="W78" s="5" t="str">
        <f t="shared" ca="1" si="17"/>
        <v>Administração de obras</v>
      </c>
      <c r="Y78" s="5">
        <v>69</v>
      </c>
      <c r="Z78" s="5">
        <f t="shared" ca="1" si="19"/>
        <v>0</v>
      </c>
      <c r="AA78" s="5" t="str">
        <f t="shared" ca="1" si="20"/>
        <v>Guarda-móveis</v>
      </c>
      <c r="AB78" s="5">
        <f ca="1">COUNTIF(R$10:R78,R78)</f>
        <v>61</v>
      </c>
      <c r="AC78" s="5" t="str">
        <f t="shared" ca="1" si="21"/>
        <v>061</v>
      </c>
      <c r="AD78" s="5" t="str">
        <f t="shared" ca="1" si="22"/>
        <v>Administração de obras</v>
      </c>
      <c r="AE78" s="5">
        <f t="shared" ca="1" si="23"/>
        <v>0</v>
      </c>
    </row>
    <row r="79" spans="4:31" ht="15.6" thickTop="1" thickBot="1" x14ac:dyDescent="0.35">
      <c r="D79" s="57"/>
      <c r="E79" s="58"/>
      <c r="F79" s="59"/>
      <c r="G79" s="59"/>
      <c r="H79" s="59"/>
      <c r="I79" s="60"/>
      <c r="J79" s="61"/>
      <c r="K79" s="61"/>
      <c r="M79" s="9" t="str">
        <f t="shared" si="13"/>
        <v/>
      </c>
      <c r="N79" s="5" t="str">
        <f t="shared" si="12"/>
        <v/>
      </c>
      <c r="O79" s="5" t="str">
        <f t="shared" si="18"/>
        <v/>
      </c>
      <c r="Q79" s="5" t="str">
        <f>'CNAE_Cód.Atividade Econômica'!B58</f>
        <v>Montagem e desmontagem de andaimes e outras estruturas temporárias</v>
      </c>
      <c r="R79" s="5">
        <f t="shared" ca="1" si="14"/>
        <v>0</v>
      </c>
      <c r="S79" s="5" t="str">
        <f t="shared" si="15"/>
        <v>Montagem e desmontagem de andaimes e outras estruturas temporárias</v>
      </c>
      <c r="U79" s="5">
        <f ca="1">COUNTIF(R$10:R79,R79)</f>
        <v>62</v>
      </c>
      <c r="V79" s="5" t="str">
        <f t="shared" ca="1" si="16"/>
        <v>062</v>
      </c>
      <c r="W79" s="5" t="str">
        <f t="shared" ca="1" si="17"/>
        <v>Montagem e desmontagem de andaimes e outras estruturas temporárias</v>
      </c>
      <c r="Y79" s="5">
        <v>70</v>
      </c>
      <c r="Z79" s="5">
        <f t="shared" ca="1" si="19"/>
        <v>0</v>
      </c>
      <c r="AA79" s="5" t="str">
        <f t="shared" ca="1" si="20"/>
        <v>Guarda-móveis</v>
      </c>
      <c r="AB79" s="5">
        <f ca="1">COUNTIF(R$10:R79,R79)</f>
        <v>62</v>
      </c>
      <c r="AC79" s="5" t="str">
        <f t="shared" ca="1" si="21"/>
        <v>062</v>
      </c>
      <c r="AD79" s="5" t="str">
        <f t="shared" ca="1" si="22"/>
        <v>Montagem e desmontagem de andaimes e outras estruturas temporárias</v>
      </c>
      <c r="AE79" s="5">
        <f t="shared" ca="1" si="23"/>
        <v>0</v>
      </c>
    </row>
    <row r="80" spans="4:31" ht="15.6" thickTop="1" thickBot="1" x14ac:dyDescent="0.35">
      <c r="D80" s="57"/>
      <c r="E80" s="58"/>
      <c r="F80" s="59"/>
      <c r="G80" s="59"/>
      <c r="H80" s="59"/>
      <c r="I80" s="60"/>
      <c r="J80" s="61"/>
      <c r="K80" s="61"/>
      <c r="M80" s="9" t="str">
        <f t="shared" si="13"/>
        <v/>
      </c>
      <c r="N80" s="5" t="str">
        <f t="shared" si="12"/>
        <v/>
      </c>
      <c r="O80" s="5" t="str">
        <f t="shared" si="18"/>
        <v/>
      </c>
      <c r="Q80" s="5" t="str">
        <f>'CNAE_Cód.Atividade Econômica'!B59</f>
        <v>Comércio a varejo de automóveis, camionetas e utilitários novos</v>
      </c>
      <c r="R80" s="5">
        <f t="shared" ca="1" si="14"/>
        <v>0</v>
      </c>
      <c r="S80" s="5" t="str">
        <f t="shared" si="15"/>
        <v>Comércio a varejo de automóveis, camionetas e utilitários novos</v>
      </c>
      <c r="U80" s="5">
        <f ca="1">COUNTIF(R$10:R80,R80)</f>
        <v>63</v>
      </c>
      <c r="V80" s="5" t="str">
        <f t="shared" ca="1" si="16"/>
        <v>063</v>
      </c>
      <c r="W80" s="5" t="str">
        <f t="shared" ca="1" si="17"/>
        <v>Comércio a varejo de automóveis, camionetas e utilitários novos</v>
      </c>
      <c r="Y80" s="5">
        <v>71</v>
      </c>
      <c r="Z80" s="5">
        <f t="shared" ca="1" si="19"/>
        <v>0</v>
      </c>
      <c r="AA80" s="5" t="str">
        <f t="shared" ca="1" si="20"/>
        <v>Guarda-móveis</v>
      </c>
      <c r="AB80" s="5">
        <f ca="1">COUNTIF(R$10:R80,R80)</f>
        <v>63</v>
      </c>
      <c r="AC80" s="5" t="str">
        <f t="shared" ca="1" si="21"/>
        <v>063</v>
      </c>
      <c r="AD80" s="5" t="str">
        <f t="shared" ca="1" si="22"/>
        <v>Comércio a varejo de automóveis, camionetas e utilitários novos</v>
      </c>
      <c r="AE80" s="5">
        <f t="shared" ca="1" si="23"/>
        <v>0</v>
      </c>
    </row>
    <row r="81" spans="4:31" ht="15.6" thickTop="1" thickBot="1" x14ac:dyDescent="0.35">
      <c r="D81" s="57"/>
      <c r="E81" s="58"/>
      <c r="F81" s="59"/>
      <c r="G81" s="59"/>
      <c r="H81" s="59"/>
      <c r="I81" s="60"/>
      <c r="J81" s="61"/>
      <c r="K81" s="61"/>
      <c r="M81" s="9" t="str">
        <f t="shared" si="13"/>
        <v/>
      </c>
      <c r="N81" s="5" t="str">
        <f t="shared" si="12"/>
        <v/>
      </c>
      <c r="O81" s="5" t="str">
        <f t="shared" si="18"/>
        <v/>
      </c>
      <c r="Q81" s="5" t="str">
        <f>'CNAE_Cód.Atividade Econômica'!B60</f>
        <v>Representantes comerciais e agentes do comércio de veículos automotores</v>
      </c>
      <c r="R81" s="5">
        <f t="shared" ca="1" si="14"/>
        <v>0</v>
      </c>
      <c r="S81" s="5" t="str">
        <f t="shared" si="15"/>
        <v>Representantes comerciais e agentes do comércio de veículos automotores</v>
      </c>
      <c r="U81" s="5">
        <f ca="1">COUNTIF(R$10:R81,R81)</f>
        <v>64</v>
      </c>
      <c r="V81" s="5" t="str">
        <f t="shared" ca="1" si="16"/>
        <v>064</v>
      </c>
      <c r="W81" s="5" t="str">
        <f t="shared" ca="1" si="17"/>
        <v>Representantes comerciais e agentes do comércio de veículos automotores</v>
      </c>
      <c r="Y81" s="5">
        <v>72</v>
      </c>
      <c r="Z81" s="5">
        <f t="shared" ca="1" si="19"/>
        <v>0</v>
      </c>
      <c r="AA81" s="5" t="str">
        <f t="shared" ca="1" si="20"/>
        <v>Guarda-móveis</v>
      </c>
      <c r="AB81" s="5">
        <f ca="1">COUNTIF(R$10:R81,R81)</f>
        <v>64</v>
      </c>
      <c r="AC81" s="5" t="str">
        <f t="shared" ca="1" si="21"/>
        <v>064</v>
      </c>
      <c r="AD81" s="5" t="str">
        <f t="shared" ca="1" si="22"/>
        <v>Representantes comerciais e agentes do comércio de veículos automotores</v>
      </c>
      <c r="AE81" s="5">
        <f t="shared" ca="1" si="23"/>
        <v>0</v>
      </c>
    </row>
    <row r="82" spans="4:31" ht="15.6" thickTop="1" thickBot="1" x14ac:dyDescent="0.35">
      <c r="D82" s="57"/>
      <c r="E82" s="58"/>
      <c r="F82" s="59"/>
      <c r="G82" s="59"/>
      <c r="H82" s="59"/>
      <c r="I82" s="60"/>
      <c r="J82" s="61"/>
      <c r="K82" s="61"/>
      <c r="M82" s="9" t="str">
        <f t="shared" si="13"/>
        <v/>
      </c>
      <c r="N82" s="5" t="str">
        <f t="shared" si="12"/>
        <v/>
      </c>
      <c r="O82" s="5" t="str">
        <f t="shared" si="18"/>
        <v/>
      </c>
      <c r="Q82" s="5" t="str">
        <f>'CNAE_Cód.Atividade Econômica'!B61</f>
        <v>Serviços de manutenção e reparação mecânica de veículos automotores</v>
      </c>
      <c r="R82" s="5">
        <f t="shared" ca="1" si="14"/>
        <v>0</v>
      </c>
      <c r="S82" s="5" t="str">
        <f t="shared" si="15"/>
        <v>Serviços de manutenção e reparação mecânica de veículos automotores</v>
      </c>
      <c r="U82" s="5">
        <f ca="1">COUNTIF(R$10:R82,R82)</f>
        <v>65</v>
      </c>
      <c r="V82" s="5" t="str">
        <f t="shared" ca="1" si="16"/>
        <v>065</v>
      </c>
      <c r="W82" s="5" t="str">
        <f t="shared" ca="1" si="17"/>
        <v>Serviços de manutenção e reparação mecânica de veículos automotores</v>
      </c>
      <c r="Y82" s="5">
        <v>73</v>
      </c>
      <c r="Z82" s="5">
        <f t="shared" ca="1" si="19"/>
        <v>0</v>
      </c>
      <c r="AA82" s="5" t="str">
        <f t="shared" ca="1" si="20"/>
        <v>Guarda-móveis</v>
      </c>
      <c r="AB82" s="5">
        <f ca="1">COUNTIF(R$10:R82,R82)</f>
        <v>65</v>
      </c>
      <c r="AC82" s="5" t="str">
        <f t="shared" ca="1" si="21"/>
        <v>065</v>
      </c>
      <c r="AD82" s="5" t="str">
        <f t="shared" ca="1" si="22"/>
        <v>Serviços de manutenção e reparação mecânica de veículos automotores</v>
      </c>
      <c r="AE82" s="5">
        <f t="shared" ca="1" si="23"/>
        <v>0</v>
      </c>
    </row>
    <row r="83" spans="4:31" ht="15.6" thickTop="1" thickBot="1" x14ac:dyDescent="0.35">
      <c r="D83" s="57"/>
      <c r="E83" s="58"/>
      <c r="F83" s="59"/>
      <c r="G83" s="59"/>
      <c r="H83" s="59"/>
      <c r="I83" s="60"/>
      <c r="J83" s="61"/>
      <c r="K83" s="61"/>
      <c r="M83" s="9" t="str">
        <f t="shared" si="13"/>
        <v/>
      </c>
      <c r="N83" s="5" t="str">
        <f t="shared" si="12"/>
        <v/>
      </c>
      <c r="O83" s="5" t="str">
        <f t="shared" si="18"/>
        <v/>
      </c>
      <c r="Q83" s="5" t="str">
        <f>'CNAE_Cód.Atividade Econômica'!B62</f>
        <v>Serviços de lanternagem ou funilaria e pintura de veículos automotores</v>
      </c>
      <c r="R83" s="5">
        <f t="shared" ca="1" si="14"/>
        <v>0</v>
      </c>
      <c r="S83" s="5" t="str">
        <f t="shared" si="15"/>
        <v>Serviços de lanternagem ou funilaria e pintura de veículos automotores</v>
      </c>
      <c r="U83" s="5">
        <f ca="1">COUNTIF(R$10:R83,R83)</f>
        <v>66</v>
      </c>
      <c r="V83" s="5" t="str">
        <f t="shared" ca="1" si="16"/>
        <v>066</v>
      </c>
      <c r="W83" s="5" t="str">
        <f t="shared" ca="1" si="17"/>
        <v>Serviços de lanternagem ou funilaria e pintura de veículos automotores</v>
      </c>
      <c r="Y83" s="5">
        <v>74</v>
      </c>
      <c r="Z83" s="5">
        <f t="shared" ca="1" si="19"/>
        <v>0</v>
      </c>
      <c r="AA83" s="5" t="str">
        <f t="shared" ca="1" si="20"/>
        <v>Guarda-móveis</v>
      </c>
      <c r="AB83" s="5">
        <f ca="1">COUNTIF(R$10:R83,R83)</f>
        <v>66</v>
      </c>
      <c r="AC83" s="5" t="str">
        <f t="shared" ca="1" si="21"/>
        <v>066</v>
      </c>
      <c r="AD83" s="5" t="str">
        <f t="shared" ca="1" si="22"/>
        <v>Serviços de lanternagem ou funilaria e pintura de veículos automotores</v>
      </c>
      <c r="AE83" s="5">
        <f t="shared" ca="1" si="23"/>
        <v>0</v>
      </c>
    </row>
    <row r="84" spans="4:31" ht="15.6" thickTop="1" thickBot="1" x14ac:dyDescent="0.35">
      <c r="D84" s="57"/>
      <c r="E84" s="58"/>
      <c r="F84" s="59"/>
      <c r="G84" s="59"/>
      <c r="H84" s="59"/>
      <c r="I84" s="60"/>
      <c r="J84" s="61"/>
      <c r="K84" s="61"/>
      <c r="M84" s="9" t="str">
        <f t="shared" si="13"/>
        <v/>
      </c>
      <c r="N84" s="5" t="str">
        <f t="shared" si="12"/>
        <v/>
      </c>
      <c r="O84" s="5" t="str">
        <f t="shared" si="18"/>
        <v/>
      </c>
      <c r="Q84" s="5" t="str">
        <f>'CNAE_Cód.Atividade Econômica'!B63</f>
        <v>Serviços de manutenção e reparação elétrica de veículos automotores</v>
      </c>
      <c r="R84" s="5">
        <f t="shared" ca="1" si="14"/>
        <v>0</v>
      </c>
      <c r="S84" s="5" t="str">
        <f t="shared" si="15"/>
        <v>Serviços de manutenção e reparação elétrica de veículos automotores</v>
      </c>
      <c r="U84" s="5">
        <f ca="1">COUNTIF(R$10:R84,R84)</f>
        <v>67</v>
      </c>
      <c r="V84" s="5" t="str">
        <f t="shared" ca="1" si="16"/>
        <v>067</v>
      </c>
      <c r="W84" s="5" t="str">
        <f t="shared" ca="1" si="17"/>
        <v>Serviços de manutenção e reparação elétrica de veículos automotores</v>
      </c>
      <c r="Y84" s="5">
        <v>75</v>
      </c>
      <c r="Z84" s="5">
        <f t="shared" ca="1" si="19"/>
        <v>0</v>
      </c>
      <c r="AA84" s="5" t="str">
        <f t="shared" ca="1" si="20"/>
        <v>Guarda-móveis</v>
      </c>
      <c r="AB84" s="5">
        <f ca="1">COUNTIF(R$10:R84,R84)</f>
        <v>67</v>
      </c>
      <c r="AC84" s="5" t="str">
        <f t="shared" ca="1" si="21"/>
        <v>067</v>
      </c>
      <c r="AD84" s="5" t="str">
        <f t="shared" ca="1" si="22"/>
        <v>Serviços de manutenção e reparação elétrica de veículos automotores</v>
      </c>
      <c r="AE84" s="5">
        <f t="shared" ca="1" si="23"/>
        <v>0</v>
      </c>
    </row>
    <row r="85" spans="4:31" ht="15.6" thickTop="1" thickBot="1" x14ac:dyDescent="0.35">
      <c r="D85" s="57"/>
      <c r="E85" s="58"/>
      <c r="F85" s="59"/>
      <c r="G85" s="59"/>
      <c r="H85" s="59"/>
      <c r="I85" s="60"/>
      <c r="J85" s="61"/>
      <c r="K85" s="61"/>
      <c r="M85" s="9" t="str">
        <f t="shared" si="13"/>
        <v/>
      </c>
      <c r="N85" s="5" t="str">
        <f t="shared" si="12"/>
        <v/>
      </c>
      <c r="O85" s="5" t="str">
        <f t="shared" si="18"/>
        <v/>
      </c>
      <c r="Q85" s="5" t="str">
        <f>'CNAE_Cód.Atividade Econômica'!B64</f>
        <v>Serviços de alinhamento e balanceamento de veículos automotores</v>
      </c>
      <c r="R85" s="5">
        <f t="shared" ca="1" si="14"/>
        <v>0</v>
      </c>
      <c r="S85" s="5" t="str">
        <f t="shared" si="15"/>
        <v>Serviços de alinhamento e balanceamento de veículos automotores</v>
      </c>
      <c r="U85" s="5">
        <f ca="1">COUNTIF(R$10:R85,R85)</f>
        <v>68</v>
      </c>
      <c r="V85" s="5" t="str">
        <f t="shared" ca="1" si="16"/>
        <v>068</v>
      </c>
      <c r="W85" s="5" t="str">
        <f t="shared" ca="1" si="17"/>
        <v>Serviços de alinhamento e balanceamento de veículos automotores</v>
      </c>
      <c r="Y85" s="5">
        <v>76</v>
      </c>
      <c r="Z85" s="5">
        <f t="shared" ca="1" si="19"/>
        <v>0</v>
      </c>
      <c r="AA85" s="5" t="str">
        <f t="shared" ca="1" si="20"/>
        <v>Guarda-móveis</v>
      </c>
      <c r="AB85" s="5">
        <f ca="1">COUNTIF(R$10:R85,R85)</f>
        <v>68</v>
      </c>
      <c r="AC85" s="5" t="str">
        <f t="shared" ca="1" si="21"/>
        <v>068</v>
      </c>
      <c r="AD85" s="5" t="str">
        <f t="shared" ca="1" si="22"/>
        <v>Serviços de alinhamento e balanceamento de veículos automotores</v>
      </c>
      <c r="AE85" s="5">
        <f t="shared" ca="1" si="23"/>
        <v>0</v>
      </c>
    </row>
    <row r="86" spans="4:31" ht="15.6" thickTop="1" thickBot="1" x14ac:dyDescent="0.35">
      <c r="D86" s="57"/>
      <c r="E86" s="58"/>
      <c r="F86" s="59"/>
      <c r="G86" s="59"/>
      <c r="H86" s="59"/>
      <c r="I86" s="60"/>
      <c r="J86" s="61"/>
      <c r="K86" s="61"/>
      <c r="M86" s="9" t="str">
        <f t="shared" si="13"/>
        <v/>
      </c>
      <c r="N86" s="5" t="str">
        <f t="shared" si="12"/>
        <v/>
      </c>
      <c r="O86" s="5" t="str">
        <f t="shared" si="18"/>
        <v/>
      </c>
      <c r="Q86" s="5" t="str">
        <f>'CNAE_Cód.Atividade Econômica'!B65</f>
        <v>Serviços de lavagem, lubrificação e polimento de veículos automotores</v>
      </c>
      <c r="R86" s="5">
        <f t="shared" ca="1" si="14"/>
        <v>0</v>
      </c>
      <c r="S86" s="5" t="str">
        <f t="shared" si="15"/>
        <v>Serviços de lavagem, lubrificação e polimento de veículos automotores</v>
      </c>
      <c r="U86" s="5">
        <f ca="1">COUNTIF(R$10:R86,R86)</f>
        <v>69</v>
      </c>
      <c r="V86" s="5" t="str">
        <f t="shared" ca="1" si="16"/>
        <v>069</v>
      </c>
      <c r="W86" s="5" t="str">
        <f t="shared" ca="1" si="17"/>
        <v>Serviços de lavagem, lubrificação e polimento de veículos automotores</v>
      </c>
      <c r="Y86" s="5">
        <v>77</v>
      </c>
      <c r="Z86" s="5">
        <f t="shared" ca="1" si="19"/>
        <v>0</v>
      </c>
      <c r="AA86" s="5" t="str">
        <f t="shared" ca="1" si="20"/>
        <v>Guarda-móveis</v>
      </c>
      <c r="AB86" s="5">
        <f ca="1">COUNTIF(R$10:R86,R86)</f>
        <v>69</v>
      </c>
      <c r="AC86" s="5" t="str">
        <f t="shared" ca="1" si="21"/>
        <v>069</v>
      </c>
      <c r="AD86" s="5" t="str">
        <f t="shared" ca="1" si="22"/>
        <v>Serviços de lavagem, lubrificação e polimento de veículos automotores</v>
      </c>
      <c r="AE86" s="5">
        <f t="shared" ca="1" si="23"/>
        <v>0</v>
      </c>
    </row>
    <row r="87" spans="4:31" ht="15.6" thickTop="1" thickBot="1" x14ac:dyDescent="0.35">
      <c r="D87" s="57"/>
      <c r="E87" s="58"/>
      <c r="F87" s="59"/>
      <c r="G87" s="59"/>
      <c r="H87" s="59"/>
      <c r="I87" s="60"/>
      <c r="J87" s="61"/>
      <c r="K87" s="61"/>
      <c r="M87" s="9" t="str">
        <f t="shared" si="13"/>
        <v/>
      </c>
      <c r="N87" s="5" t="str">
        <f t="shared" ref="N87:N150" si="24">IF(H87="","",H87)</f>
        <v/>
      </c>
      <c r="O87" s="5" t="str">
        <f t="shared" si="18"/>
        <v/>
      </c>
      <c r="Q87" s="5" t="str">
        <f>'CNAE_Cód.Atividade Econômica'!B66</f>
        <v>Serviços de borracharia para veículos automotores</v>
      </c>
      <c r="R87" s="5">
        <f t="shared" ca="1" si="14"/>
        <v>0</v>
      </c>
      <c r="S87" s="5" t="str">
        <f t="shared" si="15"/>
        <v>Serviços de borracharia para veículos automotores</v>
      </c>
      <c r="U87" s="5">
        <f ca="1">COUNTIF(R$10:R87,R87)</f>
        <v>70</v>
      </c>
      <c r="V87" s="5" t="str">
        <f t="shared" ca="1" si="16"/>
        <v>070</v>
      </c>
      <c r="W87" s="5" t="str">
        <f t="shared" ca="1" si="17"/>
        <v>Serviços de borracharia para veículos automotores</v>
      </c>
      <c r="Y87" s="5">
        <v>78</v>
      </c>
      <c r="Z87" s="5">
        <f t="shared" ca="1" si="19"/>
        <v>0</v>
      </c>
      <c r="AA87" s="5" t="str">
        <f t="shared" ca="1" si="20"/>
        <v>Guarda-móveis</v>
      </c>
      <c r="AB87" s="5">
        <f ca="1">COUNTIF(R$10:R87,R87)</f>
        <v>70</v>
      </c>
      <c r="AC87" s="5" t="str">
        <f t="shared" ca="1" si="21"/>
        <v>070</v>
      </c>
      <c r="AD87" s="5" t="str">
        <f t="shared" ca="1" si="22"/>
        <v>Serviços de borracharia para veículos automotores</v>
      </c>
      <c r="AE87" s="5">
        <f t="shared" ca="1" si="23"/>
        <v>0</v>
      </c>
    </row>
    <row r="88" spans="4:31" ht="15.6" thickTop="1" thickBot="1" x14ac:dyDescent="0.35">
      <c r="D88" s="57"/>
      <c r="E88" s="58"/>
      <c r="F88" s="59"/>
      <c r="G88" s="59"/>
      <c r="H88" s="59"/>
      <c r="I88" s="60"/>
      <c r="J88" s="61"/>
      <c r="K88" s="61"/>
      <c r="M88" s="9" t="str">
        <f t="shared" si="13"/>
        <v/>
      </c>
      <c r="N88" s="5" t="str">
        <f t="shared" si="24"/>
        <v/>
      </c>
      <c r="O88" s="5" t="str">
        <f t="shared" si="18"/>
        <v/>
      </c>
      <c r="Q88" s="5" t="str">
        <f>'CNAE_Cód.Atividade Econômica'!B67</f>
        <v>Serviços de instalação, manutenção e reparação de acessórios para veículos automotores</v>
      </c>
      <c r="R88" s="5">
        <f t="shared" ca="1" si="14"/>
        <v>0</v>
      </c>
      <c r="S88" s="5" t="str">
        <f t="shared" si="15"/>
        <v>Serviços de instalação, manutenção e reparação de acessórios para veículos automotores</v>
      </c>
      <c r="U88" s="5">
        <f ca="1">COUNTIF(R$10:R88,R88)</f>
        <v>71</v>
      </c>
      <c r="V88" s="5" t="str">
        <f t="shared" ca="1" si="16"/>
        <v>071</v>
      </c>
      <c r="W88" s="5" t="str">
        <f t="shared" ca="1" si="17"/>
        <v>Serviços de instalação, manutenção e reparação de acessórios para veículos automotores</v>
      </c>
      <c r="Y88" s="5">
        <v>79</v>
      </c>
      <c r="Z88" s="5">
        <f t="shared" ca="1" si="19"/>
        <v>0</v>
      </c>
      <c r="AA88" s="5" t="str">
        <f t="shared" ca="1" si="20"/>
        <v>Guarda-móveis</v>
      </c>
      <c r="AB88" s="5">
        <f ca="1">COUNTIF(R$10:R88,R88)</f>
        <v>71</v>
      </c>
      <c r="AC88" s="5" t="str">
        <f t="shared" ca="1" si="21"/>
        <v>071</v>
      </c>
      <c r="AD88" s="5" t="str">
        <f t="shared" ca="1" si="22"/>
        <v>Serviços de instalação, manutenção e reparação de acessórios para veículos automotores</v>
      </c>
      <c r="AE88" s="5">
        <f t="shared" ca="1" si="23"/>
        <v>0</v>
      </c>
    </row>
    <row r="89" spans="4:31" ht="15.6" thickTop="1" thickBot="1" x14ac:dyDescent="0.35">
      <c r="D89" s="57"/>
      <c r="E89" s="58"/>
      <c r="F89" s="59"/>
      <c r="G89" s="59"/>
      <c r="H89" s="59"/>
      <c r="I89" s="60"/>
      <c r="J89" s="61"/>
      <c r="K89" s="61"/>
      <c r="M89" s="9" t="str">
        <f t="shared" si="13"/>
        <v/>
      </c>
      <c r="N89" s="5" t="str">
        <f t="shared" si="24"/>
        <v/>
      </c>
      <c r="O89" s="5" t="str">
        <f t="shared" si="18"/>
        <v/>
      </c>
      <c r="Q89" s="5" t="str">
        <f>'CNAE_Cód.Atividade Econômica'!B69</f>
        <v>Comércio por atacado de peças e acessórios novos para veículos automotores</v>
      </c>
      <c r="R89" s="5">
        <f t="shared" ca="1" si="14"/>
        <v>0</v>
      </c>
      <c r="S89" s="5" t="str">
        <f t="shared" si="15"/>
        <v>Comércio por atacado de peças e acessórios novos para veículos automotores</v>
      </c>
      <c r="U89" s="5">
        <f ca="1">COUNTIF(R$10:R89,R89)</f>
        <v>72</v>
      </c>
      <c r="V89" s="5" t="str">
        <f t="shared" ca="1" si="16"/>
        <v>072</v>
      </c>
      <c r="W89" s="5" t="str">
        <f t="shared" ca="1" si="17"/>
        <v>Comércio por atacado de peças e acessórios novos para veículos automotores</v>
      </c>
      <c r="Y89" s="5">
        <v>80</v>
      </c>
      <c r="Z89" s="5">
        <f t="shared" ca="1" si="19"/>
        <v>0</v>
      </c>
      <c r="AA89" s="5" t="str">
        <f t="shared" ca="1" si="20"/>
        <v>Guarda-móveis</v>
      </c>
      <c r="AB89" s="5">
        <f ca="1">COUNTIF(R$10:R89,R89)</f>
        <v>72</v>
      </c>
      <c r="AC89" s="5" t="str">
        <f t="shared" ca="1" si="21"/>
        <v>072</v>
      </c>
      <c r="AD89" s="5" t="str">
        <f t="shared" ca="1" si="22"/>
        <v>Comércio por atacado de peças e acessórios novos para veículos automotores</v>
      </c>
      <c r="AE89" s="5">
        <f t="shared" ca="1" si="23"/>
        <v>0</v>
      </c>
    </row>
    <row r="90" spans="4:31" ht="15.6" thickTop="1" thickBot="1" x14ac:dyDescent="0.35">
      <c r="D90" s="57"/>
      <c r="E90" s="58"/>
      <c r="F90" s="59"/>
      <c r="G90" s="59"/>
      <c r="H90" s="59"/>
      <c r="I90" s="60"/>
      <c r="J90" s="61"/>
      <c r="K90" s="61"/>
      <c r="M90" s="9" t="str">
        <f t="shared" si="13"/>
        <v/>
      </c>
      <c r="N90" s="5" t="str">
        <f t="shared" si="24"/>
        <v/>
      </c>
      <c r="O90" s="5" t="str">
        <f t="shared" si="18"/>
        <v/>
      </c>
      <c r="Q90" s="5" t="str">
        <f>'CNAE_Cód.Atividade Econômica'!B70</f>
        <v>Comércio por atacado de pneumáticos e câmaras-de-ar</v>
      </c>
      <c r="R90" s="5">
        <f t="shared" ca="1" si="14"/>
        <v>0</v>
      </c>
      <c r="S90" s="5" t="str">
        <f t="shared" si="15"/>
        <v>Comércio por atacado de pneumáticos e câmaras-de-ar</v>
      </c>
      <c r="U90" s="5">
        <f ca="1">COUNTIF(R$10:R90,R90)</f>
        <v>73</v>
      </c>
      <c r="V90" s="5" t="str">
        <f t="shared" ca="1" si="16"/>
        <v>073</v>
      </c>
      <c r="W90" s="5" t="str">
        <f t="shared" ca="1" si="17"/>
        <v>Comércio por atacado de pneumáticos e câmaras-de-ar</v>
      </c>
      <c r="Y90" s="5">
        <v>81</v>
      </c>
      <c r="Z90" s="5">
        <f t="shared" ca="1" si="19"/>
        <v>0</v>
      </c>
      <c r="AA90" s="5" t="str">
        <f t="shared" ca="1" si="20"/>
        <v>Guarda-móveis</v>
      </c>
      <c r="AB90" s="5">
        <f ca="1">COUNTIF(R$10:R90,R90)</f>
        <v>73</v>
      </c>
      <c r="AC90" s="5" t="str">
        <f t="shared" ca="1" si="21"/>
        <v>073</v>
      </c>
      <c r="AD90" s="5" t="str">
        <f t="shared" ca="1" si="22"/>
        <v>Comércio por atacado de pneumáticos e câmaras-de-ar</v>
      </c>
      <c r="AE90" s="5">
        <f t="shared" ca="1" si="23"/>
        <v>0</v>
      </c>
    </row>
    <row r="91" spans="4:31" ht="15.6" thickTop="1" thickBot="1" x14ac:dyDescent="0.35">
      <c r="D91" s="57"/>
      <c r="E91" s="58"/>
      <c r="F91" s="59"/>
      <c r="G91" s="59"/>
      <c r="H91" s="59"/>
      <c r="I91" s="60"/>
      <c r="J91" s="61"/>
      <c r="K91" s="61"/>
      <c r="M91" s="9" t="str">
        <f t="shared" si="13"/>
        <v/>
      </c>
      <c r="N91" s="5" t="str">
        <f t="shared" si="24"/>
        <v/>
      </c>
      <c r="O91" s="5" t="str">
        <f t="shared" si="18"/>
        <v/>
      </c>
      <c r="Q91" s="5" t="str">
        <f>'CNAE_Cód.Atividade Econômica'!B71</f>
        <v>Comércio a varejo de peças e acessórios novos para veículos automotores</v>
      </c>
      <c r="R91" s="5">
        <f t="shared" ca="1" si="14"/>
        <v>0</v>
      </c>
      <c r="S91" s="5" t="str">
        <f t="shared" si="15"/>
        <v>Comércio a varejo de peças e acessórios novos para veículos automotores</v>
      </c>
      <c r="U91" s="5">
        <f ca="1">COUNTIF(R$10:R91,R91)</f>
        <v>74</v>
      </c>
      <c r="V91" s="5" t="str">
        <f t="shared" ca="1" si="16"/>
        <v>074</v>
      </c>
      <c r="W91" s="5" t="str">
        <f t="shared" ca="1" si="17"/>
        <v>Comércio a varejo de peças e acessórios novos para veículos automotores</v>
      </c>
      <c r="Y91" s="5">
        <v>82</v>
      </c>
      <c r="Z91" s="5">
        <f t="shared" ca="1" si="19"/>
        <v>0</v>
      </c>
      <c r="AA91" s="5" t="str">
        <f t="shared" ca="1" si="20"/>
        <v>Guarda-móveis</v>
      </c>
      <c r="AB91" s="5">
        <f ca="1">COUNTIF(R$10:R91,R91)</f>
        <v>74</v>
      </c>
      <c r="AC91" s="5" t="str">
        <f t="shared" ca="1" si="21"/>
        <v>074</v>
      </c>
      <c r="AD91" s="5" t="str">
        <f t="shared" ca="1" si="22"/>
        <v>Comércio a varejo de peças e acessórios novos para veículos automotores</v>
      </c>
      <c r="AE91" s="5">
        <f t="shared" ca="1" si="23"/>
        <v>0</v>
      </c>
    </row>
    <row r="92" spans="4:31" ht="15.6" thickTop="1" thickBot="1" x14ac:dyDescent="0.35">
      <c r="D92" s="57"/>
      <c r="E92" s="58"/>
      <c r="F92" s="59"/>
      <c r="G92" s="59"/>
      <c r="H92" s="59"/>
      <c r="I92" s="60"/>
      <c r="J92" s="61"/>
      <c r="K92" s="61"/>
      <c r="M92" s="9" t="str">
        <f t="shared" si="13"/>
        <v/>
      </c>
      <c r="N92" s="5" t="str">
        <f t="shared" si="24"/>
        <v/>
      </c>
      <c r="O92" s="5" t="str">
        <f t="shared" si="18"/>
        <v/>
      </c>
      <c r="Q92" s="5" t="str">
        <f>'CNAE_Cód.Atividade Econômica'!B72</f>
        <v>Comércio a varejo de peças e acessórios usados para veículos automotores</v>
      </c>
      <c r="R92" s="5">
        <f t="shared" ca="1" si="14"/>
        <v>0</v>
      </c>
      <c r="S92" s="5" t="str">
        <f t="shared" si="15"/>
        <v>Comércio a varejo de peças e acessórios usados para veículos automotores</v>
      </c>
      <c r="U92" s="5">
        <f ca="1">COUNTIF(R$10:R92,R92)</f>
        <v>75</v>
      </c>
      <c r="V92" s="5" t="str">
        <f t="shared" ca="1" si="16"/>
        <v>075</v>
      </c>
      <c r="W92" s="5" t="str">
        <f t="shared" ca="1" si="17"/>
        <v>Comércio a varejo de peças e acessórios usados para veículos automotores</v>
      </c>
      <c r="Y92" s="5">
        <v>83</v>
      </c>
      <c r="Z92" s="5">
        <f t="shared" ca="1" si="19"/>
        <v>0</v>
      </c>
      <c r="AA92" s="5" t="str">
        <f t="shared" ca="1" si="20"/>
        <v>Guarda-móveis</v>
      </c>
      <c r="AB92" s="5">
        <f ca="1">COUNTIF(R$10:R92,R92)</f>
        <v>75</v>
      </c>
      <c r="AC92" s="5" t="str">
        <f t="shared" ca="1" si="21"/>
        <v>075</v>
      </c>
      <c r="AD92" s="5" t="str">
        <f t="shared" ca="1" si="22"/>
        <v>Comércio a varejo de peças e acessórios usados para veículos automotores</v>
      </c>
      <c r="AE92" s="5">
        <f t="shared" ca="1" si="23"/>
        <v>0</v>
      </c>
    </row>
    <row r="93" spans="4:31" ht="15.6" thickTop="1" thickBot="1" x14ac:dyDescent="0.35">
      <c r="D93" s="57"/>
      <c r="E93" s="58"/>
      <c r="F93" s="59"/>
      <c r="G93" s="59"/>
      <c r="H93" s="59"/>
      <c r="I93" s="60"/>
      <c r="J93" s="61"/>
      <c r="K93" s="61"/>
      <c r="M93" s="9" t="str">
        <f t="shared" si="13"/>
        <v/>
      </c>
      <c r="N93" s="5" t="str">
        <f t="shared" si="24"/>
        <v/>
      </c>
      <c r="O93" s="5" t="str">
        <f t="shared" si="18"/>
        <v/>
      </c>
      <c r="Q93" s="5" t="str">
        <f>'CNAE_Cód.Atividade Econômica'!B73</f>
        <v>Comércio a varejo de pneumáticos e câmaras-de-ar</v>
      </c>
      <c r="R93" s="5">
        <f t="shared" ca="1" si="14"/>
        <v>0</v>
      </c>
      <c r="S93" s="5" t="str">
        <f t="shared" si="15"/>
        <v>Comércio a varejo de pneumáticos e câmaras-de-ar</v>
      </c>
      <c r="U93" s="5">
        <f ca="1">COUNTIF(R$10:R93,R93)</f>
        <v>76</v>
      </c>
      <c r="V93" s="5" t="str">
        <f t="shared" ca="1" si="16"/>
        <v>076</v>
      </c>
      <c r="W93" s="5" t="str">
        <f t="shared" ca="1" si="17"/>
        <v>Comércio a varejo de pneumáticos e câmaras-de-ar</v>
      </c>
      <c r="Y93" s="5">
        <v>84</v>
      </c>
      <c r="Z93" s="5">
        <f t="shared" ca="1" si="19"/>
        <v>0</v>
      </c>
      <c r="AA93" s="5" t="str">
        <f t="shared" ca="1" si="20"/>
        <v>Guarda-móveis</v>
      </c>
      <c r="AB93" s="5">
        <f ca="1">COUNTIF(R$10:R93,R93)</f>
        <v>76</v>
      </c>
      <c r="AC93" s="5" t="str">
        <f t="shared" ca="1" si="21"/>
        <v>076</v>
      </c>
      <c r="AD93" s="5" t="str">
        <f t="shared" ca="1" si="22"/>
        <v>Comércio a varejo de pneumáticos e câmaras-de-ar</v>
      </c>
      <c r="AE93" s="5">
        <f t="shared" ca="1" si="23"/>
        <v>0</v>
      </c>
    </row>
    <row r="94" spans="4:31" ht="15.6" thickTop="1" thickBot="1" x14ac:dyDescent="0.35">
      <c r="D94" s="57"/>
      <c r="E94" s="58"/>
      <c r="F94" s="59"/>
      <c r="G94" s="59"/>
      <c r="H94" s="59"/>
      <c r="I94" s="60"/>
      <c r="J94" s="61"/>
      <c r="K94" s="61"/>
      <c r="M94" s="9" t="str">
        <f t="shared" si="13"/>
        <v/>
      </c>
      <c r="N94" s="5" t="str">
        <f t="shared" si="24"/>
        <v/>
      </c>
      <c r="O94" s="5" t="str">
        <f t="shared" si="18"/>
        <v/>
      </c>
      <c r="Q94" s="5" t="str">
        <f>'CNAE_Cód.Atividade Econômica'!B74</f>
        <v>Representantes comerciais e agentes do comércio de peças e acessórios novos e usados para veículos automotores</v>
      </c>
      <c r="R94" s="5">
        <f t="shared" ca="1" si="14"/>
        <v>0</v>
      </c>
      <c r="S94" s="5" t="str">
        <f t="shared" si="15"/>
        <v>Representantes comerciais e agentes do comércio de peças e acessórios novos e usados para veículos automotores</v>
      </c>
      <c r="U94" s="5">
        <f ca="1">COUNTIF(R$10:R94,R94)</f>
        <v>77</v>
      </c>
      <c r="V94" s="5" t="str">
        <f t="shared" ca="1" si="16"/>
        <v>077</v>
      </c>
      <c r="W94" s="5" t="str">
        <f t="shared" ca="1" si="17"/>
        <v>Representantes comerciais e agentes do comércio de peças e acessórios novos e usados para veículos automotores</v>
      </c>
      <c r="Y94" s="5">
        <v>85</v>
      </c>
      <c r="Z94" s="5">
        <f t="shared" ca="1" si="19"/>
        <v>0</v>
      </c>
      <c r="AA94" s="5" t="str">
        <f t="shared" ca="1" si="20"/>
        <v>Guarda-móveis</v>
      </c>
      <c r="AB94" s="5">
        <f ca="1">COUNTIF(R$10:R94,R94)</f>
        <v>77</v>
      </c>
      <c r="AC94" s="5" t="str">
        <f t="shared" ca="1" si="21"/>
        <v>077</v>
      </c>
      <c r="AD94" s="5" t="str">
        <f t="shared" ca="1" si="22"/>
        <v>Representantes comerciais e agentes do comércio de peças e acessórios novos e usados para veículos automotores</v>
      </c>
      <c r="AE94" s="5">
        <f t="shared" ca="1" si="23"/>
        <v>0</v>
      </c>
    </row>
    <row r="95" spans="4:31" ht="15.6" thickTop="1" thickBot="1" x14ac:dyDescent="0.35">
      <c r="D95" s="57"/>
      <c r="E95" s="58"/>
      <c r="F95" s="59"/>
      <c r="G95" s="59"/>
      <c r="H95" s="59"/>
      <c r="I95" s="60"/>
      <c r="J95" s="61"/>
      <c r="K95" s="61"/>
      <c r="M95" s="9" t="str">
        <f t="shared" si="13"/>
        <v/>
      </c>
      <c r="N95" s="5" t="str">
        <f t="shared" si="24"/>
        <v/>
      </c>
      <c r="O95" s="5" t="str">
        <f t="shared" si="18"/>
        <v/>
      </c>
      <c r="Q95" s="5" t="str">
        <f>'CNAE_Cód.Atividade Econômica'!B75</f>
        <v>Comércio por atacado de peças e acessórios para motocicletas e motonetas</v>
      </c>
      <c r="R95" s="5">
        <f t="shared" ca="1" si="14"/>
        <v>0</v>
      </c>
      <c r="S95" s="5" t="str">
        <f t="shared" si="15"/>
        <v>Comércio por atacado de peças e acessórios para motocicletas e motonetas</v>
      </c>
      <c r="U95" s="5">
        <f ca="1">COUNTIF(R$10:R95,R95)</f>
        <v>78</v>
      </c>
      <c r="V95" s="5" t="str">
        <f t="shared" ca="1" si="16"/>
        <v>078</v>
      </c>
      <c r="W95" s="5" t="str">
        <f t="shared" ca="1" si="17"/>
        <v>Comércio por atacado de peças e acessórios para motocicletas e motonetas</v>
      </c>
      <c r="Y95" s="5">
        <v>86</v>
      </c>
      <c r="Z95" s="5">
        <f t="shared" ca="1" si="19"/>
        <v>0</v>
      </c>
      <c r="AA95" s="5" t="str">
        <f t="shared" ca="1" si="20"/>
        <v>Guarda-móveis</v>
      </c>
      <c r="AB95" s="5">
        <f ca="1">COUNTIF(R$10:R95,R95)</f>
        <v>78</v>
      </c>
      <c r="AC95" s="5" t="str">
        <f t="shared" ca="1" si="21"/>
        <v>078</v>
      </c>
      <c r="AD95" s="5" t="str">
        <f t="shared" ca="1" si="22"/>
        <v>Comércio por atacado de peças e acessórios para motocicletas e motonetas</v>
      </c>
      <c r="AE95" s="5">
        <f t="shared" ca="1" si="23"/>
        <v>0</v>
      </c>
    </row>
    <row r="96" spans="4:31" ht="15.6" thickTop="1" thickBot="1" x14ac:dyDescent="0.35">
      <c r="D96" s="57"/>
      <c r="E96" s="58"/>
      <c r="F96" s="59"/>
      <c r="G96" s="59"/>
      <c r="H96" s="59"/>
      <c r="I96" s="60"/>
      <c r="J96" s="61"/>
      <c r="K96" s="61"/>
      <c r="M96" s="9" t="str">
        <f t="shared" si="13"/>
        <v/>
      </c>
      <c r="N96" s="5" t="str">
        <f t="shared" si="24"/>
        <v/>
      </c>
      <c r="O96" s="5" t="str">
        <f t="shared" si="18"/>
        <v/>
      </c>
      <c r="Q96" s="5" t="str">
        <f>'CNAE_Cód.Atividade Econômica'!B76</f>
        <v>Comércio a varejo de motocicletas e motonetas novas</v>
      </c>
      <c r="R96" s="5">
        <f t="shared" ca="1" si="14"/>
        <v>0</v>
      </c>
      <c r="S96" s="5" t="str">
        <f t="shared" si="15"/>
        <v>Comércio a varejo de motocicletas e motonetas novas</v>
      </c>
      <c r="U96" s="5">
        <f ca="1">COUNTIF(R$10:R96,R96)</f>
        <v>79</v>
      </c>
      <c r="V96" s="5" t="str">
        <f t="shared" ca="1" si="16"/>
        <v>079</v>
      </c>
      <c r="W96" s="5" t="str">
        <f t="shared" ca="1" si="17"/>
        <v>Comércio a varejo de motocicletas e motonetas novas</v>
      </c>
      <c r="Y96" s="5">
        <v>87</v>
      </c>
      <c r="Z96" s="5">
        <f t="shared" ca="1" si="19"/>
        <v>0</v>
      </c>
      <c r="AA96" s="5" t="str">
        <f t="shared" ca="1" si="20"/>
        <v>Guarda-móveis</v>
      </c>
      <c r="AB96" s="5">
        <f ca="1">COUNTIF(R$10:R96,R96)</f>
        <v>79</v>
      </c>
      <c r="AC96" s="5" t="str">
        <f t="shared" ca="1" si="21"/>
        <v>079</v>
      </c>
      <c r="AD96" s="5" t="str">
        <f t="shared" ca="1" si="22"/>
        <v>Comércio a varejo de motocicletas e motonetas novas</v>
      </c>
      <c r="AE96" s="5">
        <f t="shared" ca="1" si="23"/>
        <v>0</v>
      </c>
    </row>
    <row r="97" spans="4:31" ht="15.6" thickTop="1" thickBot="1" x14ac:dyDescent="0.35">
      <c r="D97" s="57"/>
      <c r="E97" s="58"/>
      <c r="F97" s="59"/>
      <c r="G97" s="59"/>
      <c r="H97" s="59"/>
      <c r="I97" s="60"/>
      <c r="J97" s="61"/>
      <c r="K97" s="61"/>
      <c r="M97" s="9" t="str">
        <f t="shared" si="13"/>
        <v/>
      </c>
      <c r="N97" s="5" t="str">
        <f t="shared" si="24"/>
        <v/>
      </c>
      <c r="O97" s="5" t="str">
        <f t="shared" si="18"/>
        <v/>
      </c>
      <c r="Q97" s="5" t="str">
        <f>'CNAE_Cód.Atividade Econômica'!B77</f>
        <v>Comércio a varejo de motocicletas e motonetas usadas</v>
      </c>
      <c r="R97" s="5">
        <f t="shared" ca="1" si="14"/>
        <v>0</v>
      </c>
      <c r="S97" s="5" t="str">
        <f t="shared" si="15"/>
        <v>Comércio a varejo de motocicletas e motonetas usadas</v>
      </c>
      <c r="U97" s="5">
        <f ca="1">COUNTIF(R$10:R97,R97)</f>
        <v>80</v>
      </c>
      <c r="V97" s="5" t="str">
        <f t="shared" ca="1" si="16"/>
        <v>080</v>
      </c>
      <c r="W97" s="5" t="str">
        <f t="shared" ca="1" si="17"/>
        <v>Comércio a varejo de motocicletas e motonetas usadas</v>
      </c>
      <c r="Y97" s="5">
        <v>88</v>
      </c>
      <c r="Z97" s="5">
        <f t="shared" ca="1" si="19"/>
        <v>0</v>
      </c>
      <c r="AA97" s="5" t="str">
        <f t="shared" ca="1" si="20"/>
        <v>Guarda-móveis</v>
      </c>
      <c r="AB97" s="5">
        <f ca="1">COUNTIF(R$10:R97,R97)</f>
        <v>80</v>
      </c>
      <c r="AC97" s="5" t="str">
        <f t="shared" ca="1" si="21"/>
        <v>080</v>
      </c>
      <c r="AD97" s="5" t="str">
        <f t="shared" ca="1" si="22"/>
        <v>Comércio a varejo de motocicletas e motonetas usadas</v>
      </c>
      <c r="AE97" s="5">
        <f t="shared" ca="1" si="23"/>
        <v>0</v>
      </c>
    </row>
    <row r="98" spans="4:31" ht="15.6" thickTop="1" thickBot="1" x14ac:dyDescent="0.35">
      <c r="D98" s="57"/>
      <c r="E98" s="58"/>
      <c r="F98" s="59"/>
      <c r="G98" s="59"/>
      <c r="H98" s="59"/>
      <c r="I98" s="60"/>
      <c r="J98" s="61"/>
      <c r="K98" s="61"/>
      <c r="M98" s="9" t="str">
        <f t="shared" si="13"/>
        <v/>
      </c>
      <c r="N98" s="5" t="str">
        <f t="shared" si="24"/>
        <v/>
      </c>
      <c r="O98" s="5" t="str">
        <f t="shared" si="18"/>
        <v/>
      </c>
      <c r="Q98" s="5" t="str">
        <f>'CNAE_Cód.Atividade Econômica'!B78</f>
        <v>Comércio a varejo de peças e acessórios novos para motocicletas e motonetas</v>
      </c>
      <c r="R98" s="5">
        <f t="shared" ca="1" si="14"/>
        <v>0</v>
      </c>
      <c r="S98" s="5" t="str">
        <f t="shared" si="15"/>
        <v>Comércio a varejo de peças e acessórios novos para motocicletas e motonetas</v>
      </c>
      <c r="U98" s="5">
        <f ca="1">COUNTIF(R$10:R98,R98)</f>
        <v>81</v>
      </c>
      <c r="V98" s="5" t="str">
        <f t="shared" ca="1" si="16"/>
        <v>081</v>
      </c>
      <c r="W98" s="5" t="str">
        <f t="shared" ca="1" si="17"/>
        <v>Comércio a varejo de peças e acessórios novos para motocicletas e motonetas</v>
      </c>
      <c r="Y98" s="5">
        <v>89</v>
      </c>
      <c r="Z98" s="5">
        <f t="shared" ca="1" si="19"/>
        <v>0</v>
      </c>
      <c r="AA98" s="5" t="str">
        <f t="shared" ca="1" si="20"/>
        <v>Guarda-móveis</v>
      </c>
      <c r="AB98" s="5">
        <f ca="1">COUNTIF(R$10:R98,R98)</f>
        <v>81</v>
      </c>
      <c r="AC98" s="5" t="str">
        <f t="shared" ca="1" si="21"/>
        <v>081</v>
      </c>
      <c r="AD98" s="5" t="str">
        <f t="shared" ca="1" si="22"/>
        <v>Comércio a varejo de peças e acessórios novos para motocicletas e motonetas</v>
      </c>
      <c r="AE98" s="5">
        <f t="shared" ca="1" si="23"/>
        <v>0</v>
      </c>
    </row>
    <row r="99" spans="4:31" ht="15.6" thickTop="1" thickBot="1" x14ac:dyDescent="0.35">
      <c r="D99" s="57"/>
      <c r="E99" s="58"/>
      <c r="F99" s="59"/>
      <c r="G99" s="59"/>
      <c r="H99" s="59"/>
      <c r="I99" s="60"/>
      <c r="J99" s="61"/>
      <c r="K99" s="61"/>
      <c r="M99" s="9" t="str">
        <f t="shared" si="13"/>
        <v/>
      </c>
      <c r="N99" s="5" t="str">
        <f t="shared" si="24"/>
        <v/>
      </c>
      <c r="O99" s="5" t="str">
        <f t="shared" si="18"/>
        <v/>
      </c>
      <c r="Q99" s="5" t="str">
        <f>'CNAE_Cód.Atividade Econômica'!B79</f>
        <v>Comércio a varejo de peças e acessórios usados para motocicletas e motonetas</v>
      </c>
      <c r="R99" s="5">
        <f t="shared" ca="1" si="14"/>
        <v>0</v>
      </c>
      <c r="S99" s="5" t="str">
        <f t="shared" si="15"/>
        <v>Comércio a varejo de peças e acessórios usados para motocicletas e motonetas</v>
      </c>
      <c r="U99" s="5">
        <f ca="1">COUNTIF(R$10:R99,R99)</f>
        <v>82</v>
      </c>
      <c r="V99" s="5" t="str">
        <f t="shared" ca="1" si="16"/>
        <v>082</v>
      </c>
      <c r="W99" s="5" t="str">
        <f t="shared" ca="1" si="17"/>
        <v>Comércio a varejo de peças e acessórios usados para motocicletas e motonetas</v>
      </c>
      <c r="Y99" s="5">
        <v>90</v>
      </c>
      <c r="Z99" s="5">
        <f t="shared" ca="1" si="19"/>
        <v>0</v>
      </c>
      <c r="AA99" s="5" t="str">
        <f t="shared" ca="1" si="20"/>
        <v>Guarda-móveis</v>
      </c>
      <c r="AB99" s="5">
        <f ca="1">COUNTIF(R$10:R99,R99)</f>
        <v>82</v>
      </c>
      <c r="AC99" s="5" t="str">
        <f t="shared" ca="1" si="21"/>
        <v>082</v>
      </c>
      <c r="AD99" s="5" t="str">
        <f t="shared" ca="1" si="22"/>
        <v>Comércio a varejo de peças e acessórios usados para motocicletas e motonetas</v>
      </c>
      <c r="AE99" s="5">
        <f t="shared" ca="1" si="23"/>
        <v>0</v>
      </c>
    </row>
    <row r="100" spans="4:31" ht="15.6" thickTop="1" thickBot="1" x14ac:dyDescent="0.35">
      <c r="D100" s="57"/>
      <c r="E100" s="58"/>
      <c r="F100" s="59"/>
      <c r="G100" s="59"/>
      <c r="H100" s="59"/>
      <c r="I100" s="60"/>
      <c r="J100" s="61"/>
      <c r="K100" s="61"/>
      <c r="M100" s="9" t="str">
        <f t="shared" si="13"/>
        <v/>
      </c>
      <c r="N100" s="5" t="str">
        <f t="shared" si="24"/>
        <v/>
      </c>
      <c r="O100" s="5" t="str">
        <f t="shared" si="18"/>
        <v/>
      </c>
      <c r="Q100" s="5" t="str">
        <f>'CNAE_Cód.Atividade Econômica'!B80</f>
        <v>Representantes comerciais e agentes do comércio de motocicletas e motonetas, peças e acessórios</v>
      </c>
      <c r="R100" s="5">
        <f t="shared" ca="1" si="14"/>
        <v>0</v>
      </c>
      <c r="S100" s="5" t="str">
        <f t="shared" si="15"/>
        <v>Representantes comerciais e agentes do comércio de motocicletas e motonetas, peças e acessórios</v>
      </c>
      <c r="U100" s="5">
        <f ca="1">COUNTIF(R$10:R100,R100)</f>
        <v>83</v>
      </c>
      <c r="V100" s="5" t="str">
        <f t="shared" ca="1" si="16"/>
        <v>083</v>
      </c>
      <c r="W100" s="5" t="str">
        <f t="shared" ca="1" si="17"/>
        <v>Representantes comerciais e agentes do comércio de motocicletas e motonetas, peças e acessórios</v>
      </c>
      <c r="Y100" s="5">
        <v>91</v>
      </c>
      <c r="Z100" s="5">
        <f t="shared" ca="1" si="19"/>
        <v>0</v>
      </c>
      <c r="AA100" s="5" t="str">
        <f t="shared" ca="1" si="20"/>
        <v>Guarda-móveis</v>
      </c>
      <c r="AB100" s="5">
        <f ca="1">COUNTIF(R$10:R100,R100)</f>
        <v>83</v>
      </c>
      <c r="AC100" s="5" t="str">
        <f t="shared" ca="1" si="21"/>
        <v>083</v>
      </c>
      <c r="AD100" s="5" t="str">
        <f t="shared" ca="1" si="22"/>
        <v>Representantes comerciais e agentes do comércio de motocicletas e motonetas, peças e acessórios</v>
      </c>
      <c r="AE100" s="5">
        <f t="shared" ca="1" si="23"/>
        <v>0</v>
      </c>
    </row>
    <row r="101" spans="4:31" ht="15.6" thickTop="1" thickBot="1" x14ac:dyDescent="0.35">
      <c r="D101" s="57"/>
      <c r="E101" s="58"/>
      <c r="F101" s="59"/>
      <c r="G101" s="59"/>
      <c r="H101" s="59"/>
      <c r="I101" s="60"/>
      <c r="J101" s="61"/>
      <c r="K101" s="61"/>
      <c r="M101" s="9" t="str">
        <f t="shared" si="13"/>
        <v/>
      </c>
      <c r="N101" s="5" t="str">
        <f t="shared" si="24"/>
        <v/>
      </c>
      <c r="O101" s="5" t="str">
        <f t="shared" si="18"/>
        <v/>
      </c>
      <c r="Q101" s="5" t="str">
        <f>'CNAE_Cód.Atividade Econômica'!B81</f>
        <v>Manutenção e reparação de motocicletas e motonetas</v>
      </c>
      <c r="R101" s="5">
        <f t="shared" ca="1" si="14"/>
        <v>0</v>
      </c>
      <c r="S101" s="5" t="str">
        <f t="shared" si="15"/>
        <v>Manutenção e reparação de motocicletas e motonetas</v>
      </c>
      <c r="U101" s="5">
        <f ca="1">COUNTIF(R$10:R101,R101)</f>
        <v>84</v>
      </c>
      <c r="V101" s="5" t="str">
        <f t="shared" ca="1" si="16"/>
        <v>084</v>
      </c>
      <c r="W101" s="5" t="str">
        <f t="shared" ca="1" si="17"/>
        <v>Manutenção e reparação de motocicletas e motonetas</v>
      </c>
      <c r="Y101" s="5">
        <v>92</v>
      </c>
      <c r="Z101" s="5">
        <f t="shared" ca="1" si="19"/>
        <v>0</v>
      </c>
      <c r="AA101" s="5" t="str">
        <f t="shared" ca="1" si="20"/>
        <v>Guarda-móveis</v>
      </c>
      <c r="AB101" s="5">
        <f ca="1">COUNTIF(R$10:R101,R101)</f>
        <v>84</v>
      </c>
      <c r="AC101" s="5" t="str">
        <f t="shared" ca="1" si="21"/>
        <v>084</v>
      </c>
      <c r="AD101" s="5" t="str">
        <f t="shared" ca="1" si="22"/>
        <v>Manutenção e reparação de motocicletas e motonetas</v>
      </c>
      <c r="AE101" s="5">
        <f t="shared" ca="1" si="23"/>
        <v>0</v>
      </c>
    </row>
    <row r="102" spans="4:31" ht="15.6" thickTop="1" thickBot="1" x14ac:dyDescent="0.35">
      <c r="D102" s="57"/>
      <c r="E102" s="58"/>
      <c r="F102" s="59"/>
      <c r="G102" s="59"/>
      <c r="H102" s="59"/>
      <c r="I102" s="60"/>
      <c r="J102" s="61"/>
      <c r="K102" s="61"/>
      <c r="M102" s="9" t="str">
        <f t="shared" si="13"/>
        <v/>
      </c>
      <c r="N102" s="5" t="str">
        <f t="shared" si="24"/>
        <v/>
      </c>
      <c r="O102" s="5" t="str">
        <f t="shared" si="18"/>
        <v/>
      </c>
      <c r="Q102" s="5" t="str">
        <f>'CNAE_Cód.Atividade Econômica'!B82</f>
        <v>Representantes comerciais e agentes do comércio de matérias-primas agrícolas e animais vivos</v>
      </c>
      <c r="R102" s="5">
        <f t="shared" ca="1" si="14"/>
        <v>0</v>
      </c>
      <c r="S102" s="5" t="str">
        <f t="shared" si="15"/>
        <v>Representantes comerciais e agentes do comércio de matérias-primas agrícolas e animais vivos</v>
      </c>
      <c r="U102" s="5">
        <f ca="1">COUNTIF(R$10:R102,R102)</f>
        <v>85</v>
      </c>
      <c r="V102" s="5" t="str">
        <f t="shared" ca="1" si="16"/>
        <v>085</v>
      </c>
      <c r="W102" s="5" t="str">
        <f t="shared" ca="1" si="17"/>
        <v>Representantes comerciais e agentes do comércio de matérias-primas agrícolas e animais vivos</v>
      </c>
      <c r="Y102" s="5">
        <v>93</v>
      </c>
      <c r="Z102" s="5">
        <f t="shared" ca="1" si="19"/>
        <v>0</v>
      </c>
      <c r="AA102" s="5" t="str">
        <f t="shared" ca="1" si="20"/>
        <v>Guarda-móveis</v>
      </c>
      <c r="AB102" s="5">
        <f ca="1">COUNTIF(R$10:R102,R102)</f>
        <v>85</v>
      </c>
      <c r="AC102" s="5" t="str">
        <f t="shared" ca="1" si="21"/>
        <v>085</v>
      </c>
      <c r="AD102" s="5" t="str">
        <f t="shared" ca="1" si="22"/>
        <v>Representantes comerciais e agentes do comércio de matérias-primas agrícolas e animais vivos</v>
      </c>
      <c r="AE102" s="5">
        <f t="shared" ca="1" si="23"/>
        <v>0</v>
      </c>
    </row>
    <row r="103" spans="4:31" ht="15.6" thickTop="1" thickBot="1" x14ac:dyDescent="0.35">
      <c r="D103" s="57"/>
      <c r="E103" s="58"/>
      <c r="F103" s="59"/>
      <c r="G103" s="59"/>
      <c r="H103" s="59"/>
      <c r="I103" s="60"/>
      <c r="J103" s="61"/>
      <c r="K103" s="61"/>
      <c r="M103" s="9" t="str">
        <f t="shared" si="13"/>
        <v/>
      </c>
      <c r="N103" s="5" t="str">
        <f t="shared" si="24"/>
        <v/>
      </c>
      <c r="O103" s="5" t="str">
        <f t="shared" si="18"/>
        <v/>
      </c>
      <c r="Q103" s="5" t="str">
        <f>'CNAE_Cód.Atividade Econômica'!B83</f>
        <v>Representantes comerciais e agentes do comércio de combustíveis, minerais, produtos siderúrgicos e químicos</v>
      </c>
      <c r="R103" s="5">
        <f t="shared" ca="1" si="14"/>
        <v>0</v>
      </c>
      <c r="S103" s="5" t="str">
        <f t="shared" si="15"/>
        <v>Representantes comerciais e agentes do comércio de combustíveis, minerais, produtos siderúrgicos e químicos</v>
      </c>
      <c r="U103" s="5">
        <f ca="1">COUNTIF(R$10:R103,R103)</f>
        <v>86</v>
      </c>
      <c r="V103" s="5" t="str">
        <f t="shared" ca="1" si="16"/>
        <v>086</v>
      </c>
      <c r="W103" s="5" t="str">
        <f t="shared" ca="1" si="17"/>
        <v>Representantes comerciais e agentes do comércio de combustíveis, minerais, produtos siderúrgicos e químicos</v>
      </c>
      <c r="Y103" s="5">
        <v>94</v>
      </c>
      <c r="Z103" s="5">
        <f t="shared" ca="1" si="19"/>
        <v>0</v>
      </c>
      <c r="AA103" s="5" t="str">
        <f t="shared" ca="1" si="20"/>
        <v>Guarda-móveis</v>
      </c>
      <c r="AB103" s="5">
        <f ca="1">COUNTIF(R$10:R103,R103)</f>
        <v>86</v>
      </c>
      <c r="AC103" s="5" t="str">
        <f t="shared" ca="1" si="21"/>
        <v>086</v>
      </c>
      <c r="AD103" s="5" t="str">
        <f t="shared" ca="1" si="22"/>
        <v>Representantes comerciais e agentes do comércio de combustíveis, minerais, produtos siderúrgicos e químicos</v>
      </c>
      <c r="AE103" s="5">
        <f t="shared" ca="1" si="23"/>
        <v>0</v>
      </c>
    </row>
    <row r="104" spans="4:31" ht="15.6" thickTop="1" thickBot="1" x14ac:dyDescent="0.35">
      <c r="D104" s="57"/>
      <c r="E104" s="58"/>
      <c r="F104" s="59"/>
      <c r="G104" s="59"/>
      <c r="H104" s="59"/>
      <c r="I104" s="60"/>
      <c r="J104" s="61"/>
      <c r="K104" s="61"/>
      <c r="M104" s="9" t="str">
        <f t="shared" si="13"/>
        <v/>
      </c>
      <c r="N104" s="5" t="str">
        <f t="shared" si="24"/>
        <v/>
      </c>
      <c r="O104" s="5" t="str">
        <f t="shared" si="18"/>
        <v/>
      </c>
      <c r="Q104" s="5" t="str">
        <f>'CNAE_Cód.Atividade Econômica'!B84</f>
        <v>Representantes comerciais e agentes do comércio de madeira, material de construção e ferragens</v>
      </c>
      <c r="R104" s="5">
        <f t="shared" ca="1" si="14"/>
        <v>0</v>
      </c>
      <c r="S104" s="5" t="str">
        <f t="shared" si="15"/>
        <v>Representantes comerciais e agentes do comércio de madeira, material de construção e ferragens</v>
      </c>
      <c r="U104" s="5">
        <f ca="1">COUNTIF(R$10:R104,R104)</f>
        <v>87</v>
      </c>
      <c r="V104" s="5" t="str">
        <f t="shared" ca="1" si="16"/>
        <v>087</v>
      </c>
      <c r="W104" s="5" t="str">
        <f t="shared" ca="1" si="17"/>
        <v>Representantes comerciais e agentes do comércio de madeira, material de construção e ferragens</v>
      </c>
      <c r="Y104" s="5">
        <v>95</v>
      </c>
      <c r="Z104" s="5">
        <f t="shared" ca="1" si="19"/>
        <v>0</v>
      </c>
      <c r="AA104" s="5" t="str">
        <f t="shared" ca="1" si="20"/>
        <v>Guarda-móveis</v>
      </c>
      <c r="AB104" s="5">
        <f ca="1">COUNTIF(R$10:R104,R104)</f>
        <v>87</v>
      </c>
      <c r="AC104" s="5" t="str">
        <f t="shared" ca="1" si="21"/>
        <v>087</v>
      </c>
      <c r="AD104" s="5" t="str">
        <f t="shared" ca="1" si="22"/>
        <v>Representantes comerciais e agentes do comércio de madeira, material de construção e ferragens</v>
      </c>
      <c r="AE104" s="5">
        <f t="shared" ca="1" si="23"/>
        <v>0</v>
      </c>
    </row>
    <row r="105" spans="4:31" ht="15.6" thickTop="1" thickBot="1" x14ac:dyDescent="0.35">
      <c r="D105" s="57"/>
      <c r="E105" s="58"/>
      <c r="F105" s="59"/>
      <c r="G105" s="59"/>
      <c r="H105" s="59"/>
      <c r="I105" s="60"/>
      <c r="J105" s="61"/>
      <c r="K105" s="61"/>
      <c r="M105" s="9" t="str">
        <f t="shared" si="13"/>
        <v/>
      </c>
      <c r="N105" s="5" t="str">
        <f t="shared" si="24"/>
        <v/>
      </c>
      <c r="O105" s="5" t="str">
        <f t="shared" si="18"/>
        <v/>
      </c>
      <c r="Q105" s="5" t="str">
        <f>'CNAE_Cód.Atividade Econômica'!B85</f>
        <v>Representantes comerciais e agentes do comércio de máquinas, equipamentos, embarcações e aeronaves</v>
      </c>
      <c r="R105" s="5">
        <f t="shared" ca="1" si="14"/>
        <v>0</v>
      </c>
      <c r="S105" s="5" t="str">
        <f t="shared" si="15"/>
        <v>Representantes comerciais e agentes do comércio de máquinas, equipamentos, embarcações e aeronaves</v>
      </c>
      <c r="U105" s="5">
        <f ca="1">COUNTIF(R$10:R105,R105)</f>
        <v>88</v>
      </c>
      <c r="V105" s="5" t="str">
        <f t="shared" ca="1" si="16"/>
        <v>088</v>
      </c>
      <c r="W105" s="5" t="str">
        <f t="shared" ca="1" si="17"/>
        <v>Representantes comerciais e agentes do comércio de máquinas, equipamentos, embarcações e aeronaves</v>
      </c>
      <c r="Y105" s="5">
        <v>96</v>
      </c>
      <c r="Z105" s="5">
        <f t="shared" ca="1" si="19"/>
        <v>0</v>
      </c>
      <c r="AA105" s="5" t="str">
        <f t="shared" ca="1" si="20"/>
        <v>Guarda-móveis</v>
      </c>
      <c r="AB105" s="5">
        <f ca="1">COUNTIF(R$10:R105,R105)</f>
        <v>88</v>
      </c>
      <c r="AC105" s="5" t="str">
        <f t="shared" ca="1" si="21"/>
        <v>088</v>
      </c>
      <c r="AD105" s="5" t="str">
        <f t="shared" ca="1" si="22"/>
        <v>Representantes comerciais e agentes do comércio de máquinas, equipamentos, embarcações e aeronaves</v>
      </c>
      <c r="AE105" s="5">
        <f t="shared" ca="1" si="23"/>
        <v>0</v>
      </c>
    </row>
    <row r="106" spans="4:31" ht="15.6" thickTop="1" thickBot="1" x14ac:dyDescent="0.35">
      <c r="D106" s="57"/>
      <c r="E106" s="58"/>
      <c r="F106" s="59"/>
      <c r="G106" s="59"/>
      <c r="H106" s="59"/>
      <c r="I106" s="60"/>
      <c r="J106" s="61"/>
      <c r="K106" s="61"/>
      <c r="M106" s="9" t="str">
        <f t="shared" si="13"/>
        <v/>
      </c>
      <c r="N106" s="5" t="str">
        <f t="shared" si="24"/>
        <v/>
      </c>
      <c r="O106" s="5" t="str">
        <f t="shared" si="18"/>
        <v/>
      </c>
      <c r="Q106" s="5" t="str">
        <f>'CNAE_Cód.Atividade Econômica'!B86</f>
        <v>Representantes comerciais e agentes do comércio de eletrodomésticos, móveis e artigos de uso doméstico</v>
      </c>
      <c r="R106" s="5">
        <f t="shared" ca="1" si="14"/>
        <v>0</v>
      </c>
      <c r="S106" s="5" t="str">
        <f t="shared" si="15"/>
        <v>Representantes comerciais e agentes do comércio de eletrodomésticos, móveis e artigos de uso doméstico</v>
      </c>
      <c r="U106" s="5">
        <f ca="1">COUNTIF(R$10:R106,R106)</f>
        <v>89</v>
      </c>
      <c r="V106" s="5" t="str">
        <f t="shared" ca="1" si="16"/>
        <v>089</v>
      </c>
      <c r="W106" s="5" t="str">
        <f t="shared" ca="1" si="17"/>
        <v>Representantes comerciais e agentes do comércio de eletrodomésticos, móveis e artigos de uso doméstico</v>
      </c>
      <c r="Y106" s="5">
        <v>97</v>
      </c>
      <c r="Z106" s="5">
        <f t="shared" ca="1" si="19"/>
        <v>0</v>
      </c>
      <c r="AA106" s="5" t="str">
        <f t="shared" ca="1" si="20"/>
        <v>Guarda-móveis</v>
      </c>
      <c r="AB106" s="5">
        <f ca="1">COUNTIF(R$10:R106,R106)</f>
        <v>89</v>
      </c>
      <c r="AC106" s="5" t="str">
        <f t="shared" ca="1" si="21"/>
        <v>089</v>
      </c>
      <c r="AD106" s="5" t="str">
        <f t="shared" ca="1" si="22"/>
        <v>Representantes comerciais e agentes do comércio de eletrodomésticos, móveis e artigos de uso doméstico</v>
      </c>
      <c r="AE106" s="5">
        <f t="shared" ca="1" si="23"/>
        <v>0</v>
      </c>
    </row>
    <row r="107" spans="4:31" ht="15.6" thickTop="1" thickBot="1" x14ac:dyDescent="0.35">
      <c r="D107" s="57"/>
      <c r="E107" s="58"/>
      <c r="F107" s="59"/>
      <c r="G107" s="59"/>
      <c r="H107" s="59"/>
      <c r="I107" s="60"/>
      <c r="J107" s="61"/>
      <c r="K107" s="61"/>
      <c r="M107" s="9" t="str">
        <f t="shared" si="13"/>
        <v/>
      </c>
      <c r="N107" s="5" t="str">
        <f t="shared" si="24"/>
        <v/>
      </c>
      <c r="O107" s="5" t="str">
        <f t="shared" si="18"/>
        <v/>
      </c>
      <c r="Q107" s="5" t="str">
        <f>'CNAE_Cód.Atividade Econômica'!B87</f>
        <v>Representantes comerciais e agentes do comércio de têxteis, vestuário, calçados e artigos de viagem</v>
      </c>
      <c r="R107" s="5">
        <f t="shared" ca="1" si="14"/>
        <v>0</v>
      </c>
      <c r="S107" s="5" t="str">
        <f t="shared" si="15"/>
        <v>Representantes comerciais e agentes do comércio de têxteis, vestuário, calçados e artigos de viagem</v>
      </c>
      <c r="U107" s="5">
        <f ca="1">COUNTIF(R$10:R107,R107)</f>
        <v>90</v>
      </c>
      <c r="V107" s="5" t="str">
        <f t="shared" ca="1" si="16"/>
        <v>090</v>
      </c>
      <c r="W107" s="5" t="str">
        <f t="shared" ca="1" si="17"/>
        <v>Representantes comerciais e agentes do comércio de têxteis, vestuário, calçados e artigos de viagem</v>
      </c>
      <c r="Y107" s="5">
        <v>98</v>
      </c>
      <c r="Z107" s="5">
        <f t="shared" ca="1" si="19"/>
        <v>0</v>
      </c>
      <c r="AA107" s="5" t="str">
        <f t="shared" ca="1" si="20"/>
        <v>Guarda-móveis</v>
      </c>
      <c r="AB107" s="5">
        <f ca="1">COUNTIF(R$10:R107,R107)</f>
        <v>90</v>
      </c>
      <c r="AC107" s="5" t="str">
        <f t="shared" ca="1" si="21"/>
        <v>090</v>
      </c>
      <c r="AD107" s="5" t="str">
        <f t="shared" ca="1" si="22"/>
        <v>Representantes comerciais e agentes do comércio de têxteis, vestuário, calçados e artigos de viagem</v>
      </c>
      <c r="AE107" s="5">
        <f t="shared" ca="1" si="23"/>
        <v>0</v>
      </c>
    </row>
    <row r="108" spans="4:31" ht="15.6" thickTop="1" thickBot="1" x14ac:dyDescent="0.35">
      <c r="D108" s="57"/>
      <c r="E108" s="58"/>
      <c r="F108" s="59"/>
      <c r="G108" s="59"/>
      <c r="H108" s="59"/>
      <c r="I108" s="60"/>
      <c r="J108" s="61"/>
      <c r="K108" s="61"/>
      <c r="M108" s="9" t="str">
        <f t="shared" si="13"/>
        <v/>
      </c>
      <c r="N108" s="5" t="str">
        <f t="shared" si="24"/>
        <v/>
      </c>
      <c r="O108" s="5" t="str">
        <f t="shared" si="18"/>
        <v/>
      </c>
      <c r="Q108" s="5" t="str">
        <f>'CNAE_Cód.Atividade Econômica'!B88</f>
        <v>Representantes comerciais e agentes do comércio de produtos alimentícios, bebidas e fumo</v>
      </c>
      <c r="R108" s="5">
        <f t="shared" ca="1" si="14"/>
        <v>0</v>
      </c>
      <c r="S108" s="5" t="str">
        <f t="shared" si="15"/>
        <v>Representantes comerciais e agentes do comércio de produtos alimentícios, bebidas e fumo</v>
      </c>
      <c r="U108" s="5">
        <f ca="1">COUNTIF(R$10:R108,R108)</f>
        <v>91</v>
      </c>
      <c r="V108" s="5" t="str">
        <f t="shared" ca="1" si="16"/>
        <v>091</v>
      </c>
      <c r="W108" s="5" t="str">
        <f t="shared" ca="1" si="17"/>
        <v>Representantes comerciais e agentes do comércio de produtos alimentícios, bebidas e fumo</v>
      </c>
      <c r="Y108" s="5">
        <v>99</v>
      </c>
      <c r="Z108" s="5">
        <f t="shared" ca="1" si="19"/>
        <v>0</v>
      </c>
      <c r="AA108" s="5" t="str">
        <f t="shared" ca="1" si="20"/>
        <v>Guarda-móveis</v>
      </c>
      <c r="AB108" s="5">
        <f ca="1">COUNTIF(R$10:R108,R108)</f>
        <v>91</v>
      </c>
      <c r="AC108" s="5" t="str">
        <f t="shared" ca="1" si="21"/>
        <v>091</v>
      </c>
      <c r="AD108" s="5" t="str">
        <f t="shared" ca="1" si="22"/>
        <v>Representantes comerciais e agentes do comércio de produtos alimentícios, bebidas e fumo</v>
      </c>
      <c r="AE108" s="5">
        <f t="shared" ca="1" si="23"/>
        <v>0</v>
      </c>
    </row>
    <row r="109" spans="4:31" ht="15.6" thickTop="1" thickBot="1" x14ac:dyDescent="0.35">
      <c r="D109" s="57"/>
      <c r="E109" s="58"/>
      <c r="F109" s="59"/>
      <c r="G109" s="59"/>
      <c r="H109" s="59"/>
      <c r="I109" s="60"/>
      <c r="J109" s="61"/>
      <c r="K109" s="61"/>
      <c r="M109" s="9" t="str">
        <f t="shared" si="13"/>
        <v/>
      </c>
      <c r="N109" s="5" t="str">
        <f t="shared" si="24"/>
        <v/>
      </c>
      <c r="O109" s="5" t="str">
        <f t="shared" si="18"/>
        <v/>
      </c>
      <c r="Q109" s="5" t="str">
        <f>'CNAE_Cód.Atividade Econômica'!B89</f>
        <v>Representantes comerciais e agentes do comércio de medicamentos, cosméticos e produtos de perfumaria</v>
      </c>
      <c r="R109" s="5">
        <f t="shared" ca="1" si="14"/>
        <v>0</v>
      </c>
      <c r="S109" s="5" t="str">
        <f t="shared" si="15"/>
        <v>Representantes comerciais e agentes do comércio de medicamentos, cosméticos e produtos de perfumaria</v>
      </c>
      <c r="U109" s="5">
        <f ca="1">COUNTIF(R$10:R109,R109)</f>
        <v>92</v>
      </c>
      <c r="V109" s="5" t="str">
        <f t="shared" ca="1" si="16"/>
        <v>092</v>
      </c>
      <c r="W109" s="5" t="str">
        <f t="shared" ca="1" si="17"/>
        <v>Representantes comerciais e agentes do comércio de medicamentos, cosméticos e produtos de perfumaria</v>
      </c>
      <c r="Y109" s="5">
        <v>100</v>
      </c>
      <c r="Z109" s="5">
        <f t="shared" ca="1" si="19"/>
        <v>0</v>
      </c>
      <c r="AA109" s="5" t="str">
        <f t="shared" ca="1" si="20"/>
        <v>Guarda-móveis</v>
      </c>
      <c r="AB109" s="5">
        <f ca="1">COUNTIF(R$10:R109,R109)</f>
        <v>92</v>
      </c>
      <c r="AC109" s="5" t="str">
        <f t="shared" ca="1" si="21"/>
        <v>092</v>
      </c>
      <c r="AD109" s="5" t="str">
        <f t="shared" ca="1" si="22"/>
        <v>Representantes comerciais e agentes do comércio de medicamentos, cosméticos e produtos de perfumaria</v>
      </c>
      <c r="AE109" s="5">
        <f t="shared" ca="1" si="23"/>
        <v>0</v>
      </c>
    </row>
    <row r="110" spans="4:31" ht="15.6" thickTop="1" thickBot="1" x14ac:dyDescent="0.35">
      <c r="D110" s="57"/>
      <c r="E110" s="58"/>
      <c r="F110" s="59"/>
      <c r="G110" s="59"/>
      <c r="H110" s="59"/>
      <c r="I110" s="60"/>
      <c r="J110" s="61"/>
      <c r="K110" s="61"/>
      <c r="M110" s="9" t="str">
        <f t="shared" si="13"/>
        <v/>
      </c>
      <c r="N110" s="5" t="str">
        <f t="shared" si="24"/>
        <v/>
      </c>
      <c r="O110" s="5" t="str">
        <f t="shared" si="18"/>
        <v/>
      </c>
      <c r="Q110" s="5" t="str">
        <f>'CNAE_Cód.Atividade Econômica'!B90</f>
        <v>Representantes comerciais e agentes do comércio de instrumentos e materiais odonto-médico-hospitalares</v>
      </c>
      <c r="R110" s="5">
        <f t="shared" ca="1" si="14"/>
        <v>0</v>
      </c>
      <c r="S110" s="5" t="str">
        <f t="shared" si="15"/>
        <v>Representantes comerciais e agentes do comércio de instrumentos e materiais odonto-médico-hospitalares</v>
      </c>
      <c r="U110" s="5">
        <f ca="1">COUNTIF(R$10:R110,R110)</f>
        <v>93</v>
      </c>
      <c r="V110" s="5" t="str">
        <f t="shared" ca="1" si="16"/>
        <v>093</v>
      </c>
      <c r="W110" s="5" t="str">
        <f t="shared" ca="1" si="17"/>
        <v>Representantes comerciais e agentes do comércio de instrumentos e materiais odonto-médico-hospitalares</v>
      </c>
      <c r="Y110" s="5">
        <v>101</v>
      </c>
      <c r="Z110" s="5">
        <f t="shared" ca="1" si="19"/>
        <v>0</v>
      </c>
      <c r="AA110" s="5" t="str">
        <f t="shared" ca="1" si="20"/>
        <v>Guarda-móveis</v>
      </c>
      <c r="AB110" s="5">
        <f ca="1">COUNTIF(R$10:R110,R110)</f>
        <v>93</v>
      </c>
      <c r="AC110" s="5" t="str">
        <f t="shared" ca="1" si="21"/>
        <v>093</v>
      </c>
      <c r="AD110" s="5" t="str">
        <f t="shared" ca="1" si="22"/>
        <v>Representantes comerciais e agentes do comércio de instrumentos e materiais odonto-médico-hospitalares</v>
      </c>
      <c r="AE110" s="5">
        <f t="shared" ca="1" si="23"/>
        <v>0</v>
      </c>
    </row>
    <row r="111" spans="4:31" ht="15.6" thickTop="1" thickBot="1" x14ac:dyDescent="0.35">
      <c r="D111" s="57"/>
      <c r="E111" s="58"/>
      <c r="F111" s="59"/>
      <c r="G111" s="59"/>
      <c r="H111" s="59"/>
      <c r="I111" s="60"/>
      <c r="J111" s="61"/>
      <c r="K111" s="61"/>
      <c r="M111" s="9" t="str">
        <f t="shared" si="13"/>
        <v/>
      </c>
      <c r="N111" s="5" t="str">
        <f t="shared" si="24"/>
        <v/>
      </c>
      <c r="O111" s="5" t="str">
        <f t="shared" si="18"/>
        <v/>
      </c>
      <c r="Q111" s="5" t="str">
        <f>'CNAE_Cód.Atividade Econômica'!B91</f>
        <v>Representantes comerciais e agentes do comércio de jornais, revistas e outras publicações</v>
      </c>
      <c r="R111" s="5">
        <f t="shared" ca="1" si="14"/>
        <v>0</v>
      </c>
      <c r="S111" s="5" t="str">
        <f t="shared" si="15"/>
        <v>Representantes comerciais e agentes do comércio de jornais, revistas e outras publicações</v>
      </c>
      <c r="U111" s="5">
        <f ca="1">COUNTIF(R$10:R111,R111)</f>
        <v>94</v>
      </c>
      <c r="V111" s="5" t="str">
        <f t="shared" ca="1" si="16"/>
        <v>094</v>
      </c>
      <c r="W111" s="5" t="str">
        <f t="shared" ca="1" si="17"/>
        <v>Representantes comerciais e agentes do comércio de jornais, revistas e outras publicações</v>
      </c>
      <c r="Y111" s="5">
        <v>102</v>
      </c>
      <c r="Z111" s="5">
        <f t="shared" ca="1" si="19"/>
        <v>0</v>
      </c>
      <c r="AA111" s="5" t="str">
        <f t="shared" ca="1" si="20"/>
        <v>Guarda-móveis</v>
      </c>
      <c r="AB111" s="5">
        <f ca="1">COUNTIF(R$10:R111,R111)</f>
        <v>94</v>
      </c>
      <c r="AC111" s="5" t="str">
        <f t="shared" ca="1" si="21"/>
        <v>094</v>
      </c>
      <c r="AD111" s="5" t="str">
        <f t="shared" ca="1" si="22"/>
        <v>Representantes comerciais e agentes do comércio de jornais, revistas e outras publicações</v>
      </c>
      <c r="AE111" s="5">
        <f t="shared" ca="1" si="23"/>
        <v>0</v>
      </c>
    </row>
    <row r="112" spans="4:31" ht="15.6" thickTop="1" thickBot="1" x14ac:dyDescent="0.35">
      <c r="D112" s="57"/>
      <c r="E112" s="58"/>
      <c r="F112" s="59"/>
      <c r="G112" s="59"/>
      <c r="H112" s="59"/>
      <c r="I112" s="60"/>
      <c r="J112" s="61"/>
      <c r="K112" s="61"/>
      <c r="M112" s="9" t="str">
        <f t="shared" si="13"/>
        <v/>
      </c>
      <c r="N112" s="5" t="str">
        <f t="shared" si="24"/>
        <v/>
      </c>
      <c r="O112" s="5" t="str">
        <f t="shared" si="18"/>
        <v/>
      </c>
      <c r="Q112" s="5" t="str">
        <f>'CNAE_Cód.Atividade Econômica'!B92</f>
        <v>Outros representantes comerciais e agentes do comércio especializado em produtos não especificados anteriormente</v>
      </c>
      <c r="R112" s="5">
        <f t="shared" ca="1" si="14"/>
        <v>0</v>
      </c>
      <c r="S112" s="5" t="str">
        <f t="shared" si="15"/>
        <v>Outros representantes comerciais e agentes do comércio especializado em produtos não especificados anteriormente</v>
      </c>
      <c r="U112" s="5">
        <f ca="1">COUNTIF(R$10:R112,R112)</f>
        <v>95</v>
      </c>
      <c r="V112" s="5" t="str">
        <f t="shared" ca="1" si="16"/>
        <v>095</v>
      </c>
      <c r="W112" s="5" t="str">
        <f t="shared" ca="1" si="17"/>
        <v>Outros representantes comerciais e agentes do comércio especializado em produtos não especificados anteriormente</v>
      </c>
      <c r="Y112" s="5">
        <v>103</v>
      </c>
      <c r="Z112" s="5">
        <f t="shared" ca="1" si="19"/>
        <v>0</v>
      </c>
      <c r="AA112" s="5" t="str">
        <f t="shared" ca="1" si="20"/>
        <v>Guarda-móveis</v>
      </c>
      <c r="AB112" s="5">
        <f ca="1">COUNTIF(R$10:R112,R112)</f>
        <v>95</v>
      </c>
      <c r="AC112" s="5" t="str">
        <f t="shared" ca="1" si="21"/>
        <v>095</v>
      </c>
      <c r="AD112" s="5" t="str">
        <f t="shared" ca="1" si="22"/>
        <v>Outros representantes comerciais e agentes do comércio especializado em produtos não especificados anteriormente</v>
      </c>
      <c r="AE112" s="5">
        <f t="shared" ca="1" si="23"/>
        <v>0</v>
      </c>
    </row>
    <row r="113" spans="4:31" ht="15.6" thickTop="1" thickBot="1" x14ac:dyDescent="0.35">
      <c r="D113" s="57"/>
      <c r="E113" s="58"/>
      <c r="F113" s="59"/>
      <c r="G113" s="59"/>
      <c r="H113" s="59"/>
      <c r="I113" s="60"/>
      <c r="J113" s="61"/>
      <c r="K113" s="61"/>
      <c r="M113" s="9" t="str">
        <f t="shared" si="13"/>
        <v/>
      </c>
      <c r="N113" s="5" t="str">
        <f t="shared" si="24"/>
        <v/>
      </c>
      <c r="O113" s="5" t="str">
        <f t="shared" si="18"/>
        <v/>
      </c>
      <c r="Q113" s="5" t="str">
        <f>'CNAE_Cód.Atividade Econômica'!B93</f>
        <v>Representantes comerciais e agentes do comércio de mercadorias em geral não especializado</v>
      </c>
      <c r="R113" s="5">
        <f t="shared" ca="1" si="14"/>
        <v>0</v>
      </c>
      <c r="S113" s="5" t="str">
        <f t="shared" si="15"/>
        <v>Representantes comerciais e agentes do comércio de mercadorias em geral não especializado</v>
      </c>
      <c r="U113" s="5">
        <f ca="1">COUNTIF(R$10:R113,R113)</f>
        <v>96</v>
      </c>
      <c r="V113" s="5" t="str">
        <f t="shared" ca="1" si="16"/>
        <v>096</v>
      </c>
      <c r="W113" s="5" t="str">
        <f t="shared" ca="1" si="17"/>
        <v>Representantes comerciais e agentes do comércio de mercadorias em geral não especializado</v>
      </c>
      <c r="Y113" s="5">
        <v>104</v>
      </c>
      <c r="Z113" s="5">
        <f t="shared" ca="1" si="19"/>
        <v>0</v>
      </c>
      <c r="AA113" s="5" t="str">
        <f t="shared" ca="1" si="20"/>
        <v>Guarda-móveis</v>
      </c>
      <c r="AB113" s="5">
        <f ca="1">COUNTIF(R$10:R113,R113)</f>
        <v>96</v>
      </c>
      <c r="AC113" s="5" t="str">
        <f t="shared" ca="1" si="21"/>
        <v>096</v>
      </c>
      <c r="AD113" s="5" t="str">
        <f t="shared" ca="1" si="22"/>
        <v>Representantes comerciais e agentes do comércio de mercadorias em geral não especializado</v>
      </c>
      <c r="AE113" s="5">
        <f t="shared" ca="1" si="23"/>
        <v>0</v>
      </c>
    </row>
    <row r="114" spans="4:31" ht="15.6" thickTop="1" thickBot="1" x14ac:dyDescent="0.35">
      <c r="D114" s="57"/>
      <c r="E114" s="58"/>
      <c r="F114" s="59"/>
      <c r="G114" s="59"/>
      <c r="H114" s="59"/>
      <c r="I114" s="60"/>
      <c r="J114" s="61"/>
      <c r="K114" s="61"/>
      <c r="M114" s="9" t="str">
        <f t="shared" si="13"/>
        <v/>
      </c>
      <c r="N114" s="5" t="str">
        <f t="shared" si="24"/>
        <v/>
      </c>
      <c r="O114" s="5" t="str">
        <f t="shared" si="18"/>
        <v/>
      </c>
      <c r="Q114" s="5" t="str">
        <f>'CNAE_Cód.Atividade Econômica'!B94</f>
        <v>Comércio varejista de mercadorias em geral, com predominância de produtos alimentícios – hipermercados</v>
      </c>
      <c r="R114" s="5">
        <f t="shared" ca="1" si="14"/>
        <v>0</v>
      </c>
      <c r="S114" s="5" t="str">
        <f t="shared" si="15"/>
        <v>Comércio varejista de mercadorias em geral, com predominância de produtos alimentícios – hipermercados</v>
      </c>
      <c r="U114" s="5">
        <f ca="1">COUNTIF(R$10:R114,R114)</f>
        <v>97</v>
      </c>
      <c r="V114" s="5" t="str">
        <f t="shared" ca="1" si="16"/>
        <v>097</v>
      </c>
      <c r="W114" s="5" t="str">
        <f t="shared" ca="1" si="17"/>
        <v>Comércio varejista de mercadorias em geral, com predominância de produtos alimentícios – hipermercados</v>
      </c>
      <c r="Y114" s="5">
        <v>105</v>
      </c>
      <c r="Z114" s="5">
        <f t="shared" ca="1" si="19"/>
        <v>0</v>
      </c>
      <c r="AA114" s="5" t="str">
        <f t="shared" ca="1" si="20"/>
        <v>Guarda-móveis</v>
      </c>
      <c r="AB114" s="5">
        <f ca="1">COUNTIF(R$10:R114,R114)</f>
        <v>97</v>
      </c>
      <c r="AC114" s="5" t="str">
        <f t="shared" ca="1" si="21"/>
        <v>097</v>
      </c>
      <c r="AD114" s="5" t="str">
        <f t="shared" ca="1" si="22"/>
        <v>Comércio varejista de mercadorias em geral, com predominância de produtos alimentícios – hipermercados</v>
      </c>
      <c r="AE114" s="5">
        <f t="shared" ca="1" si="23"/>
        <v>0</v>
      </c>
    </row>
    <row r="115" spans="4:31" ht="15.6" thickTop="1" thickBot="1" x14ac:dyDescent="0.35">
      <c r="D115" s="57"/>
      <c r="E115" s="58"/>
      <c r="F115" s="59"/>
      <c r="G115" s="59"/>
      <c r="H115" s="59"/>
      <c r="I115" s="60"/>
      <c r="J115" s="61"/>
      <c r="K115" s="61"/>
      <c r="M115" s="9" t="str">
        <f t="shared" si="13"/>
        <v/>
      </c>
      <c r="N115" s="5" t="str">
        <f t="shared" si="24"/>
        <v/>
      </c>
      <c r="O115" s="5" t="str">
        <f t="shared" si="18"/>
        <v/>
      </c>
      <c r="Q115" s="5" t="str">
        <f>'CNAE_Cód.Atividade Econômica'!B95</f>
        <v>Comércio varejista de mercadorias em geral, com predominância de produtos alimentícios – supermercados</v>
      </c>
      <c r="R115" s="5">
        <f t="shared" ca="1" si="14"/>
        <v>0</v>
      </c>
      <c r="S115" s="5" t="str">
        <f t="shared" si="15"/>
        <v>Comércio varejista de mercadorias em geral, com predominância de produtos alimentícios – supermercados</v>
      </c>
      <c r="U115" s="5">
        <f ca="1">COUNTIF(R$10:R115,R115)</f>
        <v>98</v>
      </c>
      <c r="V115" s="5" t="str">
        <f t="shared" ca="1" si="16"/>
        <v>098</v>
      </c>
      <c r="W115" s="5" t="str">
        <f t="shared" ca="1" si="17"/>
        <v>Comércio varejista de mercadorias em geral, com predominância de produtos alimentícios – supermercados</v>
      </c>
      <c r="Y115" s="5">
        <v>106</v>
      </c>
      <c r="Z115" s="5">
        <f t="shared" ca="1" si="19"/>
        <v>0</v>
      </c>
      <c r="AA115" s="5" t="str">
        <f t="shared" ca="1" si="20"/>
        <v>Guarda-móveis</v>
      </c>
      <c r="AB115" s="5">
        <f ca="1">COUNTIF(R$10:R115,R115)</f>
        <v>98</v>
      </c>
      <c r="AC115" s="5" t="str">
        <f t="shared" ca="1" si="21"/>
        <v>098</v>
      </c>
      <c r="AD115" s="5" t="str">
        <f t="shared" ca="1" si="22"/>
        <v>Comércio varejista de mercadorias em geral, com predominância de produtos alimentícios – supermercados</v>
      </c>
      <c r="AE115" s="5">
        <f t="shared" ca="1" si="23"/>
        <v>0</v>
      </c>
    </row>
    <row r="116" spans="4:31" ht="15.6" thickTop="1" thickBot="1" x14ac:dyDescent="0.35">
      <c r="D116" s="57"/>
      <c r="E116" s="58"/>
      <c r="F116" s="59"/>
      <c r="G116" s="59"/>
      <c r="H116" s="59"/>
      <c r="I116" s="60"/>
      <c r="J116" s="61"/>
      <c r="K116" s="61"/>
      <c r="M116" s="9" t="str">
        <f t="shared" si="13"/>
        <v/>
      </c>
      <c r="N116" s="5" t="str">
        <f t="shared" si="24"/>
        <v/>
      </c>
      <c r="O116" s="5" t="str">
        <f t="shared" si="18"/>
        <v/>
      </c>
      <c r="Q116" s="5" t="str">
        <f>'CNAE_Cód.Atividade Econômica'!B96</f>
        <v>Comércio varejista de mercadorias em geral, com predominância de produtos alimentícios – minimercados, mercearias e armazéns</v>
      </c>
      <c r="R116" s="5">
        <f t="shared" ca="1" si="14"/>
        <v>0</v>
      </c>
      <c r="S116" s="5" t="str">
        <f t="shared" si="15"/>
        <v>Comércio varejista de mercadorias em geral, com predominância de produtos alimentícios – minimercados, mercearias e armazéns</v>
      </c>
      <c r="U116" s="5">
        <f ca="1">COUNTIF(R$10:R116,R116)</f>
        <v>99</v>
      </c>
      <c r="V116" s="5" t="str">
        <f t="shared" ca="1" si="16"/>
        <v>099</v>
      </c>
      <c r="W116" s="5" t="str">
        <f t="shared" ca="1" si="17"/>
        <v>Comércio varejista de mercadorias em geral, com predominância de produtos alimentícios – minimercados, mercearias e armazéns</v>
      </c>
      <c r="Y116" s="5">
        <v>107</v>
      </c>
      <c r="Z116" s="5">
        <f t="shared" ca="1" si="19"/>
        <v>0</v>
      </c>
      <c r="AA116" s="5" t="str">
        <f t="shared" ca="1" si="20"/>
        <v>Guarda-móveis</v>
      </c>
      <c r="AB116" s="5">
        <f ca="1">COUNTIF(R$10:R116,R116)</f>
        <v>99</v>
      </c>
      <c r="AC116" s="5" t="str">
        <f t="shared" ca="1" si="21"/>
        <v>099</v>
      </c>
      <c r="AD116" s="5" t="str">
        <f t="shared" ca="1" si="22"/>
        <v>Comércio varejista de mercadorias em geral, com predominância de produtos alimentícios – minimercados, mercearias e armazéns</v>
      </c>
      <c r="AE116" s="5">
        <f t="shared" ca="1" si="23"/>
        <v>0</v>
      </c>
    </row>
    <row r="117" spans="4:31" ht="15.6" thickTop="1" thickBot="1" x14ac:dyDescent="0.35">
      <c r="D117" s="57"/>
      <c r="E117" s="58"/>
      <c r="F117" s="59"/>
      <c r="G117" s="59"/>
      <c r="H117" s="59"/>
      <c r="I117" s="60"/>
      <c r="J117" s="61"/>
      <c r="K117" s="61"/>
      <c r="M117" s="9" t="str">
        <f t="shared" si="13"/>
        <v/>
      </c>
      <c r="N117" s="5" t="str">
        <f t="shared" si="24"/>
        <v/>
      </c>
      <c r="O117" s="5" t="str">
        <f t="shared" si="18"/>
        <v/>
      </c>
      <c r="Q117" s="5" t="str">
        <f>'CNAE_Cód.Atividade Econômica'!B97</f>
        <v>Lojas de variedades, exceto lojas de departamentos ou magazines</v>
      </c>
      <c r="R117" s="5">
        <f t="shared" ca="1" si="14"/>
        <v>0</v>
      </c>
      <c r="S117" s="5" t="str">
        <f t="shared" si="15"/>
        <v>Lojas de variedades, exceto lojas de departamentos ou magazines</v>
      </c>
      <c r="U117" s="5">
        <f ca="1">COUNTIF(R$10:R117,R117)</f>
        <v>100</v>
      </c>
      <c r="V117" s="5" t="str">
        <f t="shared" ca="1" si="16"/>
        <v>0100</v>
      </c>
      <c r="W117" s="5" t="str">
        <f t="shared" ca="1" si="17"/>
        <v>Lojas de variedades, exceto lojas de departamentos ou magazines</v>
      </c>
      <c r="Y117" s="5">
        <v>108</v>
      </c>
      <c r="Z117" s="5">
        <f t="shared" ca="1" si="19"/>
        <v>0</v>
      </c>
      <c r="AA117" s="5" t="str">
        <f t="shared" ca="1" si="20"/>
        <v>Guarda-móveis</v>
      </c>
      <c r="AB117" s="5">
        <f ca="1">COUNTIF(R$10:R117,R117)</f>
        <v>100</v>
      </c>
      <c r="AC117" s="5" t="str">
        <f t="shared" ca="1" si="21"/>
        <v>0100</v>
      </c>
      <c r="AD117" s="5" t="str">
        <f t="shared" ca="1" si="22"/>
        <v>Lojas de variedades, exceto lojas de departamentos ou magazines</v>
      </c>
      <c r="AE117" s="5">
        <f t="shared" ca="1" si="23"/>
        <v>0</v>
      </c>
    </row>
    <row r="118" spans="4:31" ht="15.6" thickTop="1" thickBot="1" x14ac:dyDescent="0.35">
      <c r="D118" s="57"/>
      <c r="E118" s="58"/>
      <c r="F118" s="59"/>
      <c r="G118" s="59"/>
      <c r="H118" s="59"/>
      <c r="I118" s="60"/>
      <c r="J118" s="61"/>
      <c r="K118" s="61"/>
      <c r="M118" s="9" t="str">
        <f t="shared" si="13"/>
        <v/>
      </c>
      <c r="N118" s="5" t="str">
        <f t="shared" si="24"/>
        <v/>
      </c>
      <c r="O118" s="5" t="str">
        <f t="shared" si="18"/>
        <v/>
      </c>
      <c r="Q118" s="5" t="str">
        <f>'CNAE_Cód.Atividade Econômica'!B98</f>
        <v>Lojas de departamentos ou magazines, exceto lojas francas (Duty free)</v>
      </c>
      <c r="R118" s="5">
        <f t="shared" ca="1" si="14"/>
        <v>0</v>
      </c>
      <c r="S118" s="5" t="str">
        <f t="shared" si="15"/>
        <v>Lojas de departamentos ou magazines, exceto lojas francas (Duty free)</v>
      </c>
      <c r="U118" s="5">
        <f ca="1">COUNTIF(R$10:R118,R118)</f>
        <v>101</v>
      </c>
      <c r="V118" s="5" t="str">
        <f t="shared" ca="1" si="16"/>
        <v>0101</v>
      </c>
      <c r="W118" s="5" t="str">
        <f t="shared" ca="1" si="17"/>
        <v>Lojas de departamentos ou magazines, exceto lojas francas (Duty free)</v>
      </c>
      <c r="Y118" s="5">
        <v>109</v>
      </c>
      <c r="Z118" s="5">
        <f t="shared" ca="1" si="19"/>
        <v>0</v>
      </c>
      <c r="AA118" s="5" t="str">
        <f t="shared" ca="1" si="20"/>
        <v>Guarda-móveis</v>
      </c>
      <c r="AB118" s="5">
        <f ca="1">COUNTIF(R$10:R118,R118)</f>
        <v>101</v>
      </c>
      <c r="AC118" s="5" t="str">
        <f t="shared" ca="1" si="21"/>
        <v>0101</v>
      </c>
      <c r="AD118" s="5" t="str">
        <f t="shared" ca="1" si="22"/>
        <v>Lojas de departamentos ou magazines, exceto lojas francas (Duty free)</v>
      </c>
      <c r="AE118" s="5">
        <f t="shared" ca="1" si="23"/>
        <v>0</v>
      </c>
    </row>
    <row r="119" spans="4:31" ht="15.6" thickTop="1" thickBot="1" x14ac:dyDescent="0.35">
      <c r="D119" s="57"/>
      <c r="E119" s="58"/>
      <c r="F119" s="59"/>
      <c r="G119" s="59"/>
      <c r="H119" s="59"/>
      <c r="I119" s="60"/>
      <c r="J119" s="61"/>
      <c r="K119" s="61"/>
      <c r="M119" s="9" t="str">
        <f t="shared" si="13"/>
        <v/>
      </c>
      <c r="N119" s="5" t="str">
        <f t="shared" si="24"/>
        <v/>
      </c>
      <c r="O119" s="5" t="str">
        <f t="shared" si="18"/>
        <v/>
      </c>
      <c r="Q119" s="5" t="str">
        <f>'CNAE_Cód.Atividade Econômica'!B99</f>
        <v>Padaria e confeitaria com predominância de revenda</v>
      </c>
      <c r="R119" s="5">
        <f t="shared" ca="1" si="14"/>
        <v>0</v>
      </c>
      <c r="S119" s="5" t="str">
        <f t="shared" si="15"/>
        <v>Padaria e confeitaria com predominância de revenda</v>
      </c>
      <c r="U119" s="5">
        <f ca="1">COUNTIF(R$10:R119,R119)</f>
        <v>102</v>
      </c>
      <c r="V119" s="5" t="str">
        <f t="shared" ca="1" si="16"/>
        <v>0102</v>
      </c>
      <c r="W119" s="5" t="str">
        <f t="shared" ca="1" si="17"/>
        <v>Padaria e confeitaria com predominância de revenda</v>
      </c>
      <c r="Y119" s="5">
        <v>110</v>
      </c>
      <c r="Z119" s="5">
        <f t="shared" ca="1" si="19"/>
        <v>0</v>
      </c>
      <c r="AA119" s="5" t="str">
        <f t="shared" ca="1" si="20"/>
        <v>Guarda-móveis</v>
      </c>
      <c r="AB119" s="5">
        <f ca="1">COUNTIF(R$10:R119,R119)</f>
        <v>102</v>
      </c>
      <c r="AC119" s="5" t="str">
        <f t="shared" ca="1" si="21"/>
        <v>0102</v>
      </c>
      <c r="AD119" s="5" t="str">
        <f t="shared" ca="1" si="22"/>
        <v>Padaria e confeitaria com predominância de revenda</v>
      </c>
      <c r="AE119" s="5">
        <f t="shared" ca="1" si="23"/>
        <v>0</v>
      </c>
    </row>
    <row r="120" spans="4:31" ht="15.6" thickTop="1" thickBot="1" x14ac:dyDescent="0.35">
      <c r="D120" s="57"/>
      <c r="E120" s="58"/>
      <c r="F120" s="59"/>
      <c r="G120" s="59"/>
      <c r="H120" s="59"/>
      <c r="I120" s="60"/>
      <c r="J120" s="61"/>
      <c r="K120" s="61"/>
      <c r="M120" s="9" t="str">
        <f t="shared" si="13"/>
        <v/>
      </c>
      <c r="N120" s="5" t="str">
        <f t="shared" si="24"/>
        <v/>
      </c>
      <c r="O120" s="5" t="str">
        <f t="shared" si="18"/>
        <v/>
      </c>
      <c r="Q120" s="5" t="str">
        <f>'CNAE_Cód.Atividade Econômica'!B100</f>
        <v>Comércio varejista de laticínios e frios</v>
      </c>
      <c r="R120" s="5">
        <f t="shared" ca="1" si="14"/>
        <v>0</v>
      </c>
      <c r="S120" s="5" t="str">
        <f t="shared" si="15"/>
        <v>Comércio varejista de laticínios e frios</v>
      </c>
      <c r="U120" s="5">
        <f ca="1">COUNTIF(R$10:R120,R120)</f>
        <v>103</v>
      </c>
      <c r="V120" s="5" t="str">
        <f t="shared" ca="1" si="16"/>
        <v>0103</v>
      </c>
      <c r="W120" s="5" t="str">
        <f t="shared" ca="1" si="17"/>
        <v>Comércio varejista de laticínios e frios</v>
      </c>
      <c r="Y120" s="5">
        <v>111</v>
      </c>
      <c r="Z120" s="5">
        <f t="shared" ca="1" si="19"/>
        <v>0</v>
      </c>
      <c r="AA120" s="5" t="str">
        <f t="shared" ca="1" si="20"/>
        <v>Guarda-móveis</v>
      </c>
      <c r="AB120" s="5">
        <f ca="1">COUNTIF(R$10:R120,R120)</f>
        <v>103</v>
      </c>
      <c r="AC120" s="5" t="str">
        <f t="shared" ca="1" si="21"/>
        <v>0103</v>
      </c>
      <c r="AD120" s="5" t="str">
        <f t="shared" ca="1" si="22"/>
        <v>Comércio varejista de laticínios e frios</v>
      </c>
      <c r="AE120" s="5">
        <f t="shared" ca="1" si="23"/>
        <v>0</v>
      </c>
    </row>
    <row r="121" spans="4:31" ht="15.6" thickTop="1" thickBot="1" x14ac:dyDescent="0.35">
      <c r="D121" s="57"/>
      <c r="E121" s="58"/>
      <c r="F121" s="59"/>
      <c r="G121" s="59"/>
      <c r="H121" s="59"/>
      <c r="I121" s="60"/>
      <c r="J121" s="61"/>
      <c r="K121" s="61"/>
      <c r="M121" s="9" t="str">
        <f t="shared" si="13"/>
        <v/>
      </c>
      <c r="N121" s="5" t="str">
        <f t="shared" si="24"/>
        <v/>
      </c>
      <c r="O121" s="5" t="str">
        <f t="shared" si="18"/>
        <v/>
      </c>
      <c r="Q121" s="5" t="str">
        <f>'CNAE_Cód.Atividade Econômica'!B101</f>
        <v>Comércio varejista de doces, balas, bombons e semelhantes</v>
      </c>
      <c r="R121" s="5">
        <f t="shared" ca="1" si="14"/>
        <v>0</v>
      </c>
      <c r="S121" s="5" t="str">
        <f t="shared" si="15"/>
        <v>Comércio varejista de doces, balas, bombons e semelhantes</v>
      </c>
      <c r="U121" s="5">
        <f ca="1">COUNTIF(R$10:R121,R121)</f>
        <v>104</v>
      </c>
      <c r="V121" s="5" t="str">
        <f t="shared" ca="1" si="16"/>
        <v>0104</v>
      </c>
      <c r="W121" s="5" t="str">
        <f t="shared" ca="1" si="17"/>
        <v>Comércio varejista de doces, balas, bombons e semelhantes</v>
      </c>
      <c r="Y121" s="5">
        <v>112</v>
      </c>
      <c r="Z121" s="5">
        <f t="shared" ca="1" si="19"/>
        <v>0</v>
      </c>
      <c r="AA121" s="5" t="str">
        <f t="shared" ca="1" si="20"/>
        <v>Guarda-móveis</v>
      </c>
      <c r="AB121" s="5">
        <f ca="1">COUNTIF(R$10:R121,R121)</f>
        <v>104</v>
      </c>
      <c r="AC121" s="5" t="str">
        <f t="shared" ca="1" si="21"/>
        <v>0104</v>
      </c>
      <c r="AD121" s="5" t="str">
        <f t="shared" ca="1" si="22"/>
        <v>Comércio varejista de doces, balas, bombons e semelhantes</v>
      </c>
      <c r="AE121" s="5">
        <f t="shared" ca="1" si="23"/>
        <v>0</v>
      </c>
    </row>
    <row r="122" spans="4:31" ht="15.6" thickTop="1" thickBot="1" x14ac:dyDescent="0.35">
      <c r="D122" s="57"/>
      <c r="E122" s="58"/>
      <c r="F122" s="59"/>
      <c r="G122" s="59"/>
      <c r="H122" s="59"/>
      <c r="I122" s="60"/>
      <c r="J122" s="61"/>
      <c r="K122" s="61"/>
      <c r="M122" s="9" t="str">
        <f t="shared" si="13"/>
        <v/>
      </c>
      <c r="N122" s="5" t="str">
        <f t="shared" si="24"/>
        <v/>
      </c>
      <c r="O122" s="5" t="str">
        <f t="shared" si="18"/>
        <v/>
      </c>
      <c r="Q122" s="5" t="str">
        <f>'CNAE_Cód.Atividade Econômica'!B102</f>
        <v>Peixaria</v>
      </c>
      <c r="R122" s="5">
        <f t="shared" ca="1" si="14"/>
        <v>0</v>
      </c>
      <c r="S122" s="5" t="str">
        <f t="shared" si="15"/>
        <v>Peixaria</v>
      </c>
      <c r="U122" s="5">
        <f ca="1">COUNTIF(R$10:R122,R122)</f>
        <v>105</v>
      </c>
      <c r="V122" s="5" t="str">
        <f t="shared" ca="1" si="16"/>
        <v>0105</v>
      </c>
      <c r="W122" s="5" t="str">
        <f t="shared" ca="1" si="17"/>
        <v>Peixaria</v>
      </c>
      <c r="Y122" s="5">
        <v>113</v>
      </c>
      <c r="Z122" s="5">
        <f t="shared" ca="1" si="19"/>
        <v>0</v>
      </c>
      <c r="AA122" s="5" t="str">
        <f t="shared" ca="1" si="20"/>
        <v>Guarda-móveis</v>
      </c>
      <c r="AB122" s="5">
        <f ca="1">COUNTIF(R$10:R122,R122)</f>
        <v>105</v>
      </c>
      <c r="AC122" s="5" t="str">
        <f t="shared" ca="1" si="21"/>
        <v>0105</v>
      </c>
      <c r="AD122" s="5" t="str">
        <f t="shared" ca="1" si="22"/>
        <v>Peixaria</v>
      </c>
      <c r="AE122" s="5">
        <f t="shared" ca="1" si="23"/>
        <v>0</v>
      </c>
    </row>
    <row r="123" spans="4:31" ht="15.6" thickTop="1" thickBot="1" x14ac:dyDescent="0.35">
      <c r="D123" s="57"/>
      <c r="E123" s="58"/>
      <c r="F123" s="59"/>
      <c r="G123" s="59"/>
      <c r="H123" s="59"/>
      <c r="I123" s="60"/>
      <c r="J123" s="61"/>
      <c r="K123" s="61"/>
      <c r="M123" s="9" t="str">
        <f t="shared" si="13"/>
        <v/>
      </c>
      <c r="N123" s="5" t="str">
        <f t="shared" si="24"/>
        <v/>
      </c>
      <c r="O123" s="5" t="str">
        <f t="shared" si="18"/>
        <v/>
      </c>
      <c r="Q123" s="5" t="str">
        <f>'CNAE_Cód.Atividade Econômica'!B103</f>
        <v>Comércio varejista de bebidas</v>
      </c>
      <c r="R123" s="5">
        <f t="shared" ca="1" si="14"/>
        <v>0</v>
      </c>
      <c r="S123" s="5" t="str">
        <f t="shared" si="15"/>
        <v>Comércio varejista de bebidas</v>
      </c>
      <c r="U123" s="5">
        <f ca="1">COUNTIF(R$10:R123,R123)</f>
        <v>106</v>
      </c>
      <c r="V123" s="5" t="str">
        <f t="shared" ca="1" si="16"/>
        <v>0106</v>
      </c>
      <c r="W123" s="5" t="str">
        <f t="shared" ca="1" si="17"/>
        <v>Comércio varejista de bebidas</v>
      </c>
      <c r="Y123" s="5">
        <v>114</v>
      </c>
      <c r="Z123" s="5">
        <f t="shared" ca="1" si="19"/>
        <v>0</v>
      </c>
      <c r="AA123" s="5" t="str">
        <f t="shared" ca="1" si="20"/>
        <v>Guarda-móveis</v>
      </c>
      <c r="AB123" s="5">
        <f ca="1">COUNTIF(R$10:R123,R123)</f>
        <v>106</v>
      </c>
      <c r="AC123" s="5" t="str">
        <f t="shared" ca="1" si="21"/>
        <v>0106</v>
      </c>
      <c r="AD123" s="5" t="str">
        <f t="shared" ca="1" si="22"/>
        <v>Comércio varejista de bebidas</v>
      </c>
      <c r="AE123" s="5">
        <f t="shared" ca="1" si="23"/>
        <v>0</v>
      </c>
    </row>
    <row r="124" spans="4:31" ht="15.6" thickTop="1" thickBot="1" x14ac:dyDescent="0.35">
      <c r="D124" s="57"/>
      <c r="E124" s="58"/>
      <c r="F124" s="59"/>
      <c r="G124" s="59"/>
      <c r="H124" s="59"/>
      <c r="I124" s="60"/>
      <c r="J124" s="61"/>
      <c r="K124" s="61"/>
      <c r="M124" s="9" t="str">
        <f t="shared" si="13"/>
        <v/>
      </c>
      <c r="N124" s="5" t="str">
        <f t="shared" si="24"/>
        <v/>
      </c>
      <c r="O124" s="5" t="str">
        <f t="shared" si="18"/>
        <v/>
      </c>
      <c r="Q124" s="5" t="str">
        <f>'CNAE_Cód.Atividade Econômica'!B104</f>
        <v>Comércio varejista de hortifrutigranjeiros</v>
      </c>
      <c r="R124" s="5">
        <f t="shared" ca="1" si="14"/>
        <v>0</v>
      </c>
      <c r="S124" s="5" t="str">
        <f t="shared" si="15"/>
        <v>Comércio varejista de hortifrutigranjeiros</v>
      </c>
      <c r="U124" s="5">
        <f ca="1">COUNTIF(R$10:R124,R124)</f>
        <v>107</v>
      </c>
      <c r="V124" s="5" t="str">
        <f t="shared" ca="1" si="16"/>
        <v>0107</v>
      </c>
      <c r="W124" s="5" t="str">
        <f t="shared" ca="1" si="17"/>
        <v>Comércio varejista de hortifrutigranjeiros</v>
      </c>
      <c r="Y124" s="5">
        <v>115</v>
      </c>
      <c r="Z124" s="5">
        <f t="shared" ca="1" si="19"/>
        <v>0</v>
      </c>
      <c r="AA124" s="5" t="str">
        <f t="shared" ca="1" si="20"/>
        <v>Guarda-móveis</v>
      </c>
      <c r="AB124" s="5">
        <f ca="1">COUNTIF(R$10:R124,R124)</f>
        <v>107</v>
      </c>
      <c r="AC124" s="5" t="str">
        <f t="shared" ca="1" si="21"/>
        <v>0107</v>
      </c>
      <c r="AD124" s="5" t="str">
        <f t="shared" ca="1" si="22"/>
        <v>Comércio varejista de hortifrutigranjeiros</v>
      </c>
      <c r="AE124" s="5">
        <f t="shared" ca="1" si="23"/>
        <v>0</v>
      </c>
    </row>
    <row r="125" spans="4:31" ht="15.6" thickTop="1" thickBot="1" x14ac:dyDescent="0.35">
      <c r="D125" s="57"/>
      <c r="E125" s="58"/>
      <c r="F125" s="59"/>
      <c r="G125" s="59"/>
      <c r="H125" s="59"/>
      <c r="I125" s="60"/>
      <c r="J125" s="61"/>
      <c r="K125" s="61"/>
      <c r="M125" s="9" t="str">
        <f t="shared" si="13"/>
        <v/>
      </c>
      <c r="N125" s="5" t="str">
        <f t="shared" si="24"/>
        <v/>
      </c>
      <c r="O125" s="5" t="str">
        <f t="shared" si="18"/>
        <v/>
      </c>
      <c r="Q125" s="5" t="str">
        <f>'CNAE_Cód.Atividade Econômica'!B105</f>
        <v>Tabacaria</v>
      </c>
      <c r="R125" s="5">
        <f t="shared" ca="1" si="14"/>
        <v>0</v>
      </c>
      <c r="S125" s="5" t="str">
        <f t="shared" si="15"/>
        <v>Tabacaria</v>
      </c>
      <c r="U125" s="5">
        <f ca="1">COUNTIF(R$10:R125,R125)</f>
        <v>108</v>
      </c>
      <c r="V125" s="5" t="str">
        <f t="shared" ca="1" si="16"/>
        <v>0108</v>
      </c>
      <c r="W125" s="5" t="str">
        <f t="shared" ca="1" si="17"/>
        <v>Tabacaria</v>
      </c>
      <c r="Y125" s="5">
        <v>116</v>
      </c>
      <c r="Z125" s="5">
        <f t="shared" ca="1" si="19"/>
        <v>0</v>
      </c>
      <c r="AA125" s="5" t="str">
        <f t="shared" ca="1" si="20"/>
        <v>Guarda-móveis</v>
      </c>
      <c r="AB125" s="5">
        <f ca="1">COUNTIF(R$10:R125,R125)</f>
        <v>108</v>
      </c>
      <c r="AC125" s="5" t="str">
        <f t="shared" ca="1" si="21"/>
        <v>0108</v>
      </c>
      <c r="AD125" s="5" t="str">
        <f t="shared" ca="1" si="22"/>
        <v>Tabacaria</v>
      </c>
      <c r="AE125" s="5">
        <f t="shared" ca="1" si="23"/>
        <v>0</v>
      </c>
    </row>
    <row r="126" spans="4:31" ht="15.6" thickTop="1" thickBot="1" x14ac:dyDescent="0.35">
      <c r="D126" s="57"/>
      <c r="E126" s="58"/>
      <c r="F126" s="59"/>
      <c r="G126" s="59"/>
      <c r="H126" s="59"/>
      <c r="I126" s="60"/>
      <c r="J126" s="61"/>
      <c r="K126" s="61"/>
      <c r="M126" s="9" t="str">
        <f t="shared" si="13"/>
        <v/>
      </c>
      <c r="N126" s="5" t="str">
        <f t="shared" si="24"/>
        <v/>
      </c>
      <c r="O126" s="5" t="str">
        <f t="shared" si="18"/>
        <v/>
      </c>
      <c r="Q126" s="5" t="str">
        <f>'CNAE_Cód.Atividade Econômica'!B106</f>
        <v>Comércio varejista de mercadorias em lojas de conveniência</v>
      </c>
      <c r="R126" s="5">
        <f t="shared" ca="1" si="14"/>
        <v>0</v>
      </c>
      <c r="S126" s="5" t="str">
        <f t="shared" si="15"/>
        <v>Comércio varejista de mercadorias em lojas de conveniência</v>
      </c>
      <c r="U126" s="5">
        <f ca="1">COUNTIF(R$10:R126,R126)</f>
        <v>109</v>
      </c>
      <c r="V126" s="5" t="str">
        <f t="shared" ca="1" si="16"/>
        <v>0109</v>
      </c>
      <c r="W126" s="5" t="str">
        <f t="shared" ca="1" si="17"/>
        <v>Comércio varejista de mercadorias em lojas de conveniência</v>
      </c>
      <c r="Y126" s="5">
        <v>117</v>
      </c>
      <c r="Z126" s="5">
        <f t="shared" ca="1" si="19"/>
        <v>0</v>
      </c>
      <c r="AA126" s="5" t="str">
        <f t="shared" ca="1" si="20"/>
        <v>Guarda-móveis</v>
      </c>
      <c r="AB126" s="5">
        <f ca="1">COUNTIF(R$10:R126,R126)</f>
        <v>109</v>
      </c>
      <c r="AC126" s="5" t="str">
        <f t="shared" ca="1" si="21"/>
        <v>0109</v>
      </c>
      <c r="AD126" s="5" t="str">
        <f t="shared" ca="1" si="22"/>
        <v>Comércio varejista de mercadorias em lojas de conveniência</v>
      </c>
      <c r="AE126" s="5">
        <f t="shared" ca="1" si="23"/>
        <v>0</v>
      </c>
    </row>
    <row r="127" spans="4:31" ht="15.6" thickTop="1" thickBot="1" x14ac:dyDescent="0.35">
      <c r="D127" s="57"/>
      <c r="E127" s="58"/>
      <c r="F127" s="59"/>
      <c r="G127" s="59"/>
      <c r="H127" s="59"/>
      <c r="I127" s="60"/>
      <c r="J127" s="61"/>
      <c r="K127" s="61"/>
      <c r="M127" s="9" t="str">
        <f t="shared" si="13"/>
        <v/>
      </c>
      <c r="N127" s="5" t="str">
        <f t="shared" si="24"/>
        <v/>
      </c>
      <c r="O127" s="5" t="str">
        <f t="shared" si="18"/>
        <v/>
      </c>
      <c r="Q127" s="5" t="str">
        <f>'CNAE_Cód.Atividade Econômica'!B107</f>
        <v>Comércio varejista de produtos alimentícios em geral ou especializado em produtos alimentícios não especificados anteriormente</v>
      </c>
      <c r="R127" s="5">
        <f t="shared" ca="1" si="14"/>
        <v>0</v>
      </c>
      <c r="S127" s="5" t="str">
        <f t="shared" si="15"/>
        <v>Comércio varejista de produtos alimentícios em geral ou especializado em produtos alimentícios não especificados anteriormente</v>
      </c>
      <c r="U127" s="5">
        <f ca="1">COUNTIF(R$10:R127,R127)</f>
        <v>110</v>
      </c>
      <c r="V127" s="5" t="str">
        <f t="shared" ca="1" si="16"/>
        <v>0110</v>
      </c>
      <c r="W127" s="5" t="str">
        <f t="shared" ca="1" si="17"/>
        <v>Comércio varejista de produtos alimentícios em geral ou especializado em produtos alimentícios não especificados anteriormente</v>
      </c>
      <c r="Y127" s="5">
        <v>118</v>
      </c>
      <c r="Z127" s="5">
        <f t="shared" ca="1" si="19"/>
        <v>0</v>
      </c>
      <c r="AA127" s="5" t="str">
        <f t="shared" ca="1" si="20"/>
        <v>Guarda-móveis</v>
      </c>
      <c r="AB127" s="5">
        <f ca="1">COUNTIF(R$10:R127,R127)</f>
        <v>110</v>
      </c>
      <c r="AC127" s="5" t="str">
        <f t="shared" ca="1" si="21"/>
        <v>0110</v>
      </c>
      <c r="AD127" s="5" t="str">
        <f t="shared" ca="1" si="22"/>
        <v>Comércio varejista de produtos alimentícios em geral ou especializado em produtos alimentícios não especificados anteriormente</v>
      </c>
      <c r="AE127" s="5">
        <f t="shared" ca="1" si="23"/>
        <v>0</v>
      </c>
    </row>
    <row r="128" spans="4:31" ht="15.6" thickTop="1" thickBot="1" x14ac:dyDescent="0.35">
      <c r="D128" s="57"/>
      <c r="E128" s="58"/>
      <c r="F128" s="59"/>
      <c r="G128" s="59"/>
      <c r="H128" s="59"/>
      <c r="I128" s="60"/>
      <c r="J128" s="61"/>
      <c r="K128" s="61"/>
      <c r="M128" s="9" t="str">
        <f t="shared" si="13"/>
        <v/>
      </c>
      <c r="N128" s="5" t="str">
        <f t="shared" si="24"/>
        <v/>
      </c>
      <c r="O128" s="5" t="str">
        <f t="shared" si="18"/>
        <v/>
      </c>
      <c r="Q128" s="5" t="str">
        <f>'CNAE_Cód.Atividade Econômica'!B108</f>
        <v>Comércio varejista de tintas e materiais para pintura</v>
      </c>
      <c r="R128" s="5">
        <f t="shared" ca="1" si="14"/>
        <v>0</v>
      </c>
      <c r="S128" s="5" t="str">
        <f t="shared" si="15"/>
        <v>Comércio varejista de tintas e materiais para pintura</v>
      </c>
      <c r="U128" s="5">
        <f ca="1">COUNTIF(R$10:R128,R128)</f>
        <v>111</v>
      </c>
      <c r="V128" s="5" t="str">
        <f t="shared" ca="1" si="16"/>
        <v>0111</v>
      </c>
      <c r="W128" s="5" t="str">
        <f t="shared" ca="1" si="17"/>
        <v>Comércio varejista de tintas e materiais para pintura</v>
      </c>
      <c r="Y128" s="5">
        <v>119</v>
      </c>
      <c r="Z128" s="5">
        <f t="shared" ca="1" si="19"/>
        <v>0</v>
      </c>
      <c r="AA128" s="5" t="str">
        <f t="shared" ca="1" si="20"/>
        <v>Guarda-móveis</v>
      </c>
      <c r="AB128" s="5">
        <f ca="1">COUNTIF(R$10:R128,R128)</f>
        <v>111</v>
      </c>
      <c r="AC128" s="5" t="str">
        <f t="shared" ca="1" si="21"/>
        <v>0111</v>
      </c>
      <c r="AD128" s="5" t="str">
        <f t="shared" ca="1" si="22"/>
        <v>Comércio varejista de tintas e materiais para pintura</v>
      </c>
      <c r="AE128" s="5">
        <f t="shared" ca="1" si="23"/>
        <v>0</v>
      </c>
    </row>
    <row r="129" spans="4:31" ht="15.6" thickTop="1" thickBot="1" x14ac:dyDescent="0.35">
      <c r="D129" s="57"/>
      <c r="E129" s="58"/>
      <c r="F129" s="59"/>
      <c r="G129" s="59"/>
      <c r="H129" s="59"/>
      <c r="I129" s="60"/>
      <c r="J129" s="61"/>
      <c r="K129" s="61"/>
      <c r="M129" s="9" t="str">
        <f t="shared" si="13"/>
        <v/>
      </c>
      <c r="N129" s="5" t="str">
        <f t="shared" si="24"/>
        <v/>
      </c>
      <c r="O129" s="5" t="str">
        <f t="shared" si="18"/>
        <v/>
      </c>
      <c r="Q129" s="5" t="str">
        <f>'CNAE_Cód.Atividade Econômica'!B109</f>
        <v>Comércio varejista de material elétrico</v>
      </c>
      <c r="R129" s="5">
        <f t="shared" ca="1" si="14"/>
        <v>0</v>
      </c>
      <c r="S129" s="5" t="str">
        <f t="shared" si="15"/>
        <v>Comércio varejista de material elétrico</v>
      </c>
      <c r="U129" s="5">
        <f ca="1">COUNTIF(R$10:R129,R129)</f>
        <v>112</v>
      </c>
      <c r="V129" s="5" t="str">
        <f t="shared" ca="1" si="16"/>
        <v>0112</v>
      </c>
      <c r="W129" s="5" t="str">
        <f t="shared" ca="1" si="17"/>
        <v>Comércio varejista de material elétrico</v>
      </c>
      <c r="Y129" s="5">
        <v>120</v>
      </c>
      <c r="Z129" s="5">
        <f t="shared" ca="1" si="19"/>
        <v>0</v>
      </c>
      <c r="AA129" s="5" t="str">
        <f t="shared" ca="1" si="20"/>
        <v>Guarda-móveis</v>
      </c>
      <c r="AB129" s="5">
        <f ca="1">COUNTIF(R$10:R129,R129)</f>
        <v>112</v>
      </c>
      <c r="AC129" s="5" t="str">
        <f t="shared" ca="1" si="21"/>
        <v>0112</v>
      </c>
      <c r="AD129" s="5" t="str">
        <f t="shared" ca="1" si="22"/>
        <v>Comércio varejista de material elétrico</v>
      </c>
      <c r="AE129" s="5">
        <f t="shared" ca="1" si="23"/>
        <v>0</v>
      </c>
    </row>
    <row r="130" spans="4:31" ht="15.6" thickTop="1" thickBot="1" x14ac:dyDescent="0.35">
      <c r="D130" s="57"/>
      <c r="E130" s="58"/>
      <c r="F130" s="59"/>
      <c r="G130" s="59"/>
      <c r="H130" s="59"/>
      <c r="I130" s="60"/>
      <c r="J130" s="61"/>
      <c r="K130" s="61"/>
      <c r="M130" s="9" t="str">
        <f t="shared" si="13"/>
        <v/>
      </c>
      <c r="N130" s="5" t="str">
        <f t="shared" si="24"/>
        <v/>
      </c>
      <c r="O130" s="5" t="str">
        <f t="shared" si="18"/>
        <v/>
      </c>
      <c r="Q130" s="5" t="str">
        <f>'CNAE_Cód.Atividade Econômica'!B110</f>
        <v>Comércio varejista de vidros</v>
      </c>
      <c r="R130" s="5">
        <f t="shared" ca="1" si="14"/>
        <v>0</v>
      </c>
      <c r="S130" s="5" t="str">
        <f t="shared" si="15"/>
        <v>Comércio varejista de vidros</v>
      </c>
      <c r="U130" s="5">
        <f ca="1">COUNTIF(R$10:R130,R130)</f>
        <v>113</v>
      </c>
      <c r="V130" s="5" t="str">
        <f t="shared" ca="1" si="16"/>
        <v>0113</v>
      </c>
      <c r="W130" s="5" t="str">
        <f t="shared" ca="1" si="17"/>
        <v>Comércio varejista de vidros</v>
      </c>
      <c r="Y130" s="5">
        <v>121</v>
      </c>
      <c r="Z130" s="5">
        <f t="shared" ca="1" si="19"/>
        <v>0</v>
      </c>
      <c r="AA130" s="5" t="str">
        <f t="shared" ca="1" si="20"/>
        <v>Guarda-móveis</v>
      </c>
      <c r="AB130" s="5">
        <f ca="1">COUNTIF(R$10:R130,R130)</f>
        <v>113</v>
      </c>
      <c r="AC130" s="5" t="str">
        <f t="shared" ca="1" si="21"/>
        <v>0113</v>
      </c>
      <c r="AD130" s="5" t="str">
        <f t="shared" ca="1" si="22"/>
        <v>Comércio varejista de vidros</v>
      </c>
      <c r="AE130" s="5">
        <f t="shared" ca="1" si="23"/>
        <v>0</v>
      </c>
    </row>
    <row r="131" spans="4:31" ht="15.6" thickTop="1" thickBot="1" x14ac:dyDescent="0.35">
      <c r="D131" s="57"/>
      <c r="E131" s="58"/>
      <c r="F131" s="59"/>
      <c r="G131" s="59"/>
      <c r="H131" s="59"/>
      <c r="I131" s="60"/>
      <c r="J131" s="61"/>
      <c r="K131" s="61"/>
      <c r="M131" s="9" t="str">
        <f t="shared" si="13"/>
        <v/>
      </c>
      <c r="N131" s="5" t="str">
        <f t="shared" si="24"/>
        <v/>
      </c>
      <c r="O131" s="5" t="str">
        <f t="shared" si="18"/>
        <v/>
      </c>
      <c r="Q131" s="5" t="str">
        <f>'CNAE_Cód.Atividade Econômica'!B111</f>
        <v>Comércio varejista de ferragens e ferramentas</v>
      </c>
      <c r="R131" s="5">
        <f t="shared" ca="1" si="14"/>
        <v>0</v>
      </c>
      <c r="S131" s="5" t="str">
        <f t="shared" si="15"/>
        <v>Comércio varejista de ferragens e ferramentas</v>
      </c>
      <c r="U131" s="5">
        <f ca="1">COUNTIF(R$10:R131,R131)</f>
        <v>114</v>
      </c>
      <c r="V131" s="5" t="str">
        <f t="shared" ca="1" si="16"/>
        <v>0114</v>
      </c>
      <c r="W131" s="5" t="str">
        <f t="shared" ca="1" si="17"/>
        <v>Comércio varejista de ferragens e ferramentas</v>
      </c>
      <c r="Y131" s="5">
        <v>122</v>
      </c>
      <c r="Z131" s="5">
        <f t="shared" ca="1" si="19"/>
        <v>0</v>
      </c>
      <c r="AA131" s="5" t="str">
        <f t="shared" ca="1" si="20"/>
        <v>Guarda-móveis</v>
      </c>
      <c r="AB131" s="5">
        <f ca="1">COUNTIF(R$10:R131,R131)</f>
        <v>114</v>
      </c>
      <c r="AC131" s="5" t="str">
        <f t="shared" ca="1" si="21"/>
        <v>0114</v>
      </c>
      <c r="AD131" s="5" t="str">
        <f t="shared" ca="1" si="22"/>
        <v>Comércio varejista de ferragens e ferramentas</v>
      </c>
      <c r="AE131" s="5">
        <f t="shared" ca="1" si="23"/>
        <v>0</v>
      </c>
    </row>
    <row r="132" spans="4:31" ht="15.6" thickTop="1" thickBot="1" x14ac:dyDescent="0.35">
      <c r="D132" s="57"/>
      <c r="E132" s="58"/>
      <c r="F132" s="59"/>
      <c r="G132" s="59"/>
      <c r="H132" s="59"/>
      <c r="I132" s="60"/>
      <c r="J132" s="61"/>
      <c r="K132" s="61"/>
      <c r="M132" s="9" t="str">
        <f t="shared" si="13"/>
        <v/>
      </c>
      <c r="N132" s="5" t="str">
        <f t="shared" si="24"/>
        <v/>
      </c>
      <c r="O132" s="5" t="str">
        <f t="shared" si="18"/>
        <v/>
      </c>
      <c r="Q132" s="5" t="str">
        <f>'CNAE_Cód.Atividade Econômica'!B112</f>
        <v>Comércio varejista de madeira e artefatos</v>
      </c>
      <c r="R132" s="5">
        <f t="shared" ca="1" si="14"/>
        <v>0</v>
      </c>
      <c r="S132" s="5" t="str">
        <f t="shared" si="15"/>
        <v>Comércio varejista de madeira e artefatos</v>
      </c>
      <c r="U132" s="5">
        <f ca="1">COUNTIF(R$10:R132,R132)</f>
        <v>115</v>
      </c>
      <c r="V132" s="5" t="str">
        <f t="shared" ca="1" si="16"/>
        <v>0115</v>
      </c>
      <c r="W132" s="5" t="str">
        <f t="shared" ca="1" si="17"/>
        <v>Comércio varejista de madeira e artefatos</v>
      </c>
      <c r="Y132" s="5">
        <v>123</v>
      </c>
      <c r="Z132" s="5">
        <f t="shared" ca="1" si="19"/>
        <v>0</v>
      </c>
      <c r="AA132" s="5" t="str">
        <f t="shared" ca="1" si="20"/>
        <v>Guarda-móveis</v>
      </c>
      <c r="AB132" s="5">
        <f ca="1">COUNTIF(R$10:R132,R132)</f>
        <v>115</v>
      </c>
      <c r="AC132" s="5" t="str">
        <f t="shared" ca="1" si="21"/>
        <v>0115</v>
      </c>
      <c r="AD132" s="5" t="str">
        <f t="shared" ca="1" si="22"/>
        <v>Comércio varejista de madeira e artefatos</v>
      </c>
      <c r="AE132" s="5">
        <f t="shared" ca="1" si="23"/>
        <v>0</v>
      </c>
    </row>
    <row r="133" spans="4:31" ht="15.6" thickTop="1" thickBot="1" x14ac:dyDescent="0.35">
      <c r="D133" s="57"/>
      <c r="E133" s="58"/>
      <c r="F133" s="59"/>
      <c r="G133" s="59"/>
      <c r="H133" s="59"/>
      <c r="I133" s="60"/>
      <c r="J133" s="61"/>
      <c r="K133" s="61"/>
      <c r="M133" s="9" t="str">
        <f t="shared" si="13"/>
        <v/>
      </c>
      <c r="N133" s="5" t="str">
        <f t="shared" si="24"/>
        <v/>
      </c>
      <c r="O133" s="5" t="str">
        <f t="shared" si="18"/>
        <v/>
      </c>
      <c r="Q133" s="5" t="str">
        <f>'CNAE_Cód.Atividade Econômica'!B113</f>
        <v>Comércio varejista de materiais hidráulicos</v>
      </c>
      <c r="R133" s="5">
        <f t="shared" ca="1" si="14"/>
        <v>0</v>
      </c>
      <c r="S133" s="5" t="str">
        <f t="shared" si="15"/>
        <v>Comércio varejista de materiais hidráulicos</v>
      </c>
      <c r="U133" s="5">
        <f ca="1">COUNTIF(R$10:R133,R133)</f>
        <v>116</v>
      </c>
      <c r="V133" s="5" t="str">
        <f t="shared" ca="1" si="16"/>
        <v>0116</v>
      </c>
      <c r="W133" s="5" t="str">
        <f t="shared" ca="1" si="17"/>
        <v>Comércio varejista de materiais hidráulicos</v>
      </c>
      <c r="Y133" s="5">
        <v>124</v>
      </c>
      <c r="Z133" s="5">
        <f t="shared" ca="1" si="19"/>
        <v>0</v>
      </c>
      <c r="AA133" s="5" t="str">
        <f t="shared" ca="1" si="20"/>
        <v>Guarda-móveis</v>
      </c>
      <c r="AB133" s="5">
        <f ca="1">COUNTIF(R$10:R133,R133)</f>
        <v>116</v>
      </c>
      <c r="AC133" s="5" t="str">
        <f t="shared" ca="1" si="21"/>
        <v>0116</v>
      </c>
      <c r="AD133" s="5" t="str">
        <f t="shared" ca="1" si="22"/>
        <v>Comércio varejista de materiais hidráulicos</v>
      </c>
      <c r="AE133" s="5">
        <f t="shared" ca="1" si="23"/>
        <v>0</v>
      </c>
    </row>
    <row r="134" spans="4:31" ht="15.6" thickTop="1" thickBot="1" x14ac:dyDescent="0.35">
      <c r="D134" s="57"/>
      <c r="E134" s="58"/>
      <c r="F134" s="59"/>
      <c r="G134" s="59"/>
      <c r="H134" s="59"/>
      <c r="I134" s="60"/>
      <c r="J134" s="61"/>
      <c r="K134" s="61"/>
      <c r="M134" s="9" t="str">
        <f t="shared" si="13"/>
        <v/>
      </c>
      <c r="N134" s="5" t="str">
        <f t="shared" si="24"/>
        <v/>
      </c>
      <c r="O134" s="5" t="str">
        <f t="shared" si="18"/>
        <v/>
      </c>
      <c r="Q134" s="5" t="str">
        <f>'CNAE_Cód.Atividade Econômica'!B114</f>
        <v>Comércio varejista de cal, areia, pedra britada, tijolos e telhas</v>
      </c>
      <c r="R134" s="5">
        <f t="shared" ca="1" si="14"/>
        <v>0</v>
      </c>
      <c r="S134" s="5" t="str">
        <f t="shared" si="15"/>
        <v>Comércio varejista de cal, areia, pedra britada, tijolos e telhas</v>
      </c>
      <c r="U134" s="5">
        <f ca="1">COUNTIF(R$10:R134,R134)</f>
        <v>117</v>
      </c>
      <c r="V134" s="5" t="str">
        <f t="shared" ca="1" si="16"/>
        <v>0117</v>
      </c>
      <c r="W134" s="5" t="str">
        <f t="shared" ca="1" si="17"/>
        <v>Comércio varejista de cal, areia, pedra britada, tijolos e telhas</v>
      </c>
      <c r="Y134" s="5">
        <v>125</v>
      </c>
      <c r="Z134" s="5">
        <f t="shared" ca="1" si="19"/>
        <v>0</v>
      </c>
      <c r="AA134" s="5" t="str">
        <f t="shared" ca="1" si="20"/>
        <v>Guarda-móveis</v>
      </c>
      <c r="AB134" s="5">
        <f ca="1">COUNTIF(R$10:R134,R134)</f>
        <v>117</v>
      </c>
      <c r="AC134" s="5" t="str">
        <f t="shared" ca="1" si="21"/>
        <v>0117</v>
      </c>
      <c r="AD134" s="5" t="str">
        <f t="shared" ca="1" si="22"/>
        <v>Comércio varejista de cal, areia, pedra britada, tijolos e telhas</v>
      </c>
      <c r="AE134" s="5">
        <f t="shared" ca="1" si="23"/>
        <v>0</v>
      </c>
    </row>
    <row r="135" spans="4:31" ht="15.6" thickTop="1" thickBot="1" x14ac:dyDescent="0.35">
      <c r="D135" s="57"/>
      <c r="E135" s="58"/>
      <c r="F135" s="59"/>
      <c r="G135" s="59"/>
      <c r="H135" s="59"/>
      <c r="I135" s="60"/>
      <c r="J135" s="61"/>
      <c r="K135" s="61"/>
      <c r="M135" s="9" t="str">
        <f t="shared" si="13"/>
        <v/>
      </c>
      <c r="N135" s="5" t="str">
        <f t="shared" si="24"/>
        <v/>
      </c>
      <c r="O135" s="5" t="str">
        <f t="shared" si="18"/>
        <v/>
      </c>
      <c r="Q135" s="5" t="str">
        <f>'CNAE_Cód.Atividade Econômica'!B115</f>
        <v>Comércio varejista de materiais de construção não especificados anteriormente</v>
      </c>
      <c r="R135" s="5">
        <f t="shared" ca="1" si="14"/>
        <v>0</v>
      </c>
      <c r="S135" s="5" t="str">
        <f t="shared" si="15"/>
        <v>Comércio varejista de materiais de construção não especificados anteriormente</v>
      </c>
      <c r="U135" s="5">
        <f ca="1">COUNTIF(R$10:R135,R135)</f>
        <v>118</v>
      </c>
      <c r="V135" s="5" t="str">
        <f t="shared" ca="1" si="16"/>
        <v>0118</v>
      </c>
      <c r="W135" s="5" t="str">
        <f t="shared" ca="1" si="17"/>
        <v>Comércio varejista de materiais de construção não especificados anteriormente</v>
      </c>
      <c r="Y135" s="5">
        <v>126</v>
      </c>
      <c r="Z135" s="5">
        <f t="shared" ca="1" si="19"/>
        <v>0</v>
      </c>
      <c r="AA135" s="5" t="str">
        <f t="shared" ca="1" si="20"/>
        <v>Guarda-móveis</v>
      </c>
      <c r="AB135" s="5">
        <f ca="1">COUNTIF(R$10:R135,R135)</f>
        <v>118</v>
      </c>
      <c r="AC135" s="5" t="str">
        <f t="shared" ca="1" si="21"/>
        <v>0118</v>
      </c>
      <c r="AD135" s="5" t="str">
        <f t="shared" ca="1" si="22"/>
        <v>Comércio varejista de materiais de construção não especificados anteriormente</v>
      </c>
      <c r="AE135" s="5">
        <f t="shared" ca="1" si="23"/>
        <v>0</v>
      </c>
    </row>
    <row r="136" spans="4:31" ht="15.6" thickTop="1" thickBot="1" x14ac:dyDescent="0.35">
      <c r="D136" s="57"/>
      <c r="E136" s="58"/>
      <c r="F136" s="59"/>
      <c r="G136" s="59"/>
      <c r="H136" s="59"/>
      <c r="I136" s="60"/>
      <c r="J136" s="61"/>
      <c r="K136" s="61"/>
      <c r="M136" s="9" t="str">
        <f t="shared" si="13"/>
        <v/>
      </c>
      <c r="N136" s="5" t="str">
        <f t="shared" si="24"/>
        <v/>
      </c>
      <c r="O136" s="5" t="str">
        <f t="shared" si="18"/>
        <v/>
      </c>
      <c r="Q136" s="5" t="str">
        <f>'CNAE_Cód.Atividade Econômica'!B116</f>
        <v>Comércio varejista de pedras para revestimento</v>
      </c>
      <c r="R136" s="5">
        <f t="shared" ca="1" si="14"/>
        <v>0</v>
      </c>
      <c r="S136" s="5" t="str">
        <f t="shared" si="15"/>
        <v>Comércio varejista de pedras para revestimento</v>
      </c>
      <c r="U136" s="5">
        <f ca="1">COUNTIF(R$10:R136,R136)</f>
        <v>119</v>
      </c>
      <c r="V136" s="5" t="str">
        <f t="shared" ca="1" si="16"/>
        <v>0119</v>
      </c>
      <c r="W136" s="5" t="str">
        <f t="shared" ca="1" si="17"/>
        <v>Comércio varejista de pedras para revestimento</v>
      </c>
      <c r="Y136" s="5">
        <v>127</v>
      </c>
      <c r="Z136" s="5">
        <f t="shared" ca="1" si="19"/>
        <v>0</v>
      </c>
      <c r="AA136" s="5" t="str">
        <f t="shared" ca="1" si="20"/>
        <v>Guarda-móveis</v>
      </c>
      <c r="AB136" s="5">
        <f ca="1">COUNTIF(R$10:R136,R136)</f>
        <v>119</v>
      </c>
      <c r="AC136" s="5" t="str">
        <f t="shared" ca="1" si="21"/>
        <v>0119</v>
      </c>
      <c r="AD136" s="5" t="str">
        <f t="shared" ca="1" si="22"/>
        <v>Comércio varejista de pedras para revestimento</v>
      </c>
      <c r="AE136" s="5">
        <f t="shared" ca="1" si="23"/>
        <v>0</v>
      </c>
    </row>
    <row r="137" spans="4:31" ht="15.6" thickTop="1" thickBot="1" x14ac:dyDescent="0.35">
      <c r="D137" s="57"/>
      <c r="E137" s="58"/>
      <c r="F137" s="59"/>
      <c r="G137" s="59"/>
      <c r="H137" s="59"/>
      <c r="I137" s="60"/>
      <c r="J137" s="61"/>
      <c r="K137" s="61"/>
      <c r="M137" s="9" t="str">
        <f t="shared" si="13"/>
        <v/>
      </c>
      <c r="N137" s="5" t="str">
        <f t="shared" si="24"/>
        <v/>
      </c>
      <c r="O137" s="5" t="str">
        <f t="shared" si="18"/>
        <v/>
      </c>
      <c r="Q137" s="5" t="str">
        <f>'CNAE_Cód.Atividade Econômica'!B117</f>
        <v>Comércio varejista de materiais de construção em geral</v>
      </c>
      <c r="R137" s="5">
        <f t="shared" ca="1" si="14"/>
        <v>0</v>
      </c>
      <c r="S137" s="5" t="str">
        <f t="shared" si="15"/>
        <v>Comércio varejista de materiais de construção em geral</v>
      </c>
      <c r="U137" s="5">
        <f ca="1">COUNTIF(R$10:R137,R137)</f>
        <v>120</v>
      </c>
      <c r="V137" s="5" t="str">
        <f t="shared" ca="1" si="16"/>
        <v>0120</v>
      </c>
      <c r="W137" s="5" t="str">
        <f t="shared" ca="1" si="17"/>
        <v>Comércio varejista de materiais de construção em geral</v>
      </c>
      <c r="Y137" s="5">
        <v>128</v>
      </c>
      <c r="Z137" s="5">
        <f t="shared" ca="1" si="19"/>
        <v>0</v>
      </c>
      <c r="AA137" s="5" t="str">
        <f t="shared" ca="1" si="20"/>
        <v>Guarda-móveis</v>
      </c>
      <c r="AB137" s="5">
        <f ca="1">COUNTIF(R$10:R137,R137)</f>
        <v>120</v>
      </c>
      <c r="AC137" s="5" t="str">
        <f t="shared" ca="1" si="21"/>
        <v>0120</v>
      </c>
      <c r="AD137" s="5" t="str">
        <f t="shared" ca="1" si="22"/>
        <v>Comércio varejista de materiais de construção em geral</v>
      </c>
      <c r="AE137" s="5">
        <f t="shared" ca="1" si="23"/>
        <v>0</v>
      </c>
    </row>
    <row r="138" spans="4:31" ht="15.6" thickTop="1" thickBot="1" x14ac:dyDescent="0.35">
      <c r="D138" s="57"/>
      <c r="E138" s="58"/>
      <c r="F138" s="59"/>
      <c r="G138" s="59"/>
      <c r="H138" s="59"/>
      <c r="I138" s="60"/>
      <c r="J138" s="61"/>
      <c r="K138" s="61"/>
      <c r="M138" s="9" t="str">
        <f t="shared" ref="M138:M201" si="25">IF(ISBLANK(D138), "", IFERROR(PROPER(TEXT(D138,"mmmm")),""))</f>
        <v/>
      </c>
      <c r="N138" s="5" t="str">
        <f t="shared" si="24"/>
        <v/>
      </c>
      <c r="O138" s="5" t="str">
        <f t="shared" si="18"/>
        <v/>
      </c>
      <c r="Q138" s="5" t="str">
        <f>'CNAE_Cód.Atividade Econômica'!B118</f>
        <v>Comércio varejista especializado de equipamentos e suprimentos de informática</v>
      </c>
      <c r="R138" s="5">
        <f t="shared" ref="R138:R201" ca="1" si="26">COUNTIF($O:$O,Q138)</f>
        <v>0</v>
      </c>
      <c r="S138" s="5" t="str">
        <f t="shared" ref="S138:S201" si="27">Q138</f>
        <v>Comércio varejista especializado de equipamentos e suprimentos de informática</v>
      </c>
      <c r="U138" s="5">
        <f ca="1">COUNTIF(R$10:R138,R138)</f>
        <v>121</v>
      </c>
      <c r="V138" s="5" t="str">
        <f t="shared" ref="V138:V201" ca="1" si="28">R138&amp;U138</f>
        <v>0121</v>
      </c>
      <c r="W138" s="5" t="str">
        <f t="shared" ref="W138:W201" ca="1" si="29">INDEX($S$10:$S$401, MATCH(V138,$V$10:$V$1048576, 0))</f>
        <v>Comércio varejista especializado de equipamentos e suprimentos de informática</v>
      </c>
      <c r="Y138" s="5">
        <v>129</v>
      </c>
      <c r="Z138" s="5">
        <f t="shared" ca="1" si="19"/>
        <v>0</v>
      </c>
      <c r="AA138" s="5" t="str">
        <f t="shared" ca="1" si="20"/>
        <v>Guarda-móveis</v>
      </c>
      <c r="AB138" s="5">
        <f ca="1">COUNTIF(R$10:R138,R138)</f>
        <v>121</v>
      </c>
      <c r="AC138" s="5" t="str">
        <f t="shared" ca="1" si="21"/>
        <v>0121</v>
      </c>
      <c r="AD138" s="5" t="str">
        <f t="shared" ca="1" si="22"/>
        <v>Comércio varejista especializado de equipamentos e suprimentos de informática</v>
      </c>
      <c r="AE138" s="5">
        <f t="shared" ca="1" si="23"/>
        <v>0</v>
      </c>
    </row>
    <row r="139" spans="4:31" ht="15.6" thickTop="1" thickBot="1" x14ac:dyDescent="0.35">
      <c r="D139" s="57"/>
      <c r="E139" s="58"/>
      <c r="F139" s="59"/>
      <c r="G139" s="59"/>
      <c r="H139" s="59"/>
      <c r="I139" s="60"/>
      <c r="J139" s="61"/>
      <c r="K139" s="61"/>
      <c r="M139" s="9" t="str">
        <f t="shared" si="25"/>
        <v/>
      </c>
      <c r="N139" s="5" t="str">
        <f t="shared" si="24"/>
        <v/>
      </c>
      <c r="O139" s="5" t="str">
        <f t="shared" ref="O139:O202" si="30">IFERROR(RIGHT(N139,LEN(N139)-SEARCH("- ",N139)-1),"")</f>
        <v/>
      </c>
      <c r="Q139" s="5" t="str">
        <f>'CNAE_Cód.Atividade Econômica'!B119</f>
        <v>Recarga de cartuchos para equipamentos de informática</v>
      </c>
      <c r="R139" s="5">
        <f t="shared" ca="1" si="26"/>
        <v>0</v>
      </c>
      <c r="S139" s="5" t="str">
        <f t="shared" si="27"/>
        <v>Recarga de cartuchos para equipamentos de informática</v>
      </c>
      <c r="U139" s="5">
        <f ca="1">COUNTIF(R$10:R139,R139)</f>
        <v>122</v>
      </c>
      <c r="V139" s="5" t="str">
        <f t="shared" ca="1" si="28"/>
        <v>0122</v>
      </c>
      <c r="W139" s="5" t="str">
        <f t="shared" ca="1" si="29"/>
        <v>Recarga de cartuchos para equipamentos de informática</v>
      </c>
      <c r="Y139" s="5">
        <v>130</v>
      </c>
      <c r="Z139" s="5">
        <f t="shared" ref="Z139:Z202" ca="1" si="31">LARGE($R$10:$R$1048576,Y139)</f>
        <v>0</v>
      </c>
      <c r="AA139" s="5" t="str">
        <f t="shared" ref="AA139:AA202" ca="1" si="32">INDEX(S$10:S$1000, MATCH(R139, R$10:R$1000, 0))</f>
        <v>Guarda-móveis</v>
      </c>
      <c r="AB139" s="5">
        <f ca="1">COUNTIF(R$10:R139,R139)</f>
        <v>122</v>
      </c>
      <c r="AC139" s="5" t="str">
        <f t="shared" ref="AC139:AC202" ca="1" si="33">R139&amp;U139</f>
        <v>0122</v>
      </c>
      <c r="AD139" s="5" t="str">
        <f t="shared" ref="AD139:AD202" ca="1" si="34">INDEX($S$10:$S$1048576, MATCH(AC139, $V$10:$V$1048576, 0))</f>
        <v>Recarga de cartuchos para equipamentos de informática</v>
      </c>
      <c r="AE139" s="5">
        <f t="shared" ref="AE139:AE202" ca="1" si="35">Z139</f>
        <v>0</v>
      </c>
    </row>
    <row r="140" spans="4:31" ht="15.6" thickTop="1" thickBot="1" x14ac:dyDescent="0.35">
      <c r="D140" s="57"/>
      <c r="E140" s="58"/>
      <c r="F140" s="59"/>
      <c r="G140" s="59"/>
      <c r="H140" s="59"/>
      <c r="I140" s="60"/>
      <c r="J140" s="61"/>
      <c r="K140" s="61"/>
      <c r="M140" s="9" t="str">
        <f t="shared" si="25"/>
        <v/>
      </c>
      <c r="N140" s="5" t="str">
        <f t="shared" si="24"/>
        <v/>
      </c>
      <c r="O140" s="5" t="str">
        <f t="shared" si="30"/>
        <v/>
      </c>
      <c r="Q140" s="5" t="str">
        <f>'CNAE_Cód.Atividade Econômica'!B120</f>
        <v>Comércio varejista especializado de equipamentos de telefonia e comunicação</v>
      </c>
      <c r="R140" s="5">
        <f t="shared" ca="1" si="26"/>
        <v>0</v>
      </c>
      <c r="S140" s="5" t="str">
        <f t="shared" si="27"/>
        <v>Comércio varejista especializado de equipamentos de telefonia e comunicação</v>
      </c>
      <c r="U140" s="5">
        <f ca="1">COUNTIF(R$10:R140,R140)</f>
        <v>123</v>
      </c>
      <c r="V140" s="5" t="str">
        <f t="shared" ca="1" si="28"/>
        <v>0123</v>
      </c>
      <c r="W140" s="5" t="str">
        <f t="shared" ca="1" si="29"/>
        <v>Comércio varejista especializado de equipamentos de telefonia e comunicação</v>
      </c>
      <c r="Y140" s="5">
        <v>131</v>
      </c>
      <c r="Z140" s="5">
        <f t="shared" ca="1" si="31"/>
        <v>0</v>
      </c>
      <c r="AA140" s="5" t="str">
        <f t="shared" ca="1" si="32"/>
        <v>Guarda-móveis</v>
      </c>
      <c r="AB140" s="5">
        <f ca="1">COUNTIF(R$10:R140,R140)</f>
        <v>123</v>
      </c>
      <c r="AC140" s="5" t="str">
        <f t="shared" ca="1" si="33"/>
        <v>0123</v>
      </c>
      <c r="AD140" s="5" t="str">
        <f t="shared" ca="1" si="34"/>
        <v>Comércio varejista especializado de equipamentos de telefonia e comunicação</v>
      </c>
      <c r="AE140" s="5">
        <f t="shared" ca="1" si="35"/>
        <v>0</v>
      </c>
    </row>
    <row r="141" spans="4:31" ht="15.6" thickTop="1" thickBot="1" x14ac:dyDescent="0.35">
      <c r="D141" s="57"/>
      <c r="E141" s="58"/>
      <c r="F141" s="59"/>
      <c r="G141" s="59"/>
      <c r="H141" s="59"/>
      <c r="I141" s="60"/>
      <c r="J141" s="61"/>
      <c r="K141" s="61"/>
      <c r="M141" s="9" t="str">
        <f t="shared" si="25"/>
        <v/>
      </c>
      <c r="N141" s="5" t="str">
        <f t="shared" si="24"/>
        <v/>
      </c>
      <c r="O141" s="5" t="str">
        <f t="shared" si="30"/>
        <v/>
      </c>
      <c r="Q141" s="5" t="str">
        <f>'CNAE_Cód.Atividade Econômica'!B121</f>
        <v>Comércio varejista especializado de eletrodomésticos e equipamentos de áudio e vídeo</v>
      </c>
      <c r="R141" s="5">
        <f t="shared" ca="1" si="26"/>
        <v>0</v>
      </c>
      <c r="S141" s="5" t="str">
        <f t="shared" si="27"/>
        <v>Comércio varejista especializado de eletrodomésticos e equipamentos de áudio e vídeo</v>
      </c>
      <c r="U141" s="5">
        <f ca="1">COUNTIF(R$10:R141,R141)</f>
        <v>124</v>
      </c>
      <c r="V141" s="5" t="str">
        <f t="shared" ca="1" si="28"/>
        <v>0124</v>
      </c>
      <c r="W141" s="5" t="str">
        <f t="shared" ca="1" si="29"/>
        <v>Comércio varejista especializado de eletrodomésticos e equipamentos de áudio e vídeo</v>
      </c>
      <c r="Y141" s="5">
        <v>132</v>
      </c>
      <c r="Z141" s="5">
        <f t="shared" ca="1" si="31"/>
        <v>0</v>
      </c>
      <c r="AA141" s="5" t="str">
        <f t="shared" ca="1" si="32"/>
        <v>Guarda-móveis</v>
      </c>
      <c r="AB141" s="5">
        <f ca="1">COUNTIF(R$10:R141,R141)</f>
        <v>124</v>
      </c>
      <c r="AC141" s="5" t="str">
        <f t="shared" ca="1" si="33"/>
        <v>0124</v>
      </c>
      <c r="AD141" s="5" t="str">
        <f t="shared" ca="1" si="34"/>
        <v>Comércio varejista especializado de eletrodomésticos e equipamentos de áudio e vídeo</v>
      </c>
      <c r="AE141" s="5">
        <f t="shared" ca="1" si="35"/>
        <v>0</v>
      </c>
    </row>
    <row r="142" spans="4:31" ht="15.6" thickTop="1" thickBot="1" x14ac:dyDescent="0.35">
      <c r="D142" s="57"/>
      <c r="E142" s="58"/>
      <c r="F142" s="59"/>
      <c r="G142" s="59"/>
      <c r="H142" s="59"/>
      <c r="I142" s="60"/>
      <c r="J142" s="61"/>
      <c r="K142" s="61"/>
      <c r="M142" s="9" t="str">
        <f t="shared" si="25"/>
        <v/>
      </c>
      <c r="N142" s="5" t="str">
        <f t="shared" si="24"/>
        <v/>
      </c>
      <c r="O142" s="5" t="str">
        <f t="shared" si="30"/>
        <v/>
      </c>
      <c r="Q142" s="5" t="str">
        <f>'CNAE_Cód.Atividade Econômica'!B122</f>
        <v>Comércio varejista de móveis</v>
      </c>
      <c r="R142" s="5">
        <f t="shared" ca="1" si="26"/>
        <v>0</v>
      </c>
      <c r="S142" s="5" t="str">
        <f t="shared" si="27"/>
        <v>Comércio varejista de móveis</v>
      </c>
      <c r="U142" s="5">
        <f ca="1">COUNTIF(R$10:R142,R142)</f>
        <v>125</v>
      </c>
      <c r="V142" s="5" t="str">
        <f t="shared" ca="1" si="28"/>
        <v>0125</v>
      </c>
      <c r="W142" s="5" t="str">
        <f t="shared" ca="1" si="29"/>
        <v>Comércio varejista de móveis</v>
      </c>
      <c r="Y142" s="5">
        <v>133</v>
      </c>
      <c r="Z142" s="5">
        <f t="shared" ca="1" si="31"/>
        <v>0</v>
      </c>
      <c r="AA142" s="5" t="str">
        <f t="shared" ca="1" si="32"/>
        <v>Guarda-móveis</v>
      </c>
      <c r="AB142" s="5">
        <f ca="1">COUNTIF(R$10:R142,R142)</f>
        <v>125</v>
      </c>
      <c r="AC142" s="5" t="str">
        <f t="shared" ca="1" si="33"/>
        <v>0125</v>
      </c>
      <c r="AD142" s="5" t="str">
        <f t="shared" ca="1" si="34"/>
        <v>Comércio varejista de móveis</v>
      </c>
      <c r="AE142" s="5">
        <f t="shared" ca="1" si="35"/>
        <v>0</v>
      </c>
    </row>
    <row r="143" spans="4:31" ht="15.6" thickTop="1" thickBot="1" x14ac:dyDescent="0.35">
      <c r="D143" s="57"/>
      <c r="E143" s="58"/>
      <c r="F143" s="59"/>
      <c r="G143" s="59"/>
      <c r="H143" s="59"/>
      <c r="I143" s="60"/>
      <c r="J143" s="61"/>
      <c r="K143" s="61"/>
      <c r="M143" s="9" t="str">
        <f t="shared" si="25"/>
        <v/>
      </c>
      <c r="N143" s="5" t="str">
        <f t="shared" si="24"/>
        <v/>
      </c>
      <c r="O143" s="5" t="str">
        <f t="shared" si="30"/>
        <v/>
      </c>
      <c r="Q143" s="5" t="str">
        <f>'CNAE_Cód.Atividade Econômica'!B123</f>
        <v>Comércio varejista de artigos de colchoaria</v>
      </c>
      <c r="R143" s="5">
        <f t="shared" ca="1" si="26"/>
        <v>0</v>
      </c>
      <c r="S143" s="5" t="str">
        <f t="shared" si="27"/>
        <v>Comércio varejista de artigos de colchoaria</v>
      </c>
      <c r="U143" s="5">
        <f ca="1">COUNTIF(R$10:R143,R143)</f>
        <v>126</v>
      </c>
      <c r="V143" s="5" t="str">
        <f t="shared" ca="1" si="28"/>
        <v>0126</v>
      </c>
      <c r="W143" s="5" t="str">
        <f t="shared" ca="1" si="29"/>
        <v>Comércio varejista de artigos de colchoaria</v>
      </c>
      <c r="Y143" s="5">
        <v>134</v>
      </c>
      <c r="Z143" s="5">
        <f t="shared" ca="1" si="31"/>
        <v>0</v>
      </c>
      <c r="AA143" s="5" t="str">
        <f t="shared" ca="1" si="32"/>
        <v>Guarda-móveis</v>
      </c>
      <c r="AB143" s="5">
        <f ca="1">COUNTIF(R$10:R143,R143)</f>
        <v>126</v>
      </c>
      <c r="AC143" s="5" t="str">
        <f t="shared" ca="1" si="33"/>
        <v>0126</v>
      </c>
      <c r="AD143" s="5" t="str">
        <f t="shared" ca="1" si="34"/>
        <v>Comércio varejista de artigos de colchoaria</v>
      </c>
      <c r="AE143" s="5">
        <f t="shared" ca="1" si="35"/>
        <v>0</v>
      </c>
    </row>
    <row r="144" spans="4:31" ht="15.6" thickTop="1" thickBot="1" x14ac:dyDescent="0.35">
      <c r="D144" s="57"/>
      <c r="E144" s="58"/>
      <c r="F144" s="59"/>
      <c r="G144" s="59"/>
      <c r="H144" s="59"/>
      <c r="I144" s="60"/>
      <c r="J144" s="61"/>
      <c r="K144" s="61"/>
      <c r="M144" s="9" t="str">
        <f t="shared" si="25"/>
        <v/>
      </c>
      <c r="N144" s="5" t="str">
        <f t="shared" si="24"/>
        <v/>
      </c>
      <c r="O144" s="5" t="str">
        <f t="shared" si="30"/>
        <v/>
      </c>
      <c r="Q144" s="5" t="str">
        <f>'CNAE_Cód.Atividade Econômica'!B124</f>
        <v>Comércio varejista de artigos de iluminação</v>
      </c>
      <c r="R144" s="5">
        <f t="shared" ca="1" si="26"/>
        <v>0</v>
      </c>
      <c r="S144" s="5" t="str">
        <f t="shared" si="27"/>
        <v>Comércio varejista de artigos de iluminação</v>
      </c>
      <c r="U144" s="5">
        <f ca="1">COUNTIF(R$10:R144,R144)</f>
        <v>127</v>
      </c>
      <c r="V144" s="5" t="str">
        <f t="shared" ca="1" si="28"/>
        <v>0127</v>
      </c>
      <c r="W144" s="5" t="str">
        <f t="shared" ca="1" si="29"/>
        <v>Comércio varejista de artigos de iluminação</v>
      </c>
      <c r="Y144" s="5">
        <v>135</v>
      </c>
      <c r="Z144" s="5">
        <f t="shared" ca="1" si="31"/>
        <v>0</v>
      </c>
      <c r="AA144" s="5" t="str">
        <f t="shared" ca="1" si="32"/>
        <v>Guarda-móveis</v>
      </c>
      <c r="AB144" s="5">
        <f ca="1">COUNTIF(R$10:R144,R144)</f>
        <v>127</v>
      </c>
      <c r="AC144" s="5" t="str">
        <f t="shared" ca="1" si="33"/>
        <v>0127</v>
      </c>
      <c r="AD144" s="5" t="str">
        <f t="shared" ca="1" si="34"/>
        <v>Comércio varejista de artigos de iluminação</v>
      </c>
      <c r="AE144" s="5">
        <f t="shared" ca="1" si="35"/>
        <v>0</v>
      </c>
    </row>
    <row r="145" spans="4:31" ht="15.6" thickTop="1" thickBot="1" x14ac:dyDescent="0.35">
      <c r="D145" s="57"/>
      <c r="E145" s="58"/>
      <c r="F145" s="59"/>
      <c r="G145" s="59"/>
      <c r="H145" s="59"/>
      <c r="I145" s="60"/>
      <c r="J145" s="61"/>
      <c r="K145" s="61"/>
      <c r="M145" s="9" t="str">
        <f t="shared" si="25"/>
        <v/>
      </c>
      <c r="N145" s="5" t="str">
        <f t="shared" si="24"/>
        <v/>
      </c>
      <c r="O145" s="5" t="str">
        <f t="shared" si="30"/>
        <v/>
      </c>
      <c r="Q145" s="5" t="str">
        <f>'CNAE_Cód.Atividade Econômica'!B125</f>
        <v>Comércio varejista de tecidos</v>
      </c>
      <c r="R145" s="5">
        <f t="shared" ca="1" si="26"/>
        <v>0</v>
      </c>
      <c r="S145" s="5" t="str">
        <f t="shared" si="27"/>
        <v>Comércio varejista de tecidos</v>
      </c>
      <c r="U145" s="5">
        <f ca="1">COUNTIF(R$10:R145,R145)</f>
        <v>128</v>
      </c>
      <c r="V145" s="5" t="str">
        <f t="shared" ca="1" si="28"/>
        <v>0128</v>
      </c>
      <c r="W145" s="5" t="str">
        <f t="shared" ca="1" si="29"/>
        <v>Comércio varejista de tecidos</v>
      </c>
      <c r="Y145" s="5">
        <v>136</v>
      </c>
      <c r="Z145" s="5">
        <f t="shared" ca="1" si="31"/>
        <v>0</v>
      </c>
      <c r="AA145" s="5" t="str">
        <f t="shared" ca="1" si="32"/>
        <v>Guarda-móveis</v>
      </c>
      <c r="AB145" s="5">
        <f ca="1">COUNTIF(R$10:R145,R145)</f>
        <v>128</v>
      </c>
      <c r="AC145" s="5" t="str">
        <f t="shared" ca="1" si="33"/>
        <v>0128</v>
      </c>
      <c r="AD145" s="5" t="str">
        <f t="shared" ca="1" si="34"/>
        <v>Comércio varejista de tecidos</v>
      </c>
      <c r="AE145" s="5">
        <f t="shared" ca="1" si="35"/>
        <v>0</v>
      </c>
    </row>
    <row r="146" spans="4:31" ht="15.6" thickTop="1" thickBot="1" x14ac:dyDescent="0.35">
      <c r="D146" s="57"/>
      <c r="E146" s="58"/>
      <c r="F146" s="59"/>
      <c r="G146" s="59"/>
      <c r="H146" s="59"/>
      <c r="I146" s="60"/>
      <c r="J146" s="61"/>
      <c r="K146" s="61"/>
      <c r="M146" s="9" t="str">
        <f t="shared" si="25"/>
        <v/>
      </c>
      <c r="N146" s="5" t="str">
        <f t="shared" si="24"/>
        <v/>
      </c>
      <c r="O146" s="5" t="str">
        <f t="shared" si="30"/>
        <v/>
      </c>
      <c r="Q146" s="5" t="str">
        <f>'CNAE_Cód.Atividade Econômica'!B126</f>
        <v>Comércio varejista de artigos de armarinho</v>
      </c>
      <c r="R146" s="5">
        <f t="shared" ca="1" si="26"/>
        <v>0</v>
      </c>
      <c r="S146" s="5" t="str">
        <f t="shared" si="27"/>
        <v>Comércio varejista de artigos de armarinho</v>
      </c>
      <c r="U146" s="5">
        <f ca="1">COUNTIF(R$10:R146,R146)</f>
        <v>129</v>
      </c>
      <c r="V146" s="5" t="str">
        <f t="shared" ca="1" si="28"/>
        <v>0129</v>
      </c>
      <c r="W146" s="5" t="str">
        <f t="shared" ca="1" si="29"/>
        <v>Comércio varejista de artigos de armarinho</v>
      </c>
      <c r="Y146" s="5">
        <v>137</v>
      </c>
      <c r="Z146" s="5">
        <f t="shared" ca="1" si="31"/>
        <v>0</v>
      </c>
      <c r="AA146" s="5" t="str">
        <f t="shared" ca="1" si="32"/>
        <v>Guarda-móveis</v>
      </c>
      <c r="AB146" s="5">
        <f ca="1">COUNTIF(R$10:R146,R146)</f>
        <v>129</v>
      </c>
      <c r="AC146" s="5" t="str">
        <f t="shared" ca="1" si="33"/>
        <v>0129</v>
      </c>
      <c r="AD146" s="5" t="str">
        <f t="shared" ca="1" si="34"/>
        <v>Comércio varejista de artigos de armarinho</v>
      </c>
      <c r="AE146" s="5">
        <f t="shared" ca="1" si="35"/>
        <v>0</v>
      </c>
    </row>
    <row r="147" spans="4:31" ht="15.6" thickTop="1" thickBot="1" x14ac:dyDescent="0.35">
      <c r="D147" s="57"/>
      <c r="E147" s="58"/>
      <c r="F147" s="59"/>
      <c r="G147" s="59"/>
      <c r="H147" s="59"/>
      <c r="I147" s="60"/>
      <c r="J147" s="61"/>
      <c r="K147" s="61"/>
      <c r="M147" s="9" t="str">
        <f t="shared" si="25"/>
        <v/>
      </c>
      <c r="N147" s="5" t="str">
        <f t="shared" si="24"/>
        <v/>
      </c>
      <c r="O147" s="5" t="str">
        <f t="shared" si="30"/>
        <v/>
      </c>
      <c r="Q147" s="5" t="str">
        <f>'CNAE_Cód.Atividade Econômica'!B127</f>
        <v>Comércio varejista de artigos de cama, mesa e banho</v>
      </c>
      <c r="R147" s="5">
        <f t="shared" ca="1" si="26"/>
        <v>0</v>
      </c>
      <c r="S147" s="5" t="str">
        <f t="shared" si="27"/>
        <v>Comércio varejista de artigos de cama, mesa e banho</v>
      </c>
      <c r="U147" s="5">
        <f ca="1">COUNTIF(R$10:R147,R147)</f>
        <v>130</v>
      </c>
      <c r="V147" s="5" t="str">
        <f t="shared" ca="1" si="28"/>
        <v>0130</v>
      </c>
      <c r="W147" s="5" t="str">
        <f t="shared" ca="1" si="29"/>
        <v>Comércio varejista de artigos de cama, mesa e banho</v>
      </c>
      <c r="Y147" s="5">
        <v>138</v>
      </c>
      <c r="Z147" s="5">
        <f t="shared" ca="1" si="31"/>
        <v>0</v>
      </c>
      <c r="AA147" s="5" t="str">
        <f t="shared" ca="1" si="32"/>
        <v>Guarda-móveis</v>
      </c>
      <c r="AB147" s="5">
        <f ca="1">COUNTIF(R$10:R147,R147)</f>
        <v>130</v>
      </c>
      <c r="AC147" s="5" t="str">
        <f t="shared" ca="1" si="33"/>
        <v>0130</v>
      </c>
      <c r="AD147" s="5" t="str">
        <f t="shared" ca="1" si="34"/>
        <v>Comércio varejista de artigos de cama, mesa e banho</v>
      </c>
      <c r="AE147" s="5">
        <f t="shared" ca="1" si="35"/>
        <v>0</v>
      </c>
    </row>
    <row r="148" spans="4:31" ht="15.6" thickTop="1" thickBot="1" x14ac:dyDescent="0.35">
      <c r="D148" s="57"/>
      <c r="E148" s="58"/>
      <c r="F148" s="59"/>
      <c r="G148" s="59"/>
      <c r="H148" s="59"/>
      <c r="I148" s="60"/>
      <c r="J148" s="61"/>
      <c r="K148" s="61"/>
      <c r="M148" s="9" t="str">
        <f t="shared" si="25"/>
        <v/>
      </c>
      <c r="N148" s="5" t="str">
        <f t="shared" si="24"/>
        <v/>
      </c>
      <c r="O148" s="5" t="str">
        <f t="shared" si="30"/>
        <v/>
      </c>
      <c r="Q148" s="5" t="str">
        <f>'CNAE_Cód.Atividade Econômica'!B128</f>
        <v>Comércio varejista especializado de instrumentos musicais e acessórios</v>
      </c>
      <c r="R148" s="5">
        <f t="shared" ca="1" si="26"/>
        <v>0</v>
      </c>
      <c r="S148" s="5" t="str">
        <f t="shared" si="27"/>
        <v>Comércio varejista especializado de instrumentos musicais e acessórios</v>
      </c>
      <c r="U148" s="5">
        <f ca="1">COUNTIF(R$10:R148,R148)</f>
        <v>131</v>
      </c>
      <c r="V148" s="5" t="str">
        <f t="shared" ca="1" si="28"/>
        <v>0131</v>
      </c>
      <c r="W148" s="5" t="str">
        <f t="shared" ca="1" si="29"/>
        <v>Comércio varejista especializado de instrumentos musicais e acessórios</v>
      </c>
      <c r="Y148" s="5">
        <v>139</v>
      </c>
      <c r="Z148" s="5">
        <f t="shared" ca="1" si="31"/>
        <v>0</v>
      </c>
      <c r="AA148" s="5" t="str">
        <f t="shared" ca="1" si="32"/>
        <v>Guarda-móveis</v>
      </c>
      <c r="AB148" s="5">
        <f ca="1">COUNTIF(R$10:R148,R148)</f>
        <v>131</v>
      </c>
      <c r="AC148" s="5" t="str">
        <f t="shared" ca="1" si="33"/>
        <v>0131</v>
      </c>
      <c r="AD148" s="5" t="str">
        <f t="shared" ca="1" si="34"/>
        <v>Comércio varejista especializado de instrumentos musicais e acessórios</v>
      </c>
      <c r="AE148" s="5">
        <f t="shared" ca="1" si="35"/>
        <v>0</v>
      </c>
    </row>
    <row r="149" spans="4:31" ht="15.6" thickTop="1" thickBot="1" x14ac:dyDescent="0.35">
      <c r="D149" s="57"/>
      <c r="E149" s="58"/>
      <c r="F149" s="59"/>
      <c r="G149" s="59"/>
      <c r="H149" s="59"/>
      <c r="I149" s="60"/>
      <c r="J149" s="61"/>
      <c r="K149" s="61"/>
      <c r="M149" s="9" t="str">
        <f t="shared" si="25"/>
        <v/>
      </c>
      <c r="N149" s="5" t="str">
        <f t="shared" si="24"/>
        <v/>
      </c>
      <c r="O149" s="5" t="str">
        <f t="shared" si="30"/>
        <v/>
      </c>
      <c r="Q149" s="5" t="str">
        <f>'CNAE_Cód.Atividade Econômica'!B129</f>
        <v>Comércio varejista especializado de peças e acessórios para aparelhos eletroeletrônicos para uso doméstico, exceto informática e comunicação</v>
      </c>
      <c r="R149" s="5">
        <f t="shared" ca="1" si="26"/>
        <v>0</v>
      </c>
      <c r="S149" s="5" t="str">
        <f t="shared" si="27"/>
        <v>Comércio varejista especializado de peças e acessórios para aparelhos eletroeletrônicos para uso doméstico, exceto informática e comunicação</v>
      </c>
      <c r="U149" s="5">
        <f ca="1">COUNTIF(R$10:R149,R149)</f>
        <v>132</v>
      </c>
      <c r="V149" s="5" t="str">
        <f t="shared" ca="1" si="28"/>
        <v>0132</v>
      </c>
      <c r="W149" s="5" t="str">
        <f t="shared" ca="1" si="29"/>
        <v>Comércio varejista especializado de peças e acessórios para aparelhos eletroeletrônicos para uso doméstico, exceto informática e comunicação</v>
      </c>
      <c r="Y149" s="5">
        <v>140</v>
      </c>
      <c r="Z149" s="5">
        <f t="shared" ca="1" si="31"/>
        <v>0</v>
      </c>
      <c r="AA149" s="5" t="str">
        <f t="shared" ca="1" si="32"/>
        <v>Guarda-móveis</v>
      </c>
      <c r="AB149" s="5">
        <f ca="1">COUNTIF(R$10:R149,R149)</f>
        <v>132</v>
      </c>
      <c r="AC149" s="5" t="str">
        <f t="shared" ca="1" si="33"/>
        <v>0132</v>
      </c>
      <c r="AD149" s="5" t="str">
        <f t="shared" ca="1" si="34"/>
        <v>Comércio varejista especializado de peças e acessórios para aparelhos eletroeletrônicos para uso doméstico, exceto informática e comunicação</v>
      </c>
      <c r="AE149" s="5">
        <f t="shared" ca="1" si="35"/>
        <v>0</v>
      </c>
    </row>
    <row r="150" spans="4:31" ht="15.6" thickTop="1" thickBot="1" x14ac:dyDescent="0.35">
      <c r="D150" s="57"/>
      <c r="E150" s="58"/>
      <c r="F150" s="59"/>
      <c r="G150" s="59"/>
      <c r="H150" s="59"/>
      <c r="I150" s="60"/>
      <c r="J150" s="61"/>
      <c r="K150" s="61"/>
      <c r="M150" s="9" t="str">
        <f t="shared" si="25"/>
        <v/>
      </c>
      <c r="N150" s="5" t="str">
        <f t="shared" si="24"/>
        <v/>
      </c>
      <c r="O150" s="5" t="str">
        <f t="shared" si="30"/>
        <v/>
      </c>
      <c r="Q150" s="5" t="str">
        <f>'CNAE_Cód.Atividade Econômica'!B130</f>
        <v>Comércio varejista de artigos de tapeçaria, cortinas e persianas</v>
      </c>
      <c r="R150" s="5">
        <f t="shared" ca="1" si="26"/>
        <v>0</v>
      </c>
      <c r="S150" s="5" t="str">
        <f t="shared" si="27"/>
        <v>Comércio varejista de artigos de tapeçaria, cortinas e persianas</v>
      </c>
      <c r="U150" s="5">
        <f ca="1">COUNTIF(R$10:R150,R150)</f>
        <v>133</v>
      </c>
      <c r="V150" s="5" t="str">
        <f t="shared" ca="1" si="28"/>
        <v>0133</v>
      </c>
      <c r="W150" s="5" t="str">
        <f t="shared" ca="1" si="29"/>
        <v>Comércio varejista de artigos de tapeçaria, cortinas e persianas</v>
      </c>
      <c r="Y150" s="5">
        <v>141</v>
      </c>
      <c r="Z150" s="5">
        <f t="shared" ca="1" si="31"/>
        <v>0</v>
      </c>
      <c r="AA150" s="5" t="str">
        <f t="shared" ca="1" si="32"/>
        <v>Guarda-móveis</v>
      </c>
      <c r="AB150" s="5">
        <f ca="1">COUNTIF(R$10:R150,R150)</f>
        <v>133</v>
      </c>
      <c r="AC150" s="5" t="str">
        <f t="shared" ca="1" si="33"/>
        <v>0133</v>
      </c>
      <c r="AD150" s="5" t="str">
        <f t="shared" ca="1" si="34"/>
        <v>Comércio varejista de artigos de tapeçaria, cortinas e persianas</v>
      </c>
      <c r="AE150" s="5">
        <f t="shared" ca="1" si="35"/>
        <v>0</v>
      </c>
    </row>
    <row r="151" spans="4:31" ht="15.6" thickTop="1" thickBot="1" x14ac:dyDescent="0.35">
      <c r="D151" s="57"/>
      <c r="E151" s="58"/>
      <c r="F151" s="59"/>
      <c r="G151" s="59"/>
      <c r="H151" s="59"/>
      <c r="I151" s="60"/>
      <c r="J151" s="61"/>
      <c r="K151" s="61"/>
      <c r="M151" s="9" t="str">
        <f t="shared" si="25"/>
        <v/>
      </c>
      <c r="N151" s="5" t="str">
        <f t="shared" ref="N151:N214" si="36">IF(H151="","",H151)</f>
        <v/>
      </c>
      <c r="O151" s="5" t="str">
        <f t="shared" si="30"/>
        <v/>
      </c>
      <c r="Q151" s="5" t="str">
        <f>'CNAE_Cód.Atividade Econômica'!B131</f>
        <v>Comércio varejista de outros artigos de uso doméstico não especificados anteriormente</v>
      </c>
      <c r="R151" s="5">
        <f t="shared" ca="1" si="26"/>
        <v>0</v>
      </c>
      <c r="S151" s="5" t="str">
        <f t="shared" si="27"/>
        <v>Comércio varejista de outros artigos de uso doméstico não especificados anteriormente</v>
      </c>
      <c r="U151" s="5">
        <f ca="1">COUNTIF(R$10:R151,R151)</f>
        <v>134</v>
      </c>
      <c r="V151" s="5" t="str">
        <f t="shared" ca="1" si="28"/>
        <v>0134</v>
      </c>
      <c r="W151" s="5" t="str">
        <f t="shared" ca="1" si="29"/>
        <v>Comércio varejista de outros artigos de uso doméstico não especificados anteriormente</v>
      </c>
      <c r="Y151" s="5">
        <v>142</v>
      </c>
      <c r="Z151" s="5">
        <f t="shared" ca="1" si="31"/>
        <v>0</v>
      </c>
      <c r="AA151" s="5" t="str">
        <f t="shared" ca="1" si="32"/>
        <v>Guarda-móveis</v>
      </c>
      <c r="AB151" s="5">
        <f ca="1">COUNTIF(R$10:R151,R151)</f>
        <v>134</v>
      </c>
      <c r="AC151" s="5" t="str">
        <f t="shared" ca="1" si="33"/>
        <v>0134</v>
      </c>
      <c r="AD151" s="5" t="str">
        <f t="shared" ca="1" si="34"/>
        <v>Comércio varejista de outros artigos de uso doméstico não especificados anteriormente</v>
      </c>
      <c r="AE151" s="5">
        <f t="shared" ca="1" si="35"/>
        <v>0</v>
      </c>
    </row>
    <row r="152" spans="4:31" ht="15.6" thickTop="1" thickBot="1" x14ac:dyDescent="0.35">
      <c r="D152" s="57"/>
      <c r="E152" s="58"/>
      <c r="F152" s="59"/>
      <c r="G152" s="59"/>
      <c r="H152" s="59"/>
      <c r="I152" s="60"/>
      <c r="J152" s="61"/>
      <c r="K152" s="61"/>
      <c r="M152" s="9" t="str">
        <f t="shared" si="25"/>
        <v/>
      </c>
      <c r="N152" s="5" t="str">
        <f t="shared" si="36"/>
        <v/>
      </c>
      <c r="O152" s="5" t="str">
        <f t="shared" si="30"/>
        <v/>
      </c>
      <c r="Q152" s="5" t="str">
        <f>'CNAE_Cód.Atividade Econômica'!B132</f>
        <v>Comércio varejista de livros</v>
      </c>
      <c r="R152" s="5">
        <f t="shared" ca="1" si="26"/>
        <v>0</v>
      </c>
      <c r="S152" s="5" t="str">
        <f t="shared" si="27"/>
        <v>Comércio varejista de livros</v>
      </c>
      <c r="U152" s="5">
        <f ca="1">COUNTIF(R$10:R152,R152)</f>
        <v>135</v>
      </c>
      <c r="V152" s="5" t="str">
        <f t="shared" ca="1" si="28"/>
        <v>0135</v>
      </c>
      <c r="W152" s="5" t="str">
        <f t="shared" ca="1" si="29"/>
        <v>Comércio varejista de livros</v>
      </c>
      <c r="Y152" s="5">
        <v>143</v>
      </c>
      <c r="Z152" s="5">
        <f t="shared" ca="1" si="31"/>
        <v>0</v>
      </c>
      <c r="AA152" s="5" t="str">
        <f t="shared" ca="1" si="32"/>
        <v>Guarda-móveis</v>
      </c>
      <c r="AB152" s="5">
        <f ca="1">COUNTIF(R$10:R152,R152)</f>
        <v>135</v>
      </c>
      <c r="AC152" s="5" t="str">
        <f t="shared" ca="1" si="33"/>
        <v>0135</v>
      </c>
      <c r="AD152" s="5" t="str">
        <f t="shared" ca="1" si="34"/>
        <v>Comércio varejista de livros</v>
      </c>
      <c r="AE152" s="5">
        <f t="shared" ca="1" si="35"/>
        <v>0</v>
      </c>
    </row>
    <row r="153" spans="4:31" ht="15.6" thickTop="1" thickBot="1" x14ac:dyDescent="0.35">
      <c r="D153" s="57"/>
      <c r="E153" s="58"/>
      <c r="F153" s="59"/>
      <c r="G153" s="59"/>
      <c r="H153" s="59"/>
      <c r="I153" s="60"/>
      <c r="J153" s="61"/>
      <c r="K153" s="61"/>
      <c r="M153" s="9" t="str">
        <f t="shared" si="25"/>
        <v/>
      </c>
      <c r="N153" s="5" t="str">
        <f t="shared" si="36"/>
        <v/>
      </c>
      <c r="O153" s="5" t="str">
        <f t="shared" si="30"/>
        <v/>
      </c>
      <c r="Q153" s="5" t="str">
        <f>'CNAE_Cód.Atividade Econômica'!B133</f>
        <v>Comércio varejista de jornais e revistas</v>
      </c>
      <c r="R153" s="5">
        <f t="shared" ca="1" si="26"/>
        <v>0</v>
      </c>
      <c r="S153" s="5" t="str">
        <f t="shared" si="27"/>
        <v>Comércio varejista de jornais e revistas</v>
      </c>
      <c r="U153" s="5">
        <f ca="1">COUNTIF(R$10:R153,R153)</f>
        <v>136</v>
      </c>
      <c r="V153" s="5" t="str">
        <f t="shared" ca="1" si="28"/>
        <v>0136</v>
      </c>
      <c r="W153" s="5" t="str">
        <f t="shared" ca="1" si="29"/>
        <v>Comércio varejista de jornais e revistas</v>
      </c>
      <c r="Y153" s="5">
        <v>144</v>
      </c>
      <c r="Z153" s="5">
        <f t="shared" ca="1" si="31"/>
        <v>0</v>
      </c>
      <c r="AA153" s="5" t="str">
        <f t="shared" ca="1" si="32"/>
        <v>Guarda-móveis</v>
      </c>
      <c r="AB153" s="5">
        <f ca="1">COUNTIF(R$10:R153,R153)</f>
        <v>136</v>
      </c>
      <c r="AC153" s="5" t="str">
        <f t="shared" ca="1" si="33"/>
        <v>0136</v>
      </c>
      <c r="AD153" s="5" t="str">
        <f t="shared" ca="1" si="34"/>
        <v>Comércio varejista de jornais e revistas</v>
      </c>
      <c r="AE153" s="5">
        <f t="shared" ca="1" si="35"/>
        <v>0</v>
      </c>
    </row>
    <row r="154" spans="4:31" ht="15.6" thickTop="1" thickBot="1" x14ac:dyDescent="0.35">
      <c r="D154" s="57"/>
      <c r="E154" s="58"/>
      <c r="F154" s="59"/>
      <c r="G154" s="59"/>
      <c r="H154" s="59"/>
      <c r="I154" s="60"/>
      <c r="J154" s="61"/>
      <c r="K154" s="61"/>
      <c r="M154" s="9" t="str">
        <f t="shared" si="25"/>
        <v/>
      </c>
      <c r="N154" s="5" t="str">
        <f t="shared" si="36"/>
        <v/>
      </c>
      <c r="O154" s="5" t="str">
        <f t="shared" si="30"/>
        <v/>
      </c>
      <c r="Q154" s="5" t="str">
        <f>'CNAE_Cód.Atividade Econômica'!B134</f>
        <v>Comércio varejista de artigos de papelaria</v>
      </c>
      <c r="R154" s="5">
        <f t="shared" ca="1" si="26"/>
        <v>0</v>
      </c>
      <c r="S154" s="5" t="str">
        <f t="shared" si="27"/>
        <v>Comércio varejista de artigos de papelaria</v>
      </c>
      <c r="U154" s="5">
        <f ca="1">COUNTIF(R$10:R154,R154)</f>
        <v>137</v>
      </c>
      <c r="V154" s="5" t="str">
        <f t="shared" ca="1" si="28"/>
        <v>0137</v>
      </c>
      <c r="W154" s="5" t="str">
        <f t="shared" ca="1" si="29"/>
        <v>Comércio varejista de artigos de papelaria</v>
      </c>
      <c r="Y154" s="5">
        <v>145</v>
      </c>
      <c r="Z154" s="5">
        <f t="shared" ca="1" si="31"/>
        <v>0</v>
      </c>
      <c r="AA154" s="5" t="str">
        <f t="shared" ca="1" si="32"/>
        <v>Guarda-móveis</v>
      </c>
      <c r="AB154" s="5">
        <f ca="1">COUNTIF(R$10:R154,R154)</f>
        <v>137</v>
      </c>
      <c r="AC154" s="5" t="str">
        <f t="shared" ca="1" si="33"/>
        <v>0137</v>
      </c>
      <c r="AD154" s="5" t="str">
        <f t="shared" ca="1" si="34"/>
        <v>Comércio varejista de artigos de papelaria</v>
      </c>
      <c r="AE154" s="5">
        <f t="shared" ca="1" si="35"/>
        <v>0</v>
      </c>
    </row>
    <row r="155" spans="4:31" ht="15.6" thickTop="1" thickBot="1" x14ac:dyDescent="0.35">
      <c r="D155" s="57"/>
      <c r="E155" s="58"/>
      <c r="F155" s="59"/>
      <c r="G155" s="59"/>
      <c r="H155" s="59"/>
      <c r="I155" s="60"/>
      <c r="J155" s="61"/>
      <c r="K155" s="61"/>
      <c r="M155" s="9" t="str">
        <f t="shared" si="25"/>
        <v/>
      </c>
      <c r="N155" s="5" t="str">
        <f t="shared" si="36"/>
        <v/>
      </c>
      <c r="O155" s="5" t="str">
        <f t="shared" si="30"/>
        <v/>
      </c>
      <c r="Q155" s="5" t="str">
        <f>'CNAE_Cód.Atividade Econômica'!B135</f>
        <v>Comércio varejista de discos, CDs, DVDs e fitas</v>
      </c>
      <c r="R155" s="5">
        <f t="shared" ca="1" si="26"/>
        <v>0</v>
      </c>
      <c r="S155" s="5" t="str">
        <f t="shared" si="27"/>
        <v>Comércio varejista de discos, CDs, DVDs e fitas</v>
      </c>
      <c r="U155" s="5">
        <f ca="1">COUNTIF(R$10:R155,R155)</f>
        <v>138</v>
      </c>
      <c r="V155" s="5" t="str">
        <f t="shared" ca="1" si="28"/>
        <v>0138</v>
      </c>
      <c r="W155" s="5" t="str">
        <f t="shared" ca="1" si="29"/>
        <v>Comércio varejista de discos, CDs, DVDs e fitas</v>
      </c>
      <c r="Y155" s="5">
        <v>146</v>
      </c>
      <c r="Z155" s="5">
        <f t="shared" ca="1" si="31"/>
        <v>0</v>
      </c>
      <c r="AA155" s="5" t="str">
        <f t="shared" ca="1" si="32"/>
        <v>Guarda-móveis</v>
      </c>
      <c r="AB155" s="5">
        <f ca="1">COUNTIF(R$10:R155,R155)</f>
        <v>138</v>
      </c>
      <c r="AC155" s="5" t="str">
        <f t="shared" ca="1" si="33"/>
        <v>0138</v>
      </c>
      <c r="AD155" s="5" t="str">
        <f t="shared" ca="1" si="34"/>
        <v>Comércio varejista de discos, CDs, DVDs e fitas</v>
      </c>
      <c r="AE155" s="5">
        <f t="shared" ca="1" si="35"/>
        <v>0</v>
      </c>
    </row>
    <row r="156" spans="4:31" ht="15.6" thickTop="1" thickBot="1" x14ac:dyDescent="0.35">
      <c r="D156" s="57"/>
      <c r="E156" s="58"/>
      <c r="F156" s="59"/>
      <c r="G156" s="59"/>
      <c r="H156" s="59"/>
      <c r="I156" s="60"/>
      <c r="J156" s="61"/>
      <c r="K156" s="61"/>
      <c r="M156" s="9" t="str">
        <f t="shared" si="25"/>
        <v/>
      </c>
      <c r="N156" s="5" t="str">
        <f t="shared" si="36"/>
        <v/>
      </c>
      <c r="O156" s="5" t="str">
        <f t="shared" si="30"/>
        <v/>
      </c>
      <c r="Q156" s="5" t="str">
        <f>'CNAE_Cód.Atividade Econômica'!B136</f>
        <v>Comércio varejista de brinquedos e artigos recreativos</v>
      </c>
      <c r="R156" s="5">
        <f t="shared" ca="1" si="26"/>
        <v>0</v>
      </c>
      <c r="S156" s="5" t="str">
        <f t="shared" si="27"/>
        <v>Comércio varejista de brinquedos e artigos recreativos</v>
      </c>
      <c r="U156" s="5">
        <f ca="1">COUNTIF(R$10:R156,R156)</f>
        <v>139</v>
      </c>
      <c r="V156" s="5" t="str">
        <f t="shared" ca="1" si="28"/>
        <v>0139</v>
      </c>
      <c r="W156" s="5" t="str">
        <f t="shared" ca="1" si="29"/>
        <v>Comércio varejista de brinquedos e artigos recreativos</v>
      </c>
      <c r="Y156" s="5">
        <v>147</v>
      </c>
      <c r="Z156" s="5">
        <f t="shared" ca="1" si="31"/>
        <v>0</v>
      </c>
      <c r="AA156" s="5" t="str">
        <f t="shared" ca="1" si="32"/>
        <v>Guarda-móveis</v>
      </c>
      <c r="AB156" s="5">
        <f ca="1">COUNTIF(R$10:R156,R156)</f>
        <v>139</v>
      </c>
      <c r="AC156" s="5" t="str">
        <f t="shared" ca="1" si="33"/>
        <v>0139</v>
      </c>
      <c r="AD156" s="5" t="str">
        <f t="shared" ca="1" si="34"/>
        <v>Comércio varejista de brinquedos e artigos recreativos</v>
      </c>
      <c r="AE156" s="5">
        <f t="shared" ca="1" si="35"/>
        <v>0</v>
      </c>
    </row>
    <row r="157" spans="4:31" ht="15.6" thickTop="1" thickBot="1" x14ac:dyDescent="0.35">
      <c r="D157" s="57"/>
      <c r="E157" s="58"/>
      <c r="F157" s="59"/>
      <c r="G157" s="59"/>
      <c r="H157" s="59"/>
      <c r="I157" s="60"/>
      <c r="J157" s="61"/>
      <c r="K157" s="61"/>
      <c r="M157" s="9" t="str">
        <f t="shared" si="25"/>
        <v/>
      </c>
      <c r="N157" s="5" t="str">
        <f t="shared" si="36"/>
        <v/>
      </c>
      <c r="O157" s="5" t="str">
        <f t="shared" si="30"/>
        <v/>
      </c>
      <c r="Q157" s="5" t="str">
        <f>'CNAE_Cód.Atividade Econômica'!B137</f>
        <v>Comércio varejista de artigos esportivos</v>
      </c>
      <c r="R157" s="5">
        <f t="shared" ca="1" si="26"/>
        <v>0</v>
      </c>
      <c r="S157" s="5" t="str">
        <f t="shared" si="27"/>
        <v>Comércio varejista de artigos esportivos</v>
      </c>
      <c r="U157" s="5">
        <f ca="1">COUNTIF(R$10:R157,R157)</f>
        <v>140</v>
      </c>
      <c r="V157" s="5" t="str">
        <f t="shared" ca="1" si="28"/>
        <v>0140</v>
      </c>
      <c r="W157" s="5" t="str">
        <f t="shared" ca="1" si="29"/>
        <v>Comércio varejista de artigos esportivos</v>
      </c>
      <c r="Y157" s="5">
        <v>148</v>
      </c>
      <c r="Z157" s="5">
        <f t="shared" ca="1" si="31"/>
        <v>0</v>
      </c>
      <c r="AA157" s="5" t="str">
        <f t="shared" ca="1" si="32"/>
        <v>Guarda-móveis</v>
      </c>
      <c r="AB157" s="5">
        <f ca="1">COUNTIF(R$10:R157,R157)</f>
        <v>140</v>
      </c>
      <c r="AC157" s="5" t="str">
        <f t="shared" ca="1" si="33"/>
        <v>0140</v>
      </c>
      <c r="AD157" s="5" t="str">
        <f t="shared" ca="1" si="34"/>
        <v>Comércio varejista de artigos esportivos</v>
      </c>
      <c r="AE157" s="5">
        <f t="shared" ca="1" si="35"/>
        <v>0</v>
      </c>
    </row>
    <row r="158" spans="4:31" ht="15.6" thickTop="1" thickBot="1" x14ac:dyDescent="0.35">
      <c r="D158" s="57"/>
      <c r="E158" s="58"/>
      <c r="F158" s="59"/>
      <c r="G158" s="59"/>
      <c r="H158" s="59"/>
      <c r="I158" s="60"/>
      <c r="J158" s="61"/>
      <c r="K158" s="61"/>
      <c r="M158" s="9" t="str">
        <f t="shared" si="25"/>
        <v/>
      </c>
      <c r="N158" s="5" t="str">
        <f t="shared" si="36"/>
        <v/>
      </c>
      <c r="O158" s="5" t="str">
        <f t="shared" si="30"/>
        <v/>
      </c>
      <c r="Q158" s="5" t="str">
        <f>'CNAE_Cód.Atividade Econômica'!B138</f>
        <v>Comércio varejista de bicicletas e triciclos peças e acessórios</v>
      </c>
      <c r="R158" s="5">
        <f t="shared" ca="1" si="26"/>
        <v>0</v>
      </c>
      <c r="S158" s="5" t="str">
        <f t="shared" si="27"/>
        <v>Comércio varejista de bicicletas e triciclos peças e acessórios</v>
      </c>
      <c r="U158" s="5">
        <f ca="1">COUNTIF(R$10:R158,R158)</f>
        <v>141</v>
      </c>
      <c r="V158" s="5" t="str">
        <f t="shared" ca="1" si="28"/>
        <v>0141</v>
      </c>
      <c r="W158" s="5" t="str">
        <f t="shared" ca="1" si="29"/>
        <v>Comércio varejista de bicicletas e triciclos peças e acessórios</v>
      </c>
      <c r="Y158" s="5">
        <v>149</v>
      </c>
      <c r="Z158" s="5">
        <f t="shared" ca="1" si="31"/>
        <v>0</v>
      </c>
      <c r="AA158" s="5" t="str">
        <f t="shared" ca="1" si="32"/>
        <v>Guarda-móveis</v>
      </c>
      <c r="AB158" s="5">
        <f ca="1">COUNTIF(R$10:R158,R158)</f>
        <v>141</v>
      </c>
      <c r="AC158" s="5" t="str">
        <f t="shared" ca="1" si="33"/>
        <v>0141</v>
      </c>
      <c r="AD158" s="5" t="str">
        <f t="shared" ca="1" si="34"/>
        <v>Comércio varejista de bicicletas e triciclos peças e acessórios</v>
      </c>
      <c r="AE158" s="5">
        <f t="shared" ca="1" si="35"/>
        <v>0</v>
      </c>
    </row>
    <row r="159" spans="4:31" ht="15.6" thickTop="1" thickBot="1" x14ac:dyDescent="0.35">
      <c r="D159" s="57"/>
      <c r="E159" s="58"/>
      <c r="F159" s="59"/>
      <c r="G159" s="59"/>
      <c r="H159" s="59"/>
      <c r="I159" s="60"/>
      <c r="J159" s="61"/>
      <c r="K159" s="61"/>
      <c r="M159" s="9" t="str">
        <f t="shared" si="25"/>
        <v/>
      </c>
      <c r="N159" s="5" t="str">
        <f t="shared" si="36"/>
        <v/>
      </c>
      <c r="O159" s="5" t="str">
        <f t="shared" si="30"/>
        <v/>
      </c>
      <c r="Q159" s="5" t="str">
        <f>'CNAE_Cód.Atividade Econômica'!B139</f>
        <v>Comércio varejista de artigos de caça, pesca e camping</v>
      </c>
      <c r="R159" s="5">
        <f t="shared" ca="1" si="26"/>
        <v>0</v>
      </c>
      <c r="S159" s="5" t="str">
        <f t="shared" si="27"/>
        <v>Comércio varejista de artigos de caça, pesca e camping</v>
      </c>
      <c r="U159" s="5">
        <f ca="1">COUNTIF(R$10:R159,R159)</f>
        <v>142</v>
      </c>
      <c r="V159" s="5" t="str">
        <f t="shared" ca="1" si="28"/>
        <v>0142</v>
      </c>
      <c r="W159" s="5" t="str">
        <f t="shared" ca="1" si="29"/>
        <v>Comércio varejista de artigos de caça, pesca e camping</v>
      </c>
      <c r="Y159" s="5">
        <v>150</v>
      </c>
      <c r="Z159" s="5">
        <f t="shared" ca="1" si="31"/>
        <v>0</v>
      </c>
      <c r="AA159" s="5" t="str">
        <f t="shared" ca="1" si="32"/>
        <v>Guarda-móveis</v>
      </c>
      <c r="AB159" s="5">
        <f ca="1">COUNTIF(R$10:R159,R159)</f>
        <v>142</v>
      </c>
      <c r="AC159" s="5" t="str">
        <f t="shared" ca="1" si="33"/>
        <v>0142</v>
      </c>
      <c r="AD159" s="5" t="str">
        <f t="shared" ca="1" si="34"/>
        <v>Comércio varejista de artigos de caça, pesca e camping</v>
      </c>
      <c r="AE159" s="5">
        <f t="shared" ca="1" si="35"/>
        <v>0</v>
      </c>
    </row>
    <row r="160" spans="4:31" ht="15.6" thickTop="1" thickBot="1" x14ac:dyDescent="0.35">
      <c r="D160" s="57"/>
      <c r="E160" s="58"/>
      <c r="F160" s="59"/>
      <c r="G160" s="59"/>
      <c r="H160" s="59"/>
      <c r="I160" s="60"/>
      <c r="J160" s="61"/>
      <c r="K160" s="61"/>
      <c r="M160" s="9" t="str">
        <f t="shared" si="25"/>
        <v/>
      </c>
      <c r="N160" s="5" t="str">
        <f t="shared" si="36"/>
        <v/>
      </c>
      <c r="O160" s="5" t="str">
        <f t="shared" si="30"/>
        <v/>
      </c>
      <c r="Q160" s="5" t="str">
        <f>'CNAE_Cód.Atividade Econômica'!B140</f>
        <v>Comércio varejista de embarcações e outros veículos recreativos peças e acessórios</v>
      </c>
      <c r="R160" s="5">
        <f t="shared" ca="1" si="26"/>
        <v>0</v>
      </c>
      <c r="S160" s="5" t="str">
        <f t="shared" si="27"/>
        <v>Comércio varejista de embarcações e outros veículos recreativos peças e acessórios</v>
      </c>
      <c r="U160" s="5">
        <f ca="1">COUNTIF(R$10:R160,R160)</f>
        <v>143</v>
      </c>
      <c r="V160" s="5" t="str">
        <f t="shared" ca="1" si="28"/>
        <v>0143</v>
      </c>
      <c r="W160" s="5" t="str">
        <f t="shared" ca="1" si="29"/>
        <v>Comércio varejista de embarcações e outros veículos recreativos peças e acessórios</v>
      </c>
      <c r="Y160" s="5">
        <v>151</v>
      </c>
      <c r="Z160" s="5">
        <f t="shared" ca="1" si="31"/>
        <v>0</v>
      </c>
      <c r="AA160" s="5" t="str">
        <f t="shared" ca="1" si="32"/>
        <v>Guarda-móveis</v>
      </c>
      <c r="AB160" s="5">
        <f ca="1">COUNTIF(R$10:R160,R160)</f>
        <v>143</v>
      </c>
      <c r="AC160" s="5" t="str">
        <f t="shared" ca="1" si="33"/>
        <v>0143</v>
      </c>
      <c r="AD160" s="5" t="str">
        <f t="shared" ca="1" si="34"/>
        <v>Comércio varejista de embarcações e outros veículos recreativos peças e acessórios</v>
      </c>
      <c r="AE160" s="5">
        <f t="shared" ca="1" si="35"/>
        <v>0</v>
      </c>
    </row>
    <row r="161" spans="4:31" ht="15.6" thickTop="1" thickBot="1" x14ac:dyDescent="0.35">
      <c r="D161" s="57"/>
      <c r="E161" s="58"/>
      <c r="F161" s="59"/>
      <c r="G161" s="59"/>
      <c r="H161" s="59"/>
      <c r="I161" s="60"/>
      <c r="J161" s="61"/>
      <c r="K161" s="61"/>
      <c r="M161" s="9" t="str">
        <f t="shared" si="25"/>
        <v/>
      </c>
      <c r="N161" s="5" t="str">
        <f t="shared" si="36"/>
        <v/>
      </c>
      <c r="O161" s="5" t="str">
        <f t="shared" si="30"/>
        <v/>
      </c>
      <c r="Q161" s="5" t="str">
        <f>'CNAE_Cód.Atividade Econômica'!B141</f>
        <v>Comércio varejista de medicamentos veterinários</v>
      </c>
      <c r="R161" s="5">
        <f t="shared" ca="1" si="26"/>
        <v>0</v>
      </c>
      <c r="S161" s="5" t="str">
        <f t="shared" si="27"/>
        <v>Comércio varejista de medicamentos veterinários</v>
      </c>
      <c r="U161" s="5">
        <f ca="1">COUNTIF(R$10:R161,R161)</f>
        <v>144</v>
      </c>
      <c r="V161" s="5" t="str">
        <f t="shared" ca="1" si="28"/>
        <v>0144</v>
      </c>
      <c r="W161" s="5" t="str">
        <f t="shared" ca="1" si="29"/>
        <v>Comércio varejista de medicamentos veterinários</v>
      </c>
      <c r="Y161" s="5">
        <v>152</v>
      </c>
      <c r="Z161" s="5">
        <f t="shared" ca="1" si="31"/>
        <v>0</v>
      </c>
      <c r="AA161" s="5" t="str">
        <f t="shared" ca="1" si="32"/>
        <v>Guarda-móveis</v>
      </c>
      <c r="AB161" s="5">
        <f ca="1">COUNTIF(R$10:R161,R161)</f>
        <v>144</v>
      </c>
      <c r="AC161" s="5" t="str">
        <f t="shared" ca="1" si="33"/>
        <v>0144</v>
      </c>
      <c r="AD161" s="5" t="str">
        <f t="shared" ca="1" si="34"/>
        <v>Comércio varejista de medicamentos veterinários</v>
      </c>
      <c r="AE161" s="5">
        <f t="shared" ca="1" si="35"/>
        <v>0</v>
      </c>
    </row>
    <row r="162" spans="4:31" ht="15.6" thickTop="1" thickBot="1" x14ac:dyDescent="0.35">
      <c r="D162" s="57"/>
      <c r="E162" s="58"/>
      <c r="F162" s="59"/>
      <c r="G162" s="59"/>
      <c r="H162" s="59"/>
      <c r="I162" s="60"/>
      <c r="J162" s="61"/>
      <c r="K162" s="61"/>
      <c r="M162" s="9" t="str">
        <f t="shared" si="25"/>
        <v/>
      </c>
      <c r="N162" s="5" t="str">
        <f t="shared" si="36"/>
        <v/>
      </c>
      <c r="O162" s="5" t="str">
        <f t="shared" si="30"/>
        <v/>
      </c>
      <c r="Q162" s="5" t="str">
        <f>'CNAE_Cód.Atividade Econômica'!B142</f>
        <v>Comércio varejista de cosméticos, produtos de perfumaria e de higiene pessoal</v>
      </c>
      <c r="R162" s="5">
        <f t="shared" ca="1" si="26"/>
        <v>0</v>
      </c>
      <c r="S162" s="5" t="str">
        <f t="shared" si="27"/>
        <v>Comércio varejista de cosméticos, produtos de perfumaria e de higiene pessoal</v>
      </c>
      <c r="U162" s="5">
        <f ca="1">COUNTIF(R$10:R162,R162)</f>
        <v>145</v>
      </c>
      <c r="V162" s="5" t="str">
        <f t="shared" ca="1" si="28"/>
        <v>0145</v>
      </c>
      <c r="W162" s="5" t="str">
        <f t="shared" ca="1" si="29"/>
        <v>Comércio varejista de cosméticos, produtos de perfumaria e de higiene pessoal</v>
      </c>
      <c r="Y162" s="5">
        <v>153</v>
      </c>
      <c r="Z162" s="5">
        <f t="shared" ca="1" si="31"/>
        <v>0</v>
      </c>
      <c r="AA162" s="5" t="str">
        <f t="shared" ca="1" si="32"/>
        <v>Guarda-móveis</v>
      </c>
      <c r="AB162" s="5">
        <f ca="1">COUNTIF(R$10:R162,R162)</f>
        <v>145</v>
      </c>
      <c r="AC162" s="5" t="str">
        <f t="shared" ca="1" si="33"/>
        <v>0145</v>
      </c>
      <c r="AD162" s="5" t="str">
        <f t="shared" ca="1" si="34"/>
        <v>Comércio varejista de cosméticos, produtos de perfumaria e de higiene pessoal</v>
      </c>
      <c r="AE162" s="5">
        <f t="shared" ca="1" si="35"/>
        <v>0</v>
      </c>
    </row>
    <row r="163" spans="4:31" ht="15.6" thickTop="1" thickBot="1" x14ac:dyDescent="0.35">
      <c r="D163" s="57"/>
      <c r="E163" s="58"/>
      <c r="F163" s="59"/>
      <c r="G163" s="59"/>
      <c r="H163" s="59"/>
      <c r="I163" s="60"/>
      <c r="J163" s="61"/>
      <c r="K163" s="61"/>
      <c r="M163" s="9" t="str">
        <f t="shared" si="25"/>
        <v/>
      </c>
      <c r="N163" s="5" t="str">
        <f t="shared" si="36"/>
        <v/>
      </c>
      <c r="O163" s="5" t="str">
        <f t="shared" si="30"/>
        <v/>
      </c>
      <c r="Q163" s="5" t="str">
        <f>'CNAE_Cód.Atividade Econômica'!B143</f>
        <v>Comércio varejista de artigos médicos e ortopédicos</v>
      </c>
      <c r="R163" s="5">
        <f t="shared" ca="1" si="26"/>
        <v>0</v>
      </c>
      <c r="S163" s="5" t="str">
        <f t="shared" si="27"/>
        <v>Comércio varejista de artigos médicos e ortopédicos</v>
      </c>
      <c r="U163" s="5">
        <f ca="1">COUNTIF(R$10:R163,R163)</f>
        <v>146</v>
      </c>
      <c r="V163" s="5" t="str">
        <f t="shared" ca="1" si="28"/>
        <v>0146</v>
      </c>
      <c r="W163" s="5" t="str">
        <f t="shared" ca="1" si="29"/>
        <v>Comércio varejista de artigos médicos e ortopédicos</v>
      </c>
      <c r="Y163" s="5">
        <v>154</v>
      </c>
      <c r="Z163" s="5">
        <f t="shared" ca="1" si="31"/>
        <v>0</v>
      </c>
      <c r="AA163" s="5" t="str">
        <f t="shared" ca="1" si="32"/>
        <v>Guarda-móveis</v>
      </c>
      <c r="AB163" s="5">
        <f ca="1">COUNTIF(R$10:R163,R163)</f>
        <v>146</v>
      </c>
      <c r="AC163" s="5" t="str">
        <f t="shared" ca="1" si="33"/>
        <v>0146</v>
      </c>
      <c r="AD163" s="5" t="str">
        <f t="shared" ca="1" si="34"/>
        <v>Comércio varejista de artigos médicos e ortopédicos</v>
      </c>
      <c r="AE163" s="5">
        <f t="shared" ca="1" si="35"/>
        <v>0</v>
      </c>
    </row>
    <row r="164" spans="4:31" ht="15.6" thickTop="1" thickBot="1" x14ac:dyDescent="0.35">
      <c r="D164" s="57"/>
      <c r="E164" s="58"/>
      <c r="F164" s="59"/>
      <c r="G164" s="59"/>
      <c r="H164" s="59"/>
      <c r="I164" s="60"/>
      <c r="J164" s="61"/>
      <c r="K164" s="61"/>
      <c r="M164" s="9" t="str">
        <f t="shared" si="25"/>
        <v/>
      </c>
      <c r="N164" s="5" t="str">
        <f t="shared" si="36"/>
        <v/>
      </c>
      <c r="O164" s="5" t="str">
        <f t="shared" si="30"/>
        <v/>
      </c>
      <c r="Q164" s="5" t="str">
        <f>'CNAE_Cód.Atividade Econômica'!B144</f>
        <v>Comércio varejista de artigos de óptica</v>
      </c>
      <c r="R164" s="5">
        <f t="shared" ca="1" si="26"/>
        <v>0</v>
      </c>
      <c r="S164" s="5" t="str">
        <f t="shared" si="27"/>
        <v>Comércio varejista de artigos de óptica</v>
      </c>
      <c r="U164" s="5">
        <f ca="1">COUNTIF(R$10:R164,R164)</f>
        <v>147</v>
      </c>
      <c r="V164" s="5" t="str">
        <f t="shared" ca="1" si="28"/>
        <v>0147</v>
      </c>
      <c r="W164" s="5" t="str">
        <f t="shared" ca="1" si="29"/>
        <v>Comércio varejista de artigos de óptica</v>
      </c>
      <c r="Y164" s="5">
        <v>155</v>
      </c>
      <c r="Z164" s="5">
        <f t="shared" ca="1" si="31"/>
        <v>0</v>
      </c>
      <c r="AA164" s="5" t="str">
        <f t="shared" ca="1" si="32"/>
        <v>Guarda-móveis</v>
      </c>
      <c r="AB164" s="5">
        <f ca="1">COUNTIF(R$10:R164,R164)</f>
        <v>147</v>
      </c>
      <c r="AC164" s="5" t="str">
        <f t="shared" ca="1" si="33"/>
        <v>0147</v>
      </c>
      <c r="AD164" s="5" t="str">
        <f t="shared" ca="1" si="34"/>
        <v>Comércio varejista de artigos de óptica</v>
      </c>
      <c r="AE164" s="5">
        <f t="shared" ca="1" si="35"/>
        <v>0</v>
      </c>
    </row>
    <row r="165" spans="4:31" ht="15.6" thickTop="1" thickBot="1" x14ac:dyDescent="0.35">
      <c r="D165" s="57"/>
      <c r="E165" s="58"/>
      <c r="F165" s="59"/>
      <c r="G165" s="59"/>
      <c r="H165" s="59"/>
      <c r="I165" s="60"/>
      <c r="J165" s="61"/>
      <c r="K165" s="61"/>
      <c r="M165" s="9" t="str">
        <f t="shared" si="25"/>
        <v/>
      </c>
      <c r="N165" s="5" t="str">
        <f t="shared" si="36"/>
        <v/>
      </c>
      <c r="O165" s="5" t="str">
        <f t="shared" si="30"/>
        <v/>
      </c>
      <c r="Q165" s="5" t="str">
        <f>'CNAE_Cód.Atividade Econômica'!B145</f>
        <v>Comércio varejista de artigos do vestuário e acessórios</v>
      </c>
      <c r="R165" s="5">
        <f t="shared" ca="1" si="26"/>
        <v>0</v>
      </c>
      <c r="S165" s="5" t="str">
        <f t="shared" si="27"/>
        <v>Comércio varejista de artigos do vestuário e acessórios</v>
      </c>
      <c r="U165" s="5">
        <f ca="1">COUNTIF(R$10:R165,R165)</f>
        <v>148</v>
      </c>
      <c r="V165" s="5" t="str">
        <f t="shared" ca="1" si="28"/>
        <v>0148</v>
      </c>
      <c r="W165" s="5" t="str">
        <f t="shared" ca="1" si="29"/>
        <v>Comércio varejista de artigos do vestuário e acessórios</v>
      </c>
      <c r="Y165" s="5">
        <v>156</v>
      </c>
      <c r="Z165" s="5">
        <f t="shared" ca="1" si="31"/>
        <v>0</v>
      </c>
      <c r="AA165" s="5" t="str">
        <f t="shared" ca="1" si="32"/>
        <v>Guarda-móveis</v>
      </c>
      <c r="AB165" s="5">
        <f ca="1">COUNTIF(R$10:R165,R165)</f>
        <v>148</v>
      </c>
      <c r="AC165" s="5" t="str">
        <f t="shared" ca="1" si="33"/>
        <v>0148</v>
      </c>
      <c r="AD165" s="5" t="str">
        <f t="shared" ca="1" si="34"/>
        <v>Comércio varejista de artigos do vestuário e acessórios</v>
      </c>
      <c r="AE165" s="5">
        <f t="shared" ca="1" si="35"/>
        <v>0</v>
      </c>
    </row>
    <row r="166" spans="4:31" ht="15.6" thickTop="1" thickBot="1" x14ac:dyDescent="0.35">
      <c r="D166" s="57"/>
      <c r="E166" s="58"/>
      <c r="F166" s="59"/>
      <c r="G166" s="59"/>
      <c r="H166" s="59"/>
      <c r="I166" s="60"/>
      <c r="J166" s="61"/>
      <c r="K166" s="61"/>
      <c r="M166" s="9" t="str">
        <f t="shared" si="25"/>
        <v/>
      </c>
      <c r="N166" s="5" t="str">
        <f t="shared" si="36"/>
        <v/>
      </c>
      <c r="O166" s="5" t="str">
        <f t="shared" si="30"/>
        <v/>
      </c>
      <c r="Q166" s="5" t="str">
        <f>'CNAE_Cód.Atividade Econômica'!B146</f>
        <v>Comércio varejista de calçados</v>
      </c>
      <c r="R166" s="5">
        <f t="shared" ca="1" si="26"/>
        <v>0</v>
      </c>
      <c r="S166" s="5" t="str">
        <f t="shared" si="27"/>
        <v>Comércio varejista de calçados</v>
      </c>
      <c r="U166" s="5">
        <f ca="1">COUNTIF(R$10:R166,R166)</f>
        <v>149</v>
      </c>
      <c r="V166" s="5" t="str">
        <f t="shared" ca="1" si="28"/>
        <v>0149</v>
      </c>
      <c r="W166" s="5" t="str">
        <f t="shared" ca="1" si="29"/>
        <v>Comércio varejista de calçados</v>
      </c>
      <c r="Y166" s="5">
        <v>157</v>
      </c>
      <c r="Z166" s="5">
        <f t="shared" ca="1" si="31"/>
        <v>0</v>
      </c>
      <c r="AA166" s="5" t="str">
        <f t="shared" ca="1" si="32"/>
        <v>Guarda-móveis</v>
      </c>
      <c r="AB166" s="5">
        <f ca="1">COUNTIF(R$10:R166,R166)</f>
        <v>149</v>
      </c>
      <c r="AC166" s="5" t="str">
        <f t="shared" ca="1" si="33"/>
        <v>0149</v>
      </c>
      <c r="AD166" s="5" t="str">
        <f t="shared" ca="1" si="34"/>
        <v>Comércio varejista de calçados</v>
      </c>
      <c r="AE166" s="5">
        <f t="shared" ca="1" si="35"/>
        <v>0</v>
      </c>
    </row>
    <row r="167" spans="4:31" ht="15.6" thickTop="1" thickBot="1" x14ac:dyDescent="0.35">
      <c r="D167" s="57"/>
      <c r="E167" s="58"/>
      <c r="F167" s="59"/>
      <c r="G167" s="59"/>
      <c r="H167" s="59"/>
      <c r="I167" s="60"/>
      <c r="J167" s="61"/>
      <c r="K167" s="61"/>
      <c r="M167" s="9" t="str">
        <f t="shared" si="25"/>
        <v/>
      </c>
      <c r="N167" s="5" t="str">
        <f t="shared" si="36"/>
        <v/>
      </c>
      <c r="O167" s="5" t="str">
        <f t="shared" si="30"/>
        <v/>
      </c>
      <c r="Q167" s="5" t="str">
        <f>'CNAE_Cód.Atividade Econômica'!B147</f>
        <v>Comércio varejista de artigos de viagem</v>
      </c>
      <c r="R167" s="5">
        <f t="shared" ca="1" si="26"/>
        <v>0</v>
      </c>
      <c r="S167" s="5" t="str">
        <f t="shared" si="27"/>
        <v>Comércio varejista de artigos de viagem</v>
      </c>
      <c r="U167" s="5">
        <f ca="1">COUNTIF(R$10:R167,R167)</f>
        <v>150</v>
      </c>
      <c r="V167" s="5" t="str">
        <f t="shared" ca="1" si="28"/>
        <v>0150</v>
      </c>
      <c r="W167" s="5" t="str">
        <f t="shared" ca="1" si="29"/>
        <v>Comércio varejista de artigos de viagem</v>
      </c>
      <c r="Y167" s="5">
        <v>158</v>
      </c>
      <c r="Z167" s="5">
        <f t="shared" ca="1" si="31"/>
        <v>0</v>
      </c>
      <c r="AA167" s="5" t="str">
        <f t="shared" ca="1" si="32"/>
        <v>Guarda-móveis</v>
      </c>
      <c r="AB167" s="5">
        <f ca="1">COUNTIF(R$10:R167,R167)</f>
        <v>150</v>
      </c>
      <c r="AC167" s="5" t="str">
        <f t="shared" ca="1" si="33"/>
        <v>0150</v>
      </c>
      <c r="AD167" s="5" t="str">
        <f t="shared" ca="1" si="34"/>
        <v>Comércio varejista de artigos de viagem</v>
      </c>
      <c r="AE167" s="5">
        <f t="shared" ca="1" si="35"/>
        <v>0</v>
      </c>
    </row>
    <row r="168" spans="4:31" ht="15.6" thickTop="1" thickBot="1" x14ac:dyDescent="0.35">
      <c r="D168" s="57"/>
      <c r="E168" s="58"/>
      <c r="F168" s="59"/>
      <c r="G168" s="59"/>
      <c r="H168" s="59"/>
      <c r="I168" s="60"/>
      <c r="J168" s="61"/>
      <c r="K168" s="61"/>
      <c r="M168" s="9" t="str">
        <f t="shared" si="25"/>
        <v/>
      </c>
      <c r="N168" s="5" t="str">
        <f t="shared" si="36"/>
        <v/>
      </c>
      <c r="O168" s="5" t="str">
        <f t="shared" si="30"/>
        <v/>
      </c>
      <c r="Q168" s="5" t="str">
        <f>'CNAE_Cód.Atividade Econômica'!B154</f>
        <v>Comércio varejista de produtos saneantes domissanitários</v>
      </c>
      <c r="R168" s="5">
        <f t="shared" ca="1" si="26"/>
        <v>0</v>
      </c>
      <c r="S168" s="5" t="str">
        <f t="shared" si="27"/>
        <v>Comércio varejista de produtos saneantes domissanitários</v>
      </c>
      <c r="U168" s="5">
        <f ca="1">COUNTIF(R$10:R168,R168)</f>
        <v>151</v>
      </c>
      <c r="V168" s="5" t="str">
        <f t="shared" ca="1" si="28"/>
        <v>0151</v>
      </c>
      <c r="W168" s="5" t="str">
        <f t="shared" ca="1" si="29"/>
        <v>Comércio varejista de produtos saneantes domissanitários</v>
      </c>
      <c r="Y168" s="5">
        <v>159</v>
      </c>
      <c r="Z168" s="5">
        <f t="shared" ca="1" si="31"/>
        <v>0</v>
      </c>
      <c r="AA168" s="5" t="str">
        <f t="shared" ca="1" si="32"/>
        <v>Guarda-móveis</v>
      </c>
      <c r="AB168" s="5">
        <f ca="1">COUNTIF(R$10:R168,R168)</f>
        <v>151</v>
      </c>
      <c r="AC168" s="5" t="str">
        <f t="shared" ca="1" si="33"/>
        <v>0151</v>
      </c>
      <c r="AD168" s="5" t="str">
        <f t="shared" ca="1" si="34"/>
        <v>Comércio varejista de produtos saneantes domissanitários</v>
      </c>
      <c r="AE168" s="5">
        <f t="shared" ca="1" si="35"/>
        <v>0</v>
      </c>
    </row>
    <row r="169" spans="4:31" ht="15.6" thickTop="1" thickBot="1" x14ac:dyDescent="0.35">
      <c r="D169" s="57"/>
      <c r="E169" s="58"/>
      <c r="F169" s="59"/>
      <c r="G169" s="59"/>
      <c r="H169" s="59"/>
      <c r="I169" s="60"/>
      <c r="J169" s="61"/>
      <c r="K169" s="61"/>
      <c r="M169" s="9" t="str">
        <f t="shared" si="25"/>
        <v/>
      </c>
      <c r="N169" s="5" t="str">
        <f t="shared" si="36"/>
        <v/>
      </c>
      <c r="O169" s="5" t="str">
        <f t="shared" si="30"/>
        <v/>
      </c>
      <c r="Q169" s="5" t="str">
        <f>'CNAE_Cód.Atividade Econômica'!B155</f>
        <v>Comércio varejista de fogos de artifício e artigos pirotécnicos</v>
      </c>
      <c r="R169" s="5">
        <f t="shared" ca="1" si="26"/>
        <v>0</v>
      </c>
      <c r="S169" s="5" t="str">
        <f t="shared" si="27"/>
        <v>Comércio varejista de fogos de artifício e artigos pirotécnicos</v>
      </c>
      <c r="U169" s="5">
        <f ca="1">COUNTIF(R$10:R169,R169)</f>
        <v>152</v>
      </c>
      <c r="V169" s="5" t="str">
        <f t="shared" ca="1" si="28"/>
        <v>0152</v>
      </c>
      <c r="W169" s="5" t="str">
        <f t="shared" ca="1" si="29"/>
        <v>Comércio varejista de fogos de artifício e artigos pirotécnicos</v>
      </c>
      <c r="Y169" s="5">
        <v>160</v>
      </c>
      <c r="Z169" s="5">
        <f t="shared" ca="1" si="31"/>
        <v>0</v>
      </c>
      <c r="AA169" s="5" t="str">
        <f t="shared" ca="1" si="32"/>
        <v>Guarda-móveis</v>
      </c>
      <c r="AB169" s="5">
        <f ca="1">COUNTIF(R$10:R169,R169)</f>
        <v>152</v>
      </c>
      <c r="AC169" s="5" t="str">
        <f t="shared" ca="1" si="33"/>
        <v>0152</v>
      </c>
      <c r="AD169" s="5" t="str">
        <f t="shared" ca="1" si="34"/>
        <v>Comércio varejista de fogos de artifício e artigos pirotécnicos</v>
      </c>
      <c r="AE169" s="5">
        <f t="shared" ca="1" si="35"/>
        <v>0</v>
      </c>
    </row>
    <row r="170" spans="4:31" ht="15.6" thickTop="1" thickBot="1" x14ac:dyDescent="0.35">
      <c r="D170" s="57"/>
      <c r="E170" s="58"/>
      <c r="F170" s="59"/>
      <c r="G170" s="59"/>
      <c r="H170" s="59"/>
      <c r="I170" s="60"/>
      <c r="J170" s="61"/>
      <c r="K170" s="61"/>
      <c r="M170" s="9" t="str">
        <f t="shared" si="25"/>
        <v/>
      </c>
      <c r="N170" s="5" t="str">
        <f t="shared" si="36"/>
        <v/>
      </c>
      <c r="O170" s="5" t="str">
        <f t="shared" si="30"/>
        <v/>
      </c>
      <c r="Q170" s="5" t="str">
        <f>'CNAE_Cód.Atividade Econômica'!B156</f>
        <v>Comércio varejista de equipamentos para escritório</v>
      </c>
      <c r="R170" s="5">
        <f t="shared" ca="1" si="26"/>
        <v>0</v>
      </c>
      <c r="S170" s="5" t="str">
        <f t="shared" si="27"/>
        <v>Comércio varejista de equipamentos para escritório</v>
      </c>
      <c r="U170" s="5">
        <f ca="1">COUNTIF(R$10:R170,R170)</f>
        <v>153</v>
      </c>
      <c r="V170" s="5" t="str">
        <f t="shared" ca="1" si="28"/>
        <v>0153</v>
      </c>
      <c r="W170" s="5" t="str">
        <f t="shared" ca="1" si="29"/>
        <v>Comércio varejista de equipamentos para escritório</v>
      </c>
      <c r="Y170" s="5">
        <v>161</v>
      </c>
      <c r="Z170" s="5">
        <f t="shared" ca="1" si="31"/>
        <v>0</v>
      </c>
      <c r="AA170" s="5" t="str">
        <f t="shared" ca="1" si="32"/>
        <v>Guarda-móveis</v>
      </c>
      <c r="AB170" s="5">
        <f ca="1">COUNTIF(R$10:R170,R170)</f>
        <v>153</v>
      </c>
      <c r="AC170" s="5" t="str">
        <f t="shared" ca="1" si="33"/>
        <v>0153</v>
      </c>
      <c r="AD170" s="5" t="str">
        <f t="shared" ca="1" si="34"/>
        <v>Comércio varejista de equipamentos para escritório</v>
      </c>
      <c r="AE170" s="5">
        <f t="shared" ca="1" si="35"/>
        <v>0</v>
      </c>
    </row>
    <row r="171" spans="4:31" ht="15.6" thickTop="1" thickBot="1" x14ac:dyDescent="0.35">
      <c r="D171" s="57"/>
      <c r="E171" s="58"/>
      <c r="F171" s="59"/>
      <c r="G171" s="59"/>
      <c r="H171" s="59"/>
      <c r="I171" s="60"/>
      <c r="J171" s="61"/>
      <c r="K171" s="61"/>
      <c r="M171" s="9" t="str">
        <f t="shared" si="25"/>
        <v/>
      </c>
      <c r="N171" s="5" t="str">
        <f t="shared" si="36"/>
        <v/>
      </c>
      <c r="O171" s="5" t="str">
        <f t="shared" si="30"/>
        <v/>
      </c>
      <c r="Q171" s="5" t="str">
        <f>'CNAE_Cód.Atividade Econômica'!B157</f>
        <v>Comércio varejista de artigos fotográficos e para filmagem</v>
      </c>
      <c r="R171" s="5">
        <f t="shared" ca="1" si="26"/>
        <v>0</v>
      </c>
      <c r="S171" s="5" t="str">
        <f t="shared" si="27"/>
        <v>Comércio varejista de artigos fotográficos e para filmagem</v>
      </c>
      <c r="U171" s="5">
        <f ca="1">COUNTIF(R$10:R171,R171)</f>
        <v>154</v>
      </c>
      <c r="V171" s="5" t="str">
        <f t="shared" ca="1" si="28"/>
        <v>0154</v>
      </c>
      <c r="W171" s="5" t="str">
        <f t="shared" ca="1" si="29"/>
        <v>Comércio varejista de artigos fotográficos e para filmagem</v>
      </c>
      <c r="Y171" s="5">
        <v>162</v>
      </c>
      <c r="Z171" s="5">
        <f t="shared" ca="1" si="31"/>
        <v>0</v>
      </c>
      <c r="AA171" s="5" t="str">
        <f t="shared" ca="1" si="32"/>
        <v>Guarda-móveis</v>
      </c>
      <c r="AB171" s="5">
        <f ca="1">COUNTIF(R$10:R171,R171)</f>
        <v>154</v>
      </c>
      <c r="AC171" s="5" t="str">
        <f t="shared" ca="1" si="33"/>
        <v>0154</v>
      </c>
      <c r="AD171" s="5" t="str">
        <f t="shared" ca="1" si="34"/>
        <v>Comércio varejista de artigos fotográficos e para filmagem</v>
      </c>
      <c r="AE171" s="5">
        <f t="shared" ca="1" si="35"/>
        <v>0</v>
      </c>
    </row>
    <row r="172" spans="4:31" ht="15.6" thickTop="1" thickBot="1" x14ac:dyDescent="0.35">
      <c r="D172" s="57"/>
      <c r="E172" s="58"/>
      <c r="F172" s="59"/>
      <c r="G172" s="59"/>
      <c r="H172" s="59"/>
      <c r="I172" s="60"/>
      <c r="J172" s="61"/>
      <c r="K172" s="61"/>
      <c r="M172" s="9" t="str">
        <f t="shared" si="25"/>
        <v/>
      </c>
      <c r="N172" s="5" t="str">
        <f t="shared" si="36"/>
        <v/>
      </c>
      <c r="O172" s="5" t="str">
        <f t="shared" si="30"/>
        <v/>
      </c>
      <c r="Q172" s="5" t="str">
        <f>'CNAE_Cód.Atividade Econômica'!B159</f>
        <v>Comércio varejista de outros produtos não especificados anteriormente</v>
      </c>
      <c r="R172" s="5">
        <f t="shared" ca="1" si="26"/>
        <v>0</v>
      </c>
      <c r="S172" s="5" t="str">
        <f t="shared" si="27"/>
        <v>Comércio varejista de outros produtos não especificados anteriormente</v>
      </c>
      <c r="U172" s="5">
        <f ca="1">COUNTIF(R$10:R172,R172)</f>
        <v>155</v>
      </c>
      <c r="V172" s="5" t="str">
        <f t="shared" ca="1" si="28"/>
        <v>0155</v>
      </c>
      <c r="W172" s="5" t="str">
        <f t="shared" ca="1" si="29"/>
        <v>Comércio varejista de outros produtos não especificados anteriormente</v>
      </c>
      <c r="Y172" s="5">
        <v>163</v>
      </c>
      <c r="Z172" s="5">
        <f t="shared" ca="1" si="31"/>
        <v>0</v>
      </c>
      <c r="AA172" s="5" t="str">
        <f t="shared" ca="1" si="32"/>
        <v>Guarda-móveis</v>
      </c>
      <c r="AB172" s="5">
        <f ca="1">COUNTIF(R$10:R172,R172)</f>
        <v>155</v>
      </c>
      <c r="AC172" s="5" t="str">
        <f t="shared" ca="1" si="33"/>
        <v>0155</v>
      </c>
      <c r="AD172" s="5" t="str">
        <f t="shared" ca="1" si="34"/>
        <v>Comércio varejista de outros produtos não especificados anteriormente</v>
      </c>
      <c r="AE172" s="5">
        <f t="shared" ca="1" si="35"/>
        <v>0</v>
      </c>
    </row>
    <row r="173" spans="4:31" ht="15.6" thickTop="1" thickBot="1" x14ac:dyDescent="0.35">
      <c r="D173" s="57"/>
      <c r="E173" s="58"/>
      <c r="F173" s="59"/>
      <c r="G173" s="59"/>
      <c r="H173" s="59"/>
      <c r="I173" s="60"/>
      <c r="J173" s="61"/>
      <c r="K173" s="61"/>
      <c r="M173" s="9" t="str">
        <f t="shared" si="25"/>
        <v/>
      </c>
      <c r="N173" s="5" t="str">
        <f t="shared" si="36"/>
        <v/>
      </c>
      <c r="O173" s="5" t="str">
        <f t="shared" si="30"/>
        <v/>
      </c>
      <c r="Q173" s="5" t="str">
        <f>'CNAE_Cód.Atividade Econômica'!B161</f>
        <v>Serviços de malote não realizados pelo Correio Nacional</v>
      </c>
      <c r="R173" s="5">
        <f t="shared" ca="1" si="26"/>
        <v>0</v>
      </c>
      <c r="S173" s="5" t="str">
        <f t="shared" si="27"/>
        <v>Serviços de malote não realizados pelo Correio Nacional</v>
      </c>
      <c r="U173" s="5">
        <f ca="1">COUNTIF(R$10:R173,R173)</f>
        <v>156</v>
      </c>
      <c r="V173" s="5" t="str">
        <f t="shared" ca="1" si="28"/>
        <v>0156</v>
      </c>
      <c r="W173" s="5" t="str">
        <f t="shared" ca="1" si="29"/>
        <v>Serviços de malote não realizados pelo Correio Nacional</v>
      </c>
      <c r="Y173" s="5">
        <v>164</v>
      </c>
      <c r="Z173" s="5">
        <f t="shared" ca="1" si="31"/>
        <v>0</v>
      </c>
      <c r="AA173" s="5" t="str">
        <f t="shared" ca="1" si="32"/>
        <v>Guarda-móveis</v>
      </c>
      <c r="AB173" s="5">
        <f ca="1">COUNTIF(R$10:R173,R173)</f>
        <v>156</v>
      </c>
      <c r="AC173" s="5" t="str">
        <f t="shared" ca="1" si="33"/>
        <v>0156</v>
      </c>
      <c r="AD173" s="5" t="str">
        <f t="shared" ca="1" si="34"/>
        <v>Serviços de malote não realizados pelo Correio Nacional</v>
      </c>
      <c r="AE173" s="5">
        <f t="shared" ca="1" si="35"/>
        <v>0</v>
      </c>
    </row>
    <row r="174" spans="4:31" ht="15.6" thickTop="1" thickBot="1" x14ac:dyDescent="0.35">
      <c r="D174" s="57"/>
      <c r="E174" s="58"/>
      <c r="F174" s="59"/>
      <c r="G174" s="59"/>
      <c r="H174" s="59"/>
      <c r="I174" s="60"/>
      <c r="J174" s="61"/>
      <c r="K174" s="61"/>
      <c r="M174" s="9" t="str">
        <f t="shared" si="25"/>
        <v/>
      </c>
      <c r="N174" s="5" t="str">
        <f t="shared" si="36"/>
        <v/>
      </c>
      <c r="O174" s="5" t="str">
        <f t="shared" si="30"/>
        <v/>
      </c>
      <c r="Q174" s="5" t="str">
        <f>'CNAE_Cód.Atividade Econômica'!B162</f>
        <v>Serviços de entrega rápida</v>
      </c>
      <c r="R174" s="5">
        <f t="shared" ca="1" si="26"/>
        <v>0</v>
      </c>
      <c r="S174" s="5" t="str">
        <f t="shared" si="27"/>
        <v>Serviços de entrega rápida</v>
      </c>
      <c r="U174" s="5">
        <f ca="1">COUNTIF(R$10:R174,R174)</f>
        <v>157</v>
      </c>
      <c r="V174" s="5" t="str">
        <f t="shared" ca="1" si="28"/>
        <v>0157</v>
      </c>
      <c r="W174" s="5" t="str">
        <f t="shared" ca="1" si="29"/>
        <v>Serviços de entrega rápida</v>
      </c>
      <c r="Y174" s="5">
        <v>165</v>
      </c>
      <c r="Z174" s="5">
        <f t="shared" ca="1" si="31"/>
        <v>0</v>
      </c>
      <c r="AA174" s="5" t="str">
        <f t="shared" ca="1" si="32"/>
        <v>Guarda-móveis</v>
      </c>
      <c r="AB174" s="5">
        <f ca="1">COUNTIF(R$10:R174,R174)</f>
        <v>157</v>
      </c>
      <c r="AC174" s="5" t="str">
        <f t="shared" ca="1" si="33"/>
        <v>0157</v>
      </c>
      <c r="AD174" s="5" t="str">
        <f t="shared" ca="1" si="34"/>
        <v>Serviços de entrega rápida</v>
      </c>
      <c r="AE174" s="5">
        <f t="shared" ca="1" si="35"/>
        <v>0</v>
      </c>
    </row>
    <row r="175" spans="4:31" ht="15.6" thickTop="1" thickBot="1" x14ac:dyDescent="0.35">
      <c r="D175" s="57"/>
      <c r="E175" s="58"/>
      <c r="F175" s="59"/>
      <c r="G175" s="59"/>
      <c r="H175" s="59"/>
      <c r="I175" s="60"/>
      <c r="J175" s="61"/>
      <c r="K175" s="61"/>
      <c r="M175" s="9" t="str">
        <f t="shared" si="25"/>
        <v/>
      </c>
      <c r="N175" s="5" t="str">
        <f t="shared" si="36"/>
        <v/>
      </c>
      <c r="O175" s="5" t="str">
        <f t="shared" si="30"/>
        <v/>
      </c>
      <c r="Q175" s="5" t="str">
        <f>'CNAE_Cód.Atividade Econômica'!B163</f>
        <v>Hotéis</v>
      </c>
      <c r="R175" s="5">
        <f t="shared" ca="1" si="26"/>
        <v>0</v>
      </c>
      <c r="S175" s="5" t="str">
        <f t="shared" si="27"/>
        <v>Hotéis</v>
      </c>
      <c r="U175" s="5">
        <f ca="1">COUNTIF(R$10:R175,R175)</f>
        <v>158</v>
      </c>
      <c r="V175" s="5" t="str">
        <f t="shared" ca="1" si="28"/>
        <v>0158</v>
      </c>
      <c r="W175" s="5" t="str">
        <f t="shared" ca="1" si="29"/>
        <v>Hotéis</v>
      </c>
      <c r="Y175" s="5">
        <v>166</v>
      </c>
      <c r="Z175" s="5">
        <f t="shared" ca="1" si="31"/>
        <v>0</v>
      </c>
      <c r="AA175" s="5" t="str">
        <f t="shared" ca="1" si="32"/>
        <v>Guarda-móveis</v>
      </c>
      <c r="AB175" s="5">
        <f ca="1">COUNTIF(R$10:R175,R175)</f>
        <v>158</v>
      </c>
      <c r="AC175" s="5" t="str">
        <f t="shared" ca="1" si="33"/>
        <v>0158</v>
      </c>
      <c r="AD175" s="5" t="str">
        <f t="shared" ca="1" si="34"/>
        <v>Hotéis</v>
      </c>
      <c r="AE175" s="5">
        <f t="shared" ca="1" si="35"/>
        <v>0</v>
      </c>
    </row>
    <row r="176" spans="4:31" ht="15.6" thickTop="1" thickBot="1" x14ac:dyDescent="0.35">
      <c r="D176" s="57"/>
      <c r="E176" s="58"/>
      <c r="F176" s="59"/>
      <c r="G176" s="59"/>
      <c r="H176" s="59"/>
      <c r="I176" s="60"/>
      <c r="J176" s="61"/>
      <c r="K176" s="61"/>
      <c r="M176" s="9" t="str">
        <f t="shared" si="25"/>
        <v/>
      </c>
      <c r="N176" s="5" t="str">
        <f t="shared" si="36"/>
        <v/>
      </c>
      <c r="O176" s="5" t="str">
        <f t="shared" si="30"/>
        <v/>
      </c>
      <c r="Q176" s="5" t="str">
        <f>'CNAE_Cód.Atividade Econômica'!B164</f>
        <v>Apart-hotéis</v>
      </c>
      <c r="R176" s="5">
        <f t="shared" ca="1" si="26"/>
        <v>0</v>
      </c>
      <c r="S176" s="5" t="str">
        <f t="shared" si="27"/>
        <v>Apart-hotéis</v>
      </c>
      <c r="U176" s="5">
        <f ca="1">COUNTIF(R$10:R176,R176)</f>
        <v>159</v>
      </c>
      <c r="V176" s="5" t="str">
        <f t="shared" ca="1" si="28"/>
        <v>0159</v>
      </c>
      <c r="W176" s="5" t="str">
        <f t="shared" ca="1" si="29"/>
        <v>Apart-hotéis</v>
      </c>
      <c r="Y176" s="5">
        <v>167</v>
      </c>
      <c r="Z176" s="5">
        <f t="shared" ca="1" si="31"/>
        <v>0</v>
      </c>
      <c r="AA176" s="5" t="str">
        <f t="shared" ca="1" si="32"/>
        <v>Guarda-móveis</v>
      </c>
      <c r="AB176" s="5">
        <f ca="1">COUNTIF(R$10:R176,R176)</f>
        <v>159</v>
      </c>
      <c r="AC176" s="5" t="str">
        <f t="shared" ca="1" si="33"/>
        <v>0159</v>
      </c>
      <c r="AD176" s="5" t="str">
        <f t="shared" ca="1" si="34"/>
        <v>Apart-hotéis</v>
      </c>
      <c r="AE176" s="5">
        <f t="shared" ca="1" si="35"/>
        <v>0</v>
      </c>
    </row>
    <row r="177" spans="4:31" ht="15.6" thickTop="1" thickBot="1" x14ac:dyDescent="0.35">
      <c r="D177" s="57"/>
      <c r="E177" s="58"/>
      <c r="F177" s="59"/>
      <c r="G177" s="59"/>
      <c r="H177" s="59"/>
      <c r="I177" s="60"/>
      <c r="J177" s="61"/>
      <c r="K177" s="61"/>
      <c r="M177" s="9" t="str">
        <f t="shared" si="25"/>
        <v/>
      </c>
      <c r="N177" s="5" t="str">
        <f t="shared" si="36"/>
        <v/>
      </c>
      <c r="O177" s="5" t="str">
        <f t="shared" si="30"/>
        <v/>
      </c>
      <c r="Q177" s="5" t="str">
        <f>'CNAE_Cód.Atividade Econômica'!B165</f>
        <v>Motéis</v>
      </c>
      <c r="R177" s="5">
        <f t="shared" ca="1" si="26"/>
        <v>0</v>
      </c>
      <c r="S177" s="5" t="str">
        <f t="shared" si="27"/>
        <v>Motéis</v>
      </c>
      <c r="U177" s="5">
        <f ca="1">COUNTIF(R$10:R177,R177)</f>
        <v>160</v>
      </c>
      <c r="V177" s="5" t="str">
        <f t="shared" ca="1" si="28"/>
        <v>0160</v>
      </c>
      <c r="W177" s="5" t="str">
        <f t="shared" ca="1" si="29"/>
        <v>Motéis</v>
      </c>
      <c r="Y177" s="5">
        <v>168</v>
      </c>
      <c r="Z177" s="5">
        <f t="shared" ca="1" si="31"/>
        <v>0</v>
      </c>
      <c r="AA177" s="5" t="str">
        <f t="shared" ca="1" si="32"/>
        <v>Guarda-móveis</v>
      </c>
      <c r="AB177" s="5">
        <f ca="1">COUNTIF(R$10:R177,R177)</f>
        <v>160</v>
      </c>
      <c r="AC177" s="5" t="str">
        <f t="shared" ca="1" si="33"/>
        <v>0160</v>
      </c>
      <c r="AD177" s="5" t="str">
        <f t="shared" ca="1" si="34"/>
        <v>Motéis</v>
      </c>
      <c r="AE177" s="5">
        <f t="shared" ca="1" si="35"/>
        <v>0</v>
      </c>
    </row>
    <row r="178" spans="4:31" ht="15.6" thickTop="1" thickBot="1" x14ac:dyDescent="0.35">
      <c r="D178" s="57"/>
      <c r="E178" s="58"/>
      <c r="F178" s="59"/>
      <c r="G178" s="59"/>
      <c r="H178" s="59"/>
      <c r="I178" s="60"/>
      <c r="J178" s="61"/>
      <c r="K178" s="61"/>
      <c r="M178" s="9" t="str">
        <f t="shared" si="25"/>
        <v/>
      </c>
      <c r="N178" s="5" t="str">
        <f t="shared" si="36"/>
        <v/>
      </c>
      <c r="O178" s="5" t="str">
        <f t="shared" si="30"/>
        <v/>
      </c>
      <c r="Q178" s="5" t="str">
        <f>'CNAE_Cód.Atividade Econômica'!B166</f>
        <v>Albergues, exceto assistenciais</v>
      </c>
      <c r="R178" s="5">
        <f t="shared" ca="1" si="26"/>
        <v>0</v>
      </c>
      <c r="S178" s="5" t="str">
        <f t="shared" si="27"/>
        <v>Albergues, exceto assistenciais</v>
      </c>
      <c r="U178" s="5">
        <f ca="1">COUNTIF(R$10:R178,R178)</f>
        <v>161</v>
      </c>
      <c r="V178" s="5" t="str">
        <f t="shared" ca="1" si="28"/>
        <v>0161</v>
      </c>
      <c r="W178" s="5" t="str">
        <f t="shared" ca="1" si="29"/>
        <v>Albergues, exceto assistenciais</v>
      </c>
      <c r="Y178" s="5">
        <v>169</v>
      </c>
      <c r="Z178" s="5">
        <f t="shared" ca="1" si="31"/>
        <v>0</v>
      </c>
      <c r="AA178" s="5" t="str">
        <f t="shared" ca="1" si="32"/>
        <v>Guarda-móveis</v>
      </c>
      <c r="AB178" s="5">
        <f ca="1">COUNTIF(R$10:R178,R178)</f>
        <v>161</v>
      </c>
      <c r="AC178" s="5" t="str">
        <f t="shared" ca="1" si="33"/>
        <v>0161</v>
      </c>
      <c r="AD178" s="5" t="str">
        <f t="shared" ca="1" si="34"/>
        <v>Albergues, exceto assistenciais</v>
      </c>
      <c r="AE178" s="5">
        <f t="shared" ca="1" si="35"/>
        <v>0</v>
      </c>
    </row>
    <row r="179" spans="4:31" ht="15.6" thickTop="1" thickBot="1" x14ac:dyDescent="0.35">
      <c r="D179" s="57"/>
      <c r="E179" s="58"/>
      <c r="F179" s="59"/>
      <c r="G179" s="59"/>
      <c r="H179" s="59"/>
      <c r="I179" s="60"/>
      <c r="J179" s="61"/>
      <c r="K179" s="61"/>
      <c r="M179" s="9" t="str">
        <f t="shared" si="25"/>
        <v/>
      </c>
      <c r="N179" s="5" t="str">
        <f t="shared" si="36"/>
        <v/>
      </c>
      <c r="O179" s="5" t="str">
        <f t="shared" si="30"/>
        <v/>
      </c>
      <c r="Q179" s="5" t="str">
        <f>'CNAE_Cód.Atividade Econômica'!B168</f>
        <v>Pensões (alojamento)</v>
      </c>
      <c r="R179" s="5">
        <f t="shared" ca="1" si="26"/>
        <v>0</v>
      </c>
      <c r="S179" s="5" t="str">
        <f t="shared" si="27"/>
        <v>Pensões (alojamento)</v>
      </c>
      <c r="U179" s="5">
        <f ca="1">COUNTIF(R$10:R179,R179)</f>
        <v>162</v>
      </c>
      <c r="V179" s="5" t="str">
        <f t="shared" ca="1" si="28"/>
        <v>0162</v>
      </c>
      <c r="W179" s="5" t="str">
        <f t="shared" ca="1" si="29"/>
        <v>Pensões (alojamento)</v>
      </c>
      <c r="Y179" s="5">
        <v>170</v>
      </c>
      <c r="Z179" s="5">
        <f t="shared" ca="1" si="31"/>
        <v>0</v>
      </c>
      <c r="AA179" s="5" t="str">
        <f t="shared" ca="1" si="32"/>
        <v>Guarda-móveis</v>
      </c>
      <c r="AB179" s="5">
        <f ca="1">COUNTIF(R$10:R179,R179)</f>
        <v>162</v>
      </c>
      <c r="AC179" s="5" t="str">
        <f t="shared" ca="1" si="33"/>
        <v>0162</v>
      </c>
      <c r="AD179" s="5" t="str">
        <f t="shared" ca="1" si="34"/>
        <v>Pensões (alojamento)</v>
      </c>
      <c r="AE179" s="5">
        <f t="shared" ca="1" si="35"/>
        <v>0</v>
      </c>
    </row>
    <row r="180" spans="4:31" ht="15.6" thickTop="1" thickBot="1" x14ac:dyDescent="0.35">
      <c r="D180" s="57"/>
      <c r="E180" s="58"/>
      <c r="F180" s="59"/>
      <c r="G180" s="59"/>
      <c r="H180" s="59"/>
      <c r="I180" s="60"/>
      <c r="J180" s="61"/>
      <c r="K180" s="61"/>
      <c r="M180" s="9" t="str">
        <f t="shared" si="25"/>
        <v/>
      </c>
      <c r="N180" s="5" t="str">
        <f t="shared" si="36"/>
        <v/>
      </c>
      <c r="O180" s="5" t="str">
        <f t="shared" si="30"/>
        <v/>
      </c>
      <c r="Q180" s="5" t="str">
        <f>'CNAE_Cód.Atividade Econômica'!B169</f>
        <v>Outros alojamentos não especificados anteriormente</v>
      </c>
      <c r="R180" s="5">
        <f t="shared" ca="1" si="26"/>
        <v>0</v>
      </c>
      <c r="S180" s="5" t="str">
        <f t="shared" si="27"/>
        <v>Outros alojamentos não especificados anteriormente</v>
      </c>
      <c r="U180" s="5">
        <f ca="1">COUNTIF(R$10:R180,R180)</f>
        <v>163</v>
      </c>
      <c r="V180" s="5" t="str">
        <f t="shared" ca="1" si="28"/>
        <v>0163</v>
      </c>
      <c r="W180" s="5" t="str">
        <f t="shared" ca="1" si="29"/>
        <v>Outros alojamentos não especificados anteriormente</v>
      </c>
      <c r="Y180" s="5">
        <v>171</v>
      </c>
      <c r="Z180" s="5">
        <f t="shared" ca="1" si="31"/>
        <v>0</v>
      </c>
      <c r="AA180" s="5" t="str">
        <f t="shared" ca="1" si="32"/>
        <v>Guarda-móveis</v>
      </c>
      <c r="AB180" s="5">
        <f ca="1">COUNTIF(R$10:R180,R180)</f>
        <v>163</v>
      </c>
      <c r="AC180" s="5" t="str">
        <f t="shared" ca="1" si="33"/>
        <v>0163</v>
      </c>
      <c r="AD180" s="5" t="str">
        <f t="shared" ca="1" si="34"/>
        <v>Outros alojamentos não especificados anteriormente</v>
      </c>
      <c r="AE180" s="5">
        <f t="shared" ca="1" si="35"/>
        <v>0</v>
      </c>
    </row>
    <row r="181" spans="4:31" ht="15.6" thickTop="1" thickBot="1" x14ac:dyDescent="0.35">
      <c r="D181" s="57"/>
      <c r="E181" s="58"/>
      <c r="F181" s="59"/>
      <c r="G181" s="59"/>
      <c r="H181" s="59"/>
      <c r="I181" s="60"/>
      <c r="J181" s="61"/>
      <c r="K181" s="61"/>
      <c r="M181" s="9" t="str">
        <f t="shared" si="25"/>
        <v/>
      </c>
      <c r="N181" s="5" t="str">
        <f t="shared" si="36"/>
        <v/>
      </c>
      <c r="O181" s="5" t="str">
        <f t="shared" si="30"/>
        <v/>
      </c>
      <c r="Q181" s="5" t="str">
        <f>'CNAE_Cód.Atividade Econômica'!B170</f>
        <v>Restaurantes e similares</v>
      </c>
      <c r="R181" s="5">
        <f t="shared" ca="1" si="26"/>
        <v>0</v>
      </c>
      <c r="S181" s="5" t="str">
        <f t="shared" si="27"/>
        <v>Restaurantes e similares</v>
      </c>
      <c r="U181" s="5">
        <f ca="1">COUNTIF(R$10:R181,R181)</f>
        <v>164</v>
      </c>
      <c r="V181" s="5" t="str">
        <f t="shared" ca="1" si="28"/>
        <v>0164</v>
      </c>
      <c r="W181" s="5" t="str">
        <f t="shared" ca="1" si="29"/>
        <v>Restaurantes e similares</v>
      </c>
      <c r="Y181" s="5">
        <v>172</v>
      </c>
      <c r="Z181" s="5">
        <f t="shared" ca="1" si="31"/>
        <v>0</v>
      </c>
      <c r="AA181" s="5" t="str">
        <f t="shared" ca="1" si="32"/>
        <v>Guarda-móveis</v>
      </c>
      <c r="AB181" s="5">
        <f ca="1">COUNTIF(R$10:R181,R181)</f>
        <v>164</v>
      </c>
      <c r="AC181" s="5" t="str">
        <f t="shared" ca="1" si="33"/>
        <v>0164</v>
      </c>
      <c r="AD181" s="5" t="str">
        <f t="shared" ca="1" si="34"/>
        <v>Restaurantes e similares</v>
      </c>
      <c r="AE181" s="5">
        <f t="shared" ca="1" si="35"/>
        <v>0</v>
      </c>
    </row>
    <row r="182" spans="4:31" ht="15.6" thickTop="1" thickBot="1" x14ac:dyDescent="0.35">
      <c r="D182" s="57"/>
      <c r="E182" s="58"/>
      <c r="F182" s="59"/>
      <c r="G182" s="59"/>
      <c r="H182" s="59"/>
      <c r="I182" s="60"/>
      <c r="J182" s="61"/>
      <c r="K182" s="61"/>
      <c r="M182" s="9" t="str">
        <f t="shared" si="25"/>
        <v/>
      </c>
      <c r="N182" s="5" t="str">
        <f t="shared" si="36"/>
        <v/>
      </c>
      <c r="O182" s="5" t="str">
        <f t="shared" si="30"/>
        <v/>
      </c>
      <c r="Q182" s="5" t="str">
        <f>'CNAE_Cód.Atividade Econômica'!B171</f>
        <v>Lanchonetes, casas de chá, de sucos e similares</v>
      </c>
      <c r="R182" s="5">
        <f t="shared" ca="1" si="26"/>
        <v>0</v>
      </c>
      <c r="S182" s="5" t="str">
        <f t="shared" si="27"/>
        <v>Lanchonetes, casas de chá, de sucos e similares</v>
      </c>
      <c r="U182" s="5">
        <f ca="1">COUNTIF(R$10:R182,R182)</f>
        <v>165</v>
      </c>
      <c r="V182" s="5" t="str">
        <f t="shared" ca="1" si="28"/>
        <v>0165</v>
      </c>
      <c r="W182" s="5" t="str">
        <f t="shared" ca="1" si="29"/>
        <v>Lanchonetes, casas de chá, de sucos e similares</v>
      </c>
      <c r="Y182" s="5">
        <v>173</v>
      </c>
      <c r="Z182" s="5">
        <f t="shared" ca="1" si="31"/>
        <v>0</v>
      </c>
      <c r="AA182" s="5" t="str">
        <f t="shared" ca="1" si="32"/>
        <v>Guarda-móveis</v>
      </c>
      <c r="AB182" s="5">
        <f ca="1">COUNTIF(R$10:R182,R182)</f>
        <v>165</v>
      </c>
      <c r="AC182" s="5" t="str">
        <f t="shared" ca="1" si="33"/>
        <v>0165</v>
      </c>
      <c r="AD182" s="5" t="str">
        <f t="shared" ca="1" si="34"/>
        <v>Lanchonetes, casas de chá, de sucos e similares</v>
      </c>
      <c r="AE182" s="5">
        <f t="shared" ca="1" si="35"/>
        <v>0</v>
      </c>
    </row>
    <row r="183" spans="4:31" ht="15.6" thickTop="1" thickBot="1" x14ac:dyDescent="0.35">
      <c r="D183" s="57"/>
      <c r="E183" s="58"/>
      <c r="F183" s="59"/>
      <c r="G183" s="59"/>
      <c r="H183" s="59"/>
      <c r="I183" s="60"/>
      <c r="J183" s="61"/>
      <c r="K183" s="61"/>
      <c r="M183" s="9" t="str">
        <f t="shared" si="25"/>
        <v/>
      </c>
      <c r="N183" s="5" t="str">
        <f t="shared" si="36"/>
        <v/>
      </c>
      <c r="O183" s="5" t="str">
        <f t="shared" si="30"/>
        <v/>
      </c>
      <c r="Q183" s="5" t="str">
        <f>'CNAE_Cód.Atividade Econômica'!B172</f>
        <v>Bares e outros estabelecimentos especializados em servir bebidas, sem entretenimento</v>
      </c>
      <c r="R183" s="5">
        <f t="shared" ca="1" si="26"/>
        <v>0</v>
      </c>
      <c r="S183" s="5" t="str">
        <f t="shared" si="27"/>
        <v>Bares e outros estabelecimentos especializados em servir bebidas, sem entretenimento</v>
      </c>
      <c r="U183" s="5">
        <f ca="1">COUNTIF(R$10:R183,R183)</f>
        <v>166</v>
      </c>
      <c r="V183" s="5" t="str">
        <f t="shared" ca="1" si="28"/>
        <v>0166</v>
      </c>
      <c r="W183" s="5" t="str">
        <f t="shared" ca="1" si="29"/>
        <v>Bares e outros estabelecimentos especializados em servir bebidas, sem entretenimento</v>
      </c>
      <c r="Y183" s="5">
        <v>174</v>
      </c>
      <c r="Z183" s="5">
        <f t="shared" ca="1" si="31"/>
        <v>0</v>
      </c>
      <c r="AA183" s="5" t="str">
        <f t="shared" ca="1" si="32"/>
        <v>Guarda-móveis</v>
      </c>
      <c r="AB183" s="5">
        <f ca="1">COUNTIF(R$10:R183,R183)</f>
        <v>166</v>
      </c>
      <c r="AC183" s="5" t="str">
        <f t="shared" ca="1" si="33"/>
        <v>0166</v>
      </c>
      <c r="AD183" s="5" t="str">
        <f t="shared" ca="1" si="34"/>
        <v>Bares e outros estabelecimentos especializados em servir bebidas, sem entretenimento</v>
      </c>
      <c r="AE183" s="5">
        <f t="shared" ca="1" si="35"/>
        <v>0</v>
      </c>
    </row>
    <row r="184" spans="4:31" ht="15.6" thickTop="1" thickBot="1" x14ac:dyDescent="0.35">
      <c r="D184" s="57"/>
      <c r="E184" s="58"/>
      <c r="F184" s="59"/>
      <c r="G184" s="59"/>
      <c r="H184" s="59"/>
      <c r="I184" s="60"/>
      <c r="J184" s="61"/>
      <c r="K184" s="61"/>
      <c r="M184" s="9" t="str">
        <f t="shared" si="25"/>
        <v/>
      </c>
      <c r="N184" s="5" t="str">
        <f t="shared" si="36"/>
        <v/>
      </c>
      <c r="O184" s="5" t="str">
        <f t="shared" si="30"/>
        <v/>
      </c>
      <c r="Q184" s="5" t="str">
        <f>'CNAE_Cód.Atividade Econômica'!B173</f>
        <v>Fornecimento de alimentos preparados preponderantemente para empresas</v>
      </c>
      <c r="R184" s="5">
        <f t="shared" ca="1" si="26"/>
        <v>0</v>
      </c>
      <c r="S184" s="5" t="str">
        <f t="shared" si="27"/>
        <v>Fornecimento de alimentos preparados preponderantemente para empresas</v>
      </c>
      <c r="U184" s="5">
        <f ca="1">COUNTIF(R$10:R184,R184)</f>
        <v>167</v>
      </c>
      <c r="V184" s="5" t="str">
        <f t="shared" ca="1" si="28"/>
        <v>0167</v>
      </c>
      <c r="W184" s="5" t="str">
        <f t="shared" ca="1" si="29"/>
        <v>Fornecimento de alimentos preparados preponderantemente para empresas</v>
      </c>
      <c r="Y184" s="5">
        <v>175</v>
      </c>
      <c r="Z184" s="5">
        <f t="shared" ca="1" si="31"/>
        <v>0</v>
      </c>
      <c r="AA184" s="5" t="str">
        <f t="shared" ca="1" si="32"/>
        <v>Guarda-móveis</v>
      </c>
      <c r="AB184" s="5">
        <f ca="1">COUNTIF(R$10:R184,R184)</f>
        <v>167</v>
      </c>
      <c r="AC184" s="5" t="str">
        <f t="shared" ca="1" si="33"/>
        <v>0167</v>
      </c>
      <c r="AD184" s="5" t="str">
        <f t="shared" ca="1" si="34"/>
        <v>Fornecimento de alimentos preparados preponderantemente para empresas</v>
      </c>
      <c r="AE184" s="5">
        <f t="shared" ca="1" si="35"/>
        <v>0</v>
      </c>
    </row>
    <row r="185" spans="4:31" ht="15.6" thickTop="1" thickBot="1" x14ac:dyDescent="0.35">
      <c r="D185" s="57"/>
      <c r="E185" s="58"/>
      <c r="F185" s="59"/>
      <c r="G185" s="59"/>
      <c r="H185" s="59"/>
      <c r="I185" s="60"/>
      <c r="J185" s="61"/>
      <c r="K185" s="61"/>
      <c r="M185" s="9" t="str">
        <f t="shared" si="25"/>
        <v/>
      </c>
      <c r="N185" s="5" t="str">
        <f t="shared" si="36"/>
        <v/>
      </c>
      <c r="O185" s="5" t="str">
        <f t="shared" si="30"/>
        <v/>
      </c>
      <c r="Q185" s="5" t="str">
        <f>'CNAE_Cód.Atividade Econômica'!B174</f>
        <v>Serviços de alimentação para eventos e recepções – bufê</v>
      </c>
      <c r="R185" s="5">
        <f t="shared" ca="1" si="26"/>
        <v>0</v>
      </c>
      <c r="S185" s="5" t="str">
        <f t="shared" si="27"/>
        <v>Serviços de alimentação para eventos e recepções – bufê</v>
      </c>
      <c r="U185" s="5">
        <f ca="1">COUNTIF(R$10:R185,R185)</f>
        <v>168</v>
      </c>
      <c r="V185" s="5" t="str">
        <f t="shared" ca="1" si="28"/>
        <v>0168</v>
      </c>
      <c r="W185" s="5" t="str">
        <f t="shared" ca="1" si="29"/>
        <v>Serviços de alimentação para eventos e recepções – bufê</v>
      </c>
      <c r="Y185" s="5">
        <v>176</v>
      </c>
      <c r="Z185" s="5">
        <f t="shared" ca="1" si="31"/>
        <v>0</v>
      </c>
      <c r="AA185" s="5" t="str">
        <f t="shared" ca="1" si="32"/>
        <v>Guarda-móveis</v>
      </c>
      <c r="AB185" s="5">
        <f ca="1">COUNTIF(R$10:R185,R185)</f>
        <v>168</v>
      </c>
      <c r="AC185" s="5" t="str">
        <f t="shared" ca="1" si="33"/>
        <v>0168</v>
      </c>
      <c r="AD185" s="5" t="str">
        <f t="shared" ca="1" si="34"/>
        <v>Serviços de alimentação para eventos e recepções – bufê</v>
      </c>
      <c r="AE185" s="5">
        <f t="shared" ca="1" si="35"/>
        <v>0</v>
      </c>
    </row>
    <row r="186" spans="4:31" ht="15.6" thickTop="1" thickBot="1" x14ac:dyDescent="0.35">
      <c r="D186" s="57"/>
      <c r="E186" s="58"/>
      <c r="F186" s="59"/>
      <c r="G186" s="59"/>
      <c r="H186" s="59"/>
      <c r="I186" s="60"/>
      <c r="J186" s="61"/>
      <c r="K186" s="61"/>
      <c r="M186" s="9" t="str">
        <f t="shared" si="25"/>
        <v/>
      </c>
      <c r="N186" s="5" t="str">
        <f t="shared" si="36"/>
        <v/>
      </c>
      <c r="O186" s="5" t="str">
        <f t="shared" si="30"/>
        <v/>
      </c>
      <c r="Q186" s="5" t="str">
        <f>'CNAE_Cód.Atividade Econômica'!B175</f>
        <v>Cantinas – serviços de alimentação privativos</v>
      </c>
      <c r="R186" s="5">
        <f t="shared" ca="1" si="26"/>
        <v>0</v>
      </c>
      <c r="S186" s="5" t="str">
        <f t="shared" si="27"/>
        <v>Cantinas – serviços de alimentação privativos</v>
      </c>
      <c r="U186" s="5">
        <f ca="1">COUNTIF(R$10:R186,R186)</f>
        <v>169</v>
      </c>
      <c r="V186" s="5" t="str">
        <f t="shared" ca="1" si="28"/>
        <v>0169</v>
      </c>
      <c r="W186" s="5" t="str">
        <f t="shared" ca="1" si="29"/>
        <v>Cantinas – serviços de alimentação privativos</v>
      </c>
      <c r="Y186" s="5">
        <v>177</v>
      </c>
      <c r="Z186" s="5">
        <f t="shared" ca="1" si="31"/>
        <v>0</v>
      </c>
      <c r="AA186" s="5" t="str">
        <f t="shared" ca="1" si="32"/>
        <v>Guarda-móveis</v>
      </c>
      <c r="AB186" s="5">
        <f ca="1">COUNTIF(R$10:R186,R186)</f>
        <v>169</v>
      </c>
      <c r="AC186" s="5" t="str">
        <f t="shared" ca="1" si="33"/>
        <v>0169</v>
      </c>
      <c r="AD186" s="5" t="str">
        <f t="shared" ca="1" si="34"/>
        <v>Cantinas – serviços de alimentação privativos</v>
      </c>
      <c r="AE186" s="5">
        <f t="shared" ca="1" si="35"/>
        <v>0</v>
      </c>
    </row>
    <row r="187" spans="4:31" ht="15.6" thickTop="1" thickBot="1" x14ac:dyDescent="0.35">
      <c r="D187" s="57"/>
      <c r="E187" s="58"/>
      <c r="F187" s="59"/>
      <c r="G187" s="59"/>
      <c r="H187" s="59"/>
      <c r="I187" s="60"/>
      <c r="J187" s="61"/>
      <c r="K187" s="61"/>
      <c r="M187" s="9" t="str">
        <f t="shared" si="25"/>
        <v/>
      </c>
      <c r="N187" s="5" t="str">
        <f t="shared" si="36"/>
        <v/>
      </c>
      <c r="O187" s="5" t="str">
        <f t="shared" si="30"/>
        <v/>
      </c>
      <c r="Q187" s="5" t="str">
        <f>'CNAE_Cód.Atividade Econômica'!B176</f>
        <v>Fornecimento de alimentos preparados preponderantemente para consumo domiciliar</v>
      </c>
      <c r="R187" s="5">
        <f t="shared" ca="1" si="26"/>
        <v>0</v>
      </c>
      <c r="S187" s="5" t="str">
        <f t="shared" si="27"/>
        <v>Fornecimento de alimentos preparados preponderantemente para consumo domiciliar</v>
      </c>
      <c r="U187" s="5">
        <f ca="1">COUNTIF(R$10:R187,R187)</f>
        <v>170</v>
      </c>
      <c r="V187" s="5" t="str">
        <f t="shared" ca="1" si="28"/>
        <v>0170</v>
      </c>
      <c r="W187" s="5" t="str">
        <f t="shared" ca="1" si="29"/>
        <v>Fornecimento de alimentos preparados preponderantemente para consumo domiciliar</v>
      </c>
      <c r="Y187" s="5">
        <v>178</v>
      </c>
      <c r="Z187" s="5">
        <f t="shared" ca="1" si="31"/>
        <v>0</v>
      </c>
      <c r="AA187" s="5" t="str">
        <f t="shared" ca="1" si="32"/>
        <v>Guarda-móveis</v>
      </c>
      <c r="AB187" s="5">
        <f ca="1">COUNTIF(R$10:R187,R187)</f>
        <v>170</v>
      </c>
      <c r="AC187" s="5" t="str">
        <f t="shared" ca="1" si="33"/>
        <v>0170</v>
      </c>
      <c r="AD187" s="5" t="str">
        <f t="shared" ca="1" si="34"/>
        <v>Fornecimento de alimentos preparados preponderantemente para consumo domiciliar</v>
      </c>
      <c r="AE187" s="5">
        <f t="shared" ca="1" si="35"/>
        <v>0</v>
      </c>
    </row>
    <row r="188" spans="4:31" ht="15.6" thickTop="1" thickBot="1" x14ac:dyDescent="0.35">
      <c r="D188" s="57"/>
      <c r="E188" s="58"/>
      <c r="F188" s="59"/>
      <c r="G188" s="59"/>
      <c r="H188" s="59"/>
      <c r="I188" s="60"/>
      <c r="J188" s="61"/>
      <c r="K188" s="61"/>
      <c r="M188" s="9" t="str">
        <f t="shared" si="25"/>
        <v/>
      </c>
      <c r="N188" s="5" t="str">
        <f t="shared" si="36"/>
        <v/>
      </c>
      <c r="O188" s="5" t="str">
        <f t="shared" si="30"/>
        <v/>
      </c>
      <c r="Q188" s="5" t="str">
        <f>'CNAE_Cód.Atividade Econômica'!B177</f>
        <v>Edição de livros</v>
      </c>
      <c r="R188" s="5">
        <f t="shared" ca="1" si="26"/>
        <v>0</v>
      </c>
      <c r="S188" s="5" t="str">
        <f t="shared" si="27"/>
        <v>Edição de livros</v>
      </c>
      <c r="U188" s="5">
        <f ca="1">COUNTIF(R$10:R188,R188)</f>
        <v>171</v>
      </c>
      <c r="V188" s="5" t="str">
        <f t="shared" ca="1" si="28"/>
        <v>0171</v>
      </c>
      <c r="W188" s="5" t="str">
        <f t="shared" ca="1" si="29"/>
        <v>Edição de livros</v>
      </c>
      <c r="Y188" s="5">
        <v>179</v>
      </c>
      <c r="Z188" s="5">
        <f t="shared" ca="1" si="31"/>
        <v>0</v>
      </c>
      <c r="AA188" s="5" t="str">
        <f t="shared" ca="1" si="32"/>
        <v>Guarda-móveis</v>
      </c>
      <c r="AB188" s="5">
        <f ca="1">COUNTIF(R$10:R188,R188)</f>
        <v>171</v>
      </c>
      <c r="AC188" s="5" t="str">
        <f t="shared" ca="1" si="33"/>
        <v>0171</v>
      </c>
      <c r="AD188" s="5" t="str">
        <f t="shared" ca="1" si="34"/>
        <v>Edição de livros</v>
      </c>
      <c r="AE188" s="5">
        <f t="shared" ca="1" si="35"/>
        <v>0</v>
      </c>
    </row>
    <row r="189" spans="4:31" ht="15.6" thickTop="1" thickBot="1" x14ac:dyDescent="0.35">
      <c r="D189" s="57"/>
      <c r="E189" s="58"/>
      <c r="F189" s="59"/>
      <c r="G189" s="59"/>
      <c r="H189" s="59"/>
      <c r="I189" s="60"/>
      <c r="J189" s="61"/>
      <c r="K189" s="61"/>
      <c r="M189" s="9" t="str">
        <f t="shared" si="25"/>
        <v/>
      </c>
      <c r="N189" s="5" t="str">
        <f t="shared" si="36"/>
        <v/>
      </c>
      <c r="O189" s="5" t="str">
        <f t="shared" si="30"/>
        <v/>
      </c>
      <c r="Q189" s="5" t="str">
        <f>'CNAE_Cód.Atividade Econômica'!B178</f>
        <v>Edição de jornais diários</v>
      </c>
      <c r="R189" s="5">
        <f t="shared" ca="1" si="26"/>
        <v>0</v>
      </c>
      <c r="S189" s="5" t="str">
        <f t="shared" si="27"/>
        <v>Edição de jornais diários</v>
      </c>
      <c r="U189" s="5">
        <f ca="1">COUNTIF(R$10:R189,R189)</f>
        <v>172</v>
      </c>
      <c r="V189" s="5" t="str">
        <f t="shared" ca="1" si="28"/>
        <v>0172</v>
      </c>
      <c r="W189" s="5" t="str">
        <f t="shared" ca="1" si="29"/>
        <v>Edição de jornais diários</v>
      </c>
      <c r="Y189" s="5">
        <v>180</v>
      </c>
      <c r="Z189" s="5">
        <f t="shared" ca="1" si="31"/>
        <v>0</v>
      </c>
      <c r="AA189" s="5" t="str">
        <f t="shared" ca="1" si="32"/>
        <v>Guarda-móveis</v>
      </c>
      <c r="AB189" s="5">
        <f ca="1">COUNTIF(R$10:R189,R189)</f>
        <v>172</v>
      </c>
      <c r="AC189" s="5" t="str">
        <f t="shared" ca="1" si="33"/>
        <v>0172</v>
      </c>
      <c r="AD189" s="5" t="str">
        <f t="shared" ca="1" si="34"/>
        <v>Edição de jornais diários</v>
      </c>
      <c r="AE189" s="5">
        <f t="shared" ca="1" si="35"/>
        <v>0</v>
      </c>
    </row>
    <row r="190" spans="4:31" ht="15.6" thickTop="1" thickBot="1" x14ac:dyDescent="0.35">
      <c r="D190" s="57"/>
      <c r="E190" s="58"/>
      <c r="F190" s="59"/>
      <c r="G190" s="59"/>
      <c r="H190" s="59"/>
      <c r="I190" s="60"/>
      <c r="J190" s="61"/>
      <c r="K190" s="61"/>
      <c r="M190" s="9" t="str">
        <f t="shared" si="25"/>
        <v/>
      </c>
      <c r="N190" s="5" t="str">
        <f t="shared" si="36"/>
        <v/>
      </c>
      <c r="O190" s="5" t="str">
        <f t="shared" si="30"/>
        <v/>
      </c>
      <c r="Q190" s="5" t="str">
        <f>'CNAE_Cód.Atividade Econômica'!B179</f>
        <v>Edição de jornais não diários</v>
      </c>
      <c r="R190" s="5">
        <f t="shared" ca="1" si="26"/>
        <v>0</v>
      </c>
      <c r="S190" s="5" t="str">
        <f t="shared" si="27"/>
        <v>Edição de jornais não diários</v>
      </c>
      <c r="U190" s="5">
        <f ca="1">COUNTIF(R$10:R190,R190)</f>
        <v>173</v>
      </c>
      <c r="V190" s="5" t="str">
        <f t="shared" ca="1" si="28"/>
        <v>0173</v>
      </c>
      <c r="W190" s="5" t="str">
        <f t="shared" ca="1" si="29"/>
        <v>Edição de jornais não diários</v>
      </c>
      <c r="Y190" s="5">
        <v>181</v>
      </c>
      <c r="Z190" s="5">
        <f t="shared" ca="1" si="31"/>
        <v>0</v>
      </c>
      <c r="AA190" s="5" t="str">
        <f t="shared" ca="1" si="32"/>
        <v>Guarda-móveis</v>
      </c>
      <c r="AB190" s="5">
        <f ca="1">COUNTIF(R$10:R190,R190)</f>
        <v>173</v>
      </c>
      <c r="AC190" s="5" t="str">
        <f t="shared" ca="1" si="33"/>
        <v>0173</v>
      </c>
      <c r="AD190" s="5" t="str">
        <f t="shared" ca="1" si="34"/>
        <v>Edição de jornais não diários</v>
      </c>
      <c r="AE190" s="5">
        <f t="shared" ca="1" si="35"/>
        <v>0</v>
      </c>
    </row>
    <row r="191" spans="4:31" ht="15.6" thickTop="1" thickBot="1" x14ac:dyDescent="0.35">
      <c r="D191" s="57"/>
      <c r="E191" s="58"/>
      <c r="F191" s="59"/>
      <c r="G191" s="59"/>
      <c r="H191" s="59"/>
      <c r="I191" s="60"/>
      <c r="J191" s="61"/>
      <c r="K191" s="61"/>
      <c r="M191" s="9" t="str">
        <f t="shared" si="25"/>
        <v/>
      </c>
      <c r="N191" s="5" t="str">
        <f t="shared" si="36"/>
        <v/>
      </c>
      <c r="O191" s="5" t="str">
        <f t="shared" si="30"/>
        <v/>
      </c>
      <c r="Q191" s="5" t="str">
        <f>'CNAE_Cód.Atividade Econômica'!B180</f>
        <v>Edição de revistas</v>
      </c>
      <c r="R191" s="5">
        <f t="shared" ca="1" si="26"/>
        <v>0</v>
      </c>
      <c r="S191" s="5" t="str">
        <f t="shared" si="27"/>
        <v>Edição de revistas</v>
      </c>
      <c r="U191" s="5">
        <f ca="1">COUNTIF(R$10:R191,R191)</f>
        <v>174</v>
      </c>
      <c r="V191" s="5" t="str">
        <f t="shared" ca="1" si="28"/>
        <v>0174</v>
      </c>
      <c r="W191" s="5" t="str">
        <f t="shared" ca="1" si="29"/>
        <v>Edição de revistas</v>
      </c>
      <c r="Y191" s="5">
        <v>182</v>
      </c>
      <c r="Z191" s="5">
        <f t="shared" ca="1" si="31"/>
        <v>0</v>
      </c>
      <c r="AA191" s="5" t="str">
        <f t="shared" ca="1" si="32"/>
        <v>Guarda-móveis</v>
      </c>
      <c r="AB191" s="5">
        <f ca="1">COUNTIF(R$10:R191,R191)</f>
        <v>174</v>
      </c>
      <c r="AC191" s="5" t="str">
        <f t="shared" ca="1" si="33"/>
        <v>0174</v>
      </c>
      <c r="AD191" s="5" t="str">
        <f t="shared" ca="1" si="34"/>
        <v>Edição de revistas</v>
      </c>
      <c r="AE191" s="5">
        <f t="shared" ca="1" si="35"/>
        <v>0</v>
      </c>
    </row>
    <row r="192" spans="4:31" ht="15.6" thickTop="1" thickBot="1" x14ac:dyDescent="0.35">
      <c r="D192" s="57"/>
      <c r="E192" s="58"/>
      <c r="F192" s="59"/>
      <c r="G192" s="59"/>
      <c r="H192" s="59"/>
      <c r="I192" s="60"/>
      <c r="J192" s="61"/>
      <c r="K192" s="61"/>
      <c r="M192" s="9" t="str">
        <f t="shared" si="25"/>
        <v/>
      </c>
      <c r="N192" s="5" t="str">
        <f t="shared" si="36"/>
        <v/>
      </c>
      <c r="O192" s="5" t="str">
        <f t="shared" si="30"/>
        <v/>
      </c>
      <c r="Q192" s="5" t="str">
        <f>'CNAE_Cód.Atividade Econômica'!B181</f>
        <v>Edição de cadastros, listas e outros produtos gráficos</v>
      </c>
      <c r="R192" s="5">
        <f t="shared" ca="1" si="26"/>
        <v>0</v>
      </c>
      <c r="S192" s="5" t="str">
        <f t="shared" si="27"/>
        <v>Edição de cadastros, listas e outros produtos gráficos</v>
      </c>
      <c r="U192" s="5">
        <f ca="1">COUNTIF(R$10:R192,R192)</f>
        <v>175</v>
      </c>
      <c r="V192" s="5" t="str">
        <f t="shared" ca="1" si="28"/>
        <v>0175</v>
      </c>
      <c r="W192" s="5" t="str">
        <f t="shared" ca="1" si="29"/>
        <v>Edição de cadastros, listas e outros produtos gráficos</v>
      </c>
      <c r="Y192" s="5">
        <v>183</v>
      </c>
      <c r="Z192" s="5">
        <f t="shared" ca="1" si="31"/>
        <v>0</v>
      </c>
      <c r="AA192" s="5" t="str">
        <f t="shared" ca="1" si="32"/>
        <v>Guarda-móveis</v>
      </c>
      <c r="AB192" s="5">
        <f ca="1">COUNTIF(R$10:R192,R192)</f>
        <v>175</v>
      </c>
      <c r="AC192" s="5" t="str">
        <f t="shared" ca="1" si="33"/>
        <v>0175</v>
      </c>
      <c r="AD192" s="5" t="str">
        <f t="shared" ca="1" si="34"/>
        <v>Edição de cadastros, listas e outros produtos gráficos</v>
      </c>
      <c r="AE192" s="5">
        <f t="shared" ca="1" si="35"/>
        <v>0</v>
      </c>
    </row>
    <row r="193" spans="4:31" ht="15.6" thickTop="1" thickBot="1" x14ac:dyDescent="0.35">
      <c r="D193" s="57"/>
      <c r="E193" s="58"/>
      <c r="F193" s="59"/>
      <c r="G193" s="59"/>
      <c r="H193" s="59"/>
      <c r="I193" s="60"/>
      <c r="J193" s="61"/>
      <c r="K193" s="61"/>
      <c r="M193" s="9" t="str">
        <f t="shared" si="25"/>
        <v/>
      </c>
      <c r="N193" s="5" t="str">
        <f t="shared" si="36"/>
        <v/>
      </c>
      <c r="O193" s="5" t="str">
        <f t="shared" si="30"/>
        <v/>
      </c>
      <c r="Q193" s="5" t="str">
        <f>'CNAE_Cód.Atividade Econômica'!B182</f>
        <v>Estúdios cinematográficos</v>
      </c>
      <c r="R193" s="5">
        <f t="shared" ca="1" si="26"/>
        <v>0</v>
      </c>
      <c r="S193" s="5" t="str">
        <f t="shared" si="27"/>
        <v>Estúdios cinematográficos</v>
      </c>
      <c r="U193" s="5">
        <f ca="1">COUNTIF(R$10:R193,R193)</f>
        <v>176</v>
      </c>
      <c r="V193" s="5" t="str">
        <f t="shared" ca="1" si="28"/>
        <v>0176</v>
      </c>
      <c r="W193" s="5" t="str">
        <f t="shared" ca="1" si="29"/>
        <v>Estúdios cinematográficos</v>
      </c>
      <c r="Y193" s="5">
        <v>184</v>
      </c>
      <c r="Z193" s="5">
        <f t="shared" ca="1" si="31"/>
        <v>0</v>
      </c>
      <c r="AA193" s="5" t="str">
        <f t="shared" ca="1" si="32"/>
        <v>Guarda-móveis</v>
      </c>
      <c r="AB193" s="5">
        <f ca="1">COUNTIF(R$10:R193,R193)</f>
        <v>176</v>
      </c>
      <c r="AC193" s="5" t="str">
        <f t="shared" ca="1" si="33"/>
        <v>0176</v>
      </c>
      <c r="AD193" s="5" t="str">
        <f t="shared" ca="1" si="34"/>
        <v>Estúdios cinematográficos</v>
      </c>
      <c r="AE193" s="5">
        <f t="shared" ca="1" si="35"/>
        <v>0</v>
      </c>
    </row>
    <row r="194" spans="4:31" ht="15.6" thickTop="1" thickBot="1" x14ac:dyDescent="0.35">
      <c r="D194" s="57"/>
      <c r="E194" s="58"/>
      <c r="F194" s="59"/>
      <c r="G194" s="59"/>
      <c r="H194" s="59"/>
      <c r="I194" s="60"/>
      <c r="J194" s="61"/>
      <c r="K194" s="61"/>
      <c r="M194" s="9" t="str">
        <f t="shared" si="25"/>
        <v/>
      </c>
      <c r="N194" s="5" t="str">
        <f t="shared" si="36"/>
        <v/>
      </c>
      <c r="O194" s="5" t="str">
        <f t="shared" si="30"/>
        <v/>
      </c>
      <c r="Q194" s="5" t="str">
        <f>'CNAE_Cód.Atividade Econômica'!B183</f>
        <v>Produção de filmes para publicidade</v>
      </c>
      <c r="R194" s="5">
        <f t="shared" ca="1" si="26"/>
        <v>0</v>
      </c>
      <c r="S194" s="5" t="str">
        <f t="shared" si="27"/>
        <v>Produção de filmes para publicidade</v>
      </c>
      <c r="U194" s="5">
        <f ca="1">COUNTIF(R$10:R194,R194)</f>
        <v>177</v>
      </c>
      <c r="V194" s="5" t="str">
        <f t="shared" ca="1" si="28"/>
        <v>0177</v>
      </c>
      <c r="W194" s="5" t="str">
        <f t="shared" ca="1" si="29"/>
        <v>Produção de filmes para publicidade</v>
      </c>
      <c r="Y194" s="5">
        <v>185</v>
      </c>
      <c r="Z194" s="5">
        <f t="shared" ca="1" si="31"/>
        <v>0</v>
      </c>
      <c r="AA194" s="5" t="str">
        <f t="shared" ca="1" si="32"/>
        <v>Guarda-móveis</v>
      </c>
      <c r="AB194" s="5">
        <f ca="1">COUNTIF(R$10:R194,R194)</f>
        <v>177</v>
      </c>
      <c r="AC194" s="5" t="str">
        <f t="shared" ca="1" si="33"/>
        <v>0177</v>
      </c>
      <c r="AD194" s="5" t="str">
        <f t="shared" ca="1" si="34"/>
        <v>Produção de filmes para publicidade</v>
      </c>
      <c r="AE194" s="5">
        <f t="shared" ca="1" si="35"/>
        <v>0</v>
      </c>
    </row>
    <row r="195" spans="4:31" ht="15.6" thickTop="1" thickBot="1" x14ac:dyDescent="0.35">
      <c r="D195" s="57"/>
      <c r="E195" s="58"/>
      <c r="F195" s="59"/>
      <c r="G195" s="59"/>
      <c r="H195" s="59"/>
      <c r="I195" s="60"/>
      <c r="J195" s="61"/>
      <c r="K195" s="61"/>
      <c r="M195" s="9" t="str">
        <f t="shared" si="25"/>
        <v/>
      </c>
      <c r="N195" s="5" t="str">
        <f t="shared" si="36"/>
        <v/>
      </c>
      <c r="O195" s="5" t="str">
        <f t="shared" si="30"/>
        <v/>
      </c>
      <c r="Q195" s="5" t="str">
        <f>'CNAE_Cód.Atividade Econômica'!B184</f>
        <v>Atividades de produção cinematográfica, de vídeos e de programas de televisão não especificadas anteriormente</v>
      </c>
      <c r="R195" s="5">
        <f t="shared" ca="1" si="26"/>
        <v>0</v>
      </c>
      <c r="S195" s="5" t="str">
        <f t="shared" si="27"/>
        <v>Atividades de produção cinematográfica, de vídeos e de programas de televisão não especificadas anteriormente</v>
      </c>
      <c r="U195" s="5">
        <f ca="1">COUNTIF(R$10:R195,R195)</f>
        <v>178</v>
      </c>
      <c r="V195" s="5" t="str">
        <f t="shared" ca="1" si="28"/>
        <v>0178</v>
      </c>
      <c r="W195" s="5" t="str">
        <f t="shared" ca="1" si="29"/>
        <v>Atividades de produção cinematográfica, de vídeos e de programas de televisão não especificadas anteriormente</v>
      </c>
      <c r="Y195" s="5">
        <v>186</v>
      </c>
      <c r="Z195" s="5">
        <f t="shared" ca="1" si="31"/>
        <v>0</v>
      </c>
      <c r="AA195" s="5" t="str">
        <f t="shared" ca="1" si="32"/>
        <v>Guarda-móveis</v>
      </c>
      <c r="AB195" s="5">
        <f ca="1">COUNTIF(R$10:R195,R195)</f>
        <v>178</v>
      </c>
      <c r="AC195" s="5" t="str">
        <f t="shared" ca="1" si="33"/>
        <v>0178</v>
      </c>
      <c r="AD195" s="5" t="str">
        <f t="shared" ca="1" si="34"/>
        <v>Atividades de produção cinematográfica, de vídeos e de programas de televisão não especificadas anteriormente</v>
      </c>
      <c r="AE195" s="5">
        <f t="shared" ca="1" si="35"/>
        <v>0</v>
      </c>
    </row>
    <row r="196" spans="4:31" ht="15.6" thickTop="1" thickBot="1" x14ac:dyDescent="0.35">
      <c r="D196" s="57"/>
      <c r="E196" s="58"/>
      <c r="F196" s="59"/>
      <c r="G196" s="59"/>
      <c r="H196" s="59"/>
      <c r="I196" s="60"/>
      <c r="J196" s="61"/>
      <c r="K196" s="61"/>
      <c r="M196" s="9" t="str">
        <f t="shared" si="25"/>
        <v/>
      </c>
      <c r="N196" s="5" t="str">
        <f t="shared" si="36"/>
        <v/>
      </c>
      <c r="O196" s="5" t="str">
        <f t="shared" si="30"/>
        <v/>
      </c>
      <c r="Q196" s="5" t="str">
        <f>'CNAE_Cód.Atividade Econômica'!B185</f>
        <v>Serviços de dublagem</v>
      </c>
      <c r="R196" s="5">
        <f t="shared" ca="1" si="26"/>
        <v>0</v>
      </c>
      <c r="S196" s="5" t="str">
        <f t="shared" si="27"/>
        <v>Serviços de dublagem</v>
      </c>
      <c r="U196" s="5">
        <f ca="1">COUNTIF(R$10:R196,R196)</f>
        <v>179</v>
      </c>
      <c r="V196" s="5" t="str">
        <f t="shared" ca="1" si="28"/>
        <v>0179</v>
      </c>
      <c r="W196" s="5" t="str">
        <f t="shared" ca="1" si="29"/>
        <v>Serviços de dublagem</v>
      </c>
      <c r="Y196" s="5">
        <v>187</v>
      </c>
      <c r="Z196" s="5">
        <f t="shared" ca="1" si="31"/>
        <v>0</v>
      </c>
      <c r="AA196" s="5" t="str">
        <f t="shared" ca="1" si="32"/>
        <v>Guarda-móveis</v>
      </c>
      <c r="AB196" s="5">
        <f ca="1">COUNTIF(R$10:R196,R196)</f>
        <v>179</v>
      </c>
      <c r="AC196" s="5" t="str">
        <f t="shared" ca="1" si="33"/>
        <v>0179</v>
      </c>
      <c r="AD196" s="5" t="str">
        <f t="shared" ca="1" si="34"/>
        <v>Serviços de dublagem</v>
      </c>
      <c r="AE196" s="5">
        <f t="shared" ca="1" si="35"/>
        <v>0</v>
      </c>
    </row>
    <row r="197" spans="4:31" ht="15.6" thickTop="1" thickBot="1" x14ac:dyDescent="0.35">
      <c r="D197" s="57"/>
      <c r="E197" s="58"/>
      <c r="F197" s="59"/>
      <c r="G197" s="59"/>
      <c r="H197" s="59"/>
      <c r="I197" s="60"/>
      <c r="J197" s="61"/>
      <c r="K197" s="61"/>
      <c r="M197" s="9" t="str">
        <f t="shared" si="25"/>
        <v/>
      </c>
      <c r="N197" s="5" t="str">
        <f t="shared" si="36"/>
        <v/>
      </c>
      <c r="O197" s="5" t="str">
        <f t="shared" si="30"/>
        <v/>
      </c>
      <c r="Q197" s="5" t="str">
        <f>'CNAE_Cód.Atividade Econômica'!B186</f>
        <v>Serviços de mixagem sonora em produção audiovisual</v>
      </c>
      <c r="R197" s="5">
        <f t="shared" ca="1" si="26"/>
        <v>0</v>
      </c>
      <c r="S197" s="5" t="str">
        <f t="shared" si="27"/>
        <v>Serviços de mixagem sonora em produção audiovisual</v>
      </c>
      <c r="U197" s="5">
        <f ca="1">COUNTIF(R$10:R197,R197)</f>
        <v>180</v>
      </c>
      <c r="V197" s="5" t="str">
        <f t="shared" ca="1" si="28"/>
        <v>0180</v>
      </c>
      <c r="W197" s="5" t="str">
        <f t="shared" ca="1" si="29"/>
        <v>Serviços de mixagem sonora em produção audiovisual</v>
      </c>
      <c r="Y197" s="5">
        <v>188</v>
      </c>
      <c r="Z197" s="5">
        <f t="shared" ca="1" si="31"/>
        <v>0</v>
      </c>
      <c r="AA197" s="5" t="str">
        <f t="shared" ca="1" si="32"/>
        <v>Guarda-móveis</v>
      </c>
      <c r="AB197" s="5">
        <f ca="1">COUNTIF(R$10:R197,R197)</f>
        <v>180</v>
      </c>
      <c r="AC197" s="5" t="str">
        <f t="shared" ca="1" si="33"/>
        <v>0180</v>
      </c>
      <c r="AD197" s="5" t="str">
        <f t="shared" ca="1" si="34"/>
        <v>Serviços de mixagem sonora em produção audiovisual</v>
      </c>
      <c r="AE197" s="5">
        <f t="shared" ca="1" si="35"/>
        <v>0</v>
      </c>
    </row>
    <row r="198" spans="4:31" ht="15.6" thickTop="1" thickBot="1" x14ac:dyDescent="0.35">
      <c r="D198" s="57"/>
      <c r="E198" s="58"/>
      <c r="F198" s="59"/>
      <c r="G198" s="59"/>
      <c r="H198" s="59"/>
      <c r="I198" s="60"/>
      <c r="J198" s="61"/>
      <c r="K198" s="61"/>
      <c r="M198" s="9" t="str">
        <f t="shared" si="25"/>
        <v/>
      </c>
      <c r="N198" s="5" t="str">
        <f t="shared" si="36"/>
        <v/>
      </c>
      <c r="O198" s="5" t="str">
        <f t="shared" si="30"/>
        <v/>
      </c>
      <c r="Q198" s="5" t="str">
        <f>'CNAE_Cód.Atividade Econômica'!B187</f>
        <v>Atividades de pós-produção cinematográfica, de vídeos e de programas de televisão não especificadas anteriormente</v>
      </c>
      <c r="R198" s="5">
        <f t="shared" ca="1" si="26"/>
        <v>0</v>
      </c>
      <c r="S198" s="5" t="str">
        <f t="shared" si="27"/>
        <v>Atividades de pós-produção cinematográfica, de vídeos e de programas de televisão não especificadas anteriormente</v>
      </c>
      <c r="U198" s="5">
        <f ca="1">COUNTIF(R$10:R198,R198)</f>
        <v>181</v>
      </c>
      <c r="V198" s="5" t="str">
        <f t="shared" ca="1" si="28"/>
        <v>0181</v>
      </c>
      <c r="W198" s="5" t="str">
        <f t="shared" ca="1" si="29"/>
        <v>Atividades de pós-produção cinematográfica, de vídeos e de programas de televisão não especificadas anteriormente</v>
      </c>
      <c r="Y198" s="5">
        <v>189</v>
      </c>
      <c r="Z198" s="5">
        <f t="shared" ca="1" si="31"/>
        <v>0</v>
      </c>
      <c r="AA198" s="5" t="str">
        <f t="shared" ca="1" si="32"/>
        <v>Guarda-móveis</v>
      </c>
      <c r="AB198" s="5">
        <f ca="1">COUNTIF(R$10:R198,R198)</f>
        <v>181</v>
      </c>
      <c r="AC198" s="5" t="str">
        <f t="shared" ca="1" si="33"/>
        <v>0181</v>
      </c>
      <c r="AD198" s="5" t="str">
        <f t="shared" ca="1" si="34"/>
        <v>Atividades de pós-produção cinematográfica, de vídeos e de programas de televisão não especificadas anteriormente</v>
      </c>
      <c r="AE198" s="5">
        <f t="shared" ca="1" si="35"/>
        <v>0</v>
      </c>
    </row>
    <row r="199" spans="4:31" ht="15.6" thickTop="1" thickBot="1" x14ac:dyDescent="0.35">
      <c r="D199" s="57"/>
      <c r="E199" s="58"/>
      <c r="F199" s="59"/>
      <c r="G199" s="59"/>
      <c r="H199" s="59"/>
      <c r="I199" s="60"/>
      <c r="J199" s="61"/>
      <c r="K199" s="61"/>
      <c r="M199" s="9" t="str">
        <f t="shared" si="25"/>
        <v/>
      </c>
      <c r="N199" s="5" t="str">
        <f t="shared" si="36"/>
        <v/>
      </c>
      <c r="O199" s="5" t="str">
        <f t="shared" si="30"/>
        <v/>
      </c>
      <c r="Q199" s="5" t="str">
        <f>'CNAE_Cód.Atividade Econômica'!B188</f>
        <v>Distribuição cinematográfica, de vídeo e de programas de televisão</v>
      </c>
      <c r="R199" s="5">
        <f t="shared" ca="1" si="26"/>
        <v>0</v>
      </c>
      <c r="S199" s="5" t="str">
        <f t="shared" si="27"/>
        <v>Distribuição cinematográfica, de vídeo e de programas de televisão</v>
      </c>
      <c r="U199" s="5">
        <f ca="1">COUNTIF(R$10:R199,R199)</f>
        <v>182</v>
      </c>
      <c r="V199" s="5" t="str">
        <f t="shared" ca="1" si="28"/>
        <v>0182</v>
      </c>
      <c r="W199" s="5" t="str">
        <f t="shared" ca="1" si="29"/>
        <v>Distribuição cinematográfica, de vídeo e de programas de televisão</v>
      </c>
      <c r="Y199" s="5">
        <v>190</v>
      </c>
      <c r="Z199" s="5">
        <f t="shared" ca="1" si="31"/>
        <v>0</v>
      </c>
      <c r="AA199" s="5" t="str">
        <f t="shared" ca="1" si="32"/>
        <v>Guarda-móveis</v>
      </c>
      <c r="AB199" s="5">
        <f ca="1">COUNTIF(R$10:R199,R199)</f>
        <v>182</v>
      </c>
      <c r="AC199" s="5" t="str">
        <f t="shared" ca="1" si="33"/>
        <v>0182</v>
      </c>
      <c r="AD199" s="5" t="str">
        <f t="shared" ca="1" si="34"/>
        <v>Distribuição cinematográfica, de vídeo e de programas de televisão</v>
      </c>
      <c r="AE199" s="5">
        <f t="shared" ca="1" si="35"/>
        <v>0</v>
      </c>
    </row>
    <row r="200" spans="4:31" ht="15.6" thickTop="1" thickBot="1" x14ac:dyDescent="0.35">
      <c r="D200" s="57"/>
      <c r="E200" s="58"/>
      <c r="F200" s="59"/>
      <c r="G200" s="59"/>
      <c r="H200" s="59"/>
      <c r="I200" s="60"/>
      <c r="J200" s="61"/>
      <c r="K200" s="61"/>
      <c r="M200" s="9" t="str">
        <f t="shared" si="25"/>
        <v/>
      </c>
      <c r="N200" s="5" t="str">
        <f t="shared" si="36"/>
        <v/>
      </c>
      <c r="O200" s="5" t="str">
        <f t="shared" si="30"/>
        <v/>
      </c>
      <c r="Q200" s="5" t="str">
        <f>'CNAE_Cód.Atividade Econômica'!B189</f>
        <v>Atividades de exibição cinematográfica</v>
      </c>
      <c r="R200" s="5">
        <f t="shared" ca="1" si="26"/>
        <v>0</v>
      </c>
      <c r="S200" s="5" t="str">
        <f t="shared" si="27"/>
        <v>Atividades de exibição cinematográfica</v>
      </c>
      <c r="U200" s="5">
        <f ca="1">COUNTIF(R$10:R200,R200)</f>
        <v>183</v>
      </c>
      <c r="V200" s="5" t="str">
        <f t="shared" ca="1" si="28"/>
        <v>0183</v>
      </c>
      <c r="W200" s="5" t="str">
        <f t="shared" ca="1" si="29"/>
        <v>Atividades de exibição cinematográfica</v>
      </c>
      <c r="Y200" s="5">
        <v>191</v>
      </c>
      <c r="Z200" s="5">
        <f t="shared" ca="1" si="31"/>
        <v>0</v>
      </c>
      <c r="AA200" s="5" t="str">
        <f t="shared" ca="1" si="32"/>
        <v>Guarda-móveis</v>
      </c>
      <c r="AB200" s="5">
        <f ca="1">COUNTIF(R$10:R200,R200)</f>
        <v>183</v>
      </c>
      <c r="AC200" s="5" t="str">
        <f t="shared" ca="1" si="33"/>
        <v>0183</v>
      </c>
      <c r="AD200" s="5" t="str">
        <f t="shared" ca="1" si="34"/>
        <v>Atividades de exibição cinematográfica</v>
      </c>
      <c r="AE200" s="5">
        <f t="shared" ca="1" si="35"/>
        <v>0</v>
      </c>
    </row>
    <row r="201" spans="4:31" ht="15.6" thickTop="1" thickBot="1" x14ac:dyDescent="0.35">
      <c r="D201" s="57"/>
      <c r="E201" s="58"/>
      <c r="F201" s="59"/>
      <c r="G201" s="59"/>
      <c r="H201" s="59"/>
      <c r="I201" s="60"/>
      <c r="J201" s="61"/>
      <c r="K201" s="61"/>
      <c r="M201" s="9" t="str">
        <f t="shared" si="25"/>
        <v/>
      </c>
      <c r="N201" s="5" t="str">
        <f t="shared" si="36"/>
        <v/>
      </c>
      <c r="O201" s="5" t="str">
        <f t="shared" si="30"/>
        <v/>
      </c>
      <c r="Q201" s="5" t="str">
        <f>'CNAE_Cód.Atividade Econômica'!B190</f>
        <v>Atividades de gravação de som e de edição de música</v>
      </c>
      <c r="R201" s="5">
        <f t="shared" ca="1" si="26"/>
        <v>0</v>
      </c>
      <c r="S201" s="5" t="str">
        <f t="shared" si="27"/>
        <v>Atividades de gravação de som e de edição de música</v>
      </c>
      <c r="U201" s="5">
        <f ca="1">COUNTIF(R$10:R201,R201)</f>
        <v>184</v>
      </c>
      <c r="V201" s="5" t="str">
        <f t="shared" ca="1" si="28"/>
        <v>0184</v>
      </c>
      <c r="W201" s="5" t="str">
        <f t="shared" ca="1" si="29"/>
        <v>Atividades de gravação de som e de edição de música</v>
      </c>
      <c r="Y201" s="5">
        <v>192</v>
      </c>
      <c r="Z201" s="5">
        <f t="shared" ca="1" si="31"/>
        <v>0</v>
      </c>
      <c r="AA201" s="5" t="str">
        <f t="shared" ca="1" si="32"/>
        <v>Guarda-móveis</v>
      </c>
      <c r="AB201" s="5">
        <f ca="1">COUNTIF(R$10:R201,R201)</f>
        <v>184</v>
      </c>
      <c r="AC201" s="5" t="str">
        <f t="shared" ca="1" si="33"/>
        <v>0184</v>
      </c>
      <c r="AD201" s="5" t="str">
        <f t="shared" ca="1" si="34"/>
        <v>Atividades de gravação de som e de edição de música</v>
      </c>
      <c r="AE201" s="5">
        <f t="shared" ca="1" si="35"/>
        <v>0</v>
      </c>
    </row>
    <row r="202" spans="4:31" ht="15.6" thickTop="1" thickBot="1" x14ac:dyDescent="0.35">
      <c r="D202" s="57"/>
      <c r="E202" s="58"/>
      <c r="F202" s="59"/>
      <c r="G202" s="59"/>
      <c r="H202" s="59"/>
      <c r="I202" s="60"/>
      <c r="J202" s="61"/>
      <c r="K202" s="61"/>
      <c r="M202" s="9" t="str">
        <f t="shared" ref="M202:M265" si="37">IF(ISBLANK(D202), "", IFERROR(PROPER(TEXT(D202,"mmmm")),""))</f>
        <v/>
      </c>
      <c r="N202" s="5" t="str">
        <f t="shared" si="36"/>
        <v/>
      </c>
      <c r="O202" s="5" t="str">
        <f t="shared" si="30"/>
        <v/>
      </c>
      <c r="Q202" s="5" t="str">
        <f>'CNAE_Cód.Atividade Econômica'!B191</f>
        <v>Desenvolvimento de programas de computador sob encomenda</v>
      </c>
      <c r="R202" s="5">
        <f t="shared" ref="R202:R265" ca="1" si="38">COUNTIF($O:$O,Q202)</f>
        <v>0</v>
      </c>
      <c r="S202" s="5" t="str">
        <f t="shared" ref="S202:S265" si="39">Q202</f>
        <v>Desenvolvimento de programas de computador sob encomenda</v>
      </c>
      <c r="U202" s="5">
        <f ca="1">COUNTIF(R$10:R202,R202)</f>
        <v>185</v>
      </c>
      <c r="V202" s="5" t="str">
        <f t="shared" ref="V202:V265" ca="1" si="40">R202&amp;U202</f>
        <v>0185</v>
      </c>
      <c r="W202" s="5" t="str">
        <f t="shared" ref="W202:W265" ca="1" si="41">INDEX($S$10:$S$401, MATCH(V202,$V$10:$V$1048576, 0))</f>
        <v>Desenvolvimento de programas de computador sob encomenda</v>
      </c>
      <c r="Y202" s="5">
        <v>193</v>
      </c>
      <c r="Z202" s="5">
        <f t="shared" ca="1" si="31"/>
        <v>0</v>
      </c>
      <c r="AA202" s="5" t="str">
        <f t="shared" ca="1" si="32"/>
        <v>Guarda-móveis</v>
      </c>
      <c r="AB202" s="5">
        <f ca="1">COUNTIF(R$10:R202,R202)</f>
        <v>185</v>
      </c>
      <c r="AC202" s="5" t="str">
        <f t="shared" ca="1" si="33"/>
        <v>0185</v>
      </c>
      <c r="AD202" s="5" t="str">
        <f t="shared" ca="1" si="34"/>
        <v>Desenvolvimento de programas de computador sob encomenda</v>
      </c>
      <c r="AE202" s="5">
        <f t="shared" ca="1" si="35"/>
        <v>0</v>
      </c>
    </row>
    <row r="203" spans="4:31" ht="15.6" thickTop="1" thickBot="1" x14ac:dyDescent="0.35">
      <c r="D203" s="57"/>
      <c r="E203" s="58"/>
      <c r="F203" s="59"/>
      <c r="G203" s="59"/>
      <c r="H203" s="59"/>
      <c r="I203" s="60"/>
      <c r="J203" s="61"/>
      <c r="K203" s="61"/>
      <c r="M203" s="9" t="str">
        <f t="shared" si="37"/>
        <v/>
      </c>
      <c r="N203" s="5" t="str">
        <f t="shared" si="36"/>
        <v/>
      </c>
      <c r="O203" s="5" t="str">
        <f t="shared" ref="O203:O266" si="42">IFERROR(RIGHT(N203,LEN(N203)-SEARCH("- ",N203)-1),"")</f>
        <v/>
      </c>
      <c r="Q203" s="5" t="str">
        <f>'CNAE_Cód.Atividade Econômica'!B192</f>
        <v>Web design</v>
      </c>
      <c r="R203" s="5">
        <f t="shared" ca="1" si="38"/>
        <v>0</v>
      </c>
      <c r="S203" s="5" t="str">
        <f t="shared" si="39"/>
        <v>Web design</v>
      </c>
      <c r="U203" s="5">
        <f ca="1">COUNTIF(R$10:R203,R203)</f>
        <v>186</v>
      </c>
      <c r="V203" s="5" t="str">
        <f t="shared" ca="1" si="40"/>
        <v>0186</v>
      </c>
      <c r="W203" s="5" t="str">
        <f t="shared" ca="1" si="41"/>
        <v>Web design</v>
      </c>
      <c r="Y203" s="5">
        <v>194</v>
      </c>
      <c r="Z203" s="5">
        <f t="shared" ref="Z203:Z266" ca="1" si="43">LARGE($R$10:$R$1048576,Y203)</f>
        <v>0</v>
      </c>
      <c r="AA203" s="5" t="str">
        <f t="shared" ref="AA203:AA266" ca="1" si="44">INDEX(S$10:S$1000, MATCH(R203, R$10:R$1000, 0))</f>
        <v>Guarda-móveis</v>
      </c>
      <c r="AB203" s="5">
        <f ca="1">COUNTIF(R$10:R203,R203)</f>
        <v>186</v>
      </c>
      <c r="AC203" s="5" t="str">
        <f t="shared" ref="AC203:AC266" ca="1" si="45">R203&amp;U203</f>
        <v>0186</v>
      </c>
      <c r="AD203" s="5" t="str">
        <f t="shared" ref="AD203:AD266" ca="1" si="46">INDEX($S$10:$S$1048576, MATCH(AC203, $V$10:$V$1048576, 0))</f>
        <v>Web design</v>
      </c>
      <c r="AE203" s="5">
        <f t="shared" ref="AE203:AE266" ca="1" si="47">Z203</f>
        <v>0</v>
      </c>
    </row>
    <row r="204" spans="4:31" ht="15.6" thickTop="1" thickBot="1" x14ac:dyDescent="0.35">
      <c r="D204" s="57"/>
      <c r="E204" s="58"/>
      <c r="F204" s="59"/>
      <c r="G204" s="59"/>
      <c r="H204" s="59"/>
      <c r="I204" s="60"/>
      <c r="J204" s="61"/>
      <c r="K204" s="61"/>
      <c r="M204" s="9" t="str">
        <f t="shared" si="37"/>
        <v/>
      </c>
      <c r="N204" s="5" t="str">
        <f t="shared" si="36"/>
        <v/>
      </c>
      <c r="O204" s="5" t="str">
        <f t="shared" si="42"/>
        <v/>
      </c>
      <c r="Q204" s="5" t="str">
        <f>'CNAE_Cód.Atividade Econômica'!B193</f>
        <v>Desenvolvimento e licenciamento de programas de computador customizáveis</v>
      </c>
      <c r="R204" s="5">
        <f t="shared" ca="1" si="38"/>
        <v>0</v>
      </c>
      <c r="S204" s="5" t="str">
        <f t="shared" si="39"/>
        <v>Desenvolvimento e licenciamento de programas de computador customizáveis</v>
      </c>
      <c r="U204" s="5">
        <f ca="1">COUNTIF(R$10:R204,R204)</f>
        <v>187</v>
      </c>
      <c r="V204" s="5" t="str">
        <f t="shared" ca="1" si="40"/>
        <v>0187</v>
      </c>
      <c r="W204" s="5" t="str">
        <f t="shared" ca="1" si="41"/>
        <v>Desenvolvimento e licenciamento de programas de computador customizáveis</v>
      </c>
      <c r="Y204" s="5">
        <v>195</v>
      </c>
      <c r="Z204" s="5">
        <f t="shared" ca="1" si="43"/>
        <v>0</v>
      </c>
      <c r="AA204" s="5" t="str">
        <f t="shared" ca="1" si="44"/>
        <v>Guarda-móveis</v>
      </c>
      <c r="AB204" s="5">
        <f ca="1">COUNTIF(R$10:R204,R204)</f>
        <v>187</v>
      </c>
      <c r="AC204" s="5" t="str">
        <f t="shared" ca="1" si="45"/>
        <v>0187</v>
      </c>
      <c r="AD204" s="5" t="str">
        <f t="shared" ca="1" si="46"/>
        <v>Desenvolvimento e licenciamento de programas de computador customizáveis</v>
      </c>
      <c r="AE204" s="5">
        <f t="shared" ca="1" si="47"/>
        <v>0</v>
      </c>
    </row>
    <row r="205" spans="4:31" ht="15.6" thickTop="1" thickBot="1" x14ac:dyDescent="0.35">
      <c r="D205" s="57"/>
      <c r="E205" s="58"/>
      <c r="F205" s="59"/>
      <c r="G205" s="59"/>
      <c r="H205" s="59"/>
      <c r="I205" s="60"/>
      <c r="J205" s="61"/>
      <c r="K205" s="61"/>
      <c r="M205" s="9" t="str">
        <f t="shared" si="37"/>
        <v/>
      </c>
      <c r="N205" s="5" t="str">
        <f t="shared" si="36"/>
        <v/>
      </c>
      <c r="O205" s="5" t="str">
        <f t="shared" si="42"/>
        <v/>
      </c>
      <c r="Q205" s="5" t="str">
        <f>'CNAE_Cód.Atividade Econômica'!B194</f>
        <v>Desenvolvimento e licenciamento de programas de computador não-customizáveis</v>
      </c>
      <c r="R205" s="5">
        <f t="shared" ca="1" si="38"/>
        <v>0</v>
      </c>
      <c r="S205" s="5" t="str">
        <f t="shared" si="39"/>
        <v>Desenvolvimento e licenciamento de programas de computador não-customizáveis</v>
      </c>
      <c r="U205" s="5">
        <f ca="1">COUNTIF(R$10:R205,R205)</f>
        <v>188</v>
      </c>
      <c r="V205" s="5" t="str">
        <f t="shared" ca="1" si="40"/>
        <v>0188</v>
      </c>
      <c r="W205" s="5" t="str">
        <f t="shared" ca="1" si="41"/>
        <v>Desenvolvimento e licenciamento de programas de computador não-customizáveis</v>
      </c>
      <c r="Y205" s="5">
        <v>196</v>
      </c>
      <c r="Z205" s="5">
        <f t="shared" ca="1" si="43"/>
        <v>0</v>
      </c>
      <c r="AA205" s="5" t="str">
        <f t="shared" ca="1" si="44"/>
        <v>Guarda-móveis</v>
      </c>
      <c r="AB205" s="5">
        <f ca="1">COUNTIF(R$10:R205,R205)</f>
        <v>188</v>
      </c>
      <c r="AC205" s="5" t="str">
        <f t="shared" ca="1" si="45"/>
        <v>0188</v>
      </c>
      <c r="AD205" s="5" t="str">
        <f t="shared" ca="1" si="46"/>
        <v>Desenvolvimento e licenciamento de programas de computador não-customizáveis</v>
      </c>
      <c r="AE205" s="5">
        <f t="shared" ca="1" si="47"/>
        <v>0</v>
      </c>
    </row>
    <row r="206" spans="4:31" ht="15.6" thickTop="1" thickBot="1" x14ac:dyDescent="0.35">
      <c r="D206" s="57"/>
      <c r="E206" s="58"/>
      <c r="F206" s="59"/>
      <c r="G206" s="59"/>
      <c r="H206" s="59"/>
      <c r="I206" s="60"/>
      <c r="J206" s="61"/>
      <c r="K206" s="61"/>
      <c r="M206" s="9" t="str">
        <f t="shared" si="37"/>
        <v/>
      </c>
      <c r="N206" s="5" t="str">
        <f t="shared" si="36"/>
        <v/>
      </c>
      <c r="O206" s="5" t="str">
        <f t="shared" si="42"/>
        <v/>
      </c>
      <c r="Q206" s="5" t="str">
        <f>'CNAE_Cód.Atividade Econômica'!B195</f>
        <v>Consultoria em tecnologia da informação</v>
      </c>
      <c r="R206" s="5">
        <f t="shared" ca="1" si="38"/>
        <v>0</v>
      </c>
      <c r="S206" s="5" t="str">
        <f t="shared" si="39"/>
        <v>Consultoria em tecnologia da informação</v>
      </c>
      <c r="U206" s="5">
        <f ca="1">COUNTIF(R$10:R206,R206)</f>
        <v>189</v>
      </c>
      <c r="V206" s="5" t="str">
        <f t="shared" ca="1" si="40"/>
        <v>0189</v>
      </c>
      <c r="W206" s="5" t="str">
        <f t="shared" ca="1" si="41"/>
        <v>Consultoria em tecnologia da informação</v>
      </c>
      <c r="Y206" s="5">
        <v>197</v>
      </c>
      <c r="Z206" s="5">
        <f t="shared" ca="1" si="43"/>
        <v>0</v>
      </c>
      <c r="AA206" s="5" t="str">
        <f t="shared" ca="1" si="44"/>
        <v>Guarda-móveis</v>
      </c>
      <c r="AB206" s="5">
        <f ca="1">COUNTIF(R$10:R206,R206)</f>
        <v>189</v>
      </c>
      <c r="AC206" s="5" t="str">
        <f t="shared" ca="1" si="45"/>
        <v>0189</v>
      </c>
      <c r="AD206" s="5" t="str">
        <f t="shared" ca="1" si="46"/>
        <v>Consultoria em tecnologia da informação</v>
      </c>
      <c r="AE206" s="5">
        <f t="shared" ca="1" si="47"/>
        <v>0</v>
      </c>
    </row>
    <row r="207" spans="4:31" ht="15.6" thickTop="1" thickBot="1" x14ac:dyDescent="0.35">
      <c r="D207" s="57"/>
      <c r="E207" s="58"/>
      <c r="F207" s="59"/>
      <c r="G207" s="59"/>
      <c r="H207" s="59"/>
      <c r="I207" s="60"/>
      <c r="J207" s="61"/>
      <c r="K207" s="61"/>
      <c r="M207" s="9" t="str">
        <f t="shared" si="37"/>
        <v/>
      </c>
      <c r="N207" s="5" t="str">
        <f t="shared" si="36"/>
        <v/>
      </c>
      <c r="O207" s="5" t="str">
        <f t="shared" si="42"/>
        <v/>
      </c>
      <c r="Q207" s="5" t="str">
        <f>'CNAE_Cód.Atividade Econômica'!B196</f>
        <v>Suporte técnico, manutenção e outros serviços em tecnologia da informação</v>
      </c>
      <c r="R207" s="5">
        <f t="shared" ca="1" si="38"/>
        <v>0</v>
      </c>
      <c r="S207" s="5" t="str">
        <f t="shared" si="39"/>
        <v>Suporte técnico, manutenção e outros serviços em tecnologia da informação</v>
      </c>
      <c r="U207" s="5">
        <f ca="1">COUNTIF(R$10:R207,R207)</f>
        <v>190</v>
      </c>
      <c r="V207" s="5" t="str">
        <f t="shared" ca="1" si="40"/>
        <v>0190</v>
      </c>
      <c r="W207" s="5" t="str">
        <f t="shared" ca="1" si="41"/>
        <v>Suporte técnico, manutenção e outros serviços em tecnologia da informação</v>
      </c>
      <c r="Y207" s="5">
        <v>198</v>
      </c>
      <c r="Z207" s="5">
        <f t="shared" ca="1" si="43"/>
        <v>0</v>
      </c>
      <c r="AA207" s="5" t="str">
        <f t="shared" ca="1" si="44"/>
        <v>Guarda-móveis</v>
      </c>
      <c r="AB207" s="5">
        <f ca="1">COUNTIF(R$10:R207,R207)</f>
        <v>190</v>
      </c>
      <c r="AC207" s="5" t="str">
        <f t="shared" ca="1" si="45"/>
        <v>0190</v>
      </c>
      <c r="AD207" s="5" t="str">
        <f t="shared" ca="1" si="46"/>
        <v>Suporte técnico, manutenção e outros serviços em tecnologia da informação</v>
      </c>
      <c r="AE207" s="5">
        <f t="shared" ca="1" si="47"/>
        <v>0</v>
      </c>
    </row>
    <row r="208" spans="4:31" ht="15.6" thickTop="1" thickBot="1" x14ac:dyDescent="0.35">
      <c r="D208" s="57"/>
      <c r="E208" s="58"/>
      <c r="F208" s="59"/>
      <c r="G208" s="59"/>
      <c r="H208" s="59"/>
      <c r="I208" s="60"/>
      <c r="J208" s="61"/>
      <c r="K208" s="61"/>
      <c r="M208" s="9" t="str">
        <f t="shared" si="37"/>
        <v/>
      </c>
      <c r="N208" s="5" t="str">
        <f t="shared" si="36"/>
        <v/>
      </c>
      <c r="O208" s="5" t="str">
        <f t="shared" si="42"/>
        <v/>
      </c>
      <c r="Q208" s="5" t="str">
        <f>'CNAE_Cód.Atividade Econômica'!B197</f>
        <v>Tratamento de dados, provedores de serviços de aplicação e serviços de hospedagem na internet</v>
      </c>
      <c r="R208" s="5">
        <f t="shared" ca="1" si="38"/>
        <v>0</v>
      </c>
      <c r="S208" s="5" t="str">
        <f t="shared" si="39"/>
        <v>Tratamento de dados, provedores de serviços de aplicação e serviços de hospedagem na internet</v>
      </c>
      <c r="U208" s="5">
        <f ca="1">COUNTIF(R$10:R208,R208)</f>
        <v>191</v>
      </c>
      <c r="V208" s="5" t="str">
        <f t="shared" ca="1" si="40"/>
        <v>0191</v>
      </c>
      <c r="W208" s="5" t="str">
        <f t="shared" ca="1" si="41"/>
        <v>Tratamento de dados, provedores de serviços de aplicação e serviços de hospedagem na internet</v>
      </c>
      <c r="Y208" s="5">
        <v>199</v>
      </c>
      <c r="Z208" s="5">
        <f t="shared" ca="1" si="43"/>
        <v>0</v>
      </c>
      <c r="AA208" s="5" t="str">
        <f t="shared" ca="1" si="44"/>
        <v>Guarda-móveis</v>
      </c>
      <c r="AB208" s="5">
        <f ca="1">COUNTIF(R$10:R208,R208)</f>
        <v>191</v>
      </c>
      <c r="AC208" s="5" t="str">
        <f t="shared" ca="1" si="45"/>
        <v>0191</v>
      </c>
      <c r="AD208" s="5" t="str">
        <f t="shared" ca="1" si="46"/>
        <v>Tratamento de dados, provedores de serviços de aplicação e serviços de hospedagem na internet</v>
      </c>
      <c r="AE208" s="5">
        <f t="shared" ca="1" si="47"/>
        <v>0</v>
      </c>
    </row>
    <row r="209" spans="4:31" ht="15.6" thickTop="1" thickBot="1" x14ac:dyDescent="0.35">
      <c r="D209" s="57"/>
      <c r="E209" s="58"/>
      <c r="F209" s="59"/>
      <c r="G209" s="59"/>
      <c r="H209" s="59"/>
      <c r="I209" s="60"/>
      <c r="J209" s="61"/>
      <c r="K209" s="61"/>
      <c r="M209" s="9" t="str">
        <f t="shared" si="37"/>
        <v/>
      </c>
      <c r="N209" s="5" t="str">
        <f t="shared" si="36"/>
        <v/>
      </c>
      <c r="O209" s="5" t="str">
        <f t="shared" si="42"/>
        <v/>
      </c>
      <c r="Q209" s="5" t="str">
        <f>'CNAE_Cód.Atividade Econômica'!B198</f>
        <v>Portais, provedores de conteúdo e outros serviços de informação na internet</v>
      </c>
      <c r="R209" s="5">
        <f t="shared" ca="1" si="38"/>
        <v>0</v>
      </c>
      <c r="S209" s="5" t="str">
        <f t="shared" si="39"/>
        <v>Portais, provedores de conteúdo e outros serviços de informação na internet</v>
      </c>
      <c r="U209" s="5">
        <f ca="1">COUNTIF(R$10:R209,R209)</f>
        <v>192</v>
      </c>
      <c r="V209" s="5" t="str">
        <f t="shared" ca="1" si="40"/>
        <v>0192</v>
      </c>
      <c r="W209" s="5" t="str">
        <f t="shared" ca="1" si="41"/>
        <v>Portais, provedores de conteúdo e outros serviços de informação na internet</v>
      </c>
      <c r="Y209" s="5">
        <v>200</v>
      </c>
      <c r="Z209" s="5">
        <f t="shared" ca="1" si="43"/>
        <v>0</v>
      </c>
      <c r="AA209" s="5" t="str">
        <f t="shared" ca="1" si="44"/>
        <v>Guarda-móveis</v>
      </c>
      <c r="AB209" s="5">
        <f ca="1">COUNTIF(R$10:R209,R209)</f>
        <v>192</v>
      </c>
      <c r="AC209" s="5" t="str">
        <f t="shared" ca="1" si="45"/>
        <v>0192</v>
      </c>
      <c r="AD209" s="5" t="str">
        <f t="shared" ca="1" si="46"/>
        <v>Portais, provedores de conteúdo e outros serviços de informação na internet</v>
      </c>
      <c r="AE209" s="5">
        <f t="shared" ca="1" si="47"/>
        <v>0</v>
      </c>
    </row>
    <row r="210" spans="4:31" ht="15.6" thickTop="1" thickBot="1" x14ac:dyDescent="0.35">
      <c r="D210" s="57"/>
      <c r="E210" s="58"/>
      <c r="F210" s="59"/>
      <c r="G210" s="59"/>
      <c r="H210" s="59"/>
      <c r="I210" s="60"/>
      <c r="J210" s="61"/>
      <c r="K210" s="61"/>
      <c r="M210" s="9" t="str">
        <f t="shared" si="37"/>
        <v/>
      </c>
      <c r="N210" s="5" t="str">
        <f t="shared" si="36"/>
        <v/>
      </c>
      <c r="O210" s="5" t="str">
        <f t="shared" si="42"/>
        <v/>
      </c>
      <c r="Q210" s="5" t="str">
        <f>'CNAE_Cód.Atividade Econômica'!B199</f>
        <v>Agências de notícias</v>
      </c>
      <c r="R210" s="5">
        <f t="shared" ca="1" si="38"/>
        <v>0</v>
      </c>
      <c r="S210" s="5" t="str">
        <f t="shared" si="39"/>
        <v>Agências de notícias</v>
      </c>
      <c r="U210" s="5">
        <f ca="1">COUNTIF(R$10:R210,R210)</f>
        <v>193</v>
      </c>
      <c r="V210" s="5" t="str">
        <f t="shared" ca="1" si="40"/>
        <v>0193</v>
      </c>
      <c r="W210" s="5" t="str">
        <f t="shared" ca="1" si="41"/>
        <v>Agências de notícias</v>
      </c>
      <c r="Y210" s="5">
        <v>201</v>
      </c>
      <c r="Z210" s="5">
        <f t="shared" ca="1" si="43"/>
        <v>0</v>
      </c>
      <c r="AA210" s="5" t="str">
        <f t="shared" ca="1" si="44"/>
        <v>Guarda-móveis</v>
      </c>
      <c r="AB210" s="5">
        <f ca="1">COUNTIF(R$10:R210,R210)</f>
        <v>193</v>
      </c>
      <c r="AC210" s="5" t="str">
        <f t="shared" ca="1" si="45"/>
        <v>0193</v>
      </c>
      <c r="AD210" s="5" t="str">
        <f t="shared" ca="1" si="46"/>
        <v>Agências de notícias</v>
      </c>
      <c r="AE210" s="5">
        <f t="shared" ca="1" si="47"/>
        <v>0</v>
      </c>
    </row>
    <row r="211" spans="4:31" ht="15.6" thickTop="1" thickBot="1" x14ac:dyDescent="0.35">
      <c r="D211" s="57"/>
      <c r="E211" s="58"/>
      <c r="F211" s="59"/>
      <c r="G211" s="59"/>
      <c r="H211" s="59"/>
      <c r="I211" s="60"/>
      <c r="J211" s="61"/>
      <c r="K211" s="61"/>
      <c r="M211" s="9" t="str">
        <f t="shared" si="37"/>
        <v/>
      </c>
      <c r="N211" s="5" t="str">
        <f t="shared" si="36"/>
        <v/>
      </c>
      <c r="O211" s="5" t="str">
        <f t="shared" si="42"/>
        <v/>
      </c>
      <c r="Q211" s="5" t="str">
        <f>'CNAE_Cód.Atividade Econômica'!B200</f>
        <v>Outras atividades de prestação de serviços de informação não especificadas anteriormente</v>
      </c>
      <c r="R211" s="5">
        <f t="shared" ca="1" si="38"/>
        <v>0</v>
      </c>
      <c r="S211" s="5" t="str">
        <f t="shared" si="39"/>
        <v>Outras atividades de prestação de serviços de informação não especificadas anteriormente</v>
      </c>
      <c r="U211" s="5">
        <f ca="1">COUNTIF(R$10:R211,R211)</f>
        <v>194</v>
      </c>
      <c r="V211" s="5" t="str">
        <f t="shared" ca="1" si="40"/>
        <v>0194</v>
      </c>
      <c r="W211" s="5" t="str">
        <f t="shared" ca="1" si="41"/>
        <v>Outras atividades de prestação de serviços de informação não especificadas anteriormente</v>
      </c>
      <c r="Y211" s="5">
        <v>202</v>
      </c>
      <c r="Z211" s="5">
        <f t="shared" ca="1" si="43"/>
        <v>0</v>
      </c>
      <c r="AA211" s="5" t="str">
        <f t="shared" ca="1" si="44"/>
        <v>Guarda-móveis</v>
      </c>
      <c r="AB211" s="5">
        <f ca="1">COUNTIF(R$10:R211,R211)</f>
        <v>194</v>
      </c>
      <c r="AC211" s="5" t="str">
        <f t="shared" ca="1" si="45"/>
        <v>0194</v>
      </c>
      <c r="AD211" s="5" t="str">
        <f t="shared" ca="1" si="46"/>
        <v>Outras atividades de prestação de serviços de informação não especificadas anteriormente</v>
      </c>
      <c r="AE211" s="5">
        <f t="shared" ca="1" si="47"/>
        <v>0</v>
      </c>
    </row>
    <row r="212" spans="4:31" ht="15.6" thickTop="1" thickBot="1" x14ac:dyDescent="0.35">
      <c r="D212" s="57"/>
      <c r="E212" s="58"/>
      <c r="F212" s="59"/>
      <c r="G212" s="59"/>
      <c r="H212" s="59"/>
      <c r="I212" s="60"/>
      <c r="J212" s="61"/>
      <c r="K212" s="61"/>
      <c r="M212" s="9" t="str">
        <f t="shared" si="37"/>
        <v/>
      </c>
      <c r="N212" s="5" t="str">
        <f t="shared" si="36"/>
        <v/>
      </c>
      <c r="O212" s="5" t="str">
        <f t="shared" si="42"/>
        <v/>
      </c>
      <c r="Q212" s="5" t="str">
        <f>'CNAE_Cód.Atividade Econômica'!B201</f>
        <v>Agentes de investimentos em aplicações financeiras</v>
      </c>
      <c r="R212" s="5">
        <f t="shared" ca="1" si="38"/>
        <v>0</v>
      </c>
      <c r="S212" s="5" t="str">
        <f t="shared" si="39"/>
        <v>Agentes de investimentos em aplicações financeiras</v>
      </c>
      <c r="U212" s="5">
        <f ca="1">COUNTIF(R$10:R212,R212)</f>
        <v>195</v>
      </c>
      <c r="V212" s="5" t="str">
        <f t="shared" ca="1" si="40"/>
        <v>0195</v>
      </c>
      <c r="W212" s="5" t="str">
        <f t="shared" ca="1" si="41"/>
        <v>Agentes de investimentos em aplicações financeiras</v>
      </c>
      <c r="Y212" s="5">
        <v>203</v>
      </c>
      <c r="Z212" s="5">
        <f t="shared" ca="1" si="43"/>
        <v>0</v>
      </c>
      <c r="AA212" s="5" t="str">
        <f t="shared" ca="1" si="44"/>
        <v>Guarda-móveis</v>
      </c>
      <c r="AB212" s="5">
        <f ca="1">COUNTIF(R$10:R212,R212)</f>
        <v>195</v>
      </c>
      <c r="AC212" s="5" t="str">
        <f t="shared" ca="1" si="45"/>
        <v>0195</v>
      </c>
      <c r="AD212" s="5" t="str">
        <f t="shared" ca="1" si="46"/>
        <v>Agentes de investimentos em aplicações financeiras</v>
      </c>
      <c r="AE212" s="5">
        <f t="shared" ca="1" si="47"/>
        <v>0</v>
      </c>
    </row>
    <row r="213" spans="4:31" ht="15.6" thickTop="1" thickBot="1" x14ac:dyDescent="0.35">
      <c r="D213" s="57"/>
      <c r="E213" s="58"/>
      <c r="F213" s="59"/>
      <c r="G213" s="59"/>
      <c r="H213" s="59"/>
      <c r="I213" s="60"/>
      <c r="J213" s="61"/>
      <c r="K213" s="61"/>
      <c r="M213" s="9" t="str">
        <f t="shared" si="37"/>
        <v/>
      </c>
      <c r="N213" s="5" t="str">
        <f t="shared" si="36"/>
        <v/>
      </c>
      <c r="O213" s="5" t="str">
        <f t="shared" si="42"/>
        <v/>
      </c>
      <c r="Q213" s="5" t="str">
        <f>'CNAE_Cód.Atividade Econômica'!B202</f>
        <v>Correspondentes de instituições financeiras</v>
      </c>
      <c r="R213" s="5">
        <f t="shared" ca="1" si="38"/>
        <v>0</v>
      </c>
      <c r="S213" s="5" t="str">
        <f t="shared" si="39"/>
        <v>Correspondentes de instituições financeiras</v>
      </c>
      <c r="U213" s="5">
        <f ca="1">COUNTIF(R$10:R213,R213)</f>
        <v>196</v>
      </c>
      <c r="V213" s="5" t="str">
        <f t="shared" ca="1" si="40"/>
        <v>0196</v>
      </c>
      <c r="W213" s="5" t="str">
        <f t="shared" ca="1" si="41"/>
        <v>Correspondentes de instituições financeiras</v>
      </c>
      <c r="Y213" s="5">
        <v>204</v>
      </c>
      <c r="Z213" s="5">
        <f t="shared" ca="1" si="43"/>
        <v>0</v>
      </c>
      <c r="AA213" s="5" t="str">
        <f t="shared" ca="1" si="44"/>
        <v>Guarda-móveis</v>
      </c>
      <c r="AB213" s="5">
        <f ca="1">COUNTIF(R$10:R213,R213)</f>
        <v>196</v>
      </c>
      <c r="AC213" s="5" t="str">
        <f t="shared" ca="1" si="45"/>
        <v>0196</v>
      </c>
      <c r="AD213" s="5" t="str">
        <f t="shared" ca="1" si="46"/>
        <v>Correspondentes de instituições financeiras</v>
      </c>
      <c r="AE213" s="5">
        <f t="shared" ca="1" si="47"/>
        <v>0</v>
      </c>
    </row>
    <row r="214" spans="4:31" ht="15.6" thickTop="1" thickBot="1" x14ac:dyDescent="0.35">
      <c r="D214" s="57"/>
      <c r="E214" s="58"/>
      <c r="F214" s="59"/>
      <c r="G214" s="59"/>
      <c r="H214" s="59"/>
      <c r="I214" s="60"/>
      <c r="J214" s="61"/>
      <c r="K214" s="61"/>
      <c r="M214" s="9" t="str">
        <f t="shared" si="37"/>
        <v/>
      </c>
      <c r="N214" s="5" t="str">
        <f t="shared" si="36"/>
        <v/>
      </c>
      <c r="O214" s="5" t="str">
        <f t="shared" si="42"/>
        <v/>
      </c>
      <c r="Q214" s="5" t="str">
        <f>'CNAE_Cód.Atividade Econômica'!B203</f>
        <v>Peritos e avaliadores de seguros</v>
      </c>
      <c r="R214" s="5">
        <f t="shared" ca="1" si="38"/>
        <v>0</v>
      </c>
      <c r="S214" s="5" t="str">
        <f t="shared" si="39"/>
        <v>Peritos e avaliadores de seguros</v>
      </c>
      <c r="U214" s="5">
        <f ca="1">COUNTIF(R$10:R214,R214)</f>
        <v>197</v>
      </c>
      <c r="V214" s="5" t="str">
        <f t="shared" ca="1" si="40"/>
        <v>0197</v>
      </c>
      <c r="W214" s="5" t="str">
        <f t="shared" ca="1" si="41"/>
        <v>Peritos e avaliadores de seguros</v>
      </c>
      <c r="Y214" s="5">
        <v>205</v>
      </c>
      <c r="Z214" s="5">
        <f t="shared" ca="1" si="43"/>
        <v>0</v>
      </c>
      <c r="AA214" s="5" t="str">
        <f t="shared" ca="1" si="44"/>
        <v>Guarda-móveis</v>
      </c>
      <c r="AB214" s="5">
        <f ca="1">COUNTIF(R$10:R214,R214)</f>
        <v>197</v>
      </c>
      <c r="AC214" s="5" t="str">
        <f t="shared" ca="1" si="45"/>
        <v>0197</v>
      </c>
      <c r="AD214" s="5" t="str">
        <f t="shared" ca="1" si="46"/>
        <v>Peritos e avaliadores de seguros</v>
      </c>
      <c r="AE214" s="5">
        <f t="shared" ca="1" si="47"/>
        <v>0</v>
      </c>
    </row>
    <row r="215" spans="4:31" ht="15.6" thickTop="1" thickBot="1" x14ac:dyDescent="0.35">
      <c r="D215" s="57"/>
      <c r="E215" s="58"/>
      <c r="F215" s="59"/>
      <c r="G215" s="59"/>
      <c r="H215" s="59"/>
      <c r="I215" s="60"/>
      <c r="J215" s="61"/>
      <c r="K215" s="61"/>
      <c r="M215" s="9" t="str">
        <f t="shared" si="37"/>
        <v/>
      </c>
      <c r="N215" s="5" t="str">
        <f t="shared" ref="N215:N278" si="48">IF(H215="","",H215)</f>
        <v/>
      </c>
      <c r="O215" s="5" t="str">
        <f t="shared" si="42"/>
        <v/>
      </c>
      <c r="Q215" s="5" t="str">
        <f>'CNAE_Cód.Atividade Econômica'!B204</f>
        <v>Auditoria e consultoria atuarial</v>
      </c>
      <c r="R215" s="5">
        <f t="shared" ca="1" si="38"/>
        <v>0</v>
      </c>
      <c r="S215" s="5" t="str">
        <f t="shared" si="39"/>
        <v>Auditoria e consultoria atuarial</v>
      </c>
      <c r="U215" s="5">
        <f ca="1">COUNTIF(R$10:R215,R215)</f>
        <v>198</v>
      </c>
      <c r="V215" s="5" t="str">
        <f t="shared" ca="1" si="40"/>
        <v>0198</v>
      </c>
      <c r="W215" s="5" t="str">
        <f t="shared" ca="1" si="41"/>
        <v>Auditoria e consultoria atuarial</v>
      </c>
      <c r="Y215" s="5">
        <v>206</v>
      </c>
      <c r="Z215" s="5">
        <f t="shared" ca="1" si="43"/>
        <v>0</v>
      </c>
      <c r="AA215" s="5" t="str">
        <f t="shared" ca="1" si="44"/>
        <v>Guarda-móveis</v>
      </c>
      <c r="AB215" s="5">
        <f ca="1">COUNTIF(R$10:R215,R215)</f>
        <v>198</v>
      </c>
      <c r="AC215" s="5" t="str">
        <f t="shared" ca="1" si="45"/>
        <v>0198</v>
      </c>
      <c r="AD215" s="5" t="str">
        <f t="shared" ca="1" si="46"/>
        <v>Auditoria e consultoria atuarial</v>
      </c>
      <c r="AE215" s="5">
        <f t="shared" ca="1" si="47"/>
        <v>0</v>
      </c>
    </row>
    <row r="216" spans="4:31" ht="15.6" thickTop="1" thickBot="1" x14ac:dyDescent="0.35">
      <c r="D216" s="57"/>
      <c r="E216" s="58"/>
      <c r="F216" s="59"/>
      <c r="G216" s="59"/>
      <c r="H216" s="59"/>
      <c r="I216" s="60"/>
      <c r="J216" s="61"/>
      <c r="K216" s="61"/>
      <c r="M216" s="9" t="str">
        <f t="shared" si="37"/>
        <v/>
      </c>
      <c r="N216" s="5" t="str">
        <f t="shared" si="48"/>
        <v/>
      </c>
      <c r="O216" s="5" t="str">
        <f t="shared" si="42"/>
        <v/>
      </c>
      <c r="Q216" s="5" t="str">
        <f>'CNAE_Cód.Atividade Econômica'!B205</f>
        <v>Corretores e agentes de seguros, de planos de previdência complementar e de saúde</v>
      </c>
      <c r="R216" s="5">
        <f t="shared" ca="1" si="38"/>
        <v>0</v>
      </c>
      <c r="S216" s="5" t="str">
        <f t="shared" si="39"/>
        <v>Corretores e agentes de seguros, de planos de previdência complementar e de saúde</v>
      </c>
      <c r="U216" s="5">
        <f ca="1">COUNTIF(R$10:R216,R216)</f>
        <v>199</v>
      </c>
      <c r="V216" s="5" t="str">
        <f t="shared" ca="1" si="40"/>
        <v>0199</v>
      </c>
      <c r="W216" s="5" t="str">
        <f t="shared" ca="1" si="41"/>
        <v>Corretores e agentes de seguros, de planos de previdência complementar e de saúde</v>
      </c>
      <c r="Y216" s="5">
        <v>207</v>
      </c>
      <c r="Z216" s="5">
        <f t="shared" ca="1" si="43"/>
        <v>0</v>
      </c>
      <c r="AA216" s="5" t="str">
        <f t="shared" ca="1" si="44"/>
        <v>Guarda-móveis</v>
      </c>
      <c r="AB216" s="5">
        <f ca="1">COUNTIF(R$10:R216,R216)</f>
        <v>199</v>
      </c>
      <c r="AC216" s="5" t="str">
        <f t="shared" ca="1" si="45"/>
        <v>0199</v>
      </c>
      <c r="AD216" s="5" t="str">
        <f t="shared" ca="1" si="46"/>
        <v>Corretores e agentes de seguros, de planos de previdência complementar e de saúde</v>
      </c>
      <c r="AE216" s="5">
        <f t="shared" ca="1" si="47"/>
        <v>0</v>
      </c>
    </row>
    <row r="217" spans="4:31" ht="15.6" thickTop="1" thickBot="1" x14ac:dyDescent="0.35">
      <c r="D217" s="57"/>
      <c r="E217" s="58"/>
      <c r="F217" s="59"/>
      <c r="G217" s="59"/>
      <c r="H217" s="59"/>
      <c r="I217" s="60"/>
      <c r="J217" s="61"/>
      <c r="K217" s="61"/>
      <c r="M217" s="9" t="str">
        <f t="shared" si="37"/>
        <v/>
      </c>
      <c r="N217" s="5" t="str">
        <f t="shared" si="48"/>
        <v/>
      </c>
      <c r="O217" s="5" t="str">
        <f t="shared" si="42"/>
        <v/>
      </c>
      <c r="Q217" s="5" t="str">
        <f>'CNAE_Cód.Atividade Econômica'!B206</f>
        <v>Atividades auxiliares dos seguros, da previdência complementar e dos planos de saúde não especificadas anteriormente</v>
      </c>
      <c r="R217" s="5">
        <f t="shared" ca="1" si="38"/>
        <v>0</v>
      </c>
      <c r="S217" s="5" t="str">
        <f t="shared" si="39"/>
        <v>Atividades auxiliares dos seguros, da previdência complementar e dos planos de saúde não especificadas anteriormente</v>
      </c>
      <c r="U217" s="5">
        <f ca="1">COUNTIF(R$10:R217,R217)</f>
        <v>200</v>
      </c>
      <c r="V217" s="5" t="str">
        <f t="shared" ca="1" si="40"/>
        <v>0200</v>
      </c>
      <c r="W217" s="5" t="str">
        <f t="shared" ca="1" si="41"/>
        <v>Atividades auxiliares dos seguros, da previdência complementar e dos planos de saúde não especificadas anteriormente</v>
      </c>
      <c r="Y217" s="5">
        <v>208</v>
      </c>
      <c r="Z217" s="5">
        <f t="shared" ca="1" si="43"/>
        <v>0</v>
      </c>
      <c r="AA217" s="5" t="str">
        <f t="shared" ca="1" si="44"/>
        <v>Guarda-móveis</v>
      </c>
      <c r="AB217" s="5">
        <f ca="1">COUNTIF(R$10:R217,R217)</f>
        <v>200</v>
      </c>
      <c r="AC217" s="5" t="str">
        <f t="shared" ca="1" si="45"/>
        <v>0200</v>
      </c>
      <c r="AD217" s="5" t="str">
        <f t="shared" ca="1" si="46"/>
        <v>Atividades auxiliares dos seguros, da previdência complementar e dos planos de saúde não especificadas anteriormente</v>
      </c>
      <c r="AE217" s="5">
        <f t="shared" ca="1" si="47"/>
        <v>0</v>
      </c>
    </row>
    <row r="218" spans="4:31" ht="15.6" thickTop="1" thickBot="1" x14ac:dyDescent="0.35">
      <c r="D218" s="57"/>
      <c r="E218" s="58"/>
      <c r="F218" s="59"/>
      <c r="G218" s="59"/>
      <c r="H218" s="59"/>
      <c r="I218" s="60"/>
      <c r="J218" s="61"/>
      <c r="K218" s="61"/>
      <c r="M218" s="9" t="str">
        <f t="shared" si="37"/>
        <v/>
      </c>
      <c r="N218" s="5" t="str">
        <f t="shared" si="48"/>
        <v/>
      </c>
      <c r="O218" s="5" t="str">
        <f t="shared" si="42"/>
        <v/>
      </c>
      <c r="Q218" s="5" t="str">
        <f>'CNAE_Cód.Atividade Econômica'!B207</f>
        <v>Corretagem na compra e venda e avaliação de imóveis</v>
      </c>
      <c r="R218" s="5">
        <f t="shared" ca="1" si="38"/>
        <v>0</v>
      </c>
      <c r="S218" s="5" t="str">
        <f t="shared" si="39"/>
        <v>Corretagem na compra e venda e avaliação de imóveis</v>
      </c>
      <c r="U218" s="5">
        <f ca="1">COUNTIF(R$10:R218,R218)</f>
        <v>201</v>
      </c>
      <c r="V218" s="5" t="str">
        <f t="shared" ca="1" si="40"/>
        <v>0201</v>
      </c>
      <c r="W218" s="5" t="str">
        <f t="shared" ca="1" si="41"/>
        <v>Corretagem na compra e venda e avaliação de imóveis</v>
      </c>
      <c r="Y218" s="5">
        <v>209</v>
      </c>
      <c r="Z218" s="5">
        <f t="shared" ca="1" si="43"/>
        <v>0</v>
      </c>
      <c r="AA218" s="5" t="str">
        <f t="shared" ca="1" si="44"/>
        <v>Guarda-móveis</v>
      </c>
      <c r="AB218" s="5">
        <f ca="1">COUNTIF(R$10:R218,R218)</f>
        <v>201</v>
      </c>
      <c r="AC218" s="5" t="str">
        <f t="shared" ca="1" si="45"/>
        <v>0201</v>
      </c>
      <c r="AD218" s="5" t="str">
        <f t="shared" ca="1" si="46"/>
        <v>Corretagem na compra e venda e avaliação de imóveis</v>
      </c>
      <c r="AE218" s="5">
        <f t="shared" ca="1" si="47"/>
        <v>0</v>
      </c>
    </row>
    <row r="219" spans="4:31" ht="15.6" thickTop="1" thickBot="1" x14ac:dyDescent="0.35">
      <c r="D219" s="57"/>
      <c r="E219" s="58"/>
      <c r="F219" s="59"/>
      <c r="G219" s="59"/>
      <c r="H219" s="59"/>
      <c r="I219" s="60"/>
      <c r="J219" s="61"/>
      <c r="K219" s="61"/>
      <c r="M219" s="9" t="str">
        <f t="shared" si="37"/>
        <v/>
      </c>
      <c r="N219" s="5" t="str">
        <f t="shared" si="48"/>
        <v/>
      </c>
      <c r="O219" s="5" t="str">
        <f t="shared" si="42"/>
        <v/>
      </c>
      <c r="Q219" s="5" t="str">
        <f>'CNAE_Cód.Atividade Econômica'!B208</f>
        <v>Corretagem no aluguel de imóveis</v>
      </c>
      <c r="R219" s="5">
        <f t="shared" ca="1" si="38"/>
        <v>0</v>
      </c>
      <c r="S219" s="5" t="str">
        <f t="shared" si="39"/>
        <v>Corretagem no aluguel de imóveis</v>
      </c>
      <c r="U219" s="5">
        <f ca="1">COUNTIF(R$10:R219,R219)</f>
        <v>202</v>
      </c>
      <c r="V219" s="5" t="str">
        <f t="shared" ca="1" si="40"/>
        <v>0202</v>
      </c>
      <c r="W219" s="5" t="str">
        <f t="shared" ca="1" si="41"/>
        <v>Corretagem no aluguel de imóveis</v>
      </c>
      <c r="Y219" s="5">
        <v>210</v>
      </c>
      <c r="Z219" s="5">
        <f t="shared" ca="1" si="43"/>
        <v>0</v>
      </c>
      <c r="AA219" s="5" t="str">
        <f t="shared" ca="1" si="44"/>
        <v>Guarda-móveis</v>
      </c>
      <c r="AB219" s="5">
        <f ca="1">COUNTIF(R$10:R219,R219)</f>
        <v>202</v>
      </c>
      <c r="AC219" s="5" t="str">
        <f t="shared" ca="1" si="45"/>
        <v>0202</v>
      </c>
      <c r="AD219" s="5" t="str">
        <f t="shared" ca="1" si="46"/>
        <v>Corretagem no aluguel de imóveis</v>
      </c>
      <c r="AE219" s="5">
        <f t="shared" ca="1" si="47"/>
        <v>0</v>
      </c>
    </row>
    <row r="220" spans="4:31" ht="15.6" thickTop="1" thickBot="1" x14ac:dyDescent="0.35">
      <c r="D220" s="57"/>
      <c r="E220" s="58"/>
      <c r="F220" s="59"/>
      <c r="G220" s="59"/>
      <c r="H220" s="59"/>
      <c r="I220" s="60"/>
      <c r="J220" s="61"/>
      <c r="K220" s="61"/>
      <c r="M220" s="9" t="str">
        <f t="shared" si="37"/>
        <v/>
      </c>
      <c r="N220" s="5" t="str">
        <f t="shared" si="48"/>
        <v/>
      </c>
      <c r="O220" s="5" t="str">
        <f t="shared" si="42"/>
        <v/>
      </c>
      <c r="Q220" s="5" t="str">
        <f>'CNAE_Cód.Atividade Econômica'!B209</f>
        <v>Gestão e administração da propriedade imobiliária</v>
      </c>
      <c r="R220" s="5">
        <f t="shared" ca="1" si="38"/>
        <v>0</v>
      </c>
      <c r="S220" s="5" t="str">
        <f t="shared" si="39"/>
        <v>Gestão e administração da propriedade imobiliária</v>
      </c>
      <c r="U220" s="5">
        <f ca="1">COUNTIF(R$10:R220,R220)</f>
        <v>203</v>
      </c>
      <c r="V220" s="5" t="str">
        <f t="shared" ca="1" si="40"/>
        <v>0203</v>
      </c>
      <c r="W220" s="5" t="str">
        <f t="shared" ca="1" si="41"/>
        <v>Gestão e administração da propriedade imobiliária</v>
      </c>
      <c r="Y220" s="5">
        <v>211</v>
      </c>
      <c r="Z220" s="5">
        <f t="shared" ca="1" si="43"/>
        <v>0</v>
      </c>
      <c r="AA220" s="5" t="str">
        <f t="shared" ca="1" si="44"/>
        <v>Guarda-móveis</v>
      </c>
      <c r="AB220" s="5">
        <f ca="1">COUNTIF(R$10:R220,R220)</f>
        <v>203</v>
      </c>
      <c r="AC220" s="5" t="str">
        <f t="shared" ca="1" si="45"/>
        <v>0203</v>
      </c>
      <c r="AD220" s="5" t="str">
        <f t="shared" ca="1" si="46"/>
        <v>Gestão e administração da propriedade imobiliária</v>
      </c>
      <c r="AE220" s="5">
        <f t="shared" ca="1" si="47"/>
        <v>0</v>
      </c>
    </row>
    <row r="221" spans="4:31" ht="15.6" thickTop="1" thickBot="1" x14ac:dyDescent="0.35">
      <c r="D221" s="57"/>
      <c r="E221" s="58"/>
      <c r="F221" s="59"/>
      <c r="G221" s="59"/>
      <c r="H221" s="59"/>
      <c r="I221" s="60"/>
      <c r="J221" s="61"/>
      <c r="K221" s="61"/>
      <c r="M221" s="9" t="str">
        <f t="shared" si="37"/>
        <v/>
      </c>
      <c r="N221" s="5" t="str">
        <f t="shared" si="48"/>
        <v/>
      </c>
      <c r="O221" s="5" t="str">
        <f t="shared" si="42"/>
        <v/>
      </c>
      <c r="Q221" s="5" t="str">
        <f>'CNAE_Cód.Atividade Econômica'!B210</f>
        <v>Serviços advocatícios</v>
      </c>
      <c r="R221" s="5">
        <f t="shared" ca="1" si="38"/>
        <v>0</v>
      </c>
      <c r="S221" s="5" t="str">
        <f t="shared" si="39"/>
        <v>Serviços advocatícios</v>
      </c>
      <c r="U221" s="5">
        <f ca="1">COUNTIF(R$10:R221,R221)</f>
        <v>204</v>
      </c>
      <c r="V221" s="5" t="str">
        <f t="shared" ca="1" si="40"/>
        <v>0204</v>
      </c>
      <c r="W221" s="5" t="str">
        <f t="shared" ca="1" si="41"/>
        <v>Serviços advocatícios</v>
      </c>
      <c r="Y221" s="5">
        <v>212</v>
      </c>
      <c r="Z221" s="5">
        <f t="shared" ca="1" si="43"/>
        <v>0</v>
      </c>
      <c r="AA221" s="5" t="str">
        <f t="shared" ca="1" si="44"/>
        <v>Guarda-móveis</v>
      </c>
      <c r="AB221" s="5">
        <f ca="1">COUNTIF(R$10:R221,R221)</f>
        <v>204</v>
      </c>
      <c r="AC221" s="5" t="str">
        <f t="shared" ca="1" si="45"/>
        <v>0204</v>
      </c>
      <c r="AD221" s="5" t="str">
        <f t="shared" ca="1" si="46"/>
        <v>Serviços advocatícios</v>
      </c>
      <c r="AE221" s="5">
        <f t="shared" ca="1" si="47"/>
        <v>0</v>
      </c>
    </row>
    <row r="222" spans="4:31" ht="15.6" thickTop="1" thickBot="1" x14ac:dyDescent="0.35">
      <c r="D222" s="57"/>
      <c r="E222" s="58"/>
      <c r="F222" s="59"/>
      <c r="G222" s="59"/>
      <c r="H222" s="59"/>
      <c r="I222" s="60"/>
      <c r="J222" s="61"/>
      <c r="K222" s="61"/>
      <c r="M222" s="9" t="str">
        <f t="shared" si="37"/>
        <v/>
      </c>
      <c r="N222" s="5" t="str">
        <f t="shared" si="48"/>
        <v/>
      </c>
      <c r="O222" s="5" t="str">
        <f t="shared" si="42"/>
        <v/>
      </c>
      <c r="Q222" s="5" t="str">
        <f>'CNAE_Cód.Atividade Econômica'!B211</f>
        <v>Atividades auxiliares da justiça</v>
      </c>
      <c r="R222" s="5">
        <f t="shared" ca="1" si="38"/>
        <v>0</v>
      </c>
      <c r="S222" s="5" t="str">
        <f t="shared" si="39"/>
        <v>Atividades auxiliares da justiça</v>
      </c>
      <c r="U222" s="5">
        <f ca="1">COUNTIF(R$10:R222,R222)</f>
        <v>205</v>
      </c>
      <c r="V222" s="5" t="str">
        <f t="shared" ca="1" si="40"/>
        <v>0205</v>
      </c>
      <c r="W222" s="5" t="str">
        <f t="shared" ca="1" si="41"/>
        <v>Atividades auxiliares da justiça</v>
      </c>
      <c r="Y222" s="5">
        <v>213</v>
      </c>
      <c r="Z222" s="5">
        <f t="shared" ca="1" si="43"/>
        <v>0</v>
      </c>
      <c r="AA222" s="5" t="str">
        <f t="shared" ca="1" si="44"/>
        <v>Guarda-móveis</v>
      </c>
      <c r="AB222" s="5">
        <f ca="1">COUNTIF(R$10:R222,R222)</f>
        <v>205</v>
      </c>
      <c r="AC222" s="5" t="str">
        <f t="shared" ca="1" si="45"/>
        <v>0205</v>
      </c>
      <c r="AD222" s="5" t="str">
        <f t="shared" ca="1" si="46"/>
        <v>Atividades auxiliares da justiça</v>
      </c>
      <c r="AE222" s="5">
        <f t="shared" ca="1" si="47"/>
        <v>0</v>
      </c>
    </row>
    <row r="223" spans="4:31" ht="15.6" thickTop="1" thickBot="1" x14ac:dyDescent="0.35">
      <c r="D223" s="57"/>
      <c r="E223" s="58"/>
      <c r="F223" s="59"/>
      <c r="G223" s="59"/>
      <c r="H223" s="59"/>
      <c r="I223" s="60"/>
      <c r="J223" s="61"/>
      <c r="K223" s="61"/>
      <c r="M223" s="9" t="str">
        <f t="shared" si="37"/>
        <v/>
      </c>
      <c r="N223" s="5" t="str">
        <f t="shared" si="48"/>
        <v/>
      </c>
      <c r="O223" s="5" t="str">
        <f t="shared" si="42"/>
        <v/>
      </c>
      <c r="Q223" s="5" t="str">
        <f>'CNAE_Cód.Atividade Econômica'!B212</f>
        <v>Agente de propriedade industrial</v>
      </c>
      <c r="R223" s="5">
        <f t="shared" ca="1" si="38"/>
        <v>0</v>
      </c>
      <c r="S223" s="5" t="str">
        <f t="shared" si="39"/>
        <v>Agente de propriedade industrial</v>
      </c>
      <c r="U223" s="5">
        <f ca="1">COUNTIF(R$10:R223,R223)</f>
        <v>206</v>
      </c>
      <c r="V223" s="5" t="str">
        <f t="shared" ca="1" si="40"/>
        <v>0206</v>
      </c>
      <c r="W223" s="5" t="str">
        <f t="shared" ca="1" si="41"/>
        <v>Agente de propriedade industrial</v>
      </c>
      <c r="Y223" s="5">
        <v>214</v>
      </c>
      <c r="Z223" s="5">
        <f t="shared" ca="1" si="43"/>
        <v>0</v>
      </c>
      <c r="AA223" s="5" t="str">
        <f t="shared" ca="1" si="44"/>
        <v>Guarda-móveis</v>
      </c>
      <c r="AB223" s="5">
        <f ca="1">COUNTIF(R$10:R223,R223)</f>
        <v>206</v>
      </c>
      <c r="AC223" s="5" t="str">
        <f t="shared" ca="1" si="45"/>
        <v>0206</v>
      </c>
      <c r="AD223" s="5" t="str">
        <f t="shared" ca="1" si="46"/>
        <v>Agente de propriedade industrial</v>
      </c>
      <c r="AE223" s="5">
        <f t="shared" ca="1" si="47"/>
        <v>0</v>
      </c>
    </row>
    <row r="224" spans="4:31" ht="15.6" thickTop="1" thickBot="1" x14ac:dyDescent="0.35">
      <c r="D224" s="57"/>
      <c r="E224" s="58"/>
      <c r="F224" s="59"/>
      <c r="G224" s="59"/>
      <c r="H224" s="59"/>
      <c r="I224" s="60"/>
      <c r="J224" s="61"/>
      <c r="K224" s="61"/>
      <c r="M224" s="9" t="str">
        <f t="shared" si="37"/>
        <v/>
      </c>
      <c r="N224" s="5" t="str">
        <f t="shared" si="48"/>
        <v/>
      </c>
      <c r="O224" s="5" t="str">
        <f t="shared" si="42"/>
        <v/>
      </c>
      <c r="Q224" s="5" t="str">
        <f>'CNAE_Cód.Atividade Econômica'!B213</f>
        <v>Atividades de consultoria em gestão empresarial, exceto consultoria técnica específica</v>
      </c>
      <c r="R224" s="5">
        <f t="shared" ca="1" si="38"/>
        <v>0</v>
      </c>
      <c r="S224" s="5" t="str">
        <f t="shared" si="39"/>
        <v>Atividades de consultoria em gestão empresarial, exceto consultoria técnica específica</v>
      </c>
      <c r="U224" s="5">
        <f ca="1">COUNTIF(R$10:R224,R224)</f>
        <v>207</v>
      </c>
      <c r="V224" s="5" t="str">
        <f t="shared" ca="1" si="40"/>
        <v>0207</v>
      </c>
      <c r="W224" s="5" t="str">
        <f t="shared" ca="1" si="41"/>
        <v>Atividades de consultoria em gestão empresarial, exceto consultoria técnica específica</v>
      </c>
      <c r="Y224" s="5">
        <v>215</v>
      </c>
      <c r="Z224" s="5">
        <f t="shared" ca="1" si="43"/>
        <v>0</v>
      </c>
      <c r="AA224" s="5" t="str">
        <f t="shared" ca="1" si="44"/>
        <v>Guarda-móveis</v>
      </c>
      <c r="AB224" s="5">
        <f ca="1">COUNTIF(R$10:R224,R224)</f>
        <v>207</v>
      </c>
      <c r="AC224" s="5" t="str">
        <f t="shared" ca="1" si="45"/>
        <v>0207</v>
      </c>
      <c r="AD224" s="5" t="str">
        <f t="shared" ca="1" si="46"/>
        <v>Atividades de consultoria em gestão empresarial, exceto consultoria técnica específica</v>
      </c>
      <c r="AE224" s="5">
        <f t="shared" ca="1" si="47"/>
        <v>0</v>
      </c>
    </row>
    <row r="225" spans="4:31" ht="15.6" thickTop="1" thickBot="1" x14ac:dyDescent="0.35">
      <c r="D225" s="57"/>
      <c r="E225" s="58"/>
      <c r="F225" s="59"/>
      <c r="G225" s="59"/>
      <c r="H225" s="59"/>
      <c r="I225" s="60"/>
      <c r="J225" s="61"/>
      <c r="K225" s="61"/>
      <c r="M225" s="9" t="str">
        <f t="shared" si="37"/>
        <v/>
      </c>
      <c r="N225" s="5" t="str">
        <f t="shared" si="48"/>
        <v/>
      </c>
      <c r="O225" s="5" t="str">
        <f t="shared" si="42"/>
        <v/>
      </c>
      <c r="Q225" s="5" t="str">
        <f>'CNAE_Cód.Atividade Econômica'!B214</f>
        <v>Serviços de arquitetura</v>
      </c>
      <c r="R225" s="5">
        <f t="shared" ca="1" si="38"/>
        <v>0</v>
      </c>
      <c r="S225" s="5" t="str">
        <f t="shared" si="39"/>
        <v>Serviços de arquitetura</v>
      </c>
      <c r="U225" s="5">
        <f ca="1">COUNTIF(R$10:R225,R225)</f>
        <v>208</v>
      </c>
      <c r="V225" s="5" t="str">
        <f t="shared" ca="1" si="40"/>
        <v>0208</v>
      </c>
      <c r="W225" s="5" t="str">
        <f t="shared" ca="1" si="41"/>
        <v>Serviços de arquitetura</v>
      </c>
      <c r="Y225" s="5">
        <v>216</v>
      </c>
      <c r="Z225" s="5">
        <f t="shared" ca="1" si="43"/>
        <v>0</v>
      </c>
      <c r="AA225" s="5" t="str">
        <f t="shared" ca="1" si="44"/>
        <v>Guarda-móveis</v>
      </c>
      <c r="AB225" s="5">
        <f ca="1">COUNTIF(R$10:R225,R225)</f>
        <v>208</v>
      </c>
      <c r="AC225" s="5" t="str">
        <f t="shared" ca="1" si="45"/>
        <v>0208</v>
      </c>
      <c r="AD225" s="5" t="str">
        <f t="shared" ca="1" si="46"/>
        <v>Serviços de arquitetura</v>
      </c>
      <c r="AE225" s="5">
        <f t="shared" ca="1" si="47"/>
        <v>0</v>
      </c>
    </row>
    <row r="226" spans="4:31" ht="15.6" thickTop="1" thickBot="1" x14ac:dyDescent="0.35">
      <c r="D226" s="57"/>
      <c r="E226" s="58"/>
      <c r="F226" s="59"/>
      <c r="G226" s="59"/>
      <c r="H226" s="59"/>
      <c r="I226" s="60"/>
      <c r="J226" s="61"/>
      <c r="K226" s="61"/>
      <c r="M226" s="9" t="str">
        <f t="shared" si="37"/>
        <v/>
      </c>
      <c r="N226" s="5" t="str">
        <f t="shared" si="48"/>
        <v/>
      </c>
      <c r="O226" s="5" t="str">
        <f t="shared" si="42"/>
        <v/>
      </c>
      <c r="Q226" s="5" t="str">
        <f>'CNAE_Cód.Atividade Econômica'!B215</f>
        <v>Serviços de engenharia</v>
      </c>
      <c r="R226" s="5">
        <f t="shared" ca="1" si="38"/>
        <v>0</v>
      </c>
      <c r="S226" s="5" t="str">
        <f t="shared" si="39"/>
        <v>Serviços de engenharia</v>
      </c>
      <c r="U226" s="5">
        <f ca="1">COUNTIF(R$10:R226,R226)</f>
        <v>209</v>
      </c>
      <c r="V226" s="5" t="str">
        <f t="shared" ca="1" si="40"/>
        <v>0209</v>
      </c>
      <c r="W226" s="5" t="str">
        <f t="shared" ca="1" si="41"/>
        <v>Serviços de engenharia</v>
      </c>
      <c r="Y226" s="5">
        <v>217</v>
      </c>
      <c r="Z226" s="5">
        <f t="shared" ca="1" si="43"/>
        <v>0</v>
      </c>
      <c r="AA226" s="5" t="str">
        <f t="shared" ca="1" si="44"/>
        <v>Guarda-móveis</v>
      </c>
      <c r="AB226" s="5">
        <f ca="1">COUNTIF(R$10:R226,R226)</f>
        <v>209</v>
      </c>
      <c r="AC226" s="5" t="str">
        <f t="shared" ca="1" si="45"/>
        <v>0209</v>
      </c>
      <c r="AD226" s="5" t="str">
        <f t="shared" ca="1" si="46"/>
        <v>Serviços de engenharia</v>
      </c>
      <c r="AE226" s="5">
        <f t="shared" ca="1" si="47"/>
        <v>0</v>
      </c>
    </row>
    <row r="227" spans="4:31" ht="15.6" thickTop="1" thickBot="1" x14ac:dyDescent="0.35">
      <c r="D227" s="57"/>
      <c r="E227" s="58"/>
      <c r="F227" s="59"/>
      <c r="G227" s="59"/>
      <c r="H227" s="59"/>
      <c r="I227" s="60"/>
      <c r="J227" s="61"/>
      <c r="K227" s="61"/>
      <c r="M227" s="9" t="str">
        <f t="shared" si="37"/>
        <v/>
      </c>
      <c r="N227" s="5" t="str">
        <f t="shared" si="48"/>
        <v/>
      </c>
      <c r="O227" s="5" t="str">
        <f t="shared" si="42"/>
        <v/>
      </c>
      <c r="Q227" s="5" t="str">
        <f>'CNAE_Cód.Atividade Econômica'!B216</f>
        <v>Serviços de cartografia, topografia e geodésia</v>
      </c>
      <c r="R227" s="5">
        <f t="shared" ca="1" si="38"/>
        <v>0</v>
      </c>
      <c r="S227" s="5" t="str">
        <f t="shared" si="39"/>
        <v>Serviços de cartografia, topografia e geodésia</v>
      </c>
      <c r="U227" s="5">
        <f ca="1">COUNTIF(R$10:R227,R227)</f>
        <v>210</v>
      </c>
      <c r="V227" s="5" t="str">
        <f t="shared" ca="1" si="40"/>
        <v>0210</v>
      </c>
      <c r="W227" s="5" t="str">
        <f t="shared" ca="1" si="41"/>
        <v>Serviços de cartografia, topografia e geodésia</v>
      </c>
      <c r="Y227" s="5">
        <v>218</v>
      </c>
      <c r="Z227" s="5">
        <f t="shared" ca="1" si="43"/>
        <v>0</v>
      </c>
      <c r="AA227" s="5" t="str">
        <f t="shared" ca="1" si="44"/>
        <v>Guarda-móveis</v>
      </c>
      <c r="AB227" s="5">
        <f ca="1">COUNTIF(R$10:R227,R227)</f>
        <v>210</v>
      </c>
      <c r="AC227" s="5" t="str">
        <f t="shared" ca="1" si="45"/>
        <v>0210</v>
      </c>
      <c r="AD227" s="5" t="str">
        <f t="shared" ca="1" si="46"/>
        <v>Serviços de cartografia, topografia e geodésia</v>
      </c>
      <c r="AE227" s="5">
        <f t="shared" ca="1" si="47"/>
        <v>0</v>
      </c>
    </row>
    <row r="228" spans="4:31" ht="15.6" thickTop="1" thickBot="1" x14ac:dyDescent="0.35">
      <c r="D228" s="57"/>
      <c r="E228" s="58"/>
      <c r="F228" s="59"/>
      <c r="G228" s="59"/>
      <c r="H228" s="59"/>
      <c r="I228" s="60"/>
      <c r="J228" s="61"/>
      <c r="K228" s="61"/>
      <c r="M228" s="9" t="str">
        <f t="shared" si="37"/>
        <v/>
      </c>
      <c r="N228" s="5" t="str">
        <f t="shared" si="48"/>
        <v/>
      </c>
      <c r="O228" s="5" t="str">
        <f t="shared" si="42"/>
        <v/>
      </c>
      <c r="Q228" s="5" t="str">
        <f>'CNAE_Cód.Atividade Econômica'!B217</f>
        <v>Atividades de estudos geológicos</v>
      </c>
      <c r="R228" s="5">
        <f t="shared" ca="1" si="38"/>
        <v>0</v>
      </c>
      <c r="S228" s="5" t="str">
        <f t="shared" si="39"/>
        <v>Atividades de estudos geológicos</v>
      </c>
      <c r="U228" s="5">
        <f ca="1">COUNTIF(R$10:R228,R228)</f>
        <v>211</v>
      </c>
      <c r="V228" s="5" t="str">
        <f t="shared" ca="1" si="40"/>
        <v>0211</v>
      </c>
      <c r="W228" s="5" t="str">
        <f t="shared" ca="1" si="41"/>
        <v>Atividades de estudos geológicos</v>
      </c>
      <c r="Y228" s="5">
        <v>219</v>
      </c>
      <c r="Z228" s="5">
        <f t="shared" ca="1" si="43"/>
        <v>0</v>
      </c>
      <c r="AA228" s="5" t="str">
        <f t="shared" ca="1" si="44"/>
        <v>Guarda-móveis</v>
      </c>
      <c r="AB228" s="5">
        <f ca="1">COUNTIF(R$10:R228,R228)</f>
        <v>211</v>
      </c>
      <c r="AC228" s="5" t="str">
        <f t="shared" ca="1" si="45"/>
        <v>0211</v>
      </c>
      <c r="AD228" s="5" t="str">
        <f t="shared" ca="1" si="46"/>
        <v>Atividades de estudos geológicos</v>
      </c>
      <c r="AE228" s="5">
        <f t="shared" ca="1" si="47"/>
        <v>0</v>
      </c>
    </row>
    <row r="229" spans="4:31" ht="15.6" thickTop="1" thickBot="1" x14ac:dyDescent="0.35">
      <c r="D229" s="57"/>
      <c r="E229" s="58"/>
      <c r="F229" s="59"/>
      <c r="G229" s="59"/>
      <c r="H229" s="59"/>
      <c r="I229" s="60"/>
      <c r="J229" s="61"/>
      <c r="K229" s="61"/>
      <c r="M229" s="9" t="str">
        <f t="shared" si="37"/>
        <v/>
      </c>
      <c r="N229" s="5" t="str">
        <f t="shared" si="48"/>
        <v/>
      </c>
      <c r="O229" s="5" t="str">
        <f t="shared" si="42"/>
        <v/>
      </c>
      <c r="Q229" s="5" t="str">
        <f>'CNAE_Cód.Atividade Econômica'!B218</f>
        <v>Serviços de desenho técnico relacionados à arquitetura e engenharia</v>
      </c>
      <c r="R229" s="5">
        <f t="shared" ca="1" si="38"/>
        <v>0</v>
      </c>
      <c r="S229" s="5" t="str">
        <f t="shared" si="39"/>
        <v>Serviços de desenho técnico relacionados à arquitetura e engenharia</v>
      </c>
      <c r="U229" s="5">
        <f ca="1">COUNTIF(R$10:R229,R229)</f>
        <v>212</v>
      </c>
      <c r="V229" s="5" t="str">
        <f t="shared" ca="1" si="40"/>
        <v>0212</v>
      </c>
      <c r="W229" s="5" t="str">
        <f t="shared" ca="1" si="41"/>
        <v>Serviços de desenho técnico relacionados à arquitetura e engenharia</v>
      </c>
      <c r="Y229" s="5">
        <v>220</v>
      </c>
      <c r="Z229" s="5">
        <f t="shared" ca="1" si="43"/>
        <v>0</v>
      </c>
      <c r="AA229" s="5" t="str">
        <f t="shared" ca="1" si="44"/>
        <v>Guarda-móveis</v>
      </c>
      <c r="AB229" s="5">
        <f ca="1">COUNTIF(R$10:R229,R229)</f>
        <v>212</v>
      </c>
      <c r="AC229" s="5" t="str">
        <f t="shared" ca="1" si="45"/>
        <v>0212</v>
      </c>
      <c r="AD229" s="5" t="str">
        <f t="shared" ca="1" si="46"/>
        <v>Serviços de desenho técnico relacionados à arquitetura e engenharia</v>
      </c>
      <c r="AE229" s="5">
        <f t="shared" ca="1" si="47"/>
        <v>0</v>
      </c>
    </row>
    <row r="230" spans="4:31" ht="15.6" thickTop="1" thickBot="1" x14ac:dyDescent="0.35">
      <c r="D230" s="57"/>
      <c r="E230" s="58"/>
      <c r="F230" s="59"/>
      <c r="G230" s="59"/>
      <c r="H230" s="59"/>
      <c r="I230" s="60"/>
      <c r="J230" s="61"/>
      <c r="K230" s="61"/>
      <c r="M230" s="9" t="str">
        <f t="shared" si="37"/>
        <v/>
      </c>
      <c r="N230" s="5" t="str">
        <f t="shared" si="48"/>
        <v/>
      </c>
      <c r="O230" s="5" t="str">
        <f t="shared" si="42"/>
        <v/>
      </c>
      <c r="Q230" s="5" t="str">
        <f>'CNAE_Cód.Atividade Econômica'!B219</f>
        <v>Serviços de perícia técnica relacionados à segurança do trabalho</v>
      </c>
      <c r="R230" s="5">
        <f t="shared" ca="1" si="38"/>
        <v>0</v>
      </c>
      <c r="S230" s="5" t="str">
        <f t="shared" si="39"/>
        <v>Serviços de perícia técnica relacionados à segurança do trabalho</v>
      </c>
      <c r="U230" s="5">
        <f ca="1">COUNTIF(R$10:R230,R230)</f>
        <v>213</v>
      </c>
      <c r="V230" s="5" t="str">
        <f t="shared" ca="1" si="40"/>
        <v>0213</v>
      </c>
      <c r="W230" s="5" t="str">
        <f t="shared" ca="1" si="41"/>
        <v>Serviços de perícia técnica relacionados à segurança do trabalho</v>
      </c>
      <c r="Y230" s="5">
        <v>221</v>
      </c>
      <c r="Z230" s="5">
        <f t="shared" ca="1" si="43"/>
        <v>0</v>
      </c>
      <c r="AA230" s="5" t="str">
        <f t="shared" ca="1" si="44"/>
        <v>Guarda-móveis</v>
      </c>
      <c r="AB230" s="5">
        <f ca="1">COUNTIF(R$10:R230,R230)</f>
        <v>213</v>
      </c>
      <c r="AC230" s="5" t="str">
        <f t="shared" ca="1" si="45"/>
        <v>0213</v>
      </c>
      <c r="AD230" s="5" t="str">
        <f t="shared" ca="1" si="46"/>
        <v>Serviços de perícia técnica relacionados à segurança do trabalho</v>
      </c>
      <c r="AE230" s="5">
        <f t="shared" ca="1" si="47"/>
        <v>0</v>
      </c>
    </row>
    <row r="231" spans="4:31" ht="15.6" thickTop="1" thickBot="1" x14ac:dyDescent="0.35">
      <c r="D231" s="57"/>
      <c r="E231" s="58"/>
      <c r="F231" s="59"/>
      <c r="G231" s="59"/>
      <c r="H231" s="59"/>
      <c r="I231" s="60"/>
      <c r="J231" s="61"/>
      <c r="K231" s="61"/>
      <c r="M231" s="9" t="str">
        <f t="shared" si="37"/>
        <v/>
      </c>
      <c r="N231" s="5" t="str">
        <f t="shared" si="48"/>
        <v/>
      </c>
      <c r="O231" s="5" t="str">
        <f t="shared" si="42"/>
        <v/>
      </c>
      <c r="Q231" s="5" t="str">
        <f>'CNAE_Cód.Atividade Econômica'!B220</f>
        <v>Atividades técnicas relacionadas à engenharia e arquitetura não especificadas anteriormente</v>
      </c>
      <c r="R231" s="5">
        <f t="shared" ca="1" si="38"/>
        <v>0</v>
      </c>
      <c r="S231" s="5" t="str">
        <f t="shared" si="39"/>
        <v>Atividades técnicas relacionadas à engenharia e arquitetura não especificadas anteriormente</v>
      </c>
      <c r="U231" s="5">
        <f ca="1">COUNTIF(R$10:R231,R231)</f>
        <v>214</v>
      </c>
      <c r="V231" s="5" t="str">
        <f t="shared" ca="1" si="40"/>
        <v>0214</v>
      </c>
      <c r="W231" s="5" t="str">
        <f t="shared" ca="1" si="41"/>
        <v>Atividades técnicas relacionadas à engenharia e arquitetura não especificadas anteriormente</v>
      </c>
      <c r="Y231" s="5">
        <v>222</v>
      </c>
      <c r="Z231" s="5">
        <f t="shared" ca="1" si="43"/>
        <v>0</v>
      </c>
      <c r="AA231" s="5" t="str">
        <f t="shared" ca="1" si="44"/>
        <v>Guarda-móveis</v>
      </c>
      <c r="AB231" s="5">
        <f ca="1">COUNTIF(R$10:R231,R231)</f>
        <v>214</v>
      </c>
      <c r="AC231" s="5" t="str">
        <f t="shared" ca="1" si="45"/>
        <v>0214</v>
      </c>
      <c r="AD231" s="5" t="str">
        <f t="shared" ca="1" si="46"/>
        <v>Atividades técnicas relacionadas à engenharia e arquitetura não especificadas anteriormente</v>
      </c>
      <c r="AE231" s="5">
        <f t="shared" ca="1" si="47"/>
        <v>0</v>
      </c>
    </row>
    <row r="232" spans="4:31" ht="15.6" thickTop="1" thickBot="1" x14ac:dyDescent="0.35">
      <c r="D232" s="57"/>
      <c r="E232" s="58"/>
      <c r="F232" s="59"/>
      <c r="G232" s="59"/>
      <c r="H232" s="59"/>
      <c r="I232" s="60"/>
      <c r="J232" s="61"/>
      <c r="K232" s="61"/>
      <c r="M232" s="9" t="str">
        <f t="shared" si="37"/>
        <v/>
      </c>
      <c r="N232" s="5" t="str">
        <f t="shared" si="48"/>
        <v/>
      </c>
      <c r="O232" s="5" t="str">
        <f t="shared" si="42"/>
        <v/>
      </c>
      <c r="Q232" s="5" t="str">
        <f>'CNAE_Cód.Atividade Econômica'!B221</f>
        <v>Testes e análises técnicas</v>
      </c>
      <c r="R232" s="5">
        <f t="shared" ca="1" si="38"/>
        <v>0</v>
      </c>
      <c r="S232" s="5" t="str">
        <f t="shared" si="39"/>
        <v>Testes e análises técnicas</v>
      </c>
      <c r="U232" s="5">
        <f ca="1">COUNTIF(R$10:R232,R232)</f>
        <v>215</v>
      </c>
      <c r="V232" s="5" t="str">
        <f t="shared" ca="1" si="40"/>
        <v>0215</v>
      </c>
      <c r="W232" s="5" t="str">
        <f t="shared" ca="1" si="41"/>
        <v>Testes e análises técnicas</v>
      </c>
      <c r="Y232" s="5">
        <v>223</v>
      </c>
      <c r="Z232" s="5">
        <f t="shared" ca="1" si="43"/>
        <v>0</v>
      </c>
      <c r="AA232" s="5" t="str">
        <f t="shared" ca="1" si="44"/>
        <v>Guarda-móveis</v>
      </c>
      <c r="AB232" s="5">
        <f ca="1">COUNTIF(R$10:R232,R232)</f>
        <v>215</v>
      </c>
      <c r="AC232" s="5" t="str">
        <f t="shared" ca="1" si="45"/>
        <v>0215</v>
      </c>
      <c r="AD232" s="5" t="str">
        <f t="shared" ca="1" si="46"/>
        <v>Testes e análises técnicas</v>
      </c>
      <c r="AE232" s="5">
        <f t="shared" ca="1" si="47"/>
        <v>0</v>
      </c>
    </row>
    <row r="233" spans="4:31" ht="15.6" thickTop="1" thickBot="1" x14ac:dyDescent="0.35">
      <c r="D233" s="57"/>
      <c r="E233" s="58"/>
      <c r="F233" s="59"/>
      <c r="G233" s="59"/>
      <c r="H233" s="59"/>
      <c r="I233" s="60"/>
      <c r="J233" s="61"/>
      <c r="K233" s="61"/>
      <c r="M233" s="9" t="str">
        <f t="shared" si="37"/>
        <v/>
      </c>
      <c r="N233" s="5" t="str">
        <f t="shared" si="48"/>
        <v/>
      </c>
      <c r="O233" s="5" t="str">
        <f t="shared" si="42"/>
        <v/>
      </c>
      <c r="Q233" s="5" t="str">
        <f>'CNAE_Cód.Atividade Econômica'!B222</f>
        <v>Pesquisa e desenvolvimento experimental em ciências físicas e naturais</v>
      </c>
      <c r="R233" s="5">
        <f t="shared" ca="1" si="38"/>
        <v>0</v>
      </c>
      <c r="S233" s="5" t="str">
        <f t="shared" si="39"/>
        <v>Pesquisa e desenvolvimento experimental em ciências físicas e naturais</v>
      </c>
      <c r="U233" s="5">
        <f ca="1">COUNTIF(R$10:R233,R233)</f>
        <v>216</v>
      </c>
      <c r="V233" s="5" t="str">
        <f t="shared" ca="1" si="40"/>
        <v>0216</v>
      </c>
      <c r="W233" s="5" t="str">
        <f t="shared" ca="1" si="41"/>
        <v>Pesquisa e desenvolvimento experimental em ciências físicas e naturais</v>
      </c>
      <c r="Y233" s="5">
        <v>224</v>
      </c>
      <c r="Z233" s="5">
        <f t="shared" ca="1" si="43"/>
        <v>0</v>
      </c>
      <c r="AA233" s="5" t="str">
        <f t="shared" ca="1" si="44"/>
        <v>Guarda-móveis</v>
      </c>
      <c r="AB233" s="5">
        <f ca="1">COUNTIF(R$10:R233,R233)</f>
        <v>216</v>
      </c>
      <c r="AC233" s="5" t="str">
        <f t="shared" ca="1" si="45"/>
        <v>0216</v>
      </c>
      <c r="AD233" s="5" t="str">
        <f t="shared" ca="1" si="46"/>
        <v>Pesquisa e desenvolvimento experimental em ciências físicas e naturais</v>
      </c>
      <c r="AE233" s="5">
        <f t="shared" ca="1" si="47"/>
        <v>0</v>
      </c>
    </row>
    <row r="234" spans="4:31" ht="15.6" thickTop="1" thickBot="1" x14ac:dyDescent="0.35">
      <c r="D234" s="57"/>
      <c r="E234" s="58"/>
      <c r="F234" s="59"/>
      <c r="G234" s="59"/>
      <c r="H234" s="59"/>
      <c r="I234" s="60"/>
      <c r="J234" s="61"/>
      <c r="K234" s="61"/>
      <c r="M234" s="9" t="str">
        <f t="shared" si="37"/>
        <v/>
      </c>
      <c r="N234" s="5" t="str">
        <f t="shared" si="48"/>
        <v/>
      </c>
      <c r="O234" s="5" t="str">
        <f t="shared" si="42"/>
        <v/>
      </c>
      <c r="Q234" s="5" t="str">
        <f>'CNAE_Cód.Atividade Econômica'!B223</f>
        <v>Pesquisa e desenvolvimento experimental em ciências sociais e humanas</v>
      </c>
      <c r="R234" s="5">
        <f t="shared" ca="1" si="38"/>
        <v>0</v>
      </c>
      <c r="S234" s="5" t="str">
        <f t="shared" si="39"/>
        <v>Pesquisa e desenvolvimento experimental em ciências sociais e humanas</v>
      </c>
      <c r="U234" s="5">
        <f ca="1">COUNTIF(R$10:R234,R234)</f>
        <v>217</v>
      </c>
      <c r="V234" s="5" t="str">
        <f t="shared" ca="1" si="40"/>
        <v>0217</v>
      </c>
      <c r="W234" s="5" t="str">
        <f t="shared" ca="1" si="41"/>
        <v>Pesquisa e desenvolvimento experimental em ciências sociais e humanas</v>
      </c>
      <c r="Y234" s="5">
        <v>225</v>
      </c>
      <c r="Z234" s="5">
        <f t="shared" ca="1" si="43"/>
        <v>0</v>
      </c>
      <c r="AA234" s="5" t="str">
        <f t="shared" ca="1" si="44"/>
        <v>Guarda-móveis</v>
      </c>
      <c r="AB234" s="5">
        <f ca="1">COUNTIF(R$10:R234,R234)</f>
        <v>217</v>
      </c>
      <c r="AC234" s="5" t="str">
        <f t="shared" ca="1" si="45"/>
        <v>0217</v>
      </c>
      <c r="AD234" s="5" t="str">
        <f t="shared" ca="1" si="46"/>
        <v>Pesquisa e desenvolvimento experimental em ciências sociais e humanas</v>
      </c>
      <c r="AE234" s="5">
        <f t="shared" ca="1" si="47"/>
        <v>0</v>
      </c>
    </row>
    <row r="235" spans="4:31" ht="15.6" thickTop="1" thickBot="1" x14ac:dyDescent="0.35">
      <c r="D235" s="57"/>
      <c r="E235" s="58"/>
      <c r="F235" s="59"/>
      <c r="G235" s="59"/>
      <c r="H235" s="59"/>
      <c r="I235" s="60"/>
      <c r="J235" s="61"/>
      <c r="K235" s="61"/>
      <c r="M235" s="9" t="str">
        <f t="shared" si="37"/>
        <v/>
      </c>
      <c r="N235" s="5" t="str">
        <f t="shared" si="48"/>
        <v/>
      </c>
      <c r="O235" s="5" t="str">
        <f t="shared" si="42"/>
        <v/>
      </c>
      <c r="Q235" s="5" t="str">
        <f>'CNAE_Cód.Atividade Econômica'!B224</f>
        <v>Agências de publicidade</v>
      </c>
      <c r="R235" s="5">
        <f t="shared" ca="1" si="38"/>
        <v>0</v>
      </c>
      <c r="S235" s="5" t="str">
        <f t="shared" si="39"/>
        <v>Agências de publicidade</v>
      </c>
      <c r="U235" s="5">
        <f ca="1">COUNTIF(R$10:R235,R235)</f>
        <v>218</v>
      </c>
      <c r="V235" s="5" t="str">
        <f t="shared" ca="1" si="40"/>
        <v>0218</v>
      </c>
      <c r="W235" s="5" t="str">
        <f t="shared" ca="1" si="41"/>
        <v>Agências de publicidade</v>
      </c>
      <c r="Y235" s="5">
        <v>226</v>
      </c>
      <c r="Z235" s="5">
        <f t="shared" ca="1" si="43"/>
        <v>0</v>
      </c>
      <c r="AA235" s="5" t="str">
        <f t="shared" ca="1" si="44"/>
        <v>Guarda-móveis</v>
      </c>
      <c r="AB235" s="5">
        <f ca="1">COUNTIF(R$10:R235,R235)</f>
        <v>218</v>
      </c>
      <c r="AC235" s="5" t="str">
        <f t="shared" ca="1" si="45"/>
        <v>0218</v>
      </c>
      <c r="AD235" s="5" t="str">
        <f t="shared" ca="1" si="46"/>
        <v>Agências de publicidade</v>
      </c>
      <c r="AE235" s="5">
        <f t="shared" ca="1" si="47"/>
        <v>0</v>
      </c>
    </row>
    <row r="236" spans="4:31" ht="15.6" thickTop="1" thickBot="1" x14ac:dyDescent="0.35">
      <c r="D236" s="57"/>
      <c r="E236" s="58"/>
      <c r="F236" s="59"/>
      <c r="G236" s="59"/>
      <c r="H236" s="59"/>
      <c r="I236" s="60"/>
      <c r="J236" s="61"/>
      <c r="K236" s="61"/>
      <c r="M236" s="9" t="str">
        <f t="shared" si="37"/>
        <v/>
      </c>
      <c r="N236" s="5" t="str">
        <f t="shared" si="48"/>
        <v/>
      </c>
      <c r="O236" s="5" t="str">
        <f t="shared" si="42"/>
        <v/>
      </c>
      <c r="Q236" s="5" t="str">
        <f>'CNAE_Cód.Atividade Econômica'!B225</f>
        <v>Agenciamento de espaços para publicidade exceto em veículos de comunicação</v>
      </c>
      <c r="R236" s="5">
        <f t="shared" ca="1" si="38"/>
        <v>0</v>
      </c>
      <c r="S236" s="5" t="str">
        <f t="shared" si="39"/>
        <v>Agenciamento de espaços para publicidade exceto em veículos de comunicação</v>
      </c>
      <c r="U236" s="5">
        <f ca="1">COUNTIF(R$10:R236,R236)</f>
        <v>219</v>
      </c>
      <c r="V236" s="5" t="str">
        <f t="shared" ca="1" si="40"/>
        <v>0219</v>
      </c>
      <c r="W236" s="5" t="str">
        <f t="shared" ca="1" si="41"/>
        <v>Agenciamento de espaços para publicidade exceto em veículos de comunicação</v>
      </c>
      <c r="Y236" s="5">
        <v>227</v>
      </c>
      <c r="Z236" s="5">
        <f t="shared" ca="1" si="43"/>
        <v>0</v>
      </c>
      <c r="AA236" s="5" t="str">
        <f t="shared" ca="1" si="44"/>
        <v>Guarda-móveis</v>
      </c>
      <c r="AB236" s="5">
        <f ca="1">COUNTIF(R$10:R236,R236)</f>
        <v>219</v>
      </c>
      <c r="AC236" s="5" t="str">
        <f t="shared" ca="1" si="45"/>
        <v>0219</v>
      </c>
      <c r="AD236" s="5" t="str">
        <f t="shared" ca="1" si="46"/>
        <v>Agenciamento de espaços para publicidade exceto em veículos de comunicação</v>
      </c>
      <c r="AE236" s="5">
        <f t="shared" ca="1" si="47"/>
        <v>0</v>
      </c>
    </row>
    <row r="237" spans="4:31" ht="15.6" thickTop="1" thickBot="1" x14ac:dyDescent="0.35">
      <c r="D237" s="57"/>
      <c r="E237" s="58"/>
      <c r="F237" s="59"/>
      <c r="G237" s="59"/>
      <c r="H237" s="59"/>
      <c r="I237" s="60"/>
      <c r="J237" s="61"/>
      <c r="K237" s="61"/>
      <c r="M237" s="9" t="str">
        <f t="shared" si="37"/>
        <v/>
      </c>
      <c r="N237" s="5" t="str">
        <f t="shared" si="48"/>
        <v/>
      </c>
      <c r="O237" s="5" t="str">
        <f t="shared" si="42"/>
        <v/>
      </c>
      <c r="Q237" s="5" t="str">
        <f>'CNAE_Cód.Atividade Econômica'!B226</f>
        <v>Criação de estandes para feiras e exposições</v>
      </c>
      <c r="R237" s="5">
        <f t="shared" ca="1" si="38"/>
        <v>0</v>
      </c>
      <c r="S237" s="5" t="str">
        <f t="shared" si="39"/>
        <v>Criação de estandes para feiras e exposições</v>
      </c>
      <c r="U237" s="5">
        <f ca="1">COUNTIF(R$10:R237,R237)</f>
        <v>220</v>
      </c>
      <c r="V237" s="5" t="str">
        <f t="shared" ca="1" si="40"/>
        <v>0220</v>
      </c>
      <c r="W237" s="5" t="str">
        <f t="shared" ca="1" si="41"/>
        <v>Criação de estandes para feiras e exposições</v>
      </c>
      <c r="Y237" s="5">
        <v>228</v>
      </c>
      <c r="Z237" s="5">
        <f t="shared" ca="1" si="43"/>
        <v>0</v>
      </c>
      <c r="AA237" s="5" t="str">
        <f t="shared" ca="1" si="44"/>
        <v>Guarda-móveis</v>
      </c>
      <c r="AB237" s="5">
        <f ca="1">COUNTIF(R$10:R237,R237)</f>
        <v>220</v>
      </c>
      <c r="AC237" s="5" t="str">
        <f t="shared" ca="1" si="45"/>
        <v>0220</v>
      </c>
      <c r="AD237" s="5" t="str">
        <f t="shared" ca="1" si="46"/>
        <v>Criação de estandes para feiras e exposições</v>
      </c>
      <c r="AE237" s="5">
        <f t="shared" ca="1" si="47"/>
        <v>0</v>
      </c>
    </row>
    <row r="238" spans="4:31" ht="15.6" thickTop="1" thickBot="1" x14ac:dyDescent="0.35">
      <c r="D238" s="57"/>
      <c r="E238" s="58"/>
      <c r="F238" s="59"/>
      <c r="G238" s="59"/>
      <c r="H238" s="59"/>
      <c r="I238" s="60"/>
      <c r="J238" s="61"/>
      <c r="K238" s="61"/>
      <c r="M238" s="9" t="str">
        <f t="shared" si="37"/>
        <v/>
      </c>
      <c r="N238" s="5" t="str">
        <f t="shared" si="48"/>
        <v/>
      </c>
      <c r="O238" s="5" t="str">
        <f t="shared" si="42"/>
        <v/>
      </c>
      <c r="Q238" s="5" t="str">
        <f>'CNAE_Cód.Atividade Econômica'!B227</f>
        <v>Promoção de vendas</v>
      </c>
      <c r="R238" s="5">
        <f t="shared" ca="1" si="38"/>
        <v>0</v>
      </c>
      <c r="S238" s="5" t="str">
        <f t="shared" si="39"/>
        <v>Promoção de vendas</v>
      </c>
      <c r="U238" s="5">
        <f ca="1">COUNTIF(R$10:R238,R238)</f>
        <v>221</v>
      </c>
      <c r="V238" s="5" t="str">
        <f t="shared" ca="1" si="40"/>
        <v>0221</v>
      </c>
      <c r="W238" s="5" t="str">
        <f t="shared" ca="1" si="41"/>
        <v>Promoção de vendas</v>
      </c>
      <c r="Y238" s="5">
        <v>229</v>
      </c>
      <c r="Z238" s="5">
        <f t="shared" ca="1" si="43"/>
        <v>0</v>
      </c>
      <c r="AA238" s="5" t="str">
        <f t="shared" ca="1" si="44"/>
        <v>Guarda-móveis</v>
      </c>
      <c r="AB238" s="5">
        <f ca="1">COUNTIF(R$10:R238,R238)</f>
        <v>221</v>
      </c>
      <c r="AC238" s="5" t="str">
        <f t="shared" ca="1" si="45"/>
        <v>0221</v>
      </c>
      <c r="AD238" s="5" t="str">
        <f t="shared" ca="1" si="46"/>
        <v>Promoção de vendas</v>
      </c>
      <c r="AE238" s="5">
        <f t="shared" ca="1" si="47"/>
        <v>0</v>
      </c>
    </row>
    <row r="239" spans="4:31" ht="15.6" thickTop="1" thickBot="1" x14ac:dyDescent="0.35">
      <c r="D239" s="57"/>
      <c r="E239" s="58"/>
      <c r="F239" s="59"/>
      <c r="G239" s="59"/>
      <c r="H239" s="59"/>
      <c r="I239" s="60"/>
      <c r="J239" s="61"/>
      <c r="K239" s="61"/>
      <c r="M239" s="9" t="str">
        <f t="shared" si="37"/>
        <v/>
      </c>
      <c r="N239" s="5" t="str">
        <f t="shared" si="48"/>
        <v/>
      </c>
      <c r="O239" s="5" t="str">
        <f t="shared" si="42"/>
        <v/>
      </c>
      <c r="Q239" s="5" t="str">
        <f>'CNAE_Cód.Atividade Econômica'!B228</f>
        <v>Marketing direto</v>
      </c>
      <c r="R239" s="5">
        <f t="shared" ca="1" si="38"/>
        <v>0</v>
      </c>
      <c r="S239" s="5" t="str">
        <f t="shared" si="39"/>
        <v>Marketing direto</v>
      </c>
      <c r="U239" s="5">
        <f ca="1">COUNTIF(R$10:R239,R239)</f>
        <v>222</v>
      </c>
      <c r="V239" s="5" t="str">
        <f t="shared" ca="1" si="40"/>
        <v>0222</v>
      </c>
      <c r="W239" s="5" t="str">
        <f t="shared" ca="1" si="41"/>
        <v>Marketing direto</v>
      </c>
      <c r="Y239" s="5">
        <v>230</v>
      </c>
      <c r="Z239" s="5">
        <f t="shared" ca="1" si="43"/>
        <v>0</v>
      </c>
      <c r="AA239" s="5" t="str">
        <f t="shared" ca="1" si="44"/>
        <v>Guarda-móveis</v>
      </c>
      <c r="AB239" s="5">
        <f ca="1">COUNTIF(R$10:R239,R239)</f>
        <v>222</v>
      </c>
      <c r="AC239" s="5" t="str">
        <f t="shared" ca="1" si="45"/>
        <v>0222</v>
      </c>
      <c r="AD239" s="5" t="str">
        <f t="shared" ca="1" si="46"/>
        <v>Marketing direto</v>
      </c>
      <c r="AE239" s="5">
        <f t="shared" ca="1" si="47"/>
        <v>0</v>
      </c>
    </row>
    <row r="240" spans="4:31" ht="15.6" thickTop="1" thickBot="1" x14ac:dyDescent="0.35">
      <c r="D240" s="57"/>
      <c r="E240" s="58"/>
      <c r="F240" s="59"/>
      <c r="G240" s="59"/>
      <c r="H240" s="59"/>
      <c r="I240" s="60"/>
      <c r="J240" s="61"/>
      <c r="K240" s="61"/>
      <c r="M240" s="9" t="str">
        <f t="shared" si="37"/>
        <v/>
      </c>
      <c r="N240" s="5" t="str">
        <f t="shared" si="48"/>
        <v/>
      </c>
      <c r="O240" s="5" t="str">
        <f t="shared" si="42"/>
        <v/>
      </c>
      <c r="Q240" s="5" t="str">
        <f>'CNAE_Cód.Atividade Econômica'!B229</f>
        <v>Consultoria em publicidade</v>
      </c>
      <c r="R240" s="5">
        <f t="shared" ca="1" si="38"/>
        <v>0</v>
      </c>
      <c r="S240" s="5" t="str">
        <f t="shared" si="39"/>
        <v>Consultoria em publicidade</v>
      </c>
      <c r="U240" s="5">
        <f ca="1">COUNTIF(R$10:R240,R240)</f>
        <v>223</v>
      </c>
      <c r="V240" s="5" t="str">
        <f t="shared" ca="1" si="40"/>
        <v>0223</v>
      </c>
      <c r="W240" s="5" t="str">
        <f t="shared" ca="1" si="41"/>
        <v>Consultoria em publicidade</v>
      </c>
      <c r="Y240" s="5">
        <v>231</v>
      </c>
      <c r="Z240" s="5">
        <f t="shared" ca="1" si="43"/>
        <v>0</v>
      </c>
      <c r="AA240" s="5" t="str">
        <f t="shared" ca="1" si="44"/>
        <v>Guarda-móveis</v>
      </c>
      <c r="AB240" s="5">
        <f ca="1">COUNTIF(R$10:R240,R240)</f>
        <v>223</v>
      </c>
      <c r="AC240" s="5" t="str">
        <f t="shared" ca="1" si="45"/>
        <v>0223</v>
      </c>
      <c r="AD240" s="5" t="str">
        <f t="shared" ca="1" si="46"/>
        <v>Consultoria em publicidade</v>
      </c>
      <c r="AE240" s="5">
        <f t="shared" ca="1" si="47"/>
        <v>0</v>
      </c>
    </row>
    <row r="241" spans="4:31" ht="15.6" thickTop="1" thickBot="1" x14ac:dyDescent="0.35">
      <c r="D241" s="57"/>
      <c r="E241" s="58"/>
      <c r="F241" s="59"/>
      <c r="G241" s="59"/>
      <c r="H241" s="59"/>
      <c r="I241" s="60"/>
      <c r="J241" s="61"/>
      <c r="K241" s="61"/>
      <c r="M241" s="9" t="str">
        <f t="shared" si="37"/>
        <v/>
      </c>
      <c r="N241" s="5" t="str">
        <f t="shared" si="48"/>
        <v/>
      </c>
      <c r="O241" s="5" t="str">
        <f t="shared" si="42"/>
        <v/>
      </c>
      <c r="Q241" s="5" t="str">
        <f>'CNAE_Cód.Atividade Econômica'!B230</f>
        <v>Outras atividades de publicidade não especificadas anteriormente</v>
      </c>
      <c r="R241" s="5">
        <f t="shared" ca="1" si="38"/>
        <v>0</v>
      </c>
      <c r="S241" s="5" t="str">
        <f t="shared" si="39"/>
        <v>Outras atividades de publicidade não especificadas anteriormente</v>
      </c>
      <c r="U241" s="5">
        <f ca="1">COUNTIF(R$10:R241,R241)</f>
        <v>224</v>
      </c>
      <c r="V241" s="5" t="str">
        <f t="shared" ca="1" si="40"/>
        <v>0224</v>
      </c>
      <c r="W241" s="5" t="str">
        <f t="shared" ca="1" si="41"/>
        <v>Outras atividades de publicidade não especificadas anteriormente</v>
      </c>
      <c r="Y241" s="5">
        <v>232</v>
      </c>
      <c r="Z241" s="5">
        <f t="shared" ca="1" si="43"/>
        <v>0</v>
      </c>
      <c r="AA241" s="5" t="str">
        <f t="shared" ca="1" si="44"/>
        <v>Guarda-móveis</v>
      </c>
      <c r="AB241" s="5">
        <f ca="1">COUNTIF(R$10:R241,R241)</f>
        <v>224</v>
      </c>
      <c r="AC241" s="5" t="str">
        <f t="shared" ca="1" si="45"/>
        <v>0224</v>
      </c>
      <c r="AD241" s="5" t="str">
        <f t="shared" ca="1" si="46"/>
        <v>Outras atividades de publicidade não especificadas anteriormente</v>
      </c>
      <c r="AE241" s="5">
        <f t="shared" ca="1" si="47"/>
        <v>0</v>
      </c>
    </row>
    <row r="242" spans="4:31" ht="15.6" thickTop="1" thickBot="1" x14ac:dyDescent="0.35">
      <c r="D242" s="57"/>
      <c r="E242" s="58"/>
      <c r="F242" s="59"/>
      <c r="G242" s="59"/>
      <c r="H242" s="59"/>
      <c r="I242" s="60"/>
      <c r="J242" s="61"/>
      <c r="K242" s="61"/>
      <c r="M242" s="9" t="str">
        <f t="shared" si="37"/>
        <v/>
      </c>
      <c r="N242" s="5" t="str">
        <f t="shared" si="48"/>
        <v/>
      </c>
      <c r="O242" s="5" t="str">
        <f t="shared" si="42"/>
        <v/>
      </c>
      <c r="Q242" s="5" t="str">
        <f>'CNAE_Cód.Atividade Econômica'!B231</f>
        <v>Pesquisas de mercado e de opinião pública</v>
      </c>
      <c r="R242" s="5">
        <f t="shared" ca="1" si="38"/>
        <v>0</v>
      </c>
      <c r="S242" s="5" t="str">
        <f t="shared" si="39"/>
        <v>Pesquisas de mercado e de opinião pública</v>
      </c>
      <c r="U242" s="5">
        <f ca="1">COUNTIF(R$10:R242,R242)</f>
        <v>225</v>
      </c>
      <c r="V242" s="5" t="str">
        <f t="shared" ca="1" si="40"/>
        <v>0225</v>
      </c>
      <c r="W242" s="5" t="str">
        <f t="shared" ca="1" si="41"/>
        <v>Pesquisas de mercado e de opinião pública</v>
      </c>
      <c r="Y242" s="5">
        <v>233</v>
      </c>
      <c r="Z242" s="5">
        <f t="shared" ca="1" si="43"/>
        <v>0</v>
      </c>
      <c r="AA242" s="5" t="str">
        <f t="shared" ca="1" si="44"/>
        <v>Guarda-móveis</v>
      </c>
      <c r="AB242" s="5">
        <f ca="1">COUNTIF(R$10:R242,R242)</f>
        <v>225</v>
      </c>
      <c r="AC242" s="5" t="str">
        <f t="shared" ca="1" si="45"/>
        <v>0225</v>
      </c>
      <c r="AD242" s="5" t="str">
        <f t="shared" ca="1" si="46"/>
        <v>Pesquisas de mercado e de opinião pública</v>
      </c>
      <c r="AE242" s="5">
        <f t="shared" ca="1" si="47"/>
        <v>0</v>
      </c>
    </row>
    <row r="243" spans="4:31" ht="15.6" thickTop="1" thickBot="1" x14ac:dyDescent="0.35">
      <c r="D243" s="57"/>
      <c r="E243" s="58"/>
      <c r="F243" s="59"/>
      <c r="G243" s="59"/>
      <c r="H243" s="59"/>
      <c r="I243" s="60"/>
      <c r="J243" s="61"/>
      <c r="K243" s="61"/>
      <c r="M243" s="9" t="str">
        <f t="shared" si="37"/>
        <v/>
      </c>
      <c r="N243" s="5" t="str">
        <f t="shared" si="48"/>
        <v/>
      </c>
      <c r="O243" s="5" t="str">
        <f t="shared" si="42"/>
        <v/>
      </c>
      <c r="Q243" s="5" t="str">
        <f>'CNAE_Cód.Atividade Econômica'!B232</f>
        <v>Design de interiores</v>
      </c>
      <c r="R243" s="5">
        <f t="shared" ca="1" si="38"/>
        <v>0</v>
      </c>
      <c r="S243" s="5" t="str">
        <f t="shared" si="39"/>
        <v>Design de interiores</v>
      </c>
      <c r="U243" s="5">
        <f ca="1">COUNTIF(R$10:R243,R243)</f>
        <v>226</v>
      </c>
      <c r="V243" s="5" t="str">
        <f t="shared" ca="1" si="40"/>
        <v>0226</v>
      </c>
      <c r="W243" s="5" t="str">
        <f t="shared" ca="1" si="41"/>
        <v>Design de interiores</v>
      </c>
      <c r="Y243" s="5">
        <v>234</v>
      </c>
      <c r="Z243" s="5">
        <f t="shared" ca="1" si="43"/>
        <v>0</v>
      </c>
      <c r="AA243" s="5" t="str">
        <f t="shared" ca="1" si="44"/>
        <v>Guarda-móveis</v>
      </c>
      <c r="AB243" s="5">
        <f ca="1">COUNTIF(R$10:R243,R243)</f>
        <v>226</v>
      </c>
      <c r="AC243" s="5" t="str">
        <f t="shared" ca="1" si="45"/>
        <v>0226</v>
      </c>
      <c r="AD243" s="5" t="str">
        <f t="shared" ca="1" si="46"/>
        <v>Design de interiores</v>
      </c>
      <c r="AE243" s="5">
        <f t="shared" ca="1" si="47"/>
        <v>0</v>
      </c>
    </row>
    <row r="244" spans="4:31" ht="15.6" thickTop="1" thickBot="1" x14ac:dyDescent="0.35">
      <c r="D244" s="57"/>
      <c r="E244" s="58"/>
      <c r="F244" s="59"/>
      <c r="G244" s="59"/>
      <c r="H244" s="59"/>
      <c r="I244" s="60"/>
      <c r="J244" s="61"/>
      <c r="K244" s="61"/>
      <c r="M244" s="9" t="str">
        <f t="shared" si="37"/>
        <v/>
      </c>
      <c r="N244" s="5" t="str">
        <f t="shared" si="48"/>
        <v/>
      </c>
      <c r="O244" s="5" t="str">
        <f t="shared" si="42"/>
        <v/>
      </c>
      <c r="Q244" s="5" t="str">
        <f>'CNAE_Cód.Atividade Econômica'!B233</f>
        <v>Design de produto</v>
      </c>
      <c r="R244" s="5">
        <f t="shared" ca="1" si="38"/>
        <v>0</v>
      </c>
      <c r="S244" s="5" t="str">
        <f t="shared" si="39"/>
        <v>Design de produto</v>
      </c>
      <c r="U244" s="5">
        <f ca="1">COUNTIF(R$10:R244,R244)</f>
        <v>227</v>
      </c>
      <c r="V244" s="5" t="str">
        <f t="shared" ca="1" si="40"/>
        <v>0227</v>
      </c>
      <c r="W244" s="5" t="str">
        <f t="shared" ca="1" si="41"/>
        <v>Design de produto</v>
      </c>
      <c r="Y244" s="5">
        <v>235</v>
      </c>
      <c r="Z244" s="5">
        <f t="shared" ca="1" si="43"/>
        <v>0</v>
      </c>
      <c r="AA244" s="5" t="str">
        <f t="shared" ca="1" si="44"/>
        <v>Guarda-móveis</v>
      </c>
      <c r="AB244" s="5">
        <f ca="1">COUNTIF(R$10:R244,R244)</f>
        <v>227</v>
      </c>
      <c r="AC244" s="5" t="str">
        <f t="shared" ca="1" si="45"/>
        <v>0227</v>
      </c>
      <c r="AD244" s="5" t="str">
        <f t="shared" ca="1" si="46"/>
        <v>Design de produto</v>
      </c>
      <c r="AE244" s="5">
        <f t="shared" ca="1" si="47"/>
        <v>0</v>
      </c>
    </row>
    <row r="245" spans="4:31" ht="15.6" thickTop="1" thickBot="1" x14ac:dyDescent="0.35">
      <c r="D245" s="57"/>
      <c r="E245" s="58"/>
      <c r="F245" s="59"/>
      <c r="G245" s="59"/>
      <c r="H245" s="59"/>
      <c r="I245" s="60"/>
      <c r="J245" s="61"/>
      <c r="K245" s="61"/>
      <c r="M245" s="9" t="str">
        <f t="shared" si="37"/>
        <v/>
      </c>
      <c r="N245" s="5" t="str">
        <f t="shared" si="48"/>
        <v/>
      </c>
      <c r="O245" s="5" t="str">
        <f t="shared" si="42"/>
        <v/>
      </c>
      <c r="Q245" s="5" t="str">
        <f>'CNAE_Cód.Atividade Econômica'!B234</f>
        <v>Atividades de design não especificadas anteriormente</v>
      </c>
      <c r="R245" s="5">
        <f t="shared" ca="1" si="38"/>
        <v>0</v>
      </c>
      <c r="S245" s="5" t="str">
        <f t="shared" si="39"/>
        <v>Atividades de design não especificadas anteriormente</v>
      </c>
      <c r="U245" s="5">
        <f ca="1">COUNTIF(R$10:R245,R245)</f>
        <v>228</v>
      </c>
      <c r="V245" s="5" t="str">
        <f t="shared" ca="1" si="40"/>
        <v>0228</v>
      </c>
      <c r="W245" s="5" t="str">
        <f t="shared" ca="1" si="41"/>
        <v>Atividades de design não especificadas anteriormente</v>
      </c>
      <c r="Y245" s="5">
        <v>236</v>
      </c>
      <c r="Z245" s="5">
        <f t="shared" ca="1" si="43"/>
        <v>0</v>
      </c>
      <c r="AA245" s="5" t="str">
        <f t="shared" ca="1" si="44"/>
        <v>Guarda-móveis</v>
      </c>
      <c r="AB245" s="5">
        <f ca="1">COUNTIF(R$10:R245,R245)</f>
        <v>228</v>
      </c>
      <c r="AC245" s="5" t="str">
        <f t="shared" ca="1" si="45"/>
        <v>0228</v>
      </c>
      <c r="AD245" s="5" t="str">
        <f t="shared" ca="1" si="46"/>
        <v>Atividades de design não especificadas anteriormente</v>
      </c>
      <c r="AE245" s="5">
        <f t="shared" ca="1" si="47"/>
        <v>0</v>
      </c>
    </row>
    <row r="246" spans="4:31" ht="15.6" thickTop="1" thickBot="1" x14ac:dyDescent="0.35">
      <c r="D246" s="57"/>
      <c r="E246" s="58"/>
      <c r="F246" s="59"/>
      <c r="G246" s="59"/>
      <c r="H246" s="59"/>
      <c r="I246" s="60"/>
      <c r="J246" s="61"/>
      <c r="K246" s="61"/>
      <c r="M246" s="9" t="str">
        <f t="shared" si="37"/>
        <v/>
      </c>
      <c r="N246" s="5" t="str">
        <f t="shared" si="48"/>
        <v/>
      </c>
      <c r="O246" s="5" t="str">
        <f t="shared" si="42"/>
        <v/>
      </c>
      <c r="Q246" s="5" t="str">
        <f>'CNAE_Cód.Atividade Econômica'!B235</f>
        <v>Atividades de produção de fotografias, exceto aérea e submarina</v>
      </c>
      <c r="R246" s="5">
        <f t="shared" ca="1" si="38"/>
        <v>0</v>
      </c>
      <c r="S246" s="5" t="str">
        <f t="shared" si="39"/>
        <v>Atividades de produção de fotografias, exceto aérea e submarina</v>
      </c>
      <c r="U246" s="5">
        <f ca="1">COUNTIF(R$10:R246,R246)</f>
        <v>229</v>
      </c>
      <c r="V246" s="5" t="str">
        <f t="shared" ca="1" si="40"/>
        <v>0229</v>
      </c>
      <c r="W246" s="5" t="str">
        <f t="shared" ca="1" si="41"/>
        <v>Atividades de produção de fotografias, exceto aérea e submarina</v>
      </c>
      <c r="Y246" s="5">
        <v>237</v>
      </c>
      <c r="Z246" s="5">
        <f t="shared" ca="1" si="43"/>
        <v>0</v>
      </c>
      <c r="AA246" s="5" t="str">
        <f t="shared" ca="1" si="44"/>
        <v>Guarda-móveis</v>
      </c>
      <c r="AB246" s="5">
        <f ca="1">COUNTIF(R$10:R246,R246)</f>
        <v>229</v>
      </c>
      <c r="AC246" s="5" t="str">
        <f t="shared" ca="1" si="45"/>
        <v>0229</v>
      </c>
      <c r="AD246" s="5" t="str">
        <f t="shared" ca="1" si="46"/>
        <v>Atividades de produção de fotografias, exceto aérea e submarina</v>
      </c>
      <c r="AE246" s="5">
        <f t="shared" ca="1" si="47"/>
        <v>0</v>
      </c>
    </row>
    <row r="247" spans="4:31" ht="15.6" thickTop="1" thickBot="1" x14ac:dyDescent="0.35">
      <c r="D247" s="57"/>
      <c r="E247" s="58"/>
      <c r="F247" s="59"/>
      <c r="G247" s="59"/>
      <c r="H247" s="59"/>
      <c r="I247" s="60"/>
      <c r="J247" s="61"/>
      <c r="K247" s="61"/>
      <c r="M247" s="9" t="str">
        <f t="shared" si="37"/>
        <v/>
      </c>
      <c r="N247" s="5" t="str">
        <f t="shared" si="48"/>
        <v/>
      </c>
      <c r="O247" s="5" t="str">
        <f t="shared" si="42"/>
        <v/>
      </c>
      <c r="Q247" s="5" t="str">
        <f>'CNAE_Cód.Atividade Econômica'!B236</f>
        <v>Atividades de produção de fotografias aéreas e submarinas</v>
      </c>
      <c r="R247" s="5">
        <f t="shared" ca="1" si="38"/>
        <v>0</v>
      </c>
      <c r="S247" s="5" t="str">
        <f t="shared" si="39"/>
        <v>Atividades de produção de fotografias aéreas e submarinas</v>
      </c>
      <c r="U247" s="5">
        <f ca="1">COUNTIF(R$10:R247,R247)</f>
        <v>230</v>
      </c>
      <c r="V247" s="5" t="str">
        <f t="shared" ca="1" si="40"/>
        <v>0230</v>
      </c>
      <c r="W247" s="5" t="str">
        <f t="shared" ca="1" si="41"/>
        <v>Atividades de produção de fotografias aéreas e submarinas</v>
      </c>
      <c r="Y247" s="5">
        <v>238</v>
      </c>
      <c r="Z247" s="5">
        <f t="shared" ca="1" si="43"/>
        <v>0</v>
      </c>
      <c r="AA247" s="5" t="str">
        <f t="shared" ca="1" si="44"/>
        <v>Guarda-móveis</v>
      </c>
      <c r="AB247" s="5">
        <f ca="1">COUNTIF(R$10:R247,R247)</f>
        <v>230</v>
      </c>
      <c r="AC247" s="5" t="str">
        <f t="shared" ca="1" si="45"/>
        <v>0230</v>
      </c>
      <c r="AD247" s="5" t="str">
        <f t="shared" ca="1" si="46"/>
        <v>Atividades de produção de fotografias aéreas e submarinas</v>
      </c>
      <c r="AE247" s="5">
        <f t="shared" ca="1" si="47"/>
        <v>0</v>
      </c>
    </row>
    <row r="248" spans="4:31" ht="15.6" thickTop="1" thickBot="1" x14ac:dyDescent="0.35">
      <c r="D248" s="57"/>
      <c r="E248" s="58"/>
      <c r="F248" s="59"/>
      <c r="G248" s="59"/>
      <c r="H248" s="59"/>
      <c r="I248" s="60"/>
      <c r="J248" s="61"/>
      <c r="K248" s="61"/>
      <c r="M248" s="9" t="str">
        <f t="shared" si="37"/>
        <v/>
      </c>
      <c r="N248" s="5" t="str">
        <f t="shared" si="48"/>
        <v/>
      </c>
      <c r="O248" s="5" t="str">
        <f t="shared" si="42"/>
        <v/>
      </c>
      <c r="Q248" s="5" t="str">
        <f>'CNAE_Cód.Atividade Econômica'!B237</f>
        <v>Laboratórios fotográficos</v>
      </c>
      <c r="R248" s="5">
        <f t="shared" ca="1" si="38"/>
        <v>0</v>
      </c>
      <c r="S248" s="5" t="str">
        <f t="shared" si="39"/>
        <v>Laboratórios fotográficos</v>
      </c>
      <c r="U248" s="5">
        <f ca="1">COUNTIF(R$10:R248,R248)</f>
        <v>231</v>
      </c>
      <c r="V248" s="5" t="str">
        <f t="shared" ca="1" si="40"/>
        <v>0231</v>
      </c>
      <c r="W248" s="5" t="str">
        <f t="shared" ca="1" si="41"/>
        <v>Laboratórios fotográficos</v>
      </c>
      <c r="Y248" s="5">
        <v>239</v>
      </c>
      <c r="Z248" s="5">
        <f t="shared" ca="1" si="43"/>
        <v>0</v>
      </c>
      <c r="AA248" s="5" t="str">
        <f t="shared" ca="1" si="44"/>
        <v>Guarda-móveis</v>
      </c>
      <c r="AB248" s="5">
        <f ca="1">COUNTIF(R$10:R248,R248)</f>
        <v>231</v>
      </c>
      <c r="AC248" s="5" t="str">
        <f t="shared" ca="1" si="45"/>
        <v>0231</v>
      </c>
      <c r="AD248" s="5" t="str">
        <f t="shared" ca="1" si="46"/>
        <v>Laboratórios fotográficos</v>
      </c>
      <c r="AE248" s="5">
        <f t="shared" ca="1" si="47"/>
        <v>0</v>
      </c>
    </row>
    <row r="249" spans="4:31" ht="15.6" thickTop="1" thickBot="1" x14ac:dyDescent="0.35">
      <c r="D249" s="57"/>
      <c r="E249" s="58"/>
      <c r="F249" s="59"/>
      <c r="G249" s="59"/>
      <c r="H249" s="59"/>
      <c r="I249" s="60"/>
      <c r="J249" s="61"/>
      <c r="K249" s="61"/>
      <c r="M249" s="9" t="str">
        <f t="shared" si="37"/>
        <v/>
      </c>
      <c r="N249" s="5" t="str">
        <f t="shared" si="48"/>
        <v/>
      </c>
      <c r="O249" s="5" t="str">
        <f t="shared" si="42"/>
        <v/>
      </c>
      <c r="Q249" s="5" t="str">
        <f>'CNAE_Cód.Atividade Econômica'!B238</f>
        <v>Filmagem de festas e eventos</v>
      </c>
      <c r="R249" s="5">
        <f t="shared" ca="1" si="38"/>
        <v>0</v>
      </c>
      <c r="S249" s="5" t="str">
        <f t="shared" si="39"/>
        <v>Filmagem de festas e eventos</v>
      </c>
      <c r="U249" s="5">
        <f ca="1">COUNTIF(R$10:R249,R249)</f>
        <v>232</v>
      </c>
      <c r="V249" s="5" t="str">
        <f t="shared" ca="1" si="40"/>
        <v>0232</v>
      </c>
      <c r="W249" s="5" t="str">
        <f t="shared" ca="1" si="41"/>
        <v>Filmagem de festas e eventos</v>
      </c>
      <c r="Y249" s="5">
        <v>240</v>
      </c>
      <c r="Z249" s="5">
        <f t="shared" ca="1" si="43"/>
        <v>0</v>
      </c>
      <c r="AA249" s="5" t="str">
        <f t="shared" ca="1" si="44"/>
        <v>Guarda-móveis</v>
      </c>
      <c r="AB249" s="5">
        <f ca="1">COUNTIF(R$10:R249,R249)</f>
        <v>232</v>
      </c>
      <c r="AC249" s="5" t="str">
        <f t="shared" ca="1" si="45"/>
        <v>0232</v>
      </c>
      <c r="AD249" s="5" t="str">
        <f t="shared" ca="1" si="46"/>
        <v>Filmagem de festas e eventos</v>
      </c>
      <c r="AE249" s="5">
        <f t="shared" ca="1" si="47"/>
        <v>0</v>
      </c>
    </row>
    <row r="250" spans="4:31" ht="15.6" thickTop="1" thickBot="1" x14ac:dyDescent="0.35">
      <c r="D250" s="57"/>
      <c r="E250" s="58"/>
      <c r="F250" s="59"/>
      <c r="G250" s="59"/>
      <c r="H250" s="59"/>
      <c r="I250" s="60"/>
      <c r="J250" s="61"/>
      <c r="K250" s="61"/>
      <c r="M250" s="9" t="str">
        <f t="shared" si="37"/>
        <v/>
      </c>
      <c r="N250" s="5" t="str">
        <f t="shared" si="48"/>
        <v/>
      </c>
      <c r="O250" s="5" t="str">
        <f t="shared" si="42"/>
        <v/>
      </c>
      <c r="Q250" s="5" t="str">
        <f>'CNAE_Cód.Atividade Econômica'!B239</f>
        <v>Serviços de microfilmagem</v>
      </c>
      <c r="R250" s="5">
        <f t="shared" ca="1" si="38"/>
        <v>0</v>
      </c>
      <c r="S250" s="5" t="str">
        <f t="shared" si="39"/>
        <v>Serviços de microfilmagem</v>
      </c>
      <c r="U250" s="5">
        <f ca="1">COUNTIF(R$10:R250,R250)</f>
        <v>233</v>
      </c>
      <c r="V250" s="5" t="str">
        <f t="shared" ca="1" si="40"/>
        <v>0233</v>
      </c>
      <c r="W250" s="5" t="str">
        <f t="shared" ca="1" si="41"/>
        <v>Serviços de microfilmagem</v>
      </c>
      <c r="Y250" s="5">
        <v>241</v>
      </c>
      <c r="Z250" s="5">
        <f t="shared" ca="1" si="43"/>
        <v>0</v>
      </c>
      <c r="AA250" s="5" t="str">
        <f t="shared" ca="1" si="44"/>
        <v>Guarda-móveis</v>
      </c>
      <c r="AB250" s="5">
        <f ca="1">COUNTIF(R$10:R250,R250)</f>
        <v>233</v>
      </c>
      <c r="AC250" s="5" t="str">
        <f t="shared" ca="1" si="45"/>
        <v>0233</v>
      </c>
      <c r="AD250" s="5" t="str">
        <f t="shared" ca="1" si="46"/>
        <v>Serviços de microfilmagem</v>
      </c>
      <c r="AE250" s="5">
        <f t="shared" ca="1" si="47"/>
        <v>0</v>
      </c>
    </row>
    <row r="251" spans="4:31" ht="15.6" thickTop="1" thickBot="1" x14ac:dyDescent="0.35">
      <c r="D251" s="57"/>
      <c r="E251" s="58"/>
      <c r="F251" s="59"/>
      <c r="G251" s="59"/>
      <c r="H251" s="59"/>
      <c r="I251" s="60"/>
      <c r="J251" s="61"/>
      <c r="K251" s="61"/>
      <c r="M251" s="9" t="str">
        <f t="shared" si="37"/>
        <v/>
      </c>
      <c r="N251" s="5" t="str">
        <f t="shared" si="48"/>
        <v/>
      </c>
      <c r="O251" s="5" t="str">
        <f t="shared" si="42"/>
        <v/>
      </c>
      <c r="Q251" s="5" t="str">
        <f>'CNAE_Cód.Atividade Econômica'!B240</f>
        <v>Serviços de tradução, interpretação e similares</v>
      </c>
      <c r="R251" s="5">
        <f t="shared" ca="1" si="38"/>
        <v>0</v>
      </c>
      <c r="S251" s="5" t="str">
        <f t="shared" si="39"/>
        <v>Serviços de tradução, interpretação e similares</v>
      </c>
      <c r="U251" s="5">
        <f ca="1">COUNTIF(R$10:R251,R251)</f>
        <v>234</v>
      </c>
      <c r="V251" s="5" t="str">
        <f t="shared" ca="1" si="40"/>
        <v>0234</v>
      </c>
      <c r="W251" s="5" t="str">
        <f t="shared" ca="1" si="41"/>
        <v>Serviços de tradução, interpretação e similares</v>
      </c>
      <c r="Y251" s="5">
        <v>242</v>
      </c>
      <c r="Z251" s="5">
        <f t="shared" ca="1" si="43"/>
        <v>0</v>
      </c>
      <c r="AA251" s="5" t="str">
        <f t="shared" ca="1" si="44"/>
        <v>Guarda-móveis</v>
      </c>
      <c r="AB251" s="5">
        <f ca="1">COUNTIF(R$10:R251,R251)</f>
        <v>234</v>
      </c>
      <c r="AC251" s="5" t="str">
        <f t="shared" ca="1" si="45"/>
        <v>0234</v>
      </c>
      <c r="AD251" s="5" t="str">
        <f t="shared" ca="1" si="46"/>
        <v>Serviços de tradução, interpretação e similares</v>
      </c>
      <c r="AE251" s="5">
        <f t="shared" ca="1" si="47"/>
        <v>0</v>
      </c>
    </row>
    <row r="252" spans="4:31" ht="15.6" thickTop="1" thickBot="1" x14ac:dyDescent="0.35">
      <c r="D252" s="57"/>
      <c r="E252" s="58"/>
      <c r="F252" s="59"/>
      <c r="G252" s="59"/>
      <c r="H252" s="59"/>
      <c r="I252" s="60"/>
      <c r="J252" s="61"/>
      <c r="K252" s="61"/>
      <c r="M252" s="9" t="str">
        <f t="shared" si="37"/>
        <v/>
      </c>
      <c r="N252" s="5" t="str">
        <f t="shared" si="48"/>
        <v/>
      </c>
      <c r="O252" s="5" t="str">
        <f t="shared" si="42"/>
        <v/>
      </c>
      <c r="Q252" s="5" t="str">
        <f>'CNAE_Cód.Atividade Econômica'!B241</f>
        <v>Escafandria e mergulho</v>
      </c>
      <c r="R252" s="5">
        <f t="shared" ca="1" si="38"/>
        <v>0</v>
      </c>
      <c r="S252" s="5" t="str">
        <f t="shared" si="39"/>
        <v>Escafandria e mergulho</v>
      </c>
      <c r="U252" s="5">
        <f ca="1">COUNTIF(R$10:R252,R252)</f>
        <v>235</v>
      </c>
      <c r="V252" s="5" t="str">
        <f t="shared" ca="1" si="40"/>
        <v>0235</v>
      </c>
      <c r="W252" s="5" t="str">
        <f t="shared" ca="1" si="41"/>
        <v>Escafandria e mergulho</v>
      </c>
      <c r="Y252" s="5">
        <v>243</v>
      </c>
      <c r="Z252" s="5">
        <f t="shared" ca="1" si="43"/>
        <v>0</v>
      </c>
      <c r="AA252" s="5" t="str">
        <f t="shared" ca="1" si="44"/>
        <v>Guarda-móveis</v>
      </c>
      <c r="AB252" s="5">
        <f ca="1">COUNTIF(R$10:R252,R252)</f>
        <v>235</v>
      </c>
      <c r="AC252" s="5" t="str">
        <f t="shared" ca="1" si="45"/>
        <v>0235</v>
      </c>
      <c r="AD252" s="5" t="str">
        <f t="shared" ca="1" si="46"/>
        <v>Escafandria e mergulho</v>
      </c>
      <c r="AE252" s="5">
        <f t="shared" ca="1" si="47"/>
        <v>0</v>
      </c>
    </row>
    <row r="253" spans="4:31" ht="15.6" thickTop="1" thickBot="1" x14ac:dyDescent="0.35">
      <c r="D253" s="57"/>
      <c r="E253" s="58"/>
      <c r="F253" s="59"/>
      <c r="G253" s="59"/>
      <c r="H253" s="59"/>
      <c r="I253" s="60"/>
      <c r="J253" s="61"/>
      <c r="K253" s="61"/>
      <c r="M253" s="9" t="str">
        <f t="shared" si="37"/>
        <v/>
      </c>
      <c r="N253" s="5" t="str">
        <f t="shared" si="48"/>
        <v/>
      </c>
      <c r="O253" s="5" t="str">
        <f t="shared" si="42"/>
        <v/>
      </c>
      <c r="Q253" s="5" t="str">
        <f>'CNAE_Cód.Atividade Econômica'!B242</f>
        <v>Serviços de agronomia e de consultoria às atividades agrícolas e pecuárias</v>
      </c>
      <c r="R253" s="5">
        <f t="shared" ca="1" si="38"/>
        <v>0</v>
      </c>
      <c r="S253" s="5" t="str">
        <f t="shared" si="39"/>
        <v>Serviços de agronomia e de consultoria às atividades agrícolas e pecuárias</v>
      </c>
      <c r="U253" s="5">
        <f ca="1">COUNTIF(R$10:R253,R253)</f>
        <v>236</v>
      </c>
      <c r="V253" s="5" t="str">
        <f t="shared" ca="1" si="40"/>
        <v>0236</v>
      </c>
      <c r="W253" s="5" t="str">
        <f t="shared" ca="1" si="41"/>
        <v>Serviços de agronomia e de consultoria às atividades agrícolas e pecuárias</v>
      </c>
      <c r="Y253" s="5">
        <v>244</v>
      </c>
      <c r="Z253" s="5">
        <f t="shared" ca="1" si="43"/>
        <v>0</v>
      </c>
      <c r="AA253" s="5" t="str">
        <f t="shared" ca="1" si="44"/>
        <v>Guarda-móveis</v>
      </c>
      <c r="AB253" s="5">
        <f ca="1">COUNTIF(R$10:R253,R253)</f>
        <v>236</v>
      </c>
      <c r="AC253" s="5" t="str">
        <f t="shared" ca="1" si="45"/>
        <v>0236</v>
      </c>
      <c r="AD253" s="5" t="str">
        <f t="shared" ca="1" si="46"/>
        <v>Serviços de agronomia e de consultoria às atividades agrícolas e pecuárias</v>
      </c>
      <c r="AE253" s="5">
        <f t="shared" ca="1" si="47"/>
        <v>0</v>
      </c>
    </row>
    <row r="254" spans="4:31" ht="15.6" thickTop="1" thickBot="1" x14ac:dyDescent="0.35">
      <c r="D254" s="57"/>
      <c r="E254" s="58"/>
      <c r="F254" s="59"/>
      <c r="G254" s="59"/>
      <c r="H254" s="59"/>
      <c r="I254" s="60"/>
      <c r="J254" s="61"/>
      <c r="K254" s="61"/>
      <c r="M254" s="9" t="str">
        <f t="shared" si="37"/>
        <v/>
      </c>
      <c r="N254" s="5" t="str">
        <f t="shared" si="48"/>
        <v/>
      </c>
      <c r="O254" s="5" t="str">
        <f t="shared" si="42"/>
        <v/>
      </c>
      <c r="Q254" s="5" t="str">
        <f>'CNAE_Cód.Atividade Econômica'!B243</f>
        <v>Atividades de intermediação e agenciamento de serviços e negócios em geral, exceto imobiliários</v>
      </c>
      <c r="R254" s="5">
        <f t="shared" ca="1" si="38"/>
        <v>0</v>
      </c>
      <c r="S254" s="5" t="str">
        <f t="shared" si="39"/>
        <v>Atividades de intermediação e agenciamento de serviços e negócios em geral, exceto imobiliários</v>
      </c>
      <c r="U254" s="5">
        <f ca="1">COUNTIF(R$10:R254,R254)</f>
        <v>237</v>
      </c>
      <c r="V254" s="5" t="str">
        <f t="shared" ca="1" si="40"/>
        <v>0237</v>
      </c>
      <c r="W254" s="5" t="str">
        <f t="shared" ca="1" si="41"/>
        <v>Atividades de intermediação e agenciamento de serviços e negócios em geral, exceto imobiliários</v>
      </c>
      <c r="Y254" s="5">
        <v>245</v>
      </c>
      <c r="Z254" s="5">
        <f t="shared" ca="1" si="43"/>
        <v>0</v>
      </c>
      <c r="AA254" s="5" t="str">
        <f t="shared" ca="1" si="44"/>
        <v>Guarda-móveis</v>
      </c>
      <c r="AB254" s="5">
        <f ca="1">COUNTIF(R$10:R254,R254)</f>
        <v>237</v>
      </c>
      <c r="AC254" s="5" t="str">
        <f t="shared" ca="1" si="45"/>
        <v>0237</v>
      </c>
      <c r="AD254" s="5" t="str">
        <f t="shared" ca="1" si="46"/>
        <v>Atividades de intermediação e agenciamento de serviços e negócios em geral, exceto imobiliários</v>
      </c>
      <c r="AE254" s="5">
        <f t="shared" ca="1" si="47"/>
        <v>0</v>
      </c>
    </row>
    <row r="255" spans="4:31" ht="15.6" thickTop="1" thickBot="1" x14ac:dyDescent="0.35">
      <c r="D255" s="57"/>
      <c r="E255" s="58"/>
      <c r="F255" s="59"/>
      <c r="G255" s="59"/>
      <c r="H255" s="59"/>
      <c r="I255" s="60"/>
      <c r="J255" s="61"/>
      <c r="K255" s="61"/>
      <c r="M255" s="9" t="str">
        <f t="shared" si="37"/>
        <v/>
      </c>
      <c r="N255" s="5" t="str">
        <f t="shared" si="48"/>
        <v/>
      </c>
      <c r="O255" s="5" t="str">
        <f t="shared" si="42"/>
        <v/>
      </c>
      <c r="Q255" s="5" t="str">
        <f>'CNAE_Cód.Atividade Econômica'!B244</f>
        <v>Agenciamento de profissionais para atividades esportivas, culturais e artísticas</v>
      </c>
      <c r="R255" s="5">
        <f t="shared" ca="1" si="38"/>
        <v>0</v>
      </c>
      <c r="S255" s="5" t="str">
        <f t="shared" si="39"/>
        <v>Agenciamento de profissionais para atividades esportivas, culturais e artísticas</v>
      </c>
      <c r="U255" s="5">
        <f ca="1">COUNTIF(R$10:R255,R255)</f>
        <v>238</v>
      </c>
      <c r="V255" s="5" t="str">
        <f t="shared" ca="1" si="40"/>
        <v>0238</v>
      </c>
      <c r="W255" s="5" t="str">
        <f t="shared" ca="1" si="41"/>
        <v>Agenciamento de profissionais para atividades esportivas, culturais e artísticas</v>
      </c>
      <c r="Y255" s="5">
        <v>246</v>
      </c>
      <c r="Z255" s="5">
        <f t="shared" ca="1" si="43"/>
        <v>0</v>
      </c>
      <c r="AA255" s="5" t="str">
        <f t="shared" ca="1" si="44"/>
        <v>Guarda-móveis</v>
      </c>
      <c r="AB255" s="5">
        <f ca="1">COUNTIF(R$10:R255,R255)</f>
        <v>238</v>
      </c>
      <c r="AC255" s="5" t="str">
        <f t="shared" ca="1" si="45"/>
        <v>0238</v>
      </c>
      <c r="AD255" s="5" t="str">
        <f t="shared" ca="1" si="46"/>
        <v>Agenciamento de profissionais para atividades esportivas, culturais e artísticas</v>
      </c>
      <c r="AE255" s="5">
        <f t="shared" ca="1" si="47"/>
        <v>0</v>
      </c>
    </row>
    <row r="256" spans="4:31" ht="15.6" thickTop="1" thickBot="1" x14ac:dyDescent="0.35">
      <c r="D256" s="57"/>
      <c r="E256" s="58"/>
      <c r="F256" s="59"/>
      <c r="G256" s="59"/>
      <c r="H256" s="59"/>
      <c r="I256" s="60"/>
      <c r="J256" s="61"/>
      <c r="K256" s="61"/>
      <c r="M256" s="9" t="str">
        <f t="shared" si="37"/>
        <v/>
      </c>
      <c r="N256" s="5" t="str">
        <f t="shared" si="48"/>
        <v/>
      </c>
      <c r="O256" s="5" t="str">
        <f t="shared" si="42"/>
        <v/>
      </c>
      <c r="Q256" s="5" t="str">
        <f>'CNAE_Cód.Atividade Econômica'!B245</f>
        <v>Outras atividades profissionais, científicas e técnicas não especificadas anteriormente</v>
      </c>
      <c r="R256" s="5">
        <f t="shared" ca="1" si="38"/>
        <v>0</v>
      </c>
      <c r="S256" s="5" t="str">
        <f t="shared" si="39"/>
        <v>Outras atividades profissionais, científicas e técnicas não especificadas anteriormente</v>
      </c>
      <c r="U256" s="5">
        <f ca="1">COUNTIF(R$10:R256,R256)</f>
        <v>239</v>
      </c>
      <c r="V256" s="5" t="str">
        <f t="shared" ca="1" si="40"/>
        <v>0239</v>
      </c>
      <c r="W256" s="5" t="str">
        <f t="shared" ca="1" si="41"/>
        <v>Outras atividades profissionais, científicas e técnicas não especificadas anteriormente</v>
      </c>
      <c r="Y256" s="5">
        <v>247</v>
      </c>
      <c r="Z256" s="5">
        <f t="shared" ca="1" si="43"/>
        <v>0</v>
      </c>
      <c r="AA256" s="5" t="str">
        <f t="shared" ca="1" si="44"/>
        <v>Guarda-móveis</v>
      </c>
      <c r="AB256" s="5">
        <f ca="1">COUNTIF(R$10:R256,R256)</f>
        <v>239</v>
      </c>
      <c r="AC256" s="5" t="str">
        <f t="shared" ca="1" si="45"/>
        <v>0239</v>
      </c>
      <c r="AD256" s="5" t="str">
        <f t="shared" ca="1" si="46"/>
        <v>Outras atividades profissionais, científicas e técnicas não especificadas anteriormente</v>
      </c>
      <c r="AE256" s="5">
        <f t="shared" ca="1" si="47"/>
        <v>0</v>
      </c>
    </row>
    <row r="257" spans="4:31" ht="15.6" thickTop="1" thickBot="1" x14ac:dyDescent="0.35">
      <c r="D257" s="57"/>
      <c r="E257" s="58"/>
      <c r="F257" s="59"/>
      <c r="G257" s="59"/>
      <c r="H257" s="59"/>
      <c r="I257" s="60"/>
      <c r="J257" s="61"/>
      <c r="K257" s="61"/>
      <c r="M257" s="9" t="str">
        <f t="shared" si="37"/>
        <v/>
      </c>
      <c r="N257" s="5" t="str">
        <f t="shared" si="48"/>
        <v/>
      </c>
      <c r="O257" s="5" t="str">
        <f t="shared" si="42"/>
        <v/>
      </c>
      <c r="Q257" s="5" t="str">
        <f>'CNAE_Cód.Atividade Econômica'!B246</f>
        <v>Atividades veterinárias</v>
      </c>
      <c r="R257" s="5">
        <f t="shared" ca="1" si="38"/>
        <v>0</v>
      </c>
      <c r="S257" s="5" t="str">
        <f t="shared" si="39"/>
        <v>Atividades veterinárias</v>
      </c>
      <c r="U257" s="5">
        <f ca="1">COUNTIF(R$10:R257,R257)</f>
        <v>240</v>
      </c>
      <c r="V257" s="5" t="str">
        <f t="shared" ca="1" si="40"/>
        <v>0240</v>
      </c>
      <c r="W257" s="5" t="str">
        <f t="shared" ca="1" si="41"/>
        <v>Atividades veterinárias</v>
      </c>
      <c r="Y257" s="5">
        <v>248</v>
      </c>
      <c r="Z257" s="5">
        <f t="shared" ca="1" si="43"/>
        <v>0</v>
      </c>
      <c r="AA257" s="5" t="str">
        <f t="shared" ca="1" si="44"/>
        <v>Guarda-móveis</v>
      </c>
      <c r="AB257" s="5">
        <f ca="1">COUNTIF(R$10:R257,R257)</f>
        <v>240</v>
      </c>
      <c r="AC257" s="5" t="str">
        <f t="shared" ca="1" si="45"/>
        <v>0240</v>
      </c>
      <c r="AD257" s="5" t="str">
        <f t="shared" ca="1" si="46"/>
        <v>Atividades veterinárias</v>
      </c>
      <c r="AE257" s="5">
        <f t="shared" ca="1" si="47"/>
        <v>0</v>
      </c>
    </row>
    <row r="258" spans="4:31" ht="15.6" thickTop="1" thickBot="1" x14ac:dyDescent="0.35">
      <c r="D258" s="57"/>
      <c r="E258" s="58"/>
      <c r="F258" s="59"/>
      <c r="G258" s="59"/>
      <c r="H258" s="59"/>
      <c r="I258" s="60"/>
      <c r="J258" s="61"/>
      <c r="K258" s="61"/>
      <c r="M258" s="9" t="str">
        <f t="shared" si="37"/>
        <v/>
      </c>
      <c r="N258" s="5" t="str">
        <f t="shared" si="48"/>
        <v/>
      </c>
      <c r="O258" s="5" t="str">
        <f t="shared" si="42"/>
        <v/>
      </c>
      <c r="Q258" s="5" t="str">
        <f>'CNAE_Cód.Atividade Econômica'!B247</f>
        <v>Locação de automóveis sem condutor</v>
      </c>
      <c r="R258" s="5">
        <f t="shared" ca="1" si="38"/>
        <v>0</v>
      </c>
      <c r="S258" s="5" t="str">
        <f t="shared" si="39"/>
        <v>Locação de automóveis sem condutor</v>
      </c>
      <c r="U258" s="5">
        <f ca="1">COUNTIF(R$10:R258,R258)</f>
        <v>241</v>
      </c>
      <c r="V258" s="5" t="str">
        <f t="shared" ca="1" si="40"/>
        <v>0241</v>
      </c>
      <c r="W258" s="5" t="str">
        <f t="shared" ca="1" si="41"/>
        <v>Locação de automóveis sem condutor</v>
      </c>
      <c r="Y258" s="5">
        <v>249</v>
      </c>
      <c r="Z258" s="5">
        <f t="shared" ca="1" si="43"/>
        <v>0</v>
      </c>
      <c r="AA258" s="5" t="str">
        <f t="shared" ca="1" si="44"/>
        <v>Guarda-móveis</v>
      </c>
      <c r="AB258" s="5">
        <f ca="1">COUNTIF(R$10:R258,R258)</f>
        <v>241</v>
      </c>
      <c r="AC258" s="5" t="str">
        <f t="shared" ca="1" si="45"/>
        <v>0241</v>
      </c>
      <c r="AD258" s="5" t="str">
        <f t="shared" ca="1" si="46"/>
        <v>Locação de automóveis sem condutor</v>
      </c>
      <c r="AE258" s="5">
        <f t="shared" ca="1" si="47"/>
        <v>0</v>
      </c>
    </row>
    <row r="259" spans="4:31" ht="15.6" thickTop="1" thickBot="1" x14ac:dyDescent="0.35">
      <c r="D259" s="57"/>
      <c r="E259" s="58"/>
      <c r="F259" s="59"/>
      <c r="G259" s="59"/>
      <c r="H259" s="59"/>
      <c r="I259" s="60"/>
      <c r="J259" s="61"/>
      <c r="K259" s="61"/>
      <c r="M259" s="9" t="str">
        <f t="shared" si="37"/>
        <v/>
      </c>
      <c r="N259" s="5" t="str">
        <f t="shared" si="48"/>
        <v/>
      </c>
      <c r="O259" s="5" t="str">
        <f t="shared" si="42"/>
        <v/>
      </c>
      <c r="Q259" s="5" t="str">
        <f>'CNAE_Cód.Atividade Econômica'!B248</f>
        <v>Aluguel de equipamentos recreativos e esportivos</v>
      </c>
      <c r="R259" s="5">
        <f t="shared" ca="1" si="38"/>
        <v>0</v>
      </c>
      <c r="S259" s="5" t="str">
        <f t="shared" si="39"/>
        <v>Aluguel de equipamentos recreativos e esportivos</v>
      </c>
      <c r="U259" s="5">
        <f ca="1">COUNTIF(R$10:R259,R259)</f>
        <v>242</v>
      </c>
      <c r="V259" s="5" t="str">
        <f t="shared" ca="1" si="40"/>
        <v>0242</v>
      </c>
      <c r="W259" s="5" t="str">
        <f t="shared" ca="1" si="41"/>
        <v>Aluguel de equipamentos recreativos e esportivos</v>
      </c>
      <c r="Y259" s="5">
        <v>250</v>
      </c>
      <c r="Z259" s="5">
        <f t="shared" ca="1" si="43"/>
        <v>0</v>
      </c>
      <c r="AA259" s="5" t="str">
        <f t="shared" ca="1" si="44"/>
        <v>Guarda-móveis</v>
      </c>
      <c r="AB259" s="5">
        <f ca="1">COUNTIF(R$10:R259,R259)</f>
        <v>242</v>
      </c>
      <c r="AC259" s="5" t="str">
        <f t="shared" ca="1" si="45"/>
        <v>0242</v>
      </c>
      <c r="AD259" s="5" t="str">
        <f t="shared" ca="1" si="46"/>
        <v>Aluguel de equipamentos recreativos e esportivos</v>
      </c>
      <c r="AE259" s="5">
        <f t="shared" ca="1" si="47"/>
        <v>0</v>
      </c>
    </row>
    <row r="260" spans="4:31" ht="15.6" thickTop="1" thickBot="1" x14ac:dyDescent="0.35">
      <c r="D260" s="57"/>
      <c r="E260" s="58"/>
      <c r="F260" s="59"/>
      <c r="G260" s="59"/>
      <c r="H260" s="59"/>
      <c r="I260" s="60"/>
      <c r="J260" s="61"/>
      <c r="K260" s="61"/>
      <c r="M260" s="9" t="str">
        <f t="shared" si="37"/>
        <v/>
      </c>
      <c r="N260" s="5" t="str">
        <f t="shared" si="48"/>
        <v/>
      </c>
      <c r="O260" s="5" t="str">
        <f t="shared" si="42"/>
        <v/>
      </c>
      <c r="Q260" s="5" t="str">
        <f>'CNAE_Cód.Atividade Econômica'!B249</f>
        <v>Aluguel de fitas de vídeo, DVDs e similares</v>
      </c>
      <c r="R260" s="5">
        <f t="shared" ca="1" si="38"/>
        <v>0</v>
      </c>
      <c r="S260" s="5" t="str">
        <f t="shared" si="39"/>
        <v>Aluguel de fitas de vídeo, DVDs e similares</v>
      </c>
      <c r="U260" s="5">
        <f ca="1">COUNTIF(R$10:R260,R260)</f>
        <v>243</v>
      </c>
      <c r="V260" s="5" t="str">
        <f t="shared" ca="1" si="40"/>
        <v>0243</v>
      </c>
      <c r="W260" s="5" t="str">
        <f t="shared" ca="1" si="41"/>
        <v>Aluguel de fitas de vídeo, DVDs e similares</v>
      </c>
      <c r="Y260" s="5">
        <v>251</v>
      </c>
      <c r="Z260" s="5">
        <f t="shared" ca="1" si="43"/>
        <v>0</v>
      </c>
      <c r="AA260" s="5" t="str">
        <f t="shared" ca="1" si="44"/>
        <v>Guarda-móveis</v>
      </c>
      <c r="AB260" s="5">
        <f ca="1">COUNTIF(R$10:R260,R260)</f>
        <v>243</v>
      </c>
      <c r="AC260" s="5" t="str">
        <f t="shared" ca="1" si="45"/>
        <v>0243</v>
      </c>
      <c r="AD260" s="5" t="str">
        <f t="shared" ca="1" si="46"/>
        <v>Aluguel de fitas de vídeo, DVDs e similares</v>
      </c>
      <c r="AE260" s="5">
        <f t="shared" ca="1" si="47"/>
        <v>0</v>
      </c>
    </row>
    <row r="261" spans="4:31" ht="15.6" thickTop="1" thickBot="1" x14ac:dyDescent="0.35">
      <c r="D261" s="57"/>
      <c r="E261" s="58"/>
      <c r="F261" s="59"/>
      <c r="G261" s="59"/>
      <c r="H261" s="59"/>
      <c r="I261" s="60"/>
      <c r="J261" s="61"/>
      <c r="K261" s="61"/>
      <c r="M261" s="9" t="str">
        <f t="shared" si="37"/>
        <v/>
      </c>
      <c r="N261" s="5" t="str">
        <f t="shared" si="48"/>
        <v/>
      </c>
      <c r="O261" s="5" t="str">
        <f t="shared" si="42"/>
        <v/>
      </c>
      <c r="Q261" s="5" t="str">
        <f>'CNAE_Cód.Atividade Econômica'!B250</f>
        <v>Aluguel de objetos do vestuário, jóias e acessórios</v>
      </c>
      <c r="R261" s="5">
        <f t="shared" ca="1" si="38"/>
        <v>0</v>
      </c>
      <c r="S261" s="5" t="str">
        <f t="shared" si="39"/>
        <v>Aluguel de objetos do vestuário, jóias e acessórios</v>
      </c>
      <c r="U261" s="5">
        <f ca="1">COUNTIF(R$10:R261,R261)</f>
        <v>244</v>
      </c>
      <c r="V261" s="5" t="str">
        <f t="shared" ca="1" si="40"/>
        <v>0244</v>
      </c>
      <c r="W261" s="5" t="str">
        <f t="shared" ca="1" si="41"/>
        <v>Aluguel de objetos do vestuário, jóias e acessórios</v>
      </c>
      <c r="Y261" s="5">
        <v>252</v>
      </c>
      <c r="Z261" s="5">
        <f t="shared" ca="1" si="43"/>
        <v>0</v>
      </c>
      <c r="AA261" s="5" t="str">
        <f t="shared" ca="1" si="44"/>
        <v>Guarda-móveis</v>
      </c>
      <c r="AB261" s="5">
        <f ca="1">COUNTIF(R$10:R261,R261)</f>
        <v>244</v>
      </c>
      <c r="AC261" s="5" t="str">
        <f t="shared" ca="1" si="45"/>
        <v>0244</v>
      </c>
      <c r="AD261" s="5" t="str">
        <f t="shared" ca="1" si="46"/>
        <v>Aluguel de objetos do vestuário, jóias e acessórios</v>
      </c>
      <c r="AE261" s="5">
        <f t="shared" ca="1" si="47"/>
        <v>0</v>
      </c>
    </row>
    <row r="262" spans="4:31" ht="15.6" thickTop="1" thickBot="1" x14ac:dyDescent="0.35">
      <c r="D262" s="57"/>
      <c r="E262" s="58"/>
      <c r="F262" s="59"/>
      <c r="G262" s="59"/>
      <c r="H262" s="59"/>
      <c r="I262" s="60"/>
      <c r="J262" s="61"/>
      <c r="K262" s="61"/>
      <c r="M262" s="9" t="str">
        <f t="shared" si="37"/>
        <v/>
      </c>
      <c r="N262" s="5" t="str">
        <f t="shared" si="48"/>
        <v/>
      </c>
      <c r="O262" s="5" t="str">
        <f t="shared" si="42"/>
        <v/>
      </c>
      <c r="Q262" s="5" t="str">
        <f>'CNAE_Cód.Atividade Econômica'!B251</f>
        <v>Aluguel de aparelhos de jogos eletrônicos</v>
      </c>
      <c r="R262" s="5">
        <f t="shared" ca="1" si="38"/>
        <v>0</v>
      </c>
      <c r="S262" s="5" t="str">
        <f t="shared" si="39"/>
        <v>Aluguel de aparelhos de jogos eletrônicos</v>
      </c>
      <c r="U262" s="5">
        <f ca="1">COUNTIF(R$10:R262,R262)</f>
        <v>245</v>
      </c>
      <c r="V262" s="5" t="str">
        <f t="shared" ca="1" si="40"/>
        <v>0245</v>
      </c>
      <c r="W262" s="5" t="str">
        <f t="shared" ca="1" si="41"/>
        <v>Aluguel de aparelhos de jogos eletrônicos</v>
      </c>
      <c r="Y262" s="5">
        <v>253</v>
      </c>
      <c r="Z262" s="5">
        <f t="shared" ca="1" si="43"/>
        <v>0</v>
      </c>
      <c r="AA262" s="5" t="str">
        <f t="shared" ca="1" si="44"/>
        <v>Guarda-móveis</v>
      </c>
      <c r="AB262" s="5">
        <f ca="1">COUNTIF(R$10:R262,R262)</f>
        <v>245</v>
      </c>
      <c r="AC262" s="5" t="str">
        <f t="shared" ca="1" si="45"/>
        <v>0245</v>
      </c>
      <c r="AD262" s="5" t="str">
        <f t="shared" ca="1" si="46"/>
        <v>Aluguel de aparelhos de jogos eletrônicos</v>
      </c>
      <c r="AE262" s="5">
        <f t="shared" ca="1" si="47"/>
        <v>0</v>
      </c>
    </row>
    <row r="263" spans="4:31" ht="15.6" thickTop="1" thickBot="1" x14ac:dyDescent="0.35">
      <c r="D263" s="57"/>
      <c r="E263" s="58"/>
      <c r="F263" s="59"/>
      <c r="G263" s="59"/>
      <c r="H263" s="59"/>
      <c r="I263" s="60"/>
      <c r="J263" s="61"/>
      <c r="K263" s="61"/>
      <c r="M263" s="9" t="str">
        <f t="shared" si="37"/>
        <v/>
      </c>
      <c r="N263" s="5" t="str">
        <f t="shared" si="48"/>
        <v/>
      </c>
      <c r="O263" s="5" t="str">
        <f t="shared" si="42"/>
        <v/>
      </c>
      <c r="Q263" s="5" t="str">
        <f>'CNAE_Cód.Atividade Econômica'!B252</f>
        <v>Aluguel de móveis, utensílios e aparelhos de uso doméstico e pessoal; instrumentos musicais</v>
      </c>
      <c r="R263" s="5">
        <f t="shared" ca="1" si="38"/>
        <v>0</v>
      </c>
      <c r="S263" s="5" t="str">
        <f t="shared" si="39"/>
        <v>Aluguel de móveis, utensílios e aparelhos de uso doméstico e pessoal; instrumentos musicais</v>
      </c>
      <c r="U263" s="5">
        <f ca="1">COUNTIF(R$10:R263,R263)</f>
        <v>246</v>
      </c>
      <c r="V263" s="5" t="str">
        <f t="shared" ca="1" si="40"/>
        <v>0246</v>
      </c>
      <c r="W263" s="5" t="str">
        <f t="shared" ca="1" si="41"/>
        <v>Aluguel de móveis, utensílios e aparelhos de uso doméstico e pessoal; instrumentos musicais</v>
      </c>
      <c r="Y263" s="5">
        <v>254</v>
      </c>
      <c r="Z263" s="5">
        <f t="shared" ca="1" si="43"/>
        <v>0</v>
      </c>
      <c r="AA263" s="5" t="str">
        <f t="shared" ca="1" si="44"/>
        <v>Guarda-móveis</v>
      </c>
      <c r="AB263" s="5">
        <f ca="1">COUNTIF(R$10:R263,R263)</f>
        <v>246</v>
      </c>
      <c r="AC263" s="5" t="str">
        <f t="shared" ca="1" si="45"/>
        <v>0246</v>
      </c>
      <c r="AD263" s="5" t="str">
        <f t="shared" ca="1" si="46"/>
        <v>Aluguel de móveis, utensílios e aparelhos de uso doméstico e pessoal; instrumentos musicais</v>
      </c>
      <c r="AE263" s="5">
        <f t="shared" ca="1" si="47"/>
        <v>0</v>
      </c>
    </row>
    <row r="264" spans="4:31" ht="15.6" thickTop="1" thickBot="1" x14ac:dyDescent="0.35">
      <c r="D264" s="57"/>
      <c r="E264" s="58"/>
      <c r="F264" s="59"/>
      <c r="G264" s="59"/>
      <c r="H264" s="59"/>
      <c r="I264" s="60"/>
      <c r="J264" s="61"/>
      <c r="K264" s="61"/>
      <c r="M264" s="9" t="str">
        <f t="shared" si="37"/>
        <v/>
      </c>
      <c r="N264" s="5" t="str">
        <f t="shared" si="48"/>
        <v/>
      </c>
      <c r="O264" s="5" t="str">
        <f t="shared" si="42"/>
        <v/>
      </c>
      <c r="Q264" s="5" t="str">
        <f>'CNAE_Cód.Atividade Econômica'!B253</f>
        <v>Aluguel de material médico</v>
      </c>
      <c r="R264" s="5">
        <f t="shared" ca="1" si="38"/>
        <v>0</v>
      </c>
      <c r="S264" s="5" t="str">
        <f t="shared" si="39"/>
        <v>Aluguel de material médico</v>
      </c>
      <c r="U264" s="5">
        <f ca="1">COUNTIF(R$10:R264,R264)</f>
        <v>247</v>
      </c>
      <c r="V264" s="5" t="str">
        <f t="shared" ca="1" si="40"/>
        <v>0247</v>
      </c>
      <c r="W264" s="5" t="str">
        <f t="shared" ca="1" si="41"/>
        <v>Aluguel de material médico</v>
      </c>
      <c r="Y264" s="5">
        <v>255</v>
      </c>
      <c r="Z264" s="5">
        <f t="shared" ca="1" si="43"/>
        <v>0</v>
      </c>
      <c r="AA264" s="5" t="str">
        <f t="shared" ca="1" si="44"/>
        <v>Guarda-móveis</v>
      </c>
      <c r="AB264" s="5">
        <f ca="1">COUNTIF(R$10:R264,R264)</f>
        <v>247</v>
      </c>
      <c r="AC264" s="5" t="str">
        <f t="shared" ca="1" si="45"/>
        <v>0247</v>
      </c>
      <c r="AD264" s="5" t="str">
        <f t="shared" ca="1" si="46"/>
        <v>Aluguel de material médico</v>
      </c>
      <c r="AE264" s="5">
        <f t="shared" ca="1" si="47"/>
        <v>0</v>
      </c>
    </row>
    <row r="265" spans="4:31" ht="15.6" thickTop="1" thickBot="1" x14ac:dyDescent="0.35">
      <c r="D265" s="57"/>
      <c r="E265" s="58"/>
      <c r="F265" s="59"/>
      <c r="G265" s="59"/>
      <c r="H265" s="59"/>
      <c r="I265" s="60"/>
      <c r="J265" s="61"/>
      <c r="K265" s="61"/>
      <c r="M265" s="9" t="str">
        <f t="shared" si="37"/>
        <v/>
      </c>
      <c r="N265" s="5" t="str">
        <f t="shared" si="48"/>
        <v/>
      </c>
      <c r="O265" s="5" t="str">
        <f t="shared" si="42"/>
        <v/>
      </c>
      <c r="Q265" s="5" t="str">
        <f>'CNAE_Cód.Atividade Econômica'!B254</f>
        <v>Aluguel de outros objetos pessoais e domésticos não especificados anteriormente</v>
      </c>
      <c r="R265" s="5">
        <f t="shared" ca="1" si="38"/>
        <v>0</v>
      </c>
      <c r="S265" s="5" t="str">
        <f t="shared" si="39"/>
        <v>Aluguel de outros objetos pessoais e domésticos não especificados anteriormente</v>
      </c>
      <c r="U265" s="5">
        <f ca="1">COUNTIF(R$10:R265,R265)</f>
        <v>248</v>
      </c>
      <c r="V265" s="5" t="str">
        <f t="shared" ca="1" si="40"/>
        <v>0248</v>
      </c>
      <c r="W265" s="5" t="str">
        <f t="shared" ca="1" si="41"/>
        <v>Aluguel de outros objetos pessoais e domésticos não especificados anteriormente</v>
      </c>
      <c r="Y265" s="5">
        <v>256</v>
      </c>
      <c r="Z265" s="5">
        <f t="shared" ca="1" si="43"/>
        <v>0</v>
      </c>
      <c r="AA265" s="5" t="str">
        <f t="shared" ca="1" si="44"/>
        <v>Guarda-móveis</v>
      </c>
      <c r="AB265" s="5">
        <f ca="1">COUNTIF(R$10:R265,R265)</f>
        <v>248</v>
      </c>
      <c r="AC265" s="5" t="str">
        <f t="shared" ca="1" si="45"/>
        <v>0248</v>
      </c>
      <c r="AD265" s="5" t="str">
        <f t="shared" ca="1" si="46"/>
        <v>Aluguel de outros objetos pessoais e domésticos não especificados anteriormente</v>
      </c>
      <c r="AE265" s="5">
        <f t="shared" ca="1" si="47"/>
        <v>0</v>
      </c>
    </row>
    <row r="266" spans="4:31" ht="15.6" thickTop="1" thickBot="1" x14ac:dyDescent="0.35">
      <c r="D266" s="57"/>
      <c r="E266" s="58"/>
      <c r="F266" s="59"/>
      <c r="G266" s="59"/>
      <c r="H266" s="59"/>
      <c r="I266" s="60"/>
      <c r="J266" s="61"/>
      <c r="K266" s="61"/>
      <c r="M266" s="9" t="str">
        <f t="shared" ref="M266:M329" si="49">IF(ISBLANK(D266), "", IFERROR(PROPER(TEXT(D266,"mmmm")),""))</f>
        <v/>
      </c>
      <c r="N266" s="5" t="str">
        <f t="shared" si="48"/>
        <v/>
      </c>
      <c r="O266" s="5" t="str">
        <f t="shared" si="42"/>
        <v/>
      </c>
      <c r="Q266" s="5" t="str">
        <f>'CNAE_Cód.Atividade Econômica'!B255</f>
        <v>Aluguel de máquinas e equipamentos agrícolas sem operador</v>
      </c>
      <c r="R266" s="5">
        <f t="shared" ref="R266:R329" ca="1" si="50">COUNTIF($O:$O,Q266)</f>
        <v>0</v>
      </c>
      <c r="S266" s="5" t="str">
        <f t="shared" ref="S266:S329" si="51">Q266</f>
        <v>Aluguel de máquinas e equipamentos agrícolas sem operador</v>
      </c>
      <c r="U266" s="5">
        <f ca="1">COUNTIF(R$10:R266,R266)</f>
        <v>249</v>
      </c>
      <c r="V266" s="5" t="str">
        <f t="shared" ref="V266:V329" ca="1" si="52">R266&amp;U266</f>
        <v>0249</v>
      </c>
      <c r="W266" s="5" t="str">
        <f t="shared" ref="W266:W329" ca="1" si="53">INDEX($S$10:$S$401, MATCH(V266,$V$10:$V$1048576, 0))</f>
        <v>Aluguel de máquinas e equipamentos agrícolas sem operador</v>
      </c>
      <c r="Y266" s="5">
        <v>257</v>
      </c>
      <c r="Z266" s="5">
        <f t="shared" ca="1" si="43"/>
        <v>0</v>
      </c>
      <c r="AA266" s="5" t="str">
        <f t="shared" ca="1" si="44"/>
        <v>Guarda-móveis</v>
      </c>
      <c r="AB266" s="5">
        <f ca="1">COUNTIF(R$10:R266,R266)</f>
        <v>249</v>
      </c>
      <c r="AC266" s="5" t="str">
        <f t="shared" ca="1" si="45"/>
        <v>0249</v>
      </c>
      <c r="AD266" s="5" t="str">
        <f t="shared" ca="1" si="46"/>
        <v>Aluguel de máquinas e equipamentos agrícolas sem operador</v>
      </c>
      <c r="AE266" s="5">
        <f t="shared" ca="1" si="47"/>
        <v>0</v>
      </c>
    </row>
    <row r="267" spans="4:31" ht="15.6" thickTop="1" thickBot="1" x14ac:dyDescent="0.35">
      <c r="D267" s="57"/>
      <c r="E267" s="58"/>
      <c r="F267" s="59"/>
      <c r="G267" s="59"/>
      <c r="H267" s="59"/>
      <c r="I267" s="60"/>
      <c r="J267" s="61"/>
      <c r="K267" s="61"/>
      <c r="M267" s="9" t="str">
        <f t="shared" si="49"/>
        <v/>
      </c>
      <c r="N267" s="5" t="str">
        <f t="shared" si="48"/>
        <v/>
      </c>
      <c r="O267" s="5" t="str">
        <f t="shared" ref="O267:O330" si="54">IFERROR(RIGHT(N267,LEN(N267)-SEARCH("- ",N267)-1),"")</f>
        <v/>
      </c>
      <c r="Q267" s="5" t="str">
        <f>'CNAE_Cód.Atividade Econômica'!B256</f>
        <v>Aluguel de máquinas e equipamentos para construção sem operador, exceto andaimes</v>
      </c>
      <c r="R267" s="5">
        <f t="shared" ca="1" si="50"/>
        <v>0</v>
      </c>
      <c r="S267" s="5" t="str">
        <f t="shared" si="51"/>
        <v>Aluguel de máquinas e equipamentos para construção sem operador, exceto andaimes</v>
      </c>
      <c r="U267" s="5">
        <f ca="1">COUNTIF(R$10:R267,R267)</f>
        <v>250</v>
      </c>
      <c r="V267" s="5" t="str">
        <f t="shared" ca="1" si="52"/>
        <v>0250</v>
      </c>
      <c r="W267" s="5" t="str">
        <f t="shared" ca="1" si="53"/>
        <v>Aluguel de máquinas e equipamentos para construção sem operador, exceto andaimes</v>
      </c>
      <c r="Y267" s="5">
        <v>258</v>
      </c>
      <c r="Z267" s="5">
        <f t="shared" ref="Z267:Z330" ca="1" si="55">LARGE($R$10:$R$1048576,Y267)</f>
        <v>0</v>
      </c>
      <c r="AA267" s="5" t="str">
        <f t="shared" ref="AA267:AA330" ca="1" si="56">INDEX(S$10:S$1000, MATCH(R267, R$10:R$1000, 0))</f>
        <v>Guarda-móveis</v>
      </c>
      <c r="AB267" s="5">
        <f ca="1">COUNTIF(R$10:R267,R267)</f>
        <v>250</v>
      </c>
      <c r="AC267" s="5" t="str">
        <f t="shared" ref="AC267:AC330" ca="1" si="57">R267&amp;U267</f>
        <v>0250</v>
      </c>
      <c r="AD267" s="5" t="str">
        <f t="shared" ref="AD267:AD330" ca="1" si="58">INDEX($S$10:$S$1048576, MATCH(AC267, $V$10:$V$1048576, 0))</f>
        <v>Aluguel de máquinas e equipamentos para construção sem operador, exceto andaimes</v>
      </c>
      <c r="AE267" s="5">
        <f t="shared" ref="AE267:AE330" ca="1" si="59">Z267</f>
        <v>0</v>
      </c>
    </row>
    <row r="268" spans="4:31" ht="15.6" thickTop="1" thickBot="1" x14ac:dyDescent="0.35">
      <c r="D268" s="57"/>
      <c r="E268" s="58"/>
      <c r="F268" s="59"/>
      <c r="G268" s="59"/>
      <c r="H268" s="59"/>
      <c r="I268" s="60"/>
      <c r="J268" s="61"/>
      <c r="K268" s="61"/>
      <c r="M268" s="9" t="str">
        <f t="shared" si="49"/>
        <v/>
      </c>
      <c r="N268" s="5" t="str">
        <f t="shared" si="48"/>
        <v/>
      </c>
      <c r="O268" s="5" t="str">
        <f t="shared" si="54"/>
        <v/>
      </c>
      <c r="Q268" s="5" t="str">
        <f>'CNAE_Cód.Atividade Econômica'!B257</f>
        <v>Aluguel de andaimes</v>
      </c>
      <c r="R268" s="5">
        <f t="shared" ca="1" si="50"/>
        <v>0</v>
      </c>
      <c r="S268" s="5" t="str">
        <f t="shared" si="51"/>
        <v>Aluguel de andaimes</v>
      </c>
      <c r="U268" s="5">
        <f ca="1">COUNTIF(R$10:R268,R268)</f>
        <v>251</v>
      </c>
      <c r="V268" s="5" t="str">
        <f t="shared" ca="1" si="52"/>
        <v>0251</v>
      </c>
      <c r="W268" s="5" t="str">
        <f t="shared" ca="1" si="53"/>
        <v>Aluguel de andaimes</v>
      </c>
      <c r="Y268" s="5">
        <v>259</v>
      </c>
      <c r="Z268" s="5">
        <f t="shared" ca="1" si="55"/>
        <v>0</v>
      </c>
      <c r="AA268" s="5" t="str">
        <f t="shared" ca="1" si="56"/>
        <v>Guarda-móveis</v>
      </c>
      <c r="AB268" s="5">
        <f ca="1">COUNTIF(R$10:R268,R268)</f>
        <v>251</v>
      </c>
      <c r="AC268" s="5" t="str">
        <f t="shared" ca="1" si="57"/>
        <v>0251</v>
      </c>
      <c r="AD268" s="5" t="str">
        <f t="shared" ca="1" si="58"/>
        <v>Aluguel de andaimes</v>
      </c>
      <c r="AE268" s="5">
        <f t="shared" ca="1" si="59"/>
        <v>0</v>
      </c>
    </row>
    <row r="269" spans="4:31" ht="15.6" thickTop="1" thickBot="1" x14ac:dyDescent="0.35">
      <c r="D269" s="57"/>
      <c r="E269" s="58"/>
      <c r="F269" s="59"/>
      <c r="G269" s="59"/>
      <c r="H269" s="59"/>
      <c r="I269" s="60"/>
      <c r="J269" s="61"/>
      <c r="K269" s="61"/>
      <c r="M269" s="9" t="str">
        <f t="shared" si="49"/>
        <v/>
      </c>
      <c r="N269" s="5" t="str">
        <f t="shared" si="48"/>
        <v/>
      </c>
      <c r="O269" s="5" t="str">
        <f t="shared" si="54"/>
        <v/>
      </c>
      <c r="Q269" s="5" t="str">
        <f>'CNAE_Cód.Atividade Econômica'!B258</f>
        <v>Aluguel de máquinas e equipamentos para escritório</v>
      </c>
      <c r="R269" s="5">
        <f t="shared" ca="1" si="50"/>
        <v>0</v>
      </c>
      <c r="S269" s="5" t="str">
        <f t="shared" si="51"/>
        <v>Aluguel de máquinas e equipamentos para escritório</v>
      </c>
      <c r="U269" s="5">
        <f ca="1">COUNTIF(R$10:R269,R269)</f>
        <v>252</v>
      </c>
      <c r="V269" s="5" t="str">
        <f t="shared" ca="1" si="52"/>
        <v>0252</v>
      </c>
      <c r="W269" s="5" t="str">
        <f t="shared" ca="1" si="53"/>
        <v>Aluguel de máquinas e equipamentos para escritório</v>
      </c>
      <c r="Y269" s="5">
        <v>260</v>
      </c>
      <c r="Z269" s="5">
        <f t="shared" ca="1" si="55"/>
        <v>0</v>
      </c>
      <c r="AA269" s="5" t="str">
        <f t="shared" ca="1" si="56"/>
        <v>Guarda-móveis</v>
      </c>
      <c r="AB269" s="5">
        <f ca="1">COUNTIF(R$10:R269,R269)</f>
        <v>252</v>
      </c>
      <c r="AC269" s="5" t="str">
        <f t="shared" ca="1" si="57"/>
        <v>0252</v>
      </c>
      <c r="AD269" s="5" t="str">
        <f t="shared" ca="1" si="58"/>
        <v>Aluguel de máquinas e equipamentos para escritório</v>
      </c>
      <c r="AE269" s="5">
        <f t="shared" ca="1" si="59"/>
        <v>0</v>
      </c>
    </row>
    <row r="270" spans="4:31" ht="15.6" thickTop="1" thickBot="1" x14ac:dyDescent="0.35">
      <c r="D270" s="57"/>
      <c r="E270" s="58"/>
      <c r="F270" s="59"/>
      <c r="G270" s="59"/>
      <c r="H270" s="59"/>
      <c r="I270" s="60"/>
      <c r="J270" s="61"/>
      <c r="K270" s="61"/>
      <c r="M270" s="9" t="str">
        <f t="shared" si="49"/>
        <v/>
      </c>
      <c r="N270" s="5" t="str">
        <f t="shared" si="48"/>
        <v/>
      </c>
      <c r="O270" s="5" t="str">
        <f t="shared" si="54"/>
        <v/>
      </c>
      <c r="Q270" s="5" t="str">
        <f>'CNAE_Cód.Atividade Econômica'!B259</f>
        <v>Aluguel de máquinas e equipamentos para extração de minérios e petróleo, sem operador</v>
      </c>
      <c r="R270" s="5">
        <f t="shared" ca="1" si="50"/>
        <v>0</v>
      </c>
      <c r="S270" s="5" t="str">
        <f t="shared" si="51"/>
        <v>Aluguel de máquinas e equipamentos para extração de minérios e petróleo, sem operador</v>
      </c>
      <c r="U270" s="5">
        <f ca="1">COUNTIF(R$10:R270,R270)</f>
        <v>253</v>
      </c>
      <c r="V270" s="5" t="str">
        <f t="shared" ca="1" si="52"/>
        <v>0253</v>
      </c>
      <c r="W270" s="5" t="str">
        <f t="shared" ca="1" si="53"/>
        <v>Aluguel de máquinas e equipamentos para extração de minérios e petróleo, sem operador</v>
      </c>
      <c r="Y270" s="5">
        <v>261</v>
      </c>
      <c r="Z270" s="5">
        <f t="shared" ca="1" si="55"/>
        <v>0</v>
      </c>
      <c r="AA270" s="5" t="str">
        <f t="shared" ca="1" si="56"/>
        <v>Guarda-móveis</v>
      </c>
      <c r="AB270" s="5">
        <f ca="1">COUNTIF(R$10:R270,R270)</f>
        <v>253</v>
      </c>
      <c r="AC270" s="5" t="str">
        <f t="shared" ca="1" si="57"/>
        <v>0253</v>
      </c>
      <c r="AD270" s="5" t="str">
        <f t="shared" ca="1" si="58"/>
        <v>Aluguel de máquinas e equipamentos para extração de minérios e petróleo, sem operador</v>
      </c>
      <c r="AE270" s="5">
        <f t="shared" ca="1" si="59"/>
        <v>0</v>
      </c>
    </row>
    <row r="271" spans="4:31" ht="15.6" thickTop="1" thickBot="1" x14ac:dyDescent="0.35">
      <c r="D271" s="57"/>
      <c r="E271" s="58"/>
      <c r="F271" s="59"/>
      <c r="G271" s="59"/>
      <c r="H271" s="59"/>
      <c r="I271" s="60"/>
      <c r="J271" s="61"/>
      <c r="K271" s="61"/>
      <c r="M271" s="9" t="str">
        <f t="shared" si="49"/>
        <v/>
      </c>
      <c r="N271" s="5" t="str">
        <f t="shared" si="48"/>
        <v/>
      </c>
      <c r="O271" s="5" t="str">
        <f t="shared" si="54"/>
        <v/>
      </c>
      <c r="Q271" s="5" t="str">
        <f>'CNAE_Cód.Atividade Econômica'!B260</f>
        <v>Aluguel de equipamentos científicos, médicos e hospitalares, sem operador</v>
      </c>
      <c r="R271" s="5">
        <f t="shared" ca="1" si="50"/>
        <v>0</v>
      </c>
      <c r="S271" s="5" t="str">
        <f t="shared" si="51"/>
        <v>Aluguel de equipamentos científicos, médicos e hospitalares, sem operador</v>
      </c>
      <c r="U271" s="5">
        <f ca="1">COUNTIF(R$10:R271,R271)</f>
        <v>254</v>
      </c>
      <c r="V271" s="5" t="str">
        <f t="shared" ca="1" si="52"/>
        <v>0254</v>
      </c>
      <c r="W271" s="5" t="str">
        <f t="shared" ca="1" si="53"/>
        <v>Aluguel de equipamentos científicos, médicos e hospitalares, sem operador</v>
      </c>
      <c r="Y271" s="5">
        <v>262</v>
      </c>
      <c r="Z271" s="5">
        <f t="shared" ca="1" si="55"/>
        <v>0</v>
      </c>
      <c r="AA271" s="5" t="str">
        <f t="shared" ca="1" si="56"/>
        <v>Guarda-móveis</v>
      </c>
      <c r="AB271" s="5">
        <f ca="1">COUNTIF(R$10:R271,R271)</f>
        <v>254</v>
      </c>
      <c r="AC271" s="5" t="str">
        <f t="shared" ca="1" si="57"/>
        <v>0254</v>
      </c>
      <c r="AD271" s="5" t="str">
        <f t="shared" ca="1" si="58"/>
        <v>Aluguel de equipamentos científicos, médicos e hospitalares, sem operador</v>
      </c>
      <c r="AE271" s="5">
        <f t="shared" ca="1" si="59"/>
        <v>0</v>
      </c>
    </row>
    <row r="272" spans="4:31" ht="15.6" thickTop="1" thickBot="1" x14ac:dyDescent="0.35">
      <c r="D272" s="57"/>
      <c r="E272" s="58"/>
      <c r="F272" s="59"/>
      <c r="G272" s="59"/>
      <c r="H272" s="59"/>
      <c r="I272" s="60"/>
      <c r="J272" s="61"/>
      <c r="K272" s="61"/>
      <c r="M272" s="9" t="str">
        <f t="shared" si="49"/>
        <v/>
      </c>
      <c r="N272" s="5" t="str">
        <f t="shared" si="48"/>
        <v/>
      </c>
      <c r="O272" s="5" t="str">
        <f t="shared" si="54"/>
        <v/>
      </c>
      <c r="Q272" s="5" t="str">
        <f>'CNAE_Cód.Atividade Econômica'!B261</f>
        <v>Aluguel de palcos, coberturas e outras estruturas de uso temporário, exceto andaimes</v>
      </c>
      <c r="R272" s="5">
        <f t="shared" ca="1" si="50"/>
        <v>0</v>
      </c>
      <c r="S272" s="5" t="str">
        <f t="shared" si="51"/>
        <v>Aluguel de palcos, coberturas e outras estruturas de uso temporário, exceto andaimes</v>
      </c>
      <c r="U272" s="5">
        <f ca="1">COUNTIF(R$10:R272,R272)</f>
        <v>255</v>
      </c>
      <c r="V272" s="5" t="str">
        <f t="shared" ca="1" si="52"/>
        <v>0255</v>
      </c>
      <c r="W272" s="5" t="str">
        <f t="shared" ca="1" si="53"/>
        <v>Aluguel de palcos, coberturas e outras estruturas de uso temporário, exceto andaimes</v>
      </c>
      <c r="Y272" s="5">
        <v>263</v>
      </c>
      <c r="Z272" s="5">
        <f t="shared" ca="1" si="55"/>
        <v>0</v>
      </c>
      <c r="AA272" s="5" t="str">
        <f t="shared" ca="1" si="56"/>
        <v>Guarda-móveis</v>
      </c>
      <c r="AB272" s="5">
        <f ca="1">COUNTIF(R$10:R272,R272)</f>
        <v>255</v>
      </c>
      <c r="AC272" s="5" t="str">
        <f t="shared" ca="1" si="57"/>
        <v>0255</v>
      </c>
      <c r="AD272" s="5" t="str">
        <f t="shared" ca="1" si="58"/>
        <v>Aluguel de palcos, coberturas e outras estruturas de uso temporário, exceto andaimes</v>
      </c>
      <c r="AE272" s="5">
        <f t="shared" ca="1" si="59"/>
        <v>0</v>
      </c>
    </row>
    <row r="273" spans="4:31" ht="15.6" thickTop="1" thickBot="1" x14ac:dyDescent="0.35">
      <c r="D273" s="57"/>
      <c r="E273" s="58"/>
      <c r="F273" s="59"/>
      <c r="G273" s="59"/>
      <c r="H273" s="59"/>
      <c r="I273" s="60"/>
      <c r="J273" s="61"/>
      <c r="K273" s="61"/>
      <c r="M273" s="9" t="str">
        <f t="shared" si="49"/>
        <v/>
      </c>
      <c r="N273" s="5" t="str">
        <f t="shared" si="48"/>
        <v/>
      </c>
      <c r="O273" s="5" t="str">
        <f t="shared" si="54"/>
        <v/>
      </c>
      <c r="Q273" s="5" t="str">
        <f>'CNAE_Cód.Atividade Econômica'!B262</f>
        <v>Aluguel de outras máquinas e equipamentos comerciais e industriais não especificados anteriormente, sem operador</v>
      </c>
      <c r="R273" s="5">
        <f t="shared" ca="1" si="50"/>
        <v>0</v>
      </c>
      <c r="S273" s="5" t="str">
        <f t="shared" si="51"/>
        <v>Aluguel de outras máquinas e equipamentos comerciais e industriais não especificados anteriormente, sem operador</v>
      </c>
      <c r="U273" s="5">
        <f ca="1">COUNTIF(R$10:R273,R273)</f>
        <v>256</v>
      </c>
      <c r="V273" s="5" t="str">
        <f t="shared" ca="1" si="52"/>
        <v>0256</v>
      </c>
      <c r="W273" s="5" t="str">
        <f t="shared" ca="1" si="53"/>
        <v>Aluguel de outras máquinas e equipamentos comerciais e industriais não especificados anteriormente, sem operador</v>
      </c>
      <c r="Y273" s="5">
        <v>264</v>
      </c>
      <c r="Z273" s="5">
        <f t="shared" ca="1" si="55"/>
        <v>0</v>
      </c>
      <c r="AA273" s="5" t="str">
        <f t="shared" ca="1" si="56"/>
        <v>Guarda-móveis</v>
      </c>
      <c r="AB273" s="5">
        <f ca="1">COUNTIF(R$10:R273,R273)</f>
        <v>256</v>
      </c>
      <c r="AC273" s="5" t="str">
        <f t="shared" ca="1" si="57"/>
        <v>0256</v>
      </c>
      <c r="AD273" s="5" t="str">
        <f t="shared" ca="1" si="58"/>
        <v>Aluguel de outras máquinas e equipamentos comerciais e industriais não especificados anteriormente, sem operador</v>
      </c>
      <c r="AE273" s="5">
        <f t="shared" ca="1" si="59"/>
        <v>0</v>
      </c>
    </row>
    <row r="274" spans="4:31" ht="15.6" thickTop="1" thickBot="1" x14ac:dyDescent="0.35">
      <c r="D274" s="57"/>
      <c r="E274" s="58"/>
      <c r="F274" s="59"/>
      <c r="G274" s="59"/>
      <c r="H274" s="59"/>
      <c r="I274" s="60"/>
      <c r="J274" s="61"/>
      <c r="K274" s="61"/>
      <c r="M274" s="9" t="str">
        <f t="shared" si="49"/>
        <v/>
      </c>
      <c r="N274" s="5" t="str">
        <f t="shared" si="48"/>
        <v/>
      </c>
      <c r="O274" s="5" t="str">
        <f t="shared" si="54"/>
        <v/>
      </c>
      <c r="Q274" s="5" t="str">
        <f>'CNAE_Cód.Atividade Econômica'!B263</f>
        <v>Gestão de ativos intangíveis não-financeiros</v>
      </c>
      <c r="R274" s="5">
        <f t="shared" ca="1" si="50"/>
        <v>0</v>
      </c>
      <c r="S274" s="5" t="str">
        <f t="shared" si="51"/>
        <v>Gestão de ativos intangíveis não-financeiros</v>
      </c>
      <c r="U274" s="5">
        <f ca="1">COUNTIF(R$10:R274,R274)</f>
        <v>257</v>
      </c>
      <c r="V274" s="5" t="str">
        <f t="shared" ca="1" si="52"/>
        <v>0257</v>
      </c>
      <c r="W274" s="5" t="str">
        <f t="shared" ca="1" si="53"/>
        <v>Gestão de ativos intangíveis não-financeiros</v>
      </c>
      <c r="Y274" s="5">
        <v>265</v>
      </c>
      <c r="Z274" s="5">
        <f t="shared" ca="1" si="55"/>
        <v>0</v>
      </c>
      <c r="AA274" s="5" t="str">
        <f t="shared" ca="1" si="56"/>
        <v>Guarda-móveis</v>
      </c>
      <c r="AB274" s="5">
        <f ca="1">COUNTIF(R$10:R274,R274)</f>
        <v>257</v>
      </c>
      <c r="AC274" s="5" t="str">
        <f t="shared" ca="1" si="57"/>
        <v>0257</v>
      </c>
      <c r="AD274" s="5" t="str">
        <f t="shared" ca="1" si="58"/>
        <v>Gestão de ativos intangíveis não-financeiros</v>
      </c>
      <c r="AE274" s="5">
        <f t="shared" ca="1" si="59"/>
        <v>0</v>
      </c>
    </row>
    <row r="275" spans="4:31" ht="15.6" thickTop="1" thickBot="1" x14ac:dyDescent="0.35">
      <c r="D275" s="57"/>
      <c r="E275" s="58"/>
      <c r="F275" s="59"/>
      <c r="G275" s="59"/>
      <c r="H275" s="59"/>
      <c r="I275" s="60"/>
      <c r="J275" s="61"/>
      <c r="K275" s="61"/>
      <c r="M275" s="9" t="str">
        <f t="shared" si="49"/>
        <v/>
      </c>
      <c r="N275" s="5" t="str">
        <f t="shared" si="48"/>
        <v/>
      </c>
      <c r="O275" s="5" t="str">
        <f t="shared" si="54"/>
        <v/>
      </c>
      <c r="Q275" s="5" t="str">
        <f>'CNAE_Cód.Atividade Econômica'!B264</f>
        <v>Agências de viagens</v>
      </c>
      <c r="R275" s="5">
        <f t="shared" ca="1" si="50"/>
        <v>0</v>
      </c>
      <c r="S275" s="5" t="str">
        <f t="shared" si="51"/>
        <v>Agências de viagens</v>
      </c>
      <c r="U275" s="5">
        <f ca="1">COUNTIF(R$10:R275,R275)</f>
        <v>258</v>
      </c>
      <c r="V275" s="5" t="str">
        <f t="shared" ca="1" si="52"/>
        <v>0258</v>
      </c>
      <c r="W275" s="5" t="str">
        <f t="shared" ca="1" si="53"/>
        <v>Agências de viagens</v>
      </c>
      <c r="Y275" s="5">
        <v>266</v>
      </c>
      <c r="Z275" s="5">
        <f t="shared" ca="1" si="55"/>
        <v>0</v>
      </c>
      <c r="AA275" s="5" t="str">
        <f t="shared" ca="1" si="56"/>
        <v>Guarda-móveis</v>
      </c>
      <c r="AB275" s="5">
        <f ca="1">COUNTIF(R$10:R275,R275)</f>
        <v>258</v>
      </c>
      <c r="AC275" s="5" t="str">
        <f t="shared" ca="1" si="57"/>
        <v>0258</v>
      </c>
      <c r="AD275" s="5" t="str">
        <f t="shared" ca="1" si="58"/>
        <v>Agências de viagens</v>
      </c>
      <c r="AE275" s="5">
        <f t="shared" ca="1" si="59"/>
        <v>0</v>
      </c>
    </row>
    <row r="276" spans="4:31" ht="15.6" thickTop="1" thickBot="1" x14ac:dyDescent="0.35">
      <c r="D276" s="57"/>
      <c r="E276" s="58"/>
      <c r="F276" s="59"/>
      <c r="G276" s="59"/>
      <c r="H276" s="59"/>
      <c r="I276" s="60"/>
      <c r="J276" s="61"/>
      <c r="K276" s="61"/>
      <c r="M276" s="9" t="str">
        <f t="shared" si="49"/>
        <v/>
      </c>
      <c r="N276" s="5" t="str">
        <f t="shared" si="48"/>
        <v/>
      </c>
      <c r="O276" s="5" t="str">
        <f t="shared" si="54"/>
        <v/>
      </c>
      <c r="Q276" s="5" t="str">
        <f>'CNAE_Cód.Atividade Econômica'!B265</f>
        <v>Operadores turísticos</v>
      </c>
      <c r="R276" s="5">
        <f t="shared" ca="1" si="50"/>
        <v>0</v>
      </c>
      <c r="S276" s="5" t="str">
        <f t="shared" si="51"/>
        <v>Operadores turísticos</v>
      </c>
      <c r="U276" s="5">
        <f ca="1">COUNTIF(R$10:R276,R276)</f>
        <v>259</v>
      </c>
      <c r="V276" s="5" t="str">
        <f t="shared" ca="1" si="52"/>
        <v>0259</v>
      </c>
      <c r="W276" s="5" t="str">
        <f t="shared" ca="1" si="53"/>
        <v>Operadores turísticos</v>
      </c>
      <c r="Y276" s="5">
        <v>267</v>
      </c>
      <c r="Z276" s="5">
        <f t="shared" ca="1" si="55"/>
        <v>0</v>
      </c>
      <c r="AA276" s="5" t="str">
        <f t="shared" ca="1" si="56"/>
        <v>Guarda-móveis</v>
      </c>
      <c r="AB276" s="5">
        <f ca="1">COUNTIF(R$10:R276,R276)</f>
        <v>259</v>
      </c>
      <c r="AC276" s="5" t="str">
        <f t="shared" ca="1" si="57"/>
        <v>0259</v>
      </c>
      <c r="AD276" s="5" t="str">
        <f t="shared" ca="1" si="58"/>
        <v>Operadores turísticos</v>
      </c>
      <c r="AE276" s="5">
        <f t="shared" ca="1" si="59"/>
        <v>0</v>
      </c>
    </row>
    <row r="277" spans="4:31" ht="15.6" thickTop="1" thickBot="1" x14ac:dyDescent="0.35">
      <c r="D277" s="57"/>
      <c r="E277" s="58"/>
      <c r="F277" s="59"/>
      <c r="G277" s="59"/>
      <c r="H277" s="59"/>
      <c r="I277" s="60"/>
      <c r="J277" s="61"/>
      <c r="K277" s="61"/>
      <c r="M277" s="9" t="str">
        <f t="shared" si="49"/>
        <v/>
      </c>
      <c r="N277" s="5" t="str">
        <f t="shared" si="48"/>
        <v/>
      </c>
      <c r="O277" s="5" t="str">
        <f t="shared" si="54"/>
        <v/>
      </c>
      <c r="Q277" s="5" t="str">
        <f>'CNAE_Cód.Atividade Econômica'!B266</f>
        <v>Serviços de reservas e outros serviços de turismo não especificados anteriormente</v>
      </c>
      <c r="R277" s="5">
        <f t="shared" ca="1" si="50"/>
        <v>0</v>
      </c>
      <c r="S277" s="5" t="str">
        <f t="shared" si="51"/>
        <v>Serviços de reservas e outros serviços de turismo não especificados anteriormente</v>
      </c>
      <c r="U277" s="5">
        <f ca="1">COUNTIF(R$10:R277,R277)</f>
        <v>260</v>
      </c>
      <c r="V277" s="5" t="str">
        <f t="shared" ca="1" si="52"/>
        <v>0260</v>
      </c>
      <c r="W277" s="5" t="str">
        <f t="shared" ca="1" si="53"/>
        <v>Serviços de reservas e outros serviços de turismo não especificados anteriormente</v>
      </c>
      <c r="Y277" s="5">
        <v>268</v>
      </c>
      <c r="Z277" s="5">
        <f t="shared" ca="1" si="55"/>
        <v>0</v>
      </c>
      <c r="AA277" s="5" t="str">
        <f t="shared" ca="1" si="56"/>
        <v>Guarda-móveis</v>
      </c>
      <c r="AB277" s="5">
        <f ca="1">COUNTIF(R$10:R277,R277)</f>
        <v>260</v>
      </c>
      <c r="AC277" s="5" t="str">
        <f t="shared" ca="1" si="57"/>
        <v>0260</v>
      </c>
      <c r="AD277" s="5" t="str">
        <f t="shared" ca="1" si="58"/>
        <v>Serviços de reservas e outros serviços de turismo não especificados anteriormente</v>
      </c>
      <c r="AE277" s="5">
        <f t="shared" ca="1" si="59"/>
        <v>0</v>
      </c>
    </row>
    <row r="278" spans="4:31" ht="15.6" thickTop="1" thickBot="1" x14ac:dyDescent="0.35">
      <c r="D278" s="57"/>
      <c r="E278" s="58"/>
      <c r="F278" s="59"/>
      <c r="G278" s="59"/>
      <c r="H278" s="59"/>
      <c r="I278" s="60"/>
      <c r="J278" s="61"/>
      <c r="K278" s="61"/>
      <c r="M278" s="9" t="str">
        <f t="shared" si="49"/>
        <v/>
      </c>
      <c r="N278" s="5" t="str">
        <f t="shared" si="48"/>
        <v/>
      </c>
      <c r="O278" s="5" t="str">
        <f t="shared" si="54"/>
        <v/>
      </c>
      <c r="Q278" s="5" t="str">
        <f>'CNAE_Cód.Atividade Econômica'!B267</f>
        <v>Serviços de adestramento de cães de guarda</v>
      </c>
      <c r="R278" s="5">
        <f t="shared" ca="1" si="50"/>
        <v>0</v>
      </c>
      <c r="S278" s="5" t="str">
        <f t="shared" si="51"/>
        <v>Serviços de adestramento de cães de guarda</v>
      </c>
      <c r="U278" s="5">
        <f ca="1">COUNTIF(R$10:R278,R278)</f>
        <v>261</v>
      </c>
      <c r="V278" s="5" t="str">
        <f t="shared" ca="1" si="52"/>
        <v>0261</v>
      </c>
      <c r="W278" s="5" t="str">
        <f t="shared" ca="1" si="53"/>
        <v>Serviços de adestramento de cães de guarda</v>
      </c>
      <c r="Y278" s="5">
        <v>269</v>
      </c>
      <c r="Z278" s="5">
        <f t="shared" ca="1" si="55"/>
        <v>0</v>
      </c>
      <c r="AA278" s="5" t="str">
        <f t="shared" ca="1" si="56"/>
        <v>Guarda-móveis</v>
      </c>
      <c r="AB278" s="5">
        <f ca="1">COUNTIF(R$10:R278,R278)</f>
        <v>261</v>
      </c>
      <c r="AC278" s="5" t="str">
        <f t="shared" ca="1" si="57"/>
        <v>0261</v>
      </c>
      <c r="AD278" s="5" t="str">
        <f t="shared" ca="1" si="58"/>
        <v>Serviços de adestramento de cães de guarda</v>
      </c>
      <c r="AE278" s="5">
        <f t="shared" ca="1" si="59"/>
        <v>0</v>
      </c>
    </row>
    <row r="279" spans="4:31" ht="15.6" thickTop="1" thickBot="1" x14ac:dyDescent="0.35">
      <c r="D279" s="57"/>
      <c r="E279" s="58"/>
      <c r="F279" s="59"/>
      <c r="G279" s="59"/>
      <c r="H279" s="59"/>
      <c r="I279" s="60"/>
      <c r="J279" s="61"/>
      <c r="K279" s="61"/>
      <c r="M279" s="9" t="str">
        <f t="shared" si="49"/>
        <v/>
      </c>
      <c r="N279" s="5" t="str">
        <f t="shared" ref="N279:N342" si="60">IF(H279="","",H279)</f>
        <v/>
      </c>
      <c r="O279" s="5" t="str">
        <f t="shared" si="54"/>
        <v/>
      </c>
      <c r="Q279" s="5" t="str">
        <f>'CNAE_Cód.Atividade Econômica'!B268</f>
        <v>Atividades de monitoramento de sistemas de segurança eletrônico</v>
      </c>
      <c r="R279" s="5">
        <f t="shared" ca="1" si="50"/>
        <v>0</v>
      </c>
      <c r="S279" s="5" t="str">
        <f t="shared" si="51"/>
        <v>Atividades de monitoramento de sistemas de segurança eletrônico</v>
      </c>
      <c r="U279" s="5">
        <f ca="1">COUNTIF(R$10:R279,R279)</f>
        <v>262</v>
      </c>
      <c r="V279" s="5" t="str">
        <f t="shared" ca="1" si="52"/>
        <v>0262</v>
      </c>
      <c r="W279" s="5" t="str">
        <f t="shared" ca="1" si="53"/>
        <v>Atividades de monitoramento de sistemas de segurança eletrônico</v>
      </c>
      <c r="Y279" s="5">
        <v>270</v>
      </c>
      <c r="Z279" s="5">
        <f t="shared" ca="1" si="55"/>
        <v>0</v>
      </c>
      <c r="AA279" s="5" t="str">
        <f t="shared" ca="1" si="56"/>
        <v>Guarda-móveis</v>
      </c>
      <c r="AB279" s="5">
        <f ca="1">COUNTIF(R$10:R279,R279)</f>
        <v>262</v>
      </c>
      <c r="AC279" s="5" t="str">
        <f t="shared" ca="1" si="57"/>
        <v>0262</v>
      </c>
      <c r="AD279" s="5" t="str">
        <f t="shared" ca="1" si="58"/>
        <v>Atividades de monitoramento de sistemas de segurança eletrônico</v>
      </c>
      <c r="AE279" s="5">
        <f t="shared" ca="1" si="59"/>
        <v>0</v>
      </c>
    </row>
    <row r="280" spans="4:31" ht="15.6" thickTop="1" thickBot="1" x14ac:dyDescent="0.35">
      <c r="D280" s="57"/>
      <c r="E280" s="58"/>
      <c r="F280" s="59"/>
      <c r="G280" s="59"/>
      <c r="H280" s="59"/>
      <c r="I280" s="60"/>
      <c r="J280" s="61"/>
      <c r="K280" s="61"/>
      <c r="M280" s="9" t="str">
        <f t="shared" si="49"/>
        <v/>
      </c>
      <c r="N280" s="5" t="str">
        <f t="shared" si="60"/>
        <v/>
      </c>
      <c r="O280" s="5" t="str">
        <f t="shared" si="54"/>
        <v/>
      </c>
      <c r="Q280" s="5" t="str">
        <f>'CNAE_Cód.Atividade Econômica'!B269</f>
        <v>Atividades de investigação particular</v>
      </c>
      <c r="R280" s="5">
        <f t="shared" ca="1" si="50"/>
        <v>0</v>
      </c>
      <c r="S280" s="5" t="str">
        <f t="shared" si="51"/>
        <v>Atividades de investigação particular</v>
      </c>
      <c r="U280" s="5">
        <f ca="1">COUNTIF(R$10:R280,R280)</f>
        <v>263</v>
      </c>
      <c r="V280" s="5" t="str">
        <f t="shared" ca="1" si="52"/>
        <v>0263</v>
      </c>
      <c r="W280" s="5" t="str">
        <f t="shared" ca="1" si="53"/>
        <v>Atividades de investigação particular</v>
      </c>
      <c r="Y280" s="5">
        <v>271</v>
      </c>
      <c r="Z280" s="5">
        <f t="shared" ca="1" si="55"/>
        <v>0</v>
      </c>
      <c r="AA280" s="5" t="str">
        <f t="shared" ca="1" si="56"/>
        <v>Guarda-móveis</v>
      </c>
      <c r="AB280" s="5">
        <f ca="1">COUNTIF(R$10:R280,R280)</f>
        <v>263</v>
      </c>
      <c r="AC280" s="5" t="str">
        <f t="shared" ca="1" si="57"/>
        <v>0263</v>
      </c>
      <c r="AD280" s="5" t="str">
        <f t="shared" ca="1" si="58"/>
        <v>Atividades de investigação particular</v>
      </c>
      <c r="AE280" s="5">
        <f t="shared" ca="1" si="59"/>
        <v>0</v>
      </c>
    </row>
    <row r="281" spans="4:31" ht="15.6" thickTop="1" thickBot="1" x14ac:dyDescent="0.35">
      <c r="D281" s="57"/>
      <c r="E281" s="58"/>
      <c r="F281" s="59"/>
      <c r="G281" s="59"/>
      <c r="H281" s="59"/>
      <c r="I281" s="60"/>
      <c r="J281" s="61"/>
      <c r="K281" s="61"/>
      <c r="M281" s="9" t="str">
        <f t="shared" si="49"/>
        <v/>
      </c>
      <c r="N281" s="5" t="str">
        <f t="shared" si="60"/>
        <v/>
      </c>
      <c r="O281" s="5" t="str">
        <f t="shared" si="54"/>
        <v/>
      </c>
      <c r="Q281" s="5" t="str">
        <f>'CNAE_Cód.Atividade Econômica'!B270</f>
        <v>Limpeza em prédios e em domicílios</v>
      </c>
      <c r="R281" s="5">
        <f t="shared" ca="1" si="50"/>
        <v>0</v>
      </c>
      <c r="S281" s="5" t="str">
        <f t="shared" si="51"/>
        <v>Limpeza em prédios e em domicílios</v>
      </c>
      <c r="U281" s="5">
        <f ca="1">COUNTIF(R$10:R281,R281)</f>
        <v>264</v>
      </c>
      <c r="V281" s="5" t="str">
        <f t="shared" ca="1" si="52"/>
        <v>0264</v>
      </c>
      <c r="W281" s="5" t="str">
        <f t="shared" ca="1" si="53"/>
        <v>Limpeza em prédios e em domicílios</v>
      </c>
      <c r="Y281" s="5">
        <v>272</v>
      </c>
      <c r="Z281" s="5">
        <f t="shared" ca="1" si="55"/>
        <v>0</v>
      </c>
      <c r="AA281" s="5" t="str">
        <f t="shared" ca="1" si="56"/>
        <v>Guarda-móveis</v>
      </c>
      <c r="AB281" s="5">
        <f ca="1">COUNTIF(R$10:R281,R281)</f>
        <v>264</v>
      </c>
      <c r="AC281" s="5" t="str">
        <f t="shared" ca="1" si="57"/>
        <v>0264</v>
      </c>
      <c r="AD281" s="5" t="str">
        <f t="shared" ca="1" si="58"/>
        <v>Limpeza em prédios e em domicílios</v>
      </c>
      <c r="AE281" s="5">
        <f t="shared" ca="1" si="59"/>
        <v>0</v>
      </c>
    </row>
    <row r="282" spans="4:31" ht="15.6" thickTop="1" thickBot="1" x14ac:dyDescent="0.35">
      <c r="D282" s="57"/>
      <c r="E282" s="58"/>
      <c r="F282" s="59"/>
      <c r="G282" s="59"/>
      <c r="H282" s="59"/>
      <c r="I282" s="60"/>
      <c r="J282" s="61"/>
      <c r="K282" s="61"/>
      <c r="M282" s="9" t="str">
        <f t="shared" si="49"/>
        <v/>
      </c>
      <c r="N282" s="5" t="str">
        <f t="shared" si="60"/>
        <v/>
      </c>
      <c r="O282" s="5" t="str">
        <f t="shared" si="54"/>
        <v/>
      </c>
      <c r="Q282" s="5" t="str">
        <f>'CNAE_Cód.Atividade Econômica'!B271</f>
        <v>Imunização e controle de pragas urbanas</v>
      </c>
      <c r="R282" s="5">
        <f t="shared" ca="1" si="50"/>
        <v>0</v>
      </c>
      <c r="S282" s="5" t="str">
        <f t="shared" si="51"/>
        <v>Imunização e controle de pragas urbanas</v>
      </c>
      <c r="U282" s="5">
        <f ca="1">COUNTIF(R$10:R282,R282)</f>
        <v>265</v>
      </c>
      <c r="V282" s="5" t="str">
        <f t="shared" ca="1" si="52"/>
        <v>0265</v>
      </c>
      <c r="W282" s="5" t="str">
        <f t="shared" ca="1" si="53"/>
        <v>Imunização e controle de pragas urbanas</v>
      </c>
      <c r="Y282" s="5">
        <v>273</v>
      </c>
      <c r="Z282" s="5">
        <f t="shared" ca="1" si="55"/>
        <v>0</v>
      </c>
      <c r="AA282" s="5" t="str">
        <f t="shared" ca="1" si="56"/>
        <v>Guarda-móveis</v>
      </c>
      <c r="AB282" s="5">
        <f ca="1">COUNTIF(R$10:R282,R282)</f>
        <v>265</v>
      </c>
      <c r="AC282" s="5" t="str">
        <f t="shared" ca="1" si="57"/>
        <v>0265</v>
      </c>
      <c r="AD282" s="5" t="str">
        <f t="shared" ca="1" si="58"/>
        <v>Imunização e controle de pragas urbanas</v>
      </c>
      <c r="AE282" s="5">
        <f t="shared" ca="1" si="59"/>
        <v>0</v>
      </c>
    </row>
    <row r="283" spans="4:31" ht="15.6" thickTop="1" thickBot="1" x14ac:dyDescent="0.35">
      <c r="D283" s="57"/>
      <c r="E283" s="58"/>
      <c r="F283" s="59"/>
      <c r="G283" s="59"/>
      <c r="H283" s="59"/>
      <c r="I283" s="60"/>
      <c r="J283" s="61"/>
      <c r="K283" s="61"/>
      <c r="M283" s="9" t="str">
        <f t="shared" si="49"/>
        <v/>
      </c>
      <c r="N283" s="5" t="str">
        <f t="shared" si="60"/>
        <v/>
      </c>
      <c r="O283" s="5" t="str">
        <f t="shared" si="54"/>
        <v/>
      </c>
      <c r="Q283" s="5" t="str">
        <f>'CNAE_Cód.Atividade Econômica'!B272</f>
        <v>Atividades de limpeza não especificadas anteriormente</v>
      </c>
      <c r="R283" s="5">
        <f t="shared" ca="1" si="50"/>
        <v>0</v>
      </c>
      <c r="S283" s="5" t="str">
        <f t="shared" si="51"/>
        <v>Atividades de limpeza não especificadas anteriormente</v>
      </c>
      <c r="U283" s="5">
        <f ca="1">COUNTIF(R$10:R283,R283)</f>
        <v>266</v>
      </c>
      <c r="V283" s="5" t="str">
        <f t="shared" ca="1" si="52"/>
        <v>0266</v>
      </c>
      <c r="W283" s="5" t="str">
        <f t="shared" ca="1" si="53"/>
        <v>Atividades de limpeza não especificadas anteriormente</v>
      </c>
      <c r="Y283" s="5">
        <v>274</v>
      </c>
      <c r="Z283" s="5">
        <f t="shared" ca="1" si="55"/>
        <v>0</v>
      </c>
      <c r="AA283" s="5" t="str">
        <f t="shared" ca="1" si="56"/>
        <v>Guarda-móveis</v>
      </c>
      <c r="AB283" s="5">
        <f ca="1">COUNTIF(R$10:R283,R283)</f>
        <v>266</v>
      </c>
      <c r="AC283" s="5" t="str">
        <f t="shared" ca="1" si="57"/>
        <v>0266</v>
      </c>
      <c r="AD283" s="5" t="str">
        <f t="shared" ca="1" si="58"/>
        <v>Atividades de limpeza não especificadas anteriormente</v>
      </c>
      <c r="AE283" s="5">
        <f t="shared" ca="1" si="59"/>
        <v>0</v>
      </c>
    </row>
    <row r="284" spans="4:31" ht="15.6" thickTop="1" thickBot="1" x14ac:dyDescent="0.35">
      <c r="D284" s="57"/>
      <c r="E284" s="58"/>
      <c r="F284" s="59"/>
      <c r="G284" s="59"/>
      <c r="H284" s="59"/>
      <c r="I284" s="60"/>
      <c r="J284" s="61"/>
      <c r="K284" s="61"/>
      <c r="M284" s="9" t="str">
        <f t="shared" si="49"/>
        <v/>
      </c>
      <c r="N284" s="5" t="str">
        <f t="shared" si="60"/>
        <v/>
      </c>
      <c r="O284" s="5" t="str">
        <f t="shared" si="54"/>
        <v/>
      </c>
      <c r="Q284" s="5" t="str">
        <f>'CNAE_Cód.Atividade Econômica'!B273</f>
        <v>Atividades paisagísticas</v>
      </c>
      <c r="R284" s="5">
        <f t="shared" ca="1" si="50"/>
        <v>0</v>
      </c>
      <c r="S284" s="5" t="str">
        <f t="shared" si="51"/>
        <v>Atividades paisagísticas</v>
      </c>
      <c r="U284" s="5">
        <f ca="1">COUNTIF(R$10:R284,R284)</f>
        <v>267</v>
      </c>
      <c r="V284" s="5" t="str">
        <f t="shared" ca="1" si="52"/>
        <v>0267</v>
      </c>
      <c r="W284" s="5" t="str">
        <f t="shared" ca="1" si="53"/>
        <v>Atividades paisagísticas</v>
      </c>
      <c r="Y284" s="5">
        <v>275</v>
      </c>
      <c r="Z284" s="5">
        <f t="shared" ca="1" si="55"/>
        <v>0</v>
      </c>
      <c r="AA284" s="5" t="str">
        <f t="shared" ca="1" si="56"/>
        <v>Guarda-móveis</v>
      </c>
      <c r="AB284" s="5">
        <f ca="1">COUNTIF(R$10:R284,R284)</f>
        <v>267</v>
      </c>
      <c r="AC284" s="5" t="str">
        <f t="shared" ca="1" si="57"/>
        <v>0267</v>
      </c>
      <c r="AD284" s="5" t="str">
        <f t="shared" ca="1" si="58"/>
        <v>Atividades paisagísticas</v>
      </c>
      <c r="AE284" s="5">
        <f t="shared" ca="1" si="59"/>
        <v>0</v>
      </c>
    </row>
    <row r="285" spans="4:31" ht="15.6" thickTop="1" thickBot="1" x14ac:dyDescent="0.35">
      <c r="D285" s="57"/>
      <c r="E285" s="58"/>
      <c r="F285" s="59"/>
      <c r="G285" s="59"/>
      <c r="H285" s="59"/>
      <c r="I285" s="60"/>
      <c r="J285" s="61"/>
      <c r="K285" s="61"/>
      <c r="M285" s="9" t="str">
        <f t="shared" si="49"/>
        <v/>
      </c>
      <c r="N285" s="5" t="str">
        <f t="shared" si="60"/>
        <v/>
      </c>
      <c r="O285" s="5" t="str">
        <f t="shared" si="54"/>
        <v/>
      </c>
      <c r="Q285" s="5" t="str">
        <f>'CNAE_Cód.Atividade Econômica'!B274</f>
        <v>Serviços combinados de escritório e apoio administrativo</v>
      </c>
      <c r="R285" s="5">
        <f t="shared" ca="1" si="50"/>
        <v>0</v>
      </c>
      <c r="S285" s="5" t="str">
        <f t="shared" si="51"/>
        <v>Serviços combinados de escritório e apoio administrativo</v>
      </c>
      <c r="U285" s="5">
        <f ca="1">COUNTIF(R$10:R285,R285)</f>
        <v>268</v>
      </c>
      <c r="V285" s="5" t="str">
        <f t="shared" ca="1" si="52"/>
        <v>0268</v>
      </c>
      <c r="W285" s="5" t="str">
        <f t="shared" ca="1" si="53"/>
        <v>Serviços combinados de escritório e apoio administrativo</v>
      </c>
      <c r="Y285" s="5">
        <v>276</v>
      </c>
      <c r="Z285" s="5">
        <f t="shared" ca="1" si="55"/>
        <v>0</v>
      </c>
      <c r="AA285" s="5" t="str">
        <f t="shared" ca="1" si="56"/>
        <v>Guarda-móveis</v>
      </c>
      <c r="AB285" s="5">
        <f ca="1">COUNTIF(R$10:R285,R285)</f>
        <v>268</v>
      </c>
      <c r="AC285" s="5" t="str">
        <f t="shared" ca="1" si="57"/>
        <v>0268</v>
      </c>
      <c r="AD285" s="5" t="str">
        <f t="shared" ca="1" si="58"/>
        <v>Serviços combinados de escritório e apoio administrativo</v>
      </c>
      <c r="AE285" s="5">
        <f t="shared" ca="1" si="59"/>
        <v>0</v>
      </c>
    </row>
    <row r="286" spans="4:31" ht="15.6" thickTop="1" thickBot="1" x14ac:dyDescent="0.35">
      <c r="D286" s="57"/>
      <c r="E286" s="58"/>
      <c r="F286" s="59"/>
      <c r="G286" s="59"/>
      <c r="H286" s="59"/>
      <c r="I286" s="60"/>
      <c r="J286" s="61"/>
      <c r="K286" s="61"/>
      <c r="M286" s="9" t="str">
        <f t="shared" si="49"/>
        <v/>
      </c>
      <c r="N286" s="5" t="str">
        <f t="shared" si="60"/>
        <v/>
      </c>
      <c r="O286" s="5" t="str">
        <f t="shared" si="54"/>
        <v/>
      </c>
      <c r="Q286" s="5" t="str">
        <f>'CNAE_Cód.Atividade Econômica'!B275</f>
        <v>Fotocópias</v>
      </c>
      <c r="R286" s="5">
        <f t="shared" ca="1" si="50"/>
        <v>0</v>
      </c>
      <c r="S286" s="5" t="str">
        <f t="shared" si="51"/>
        <v>Fotocópias</v>
      </c>
      <c r="U286" s="5">
        <f ca="1">COUNTIF(R$10:R286,R286)</f>
        <v>269</v>
      </c>
      <c r="V286" s="5" t="str">
        <f t="shared" ca="1" si="52"/>
        <v>0269</v>
      </c>
      <c r="W286" s="5" t="str">
        <f t="shared" ca="1" si="53"/>
        <v>Fotocópias</v>
      </c>
      <c r="Y286" s="5">
        <v>277</v>
      </c>
      <c r="Z286" s="5">
        <f t="shared" ca="1" si="55"/>
        <v>0</v>
      </c>
      <c r="AA286" s="5" t="str">
        <f t="shared" ca="1" si="56"/>
        <v>Guarda-móveis</v>
      </c>
      <c r="AB286" s="5">
        <f ca="1">COUNTIF(R$10:R286,R286)</f>
        <v>269</v>
      </c>
      <c r="AC286" s="5" t="str">
        <f t="shared" ca="1" si="57"/>
        <v>0269</v>
      </c>
      <c r="AD286" s="5" t="str">
        <f t="shared" ca="1" si="58"/>
        <v>Fotocópias</v>
      </c>
      <c r="AE286" s="5">
        <f t="shared" ca="1" si="59"/>
        <v>0</v>
      </c>
    </row>
    <row r="287" spans="4:31" ht="15.6" thickTop="1" thickBot="1" x14ac:dyDescent="0.35">
      <c r="D287" s="57"/>
      <c r="E287" s="58"/>
      <c r="F287" s="59"/>
      <c r="G287" s="59"/>
      <c r="H287" s="59"/>
      <c r="I287" s="60"/>
      <c r="J287" s="61"/>
      <c r="K287" s="61"/>
      <c r="M287" s="9" t="str">
        <f t="shared" si="49"/>
        <v/>
      </c>
      <c r="N287" s="5" t="str">
        <f t="shared" si="60"/>
        <v/>
      </c>
      <c r="O287" s="5" t="str">
        <f t="shared" si="54"/>
        <v/>
      </c>
      <c r="Q287" s="5" t="str">
        <f>'CNAE_Cód.Atividade Econômica'!B276</f>
        <v>Preparação de documentos e serviços especializados de apoio administrativo não especificados anteriormente</v>
      </c>
      <c r="R287" s="5">
        <f t="shared" ca="1" si="50"/>
        <v>0</v>
      </c>
      <c r="S287" s="5" t="str">
        <f t="shared" si="51"/>
        <v>Preparação de documentos e serviços especializados de apoio administrativo não especificados anteriormente</v>
      </c>
      <c r="U287" s="5">
        <f ca="1">COUNTIF(R$10:R287,R287)</f>
        <v>270</v>
      </c>
      <c r="V287" s="5" t="str">
        <f t="shared" ca="1" si="52"/>
        <v>0270</v>
      </c>
      <c r="W287" s="5" t="str">
        <f t="shared" ca="1" si="53"/>
        <v>Preparação de documentos e serviços especializados de apoio administrativo não especificados anteriormente</v>
      </c>
      <c r="Y287" s="5">
        <v>278</v>
      </c>
      <c r="Z287" s="5">
        <f t="shared" ca="1" si="55"/>
        <v>0</v>
      </c>
      <c r="AA287" s="5" t="str">
        <f t="shared" ca="1" si="56"/>
        <v>Guarda-móveis</v>
      </c>
      <c r="AB287" s="5">
        <f ca="1">COUNTIF(R$10:R287,R287)</f>
        <v>270</v>
      </c>
      <c r="AC287" s="5" t="str">
        <f t="shared" ca="1" si="57"/>
        <v>0270</v>
      </c>
      <c r="AD287" s="5" t="str">
        <f t="shared" ca="1" si="58"/>
        <v>Preparação de documentos e serviços especializados de apoio administrativo não especificados anteriormente</v>
      </c>
      <c r="AE287" s="5">
        <f t="shared" ca="1" si="59"/>
        <v>0</v>
      </c>
    </row>
    <row r="288" spans="4:31" ht="15.6" thickTop="1" thickBot="1" x14ac:dyDescent="0.35">
      <c r="D288" s="57"/>
      <c r="E288" s="58"/>
      <c r="F288" s="59"/>
      <c r="G288" s="59"/>
      <c r="H288" s="59"/>
      <c r="I288" s="60"/>
      <c r="J288" s="61"/>
      <c r="K288" s="61"/>
      <c r="M288" s="9" t="str">
        <f t="shared" si="49"/>
        <v/>
      </c>
      <c r="N288" s="5" t="str">
        <f t="shared" si="60"/>
        <v/>
      </c>
      <c r="O288" s="5" t="str">
        <f t="shared" si="54"/>
        <v/>
      </c>
      <c r="Q288" s="5" t="str">
        <f>'CNAE_Cód.Atividade Econômica'!B277</f>
        <v>Atividades de teleatendimento</v>
      </c>
      <c r="R288" s="5">
        <f t="shared" ca="1" si="50"/>
        <v>0</v>
      </c>
      <c r="S288" s="5" t="str">
        <f t="shared" si="51"/>
        <v>Atividades de teleatendimento</v>
      </c>
      <c r="U288" s="5">
        <f ca="1">COUNTIF(R$10:R288,R288)</f>
        <v>271</v>
      </c>
      <c r="V288" s="5" t="str">
        <f t="shared" ca="1" si="52"/>
        <v>0271</v>
      </c>
      <c r="W288" s="5" t="str">
        <f t="shared" ca="1" si="53"/>
        <v>Atividades de teleatendimento</v>
      </c>
      <c r="Y288" s="5">
        <v>279</v>
      </c>
      <c r="Z288" s="5">
        <f t="shared" ca="1" si="55"/>
        <v>0</v>
      </c>
      <c r="AA288" s="5" t="str">
        <f t="shared" ca="1" si="56"/>
        <v>Guarda-móveis</v>
      </c>
      <c r="AB288" s="5">
        <f ca="1">COUNTIF(R$10:R288,R288)</f>
        <v>271</v>
      </c>
      <c r="AC288" s="5" t="str">
        <f t="shared" ca="1" si="57"/>
        <v>0271</v>
      </c>
      <c r="AD288" s="5" t="str">
        <f t="shared" ca="1" si="58"/>
        <v>Atividades de teleatendimento</v>
      </c>
      <c r="AE288" s="5">
        <f t="shared" ca="1" si="59"/>
        <v>0</v>
      </c>
    </row>
    <row r="289" spans="4:31" ht="15.6" thickTop="1" thickBot="1" x14ac:dyDescent="0.35">
      <c r="D289" s="57"/>
      <c r="E289" s="58"/>
      <c r="F289" s="59"/>
      <c r="G289" s="59"/>
      <c r="H289" s="59"/>
      <c r="I289" s="60"/>
      <c r="J289" s="61"/>
      <c r="K289" s="61"/>
      <c r="M289" s="9" t="str">
        <f t="shared" si="49"/>
        <v/>
      </c>
      <c r="N289" s="5" t="str">
        <f t="shared" si="60"/>
        <v/>
      </c>
      <c r="O289" s="5" t="str">
        <f t="shared" si="54"/>
        <v/>
      </c>
      <c r="Q289" s="5" t="str">
        <f>'CNAE_Cód.Atividade Econômica'!B278</f>
        <v>Serviços de organização de feiras, congressos, exposições e festas</v>
      </c>
      <c r="R289" s="5">
        <f t="shared" ca="1" si="50"/>
        <v>0</v>
      </c>
      <c r="S289" s="5" t="str">
        <f t="shared" si="51"/>
        <v>Serviços de organização de feiras, congressos, exposições e festas</v>
      </c>
      <c r="U289" s="5">
        <f ca="1">COUNTIF(R$10:R289,R289)</f>
        <v>272</v>
      </c>
      <c r="V289" s="5" t="str">
        <f t="shared" ca="1" si="52"/>
        <v>0272</v>
      </c>
      <c r="W289" s="5" t="str">
        <f t="shared" ca="1" si="53"/>
        <v>Serviços de organização de feiras, congressos, exposições e festas</v>
      </c>
      <c r="Y289" s="5">
        <v>280</v>
      </c>
      <c r="Z289" s="5">
        <f t="shared" ca="1" si="55"/>
        <v>0</v>
      </c>
      <c r="AA289" s="5" t="str">
        <f t="shared" ca="1" si="56"/>
        <v>Guarda-móveis</v>
      </c>
      <c r="AB289" s="5">
        <f ca="1">COUNTIF(R$10:R289,R289)</f>
        <v>272</v>
      </c>
      <c r="AC289" s="5" t="str">
        <f t="shared" ca="1" si="57"/>
        <v>0272</v>
      </c>
      <c r="AD289" s="5" t="str">
        <f t="shared" ca="1" si="58"/>
        <v>Serviços de organização de feiras, congressos, exposições e festas</v>
      </c>
      <c r="AE289" s="5">
        <f t="shared" ca="1" si="59"/>
        <v>0</v>
      </c>
    </row>
    <row r="290" spans="4:31" ht="15.6" thickTop="1" thickBot="1" x14ac:dyDescent="0.35">
      <c r="D290" s="57"/>
      <c r="E290" s="58"/>
      <c r="F290" s="59"/>
      <c r="G290" s="59"/>
      <c r="H290" s="59"/>
      <c r="I290" s="60"/>
      <c r="J290" s="61"/>
      <c r="K290" s="61"/>
      <c r="M290" s="9" t="str">
        <f t="shared" si="49"/>
        <v/>
      </c>
      <c r="N290" s="5" t="str">
        <f t="shared" si="60"/>
        <v/>
      </c>
      <c r="O290" s="5" t="str">
        <f t="shared" si="54"/>
        <v/>
      </c>
      <c r="Q290" s="5" t="str">
        <f>'CNAE_Cód.Atividade Econômica'!B279</f>
        <v>Casas de festas e eventos</v>
      </c>
      <c r="R290" s="5">
        <f t="shared" ca="1" si="50"/>
        <v>0</v>
      </c>
      <c r="S290" s="5" t="str">
        <f t="shared" si="51"/>
        <v>Casas de festas e eventos</v>
      </c>
      <c r="U290" s="5">
        <f ca="1">COUNTIF(R$10:R290,R290)</f>
        <v>273</v>
      </c>
      <c r="V290" s="5" t="str">
        <f t="shared" ca="1" si="52"/>
        <v>0273</v>
      </c>
      <c r="W290" s="5" t="str">
        <f t="shared" ca="1" si="53"/>
        <v>Casas de festas e eventos</v>
      </c>
      <c r="Y290" s="5">
        <v>281</v>
      </c>
      <c r="Z290" s="5">
        <f t="shared" ca="1" si="55"/>
        <v>0</v>
      </c>
      <c r="AA290" s="5" t="str">
        <f t="shared" ca="1" si="56"/>
        <v>Guarda-móveis</v>
      </c>
      <c r="AB290" s="5">
        <f ca="1">COUNTIF(R$10:R290,R290)</f>
        <v>273</v>
      </c>
      <c r="AC290" s="5" t="str">
        <f t="shared" ca="1" si="57"/>
        <v>0273</v>
      </c>
      <c r="AD290" s="5" t="str">
        <f t="shared" ca="1" si="58"/>
        <v>Casas de festas e eventos</v>
      </c>
      <c r="AE290" s="5">
        <f t="shared" ca="1" si="59"/>
        <v>0</v>
      </c>
    </row>
    <row r="291" spans="4:31" ht="15.6" thickTop="1" thickBot="1" x14ac:dyDescent="0.35">
      <c r="D291" s="57"/>
      <c r="E291" s="58"/>
      <c r="F291" s="59"/>
      <c r="G291" s="59"/>
      <c r="H291" s="59"/>
      <c r="I291" s="60"/>
      <c r="J291" s="61"/>
      <c r="K291" s="61"/>
      <c r="M291" s="9" t="str">
        <f t="shared" si="49"/>
        <v/>
      </c>
      <c r="N291" s="5" t="str">
        <f t="shared" si="60"/>
        <v/>
      </c>
      <c r="O291" s="5" t="str">
        <f t="shared" si="54"/>
        <v/>
      </c>
      <c r="Q291" s="5" t="str">
        <f>'CNAE_Cód.Atividade Econômica'!B280</f>
        <v>Atividades de cobrança e informações cadastrais</v>
      </c>
      <c r="R291" s="5">
        <f t="shared" ca="1" si="50"/>
        <v>0</v>
      </c>
      <c r="S291" s="5" t="str">
        <f t="shared" si="51"/>
        <v>Atividades de cobrança e informações cadastrais</v>
      </c>
      <c r="U291" s="5">
        <f ca="1">COUNTIF(R$10:R291,R291)</f>
        <v>274</v>
      </c>
      <c r="V291" s="5" t="str">
        <f t="shared" ca="1" si="52"/>
        <v>0274</v>
      </c>
      <c r="W291" s="5" t="str">
        <f t="shared" ca="1" si="53"/>
        <v>Atividades de cobrança e informações cadastrais</v>
      </c>
      <c r="Y291" s="5">
        <v>282</v>
      </c>
      <c r="Z291" s="5">
        <f t="shared" ca="1" si="55"/>
        <v>0</v>
      </c>
      <c r="AA291" s="5" t="str">
        <f t="shared" ca="1" si="56"/>
        <v>Guarda-móveis</v>
      </c>
      <c r="AB291" s="5">
        <f ca="1">COUNTIF(R$10:R291,R291)</f>
        <v>274</v>
      </c>
      <c r="AC291" s="5" t="str">
        <f t="shared" ca="1" si="57"/>
        <v>0274</v>
      </c>
      <c r="AD291" s="5" t="str">
        <f t="shared" ca="1" si="58"/>
        <v>Atividades de cobrança e informações cadastrais</v>
      </c>
      <c r="AE291" s="5">
        <f t="shared" ca="1" si="59"/>
        <v>0</v>
      </c>
    </row>
    <row r="292" spans="4:31" ht="15.6" thickTop="1" thickBot="1" x14ac:dyDescent="0.35">
      <c r="D292" s="57"/>
      <c r="E292" s="58"/>
      <c r="F292" s="59"/>
      <c r="G292" s="59"/>
      <c r="H292" s="59"/>
      <c r="I292" s="60"/>
      <c r="J292" s="61"/>
      <c r="K292" s="61"/>
      <c r="M292" s="9" t="str">
        <f t="shared" si="49"/>
        <v/>
      </c>
      <c r="N292" s="5" t="str">
        <f t="shared" si="60"/>
        <v/>
      </c>
      <c r="O292" s="5" t="str">
        <f t="shared" si="54"/>
        <v/>
      </c>
      <c r="Q292" s="5" t="str">
        <f>'CNAE_Cód.Atividade Econômica'!B281</f>
        <v>Medição de consumo de energia elétrica, gás e água</v>
      </c>
      <c r="R292" s="5">
        <f t="shared" ca="1" si="50"/>
        <v>0</v>
      </c>
      <c r="S292" s="5" t="str">
        <f t="shared" si="51"/>
        <v>Medição de consumo de energia elétrica, gás e água</v>
      </c>
      <c r="U292" s="5">
        <f ca="1">COUNTIF(R$10:R292,R292)</f>
        <v>275</v>
      </c>
      <c r="V292" s="5" t="str">
        <f t="shared" ca="1" si="52"/>
        <v>0275</v>
      </c>
      <c r="W292" s="5" t="str">
        <f t="shared" ca="1" si="53"/>
        <v>Medição de consumo de energia elétrica, gás e água</v>
      </c>
      <c r="Y292" s="5">
        <v>283</v>
      </c>
      <c r="Z292" s="5">
        <f t="shared" ca="1" si="55"/>
        <v>0</v>
      </c>
      <c r="AA292" s="5" t="str">
        <f t="shared" ca="1" si="56"/>
        <v>Guarda-móveis</v>
      </c>
      <c r="AB292" s="5">
        <f ca="1">COUNTIF(R$10:R292,R292)</f>
        <v>275</v>
      </c>
      <c r="AC292" s="5" t="str">
        <f t="shared" ca="1" si="57"/>
        <v>0275</v>
      </c>
      <c r="AD292" s="5" t="str">
        <f t="shared" ca="1" si="58"/>
        <v>Medição de consumo de energia elétrica, gás e água</v>
      </c>
      <c r="AE292" s="5">
        <f t="shared" ca="1" si="59"/>
        <v>0</v>
      </c>
    </row>
    <row r="293" spans="4:31" ht="15.6" thickTop="1" thickBot="1" x14ac:dyDescent="0.35">
      <c r="D293" s="57"/>
      <c r="E293" s="58"/>
      <c r="F293" s="59"/>
      <c r="G293" s="59"/>
      <c r="H293" s="59"/>
      <c r="I293" s="60"/>
      <c r="J293" s="61"/>
      <c r="K293" s="61"/>
      <c r="M293" s="9" t="str">
        <f t="shared" si="49"/>
        <v/>
      </c>
      <c r="N293" s="5" t="str">
        <f t="shared" si="60"/>
        <v/>
      </c>
      <c r="O293" s="5" t="str">
        <f t="shared" si="54"/>
        <v/>
      </c>
      <c r="Q293" s="5" t="str">
        <f>'CNAE_Cód.Atividade Econômica'!B282</f>
        <v>Serviços de gravação de carimbos, exceto confecção</v>
      </c>
      <c r="R293" s="5">
        <f t="shared" ca="1" si="50"/>
        <v>0</v>
      </c>
      <c r="S293" s="5" t="str">
        <f t="shared" si="51"/>
        <v>Serviços de gravação de carimbos, exceto confecção</v>
      </c>
      <c r="U293" s="5">
        <f ca="1">COUNTIF(R$10:R293,R293)</f>
        <v>276</v>
      </c>
      <c r="V293" s="5" t="str">
        <f t="shared" ca="1" si="52"/>
        <v>0276</v>
      </c>
      <c r="W293" s="5" t="str">
        <f t="shared" ca="1" si="53"/>
        <v>Serviços de gravação de carimbos, exceto confecção</v>
      </c>
      <c r="Y293" s="5">
        <v>284</v>
      </c>
      <c r="Z293" s="5">
        <f t="shared" ca="1" si="55"/>
        <v>0</v>
      </c>
      <c r="AA293" s="5" t="str">
        <f t="shared" ca="1" si="56"/>
        <v>Guarda-móveis</v>
      </c>
      <c r="AB293" s="5">
        <f ca="1">COUNTIF(R$10:R293,R293)</f>
        <v>276</v>
      </c>
      <c r="AC293" s="5" t="str">
        <f t="shared" ca="1" si="57"/>
        <v>0276</v>
      </c>
      <c r="AD293" s="5" t="str">
        <f t="shared" ca="1" si="58"/>
        <v>Serviços de gravação de carimbos, exceto confecção</v>
      </c>
      <c r="AE293" s="5">
        <f t="shared" ca="1" si="59"/>
        <v>0</v>
      </c>
    </row>
    <row r="294" spans="4:31" ht="15.6" thickTop="1" thickBot="1" x14ac:dyDescent="0.35">
      <c r="D294" s="57"/>
      <c r="E294" s="58"/>
      <c r="F294" s="59"/>
      <c r="G294" s="59"/>
      <c r="H294" s="59"/>
      <c r="I294" s="60"/>
      <c r="J294" s="61"/>
      <c r="K294" s="61"/>
      <c r="M294" s="9" t="str">
        <f t="shared" si="49"/>
        <v/>
      </c>
      <c r="N294" s="5" t="str">
        <f t="shared" si="60"/>
        <v/>
      </c>
      <c r="O294" s="5" t="str">
        <f t="shared" si="54"/>
        <v/>
      </c>
      <c r="Q294" s="5" t="str">
        <f>'CNAE_Cód.Atividade Econômica'!B283</f>
        <v>Salas de acesso à internet</v>
      </c>
      <c r="R294" s="5">
        <f t="shared" ca="1" si="50"/>
        <v>0</v>
      </c>
      <c r="S294" s="5" t="str">
        <f t="shared" si="51"/>
        <v>Salas de acesso à internet</v>
      </c>
      <c r="U294" s="5">
        <f ca="1">COUNTIF(R$10:R294,R294)</f>
        <v>277</v>
      </c>
      <c r="V294" s="5" t="str">
        <f t="shared" ca="1" si="52"/>
        <v>0277</v>
      </c>
      <c r="W294" s="5" t="str">
        <f t="shared" ca="1" si="53"/>
        <v>Salas de acesso à internet</v>
      </c>
      <c r="Y294" s="5">
        <v>285</v>
      </c>
      <c r="Z294" s="5">
        <f t="shared" ca="1" si="55"/>
        <v>0</v>
      </c>
      <c r="AA294" s="5" t="str">
        <f t="shared" ca="1" si="56"/>
        <v>Guarda-móveis</v>
      </c>
      <c r="AB294" s="5">
        <f ca="1">COUNTIF(R$10:R294,R294)</f>
        <v>277</v>
      </c>
      <c r="AC294" s="5" t="str">
        <f t="shared" ca="1" si="57"/>
        <v>0277</v>
      </c>
      <c r="AD294" s="5" t="str">
        <f t="shared" ca="1" si="58"/>
        <v>Salas de acesso à internet</v>
      </c>
      <c r="AE294" s="5">
        <f t="shared" ca="1" si="59"/>
        <v>0</v>
      </c>
    </row>
    <row r="295" spans="4:31" ht="15.6" thickTop="1" thickBot="1" x14ac:dyDescent="0.35">
      <c r="D295" s="57"/>
      <c r="E295" s="58"/>
      <c r="F295" s="59"/>
      <c r="G295" s="59"/>
      <c r="H295" s="59"/>
      <c r="I295" s="60"/>
      <c r="J295" s="61"/>
      <c r="K295" s="61"/>
      <c r="M295" s="9" t="str">
        <f t="shared" si="49"/>
        <v/>
      </c>
      <c r="N295" s="5" t="str">
        <f t="shared" si="60"/>
        <v/>
      </c>
      <c r="O295" s="5" t="str">
        <f t="shared" si="54"/>
        <v/>
      </c>
      <c r="Q295" s="5" t="str">
        <f>'CNAE_Cód.Atividade Econômica'!B284</f>
        <v>Outras atividades de serviços prestados principalmente às empresas não especificadas anteriormente</v>
      </c>
      <c r="R295" s="5">
        <f t="shared" ca="1" si="50"/>
        <v>0</v>
      </c>
      <c r="S295" s="5" t="str">
        <f t="shared" si="51"/>
        <v>Outras atividades de serviços prestados principalmente às empresas não especificadas anteriormente</v>
      </c>
      <c r="U295" s="5">
        <f ca="1">COUNTIF(R$10:R295,R295)</f>
        <v>278</v>
      </c>
      <c r="V295" s="5" t="str">
        <f t="shared" ca="1" si="52"/>
        <v>0278</v>
      </c>
      <c r="W295" s="5" t="str">
        <f t="shared" ca="1" si="53"/>
        <v>Outras atividades de serviços prestados principalmente às empresas não especificadas anteriormente</v>
      </c>
      <c r="Y295" s="5">
        <v>286</v>
      </c>
      <c r="Z295" s="5">
        <f t="shared" ca="1" si="55"/>
        <v>0</v>
      </c>
      <c r="AA295" s="5" t="str">
        <f t="shared" ca="1" si="56"/>
        <v>Guarda-móveis</v>
      </c>
      <c r="AB295" s="5">
        <f ca="1">COUNTIF(R$10:R295,R295)</f>
        <v>278</v>
      </c>
      <c r="AC295" s="5" t="str">
        <f t="shared" ca="1" si="57"/>
        <v>0278</v>
      </c>
      <c r="AD295" s="5" t="str">
        <f t="shared" ca="1" si="58"/>
        <v>Outras atividades de serviços prestados principalmente às empresas não especificadas anteriormente</v>
      </c>
      <c r="AE295" s="5">
        <f t="shared" ca="1" si="59"/>
        <v>0</v>
      </c>
    </row>
    <row r="296" spans="4:31" ht="15.6" thickTop="1" thickBot="1" x14ac:dyDescent="0.35">
      <c r="D296" s="57"/>
      <c r="E296" s="58"/>
      <c r="F296" s="59"/>
      <c r="G296" s="59"/>
      <c r="H296" s="59"/>
      <c r="I296" s="60"/>
      <c r="J296" s="61"/>
      <c r="K296" s="61"/>
      <c r="M296" s="9" t="str">
        <f t="shared" si="49"/>
        <v/>
      </c>
      <c r="N296" s="5" t="str">
        <f t="shared" si="60"/>
        <v/>
      </c>
      <c r="O296" s="5" t="str">
        <f t="shared" si="54"/>
        <v/>
      </c>
      <c r="Q296" s="5" t="str">
        <f>'CNAE_Cód.Atividade Econômica'!B285</f>
        <v>Educação infantil – creche</v>
      </c>
      <c r="R296" s="5">
        <f t="shared" ca="1" si="50"/>
        <v>0</v>
      </c>
      <c r="S296" s="5" t="str">
        <f t="shared" si="51"/>
        <v>Educação infantil – creche</v>
      </c>
      <c r="U296" s="5">
        <f ca="1">COUNTIF(R$10:R296,R296)</f>
        <v>279</v>
      </c>
      <c r="V296" s="5" t="str">
        <f t="shared" ca="1" si="52"/>
        <v>0279</v>
      </c>
      <c r="W296" s="5" t="str">
        <f t="shared" ca="1" si="53"/>
        <v>Educação infantil – creche</v>
      </c>
      <c r="Y296" s="5">
        <v>287</v>
      </c>
      <c r="Z296" s="5">
        <f t="shared" ca="1" si="55"/>
        <v>0</v>
      </c>
      <c r="AA296" s="5" t="str">
        <f t="shared" ca="1" si="56"/>
        <v>Guarda-móveis</v>
      </c>
      <c r="AB296" s="5">
        <f ca="1">COUNTIF(R$10:R296,R296)</f>
        <v>279</v>
      </c>
      <c r="AC296" s="5" t="str">
        <f t="shared" ca="1" si="57"/>
        <v>0279</v>
      </c>
      <c r="AD296" s="5" t="str">
        <f t="shared" ca="1" si="58"/>
        <v>Educação infantil – creche</v>
      </c>
      <c r="AE296" s="5">
        <f t="shared" ca="1" si="59"/>
        <v>0</v>
      </c>
    </row>
    <row r="297" spans="4:31" ht="15.6" thickTop="1" thickBot="1" x14ac:dyDescent="0.35">
      <c r="D297" s="57"/>
      <c r="E297" s="58"/>
      <c r="F297" s="59"/>
      <c r="G297" s="59"/>
      <c r="H297" s="59"/>
      <c r="I297" s="60"/>
      <c r="J297" s="61"/>
      <c r="K297" s="61"/>
      <c r="M297" s="9" t="str">
        <f t="shared" si="49"/>
        <v/>
      </c>
      <c r="N297" s="5" t="str">
        <f t="shared" si="60"/>
        <v/>
      </c>
      <c r="O297" s="5" t="str">
        <f t="shared" si="54"/>
        <v/>
      </c>
      <c r="Q297" s="5" t="str">
        <f>'CNAE_Cód.Atividade Econômica'!B286</f>
        <v>Educação infantil – pré-escola</v>
      </c>
      <c r="R297" s="5">
        <f t="shared" ca="1" si="50"/>
        <v>0</v>
      </c>
      <c r="S297" s="5" t="str">
        <f t="shared" si="51"/>
        <v>Educação infantil – pré-escola</v>
      </c>
      <c r="U297" s="5">
        <f ca="1">COUNTIF(R$10:R297,R297)</f>
        <v>280</v>
      </c>
      <c r="V297" s="5" t="str">
        <f t="shared" ca="1" si="52"/>
        <v>0280</v>
      </c>
      <c r="W297" s="5" t="str">
        <f t="shared" ca="1" si="53"/>
        <v>Educação infantil – pré-escola</v>
      </c>
      <c r="Y297" s="5">
        <v>288</v>
      </c>
      <c r="Z297" s="5">
        <f t="shared" ca="1" si="55"/>
        <v>0</v>
      </c>
      <c r="AA297" s="5" t="str">
        <f t="shared" ca="1" si="56"/>
        <v>Guarda-móveis</v>
      </c>
      <c r="AB297" s="5">
        <f ca="1">COUNTIF(R$10:R297,R297)</f>
        <v>280</v>
      </c>
      <c r="AC297" s="5" t="str">
        <f t="shared" ca="1" si="57"/>
        <v>0280</v>
      </c>
      <c r="AD297" s="5" t="str">
        <f t="shared" ca="1" si="58"/>
        <v>Educação infantil – pré-escola</v>
      </c>
      <c r="AE297" s="5">
        <f t="shared" ca="1" si="59"/>
        <v>0</v>
      </c>
    </row>
    <row r="298" spans="4:31" ht="15.6" thickTop="1" thickBot="1" x14ac:dyDescent="0.35">
      <c r="D298" s="57"/>
      <c r="E298" s="58"/>
      <c r="F298" s="59"/>
      <c r="G298" s="59"/>
      <c r="H298" s="59"/>
      <c r="I298" s="60"/>
      <c r="J298" s="61"/>
      <c r="K298" s="61"/>
      <c r="M298" s="9" t="str">
        <f t="shared" si="49"/>
        <v/>
      </c>
      <c r="N298" s="5" t="str">
        <f t="shared" si="60"/>
        <v/>
      </c>
      <c r="O298" s="5" t="str">
        <f t="shared" si="54"/>
        <v/>
      </c>
      <c r="Q298" s="5" t="str">
        <f>'CNAE_Cód.Atividade Econômica'!B287</f>
        <v>Ensino fundamental</v>
      </c>
      <c r="R298" s="5">
        <f t="shared" ca="1" si="50"/>
        <v>0</v>
      </c>
      <c r="S298" s="5" t="str">
        <f t="shared" si="51"/>
        <v>Ensino fundamental</v>
      </c>
      <c r="U298" s="5">
        <f ca="1">COUNTIF(R$10:R298,R298)</f>
        <v>281</v>
      </c>
      <c r="V298" s="5" t="str">
        <f t="shared" ca="1" si="52"/>
        <v>0281</v>
      </c>
      <c r="W298" s="5" t="str">
        <f t="shared" ca="1" si="53"/>
        <v>Ensino fundamental</v>
      </c>
      <c r="Y298" s="5">
        <v>289</v>
      </c>
      <c r="Z298" s="5">
        <f t="shared" ca="1" si="55"/>
        <v>0</v>
      </c>
      <c r="AA298" s="5" t="str">
        <f t="shared" ca="1" si="56"/>
        <v>Guarda-móveis</v>
      </c>
      <c r="AB298" s="5">
        <f ca="1">COUNTIF(R$10:R298,R298)</f>
        <v>281</v>
      </c>
      <c r="AC298" s="5" t="str">
        <f t="shared" ca="1" si="57"/>
        <v>0281</v>
      </c>
      <c r="AD298" s="5" t="str">
        <f t="shared" ca="1" si="58"/>
        <v>Ensino fundamental</v>
      </c>
      <c r="AE298" s="5">
        <f t="shared" ca="1" si="59"/>
        <v>0</v>
      </c>
    </row>
    <row r="299" spans="4:31" ht="15.6" thickTop="1" thickBot="1" x14ac:dyDescent="0.35">
      <c r="D299" s="57"/>
      <c r="E299" s="58"/>
      <c r="F299" s="59"/>
      <c r="G299" s="59"/>
      <c r="H299" s="59"/>
      <c r="I299" s="60"/>
      <c r="J299" s="61"/>
      <c r="K299" s="61"/>
      <c r="M299" s="9" t="str">
        <f t="shared" si="49"/>
        <v/>
      </c>
      <c r="N299" s="5" t="str">
        <f t="shared" si="60"/>
        <v/>
      </c>
      <c r="O299" s="5" t="str">
        <f t="shared" si="54"/>
        <v/>
      </c>
      <c r="Q299" s="5" t="str">
        <f>'CNAE_Cód.Atividade Econômica'!B288</f>
        <v>Ensino médio</v>
      </c>
      <c r="R299" s="5">
        <f t="shared" ca="1" si="50"/>
        <v>0</v>
      </c>
      <c r="S299" s="5" t="str">
        <f t="shared" si="51"/>
        <v>Ensino médio</v>
      </c>
      <c r="U299" s="5">
        <f ca="1">COUNTIF(R$10:R299,R299)</f>
        <v>282</v>
      </c>
      <c r="V299" s="5" t="str">
        <f t="shared" ca="1" si="52"/>
        <v>0282</v>
      </c>
      <c r="W299" s="5" t="str">
        <f t="shared" ca="1" si="53"/>
        <v>Ensino médio</v>
      </c>
      <c r="Y299" s="5">
        <v>290</v>
      </c>
      <c r="Z299" s="5">
        <f t="shared" ca="1" si="55"/>
        <v>0</v>
      </c>
      <c r="AA299" s="5" t="str">
        <f t="shared" ca="1" si="56"/>
        <v>Guarda-móveis</v>
      </c>
      <c r="AB299" s="5">
        <f ca="1">COUNTIF(R$10:R299,R299)</f>
        <v>282</v>
      </c>
      <c r="AC299" s="5" t="str">
        <f t="shared" ca="1" si="57"/>
        <v>0282</v>
      </c>
      <c r="AD299" s="5" t="str">
        <f t="shared" ca="1" si="58"/>
        <v>Ensino médio</v>
      </c>
      <c r="AE299" s="5">
        <f t="shared" ca="1" si="59"/>
        <v>0</v>
      </c>
    </row>
    <row r="300" spans="4:31" ht="15.6" thickTop="1" thickBot="1" x14ac:dyDescent="0.35">
      <c r="D300" s="57"/>
      <c r="E300" s="58"/>
      <c r="F300" s="59"/>
      <c r="G300" s="59"/>
      <c r="H300" s="59"/>
      <c r="I300" s="60"/>
      <c r="J300" s="61"/>
      <c r="K300" s="61"/>
      <c r="M300" s="9" t="str">
        <f t="shared" si="49"/>
        <v/>
      </c>
      <c r="N300" s="5" t="str">
        <f t="shared" si="60"/>
        <v/>
      </c>
      <c r="O300" s="5" t="str">
        <f t="shared" si="54"/>
        <v/>
      </c>
      <c r="Q300" s="5" t="str">
        <f>'CNAE_Cód.Atividade Econômica'!B289</f>
        <v>Educação superior – graduação</v>
      </c>
      <c r="R300" s="5">
        <f t="shared" ca="1" si="50"/>
        <v>0</v>
      </c>
      <c r="S300" s="5" t="str">
        <f t="shared" si="51"/>
        <v>Educação superior – graduação</v>
      </c>
      <c r="U300" s="5">
        <f ca="1">COUNTIF(R$10:R300,R300)</f>
        <v>283</v>
      </c>
      <c r="V300" s="5" t="str">
        <f t="shared" ca="1" si="52"/>
        <v>0283</v>
      </c>
      <c r="W300" s="5" t="str">
        <f t="shared" ca="1" si="53"/>
        <v>Educação superior – graduação</v>
      </c>
      <c r="Y300" s="5">
        <v>291</v>
      </c>
      <c r="Z300" s="5">
        <f t="shared" ca="1" si="55"/>
        <v>0</v>
      </c>
      <c r="AA300" s="5" t="str">
        <f t="shared" ca="1" si="56"/>
        <v>Guarda-móveis</v>
      </c>
      <c r="AB300" s="5">
        <f ca="1">COUNTIF(R$10:R300,R300)</f>
        <v>283</v>
      </c>
      <c r="AC300" s="5" t="str">
        <f t="shared" ca="1" si="57"/>
        <v>0283</v>
      </c>
      <c r="AD300" s="5" t="str">
        <f t="shared" ca="1" si="58"/>
        <v>Educação superior – graduação</v>
      </c>
      <c r="AE300" s="5">
        <f t="shared" ca="1" si="59"/>
        <v>0</v>
      </c>
    </row>
    <row r="301" spans="4:31" ht="15.6" thickTop="1" thickBot="1" x14ac:dyDescent="0.35">
      <c r="D301" s="57"/>
      <c r="E301" s="58"/>
      <c r="F301" s="59"/>
      <c r="G301" s="59"/>
      <c r="H301" s="59"/>
      <c r="I301" s="60"/>
      <c r="J301" s="61"/>
      <c r="K301" s="61"/>
      <c r="M301" s="9" t="str">
        <f t="shared" si="49"/>
        <v/>
      </c>
      <c r="N301" s="5" t="str">
        <f t="shared" si="60"/>
        <v/>
      </c>
      <c r="O301" s="5" t="str">
        <f t="shared" si="54"/>
        <v/>
      </c>
      <c r="Q301" s="5" t="str">
        <f>'CNAE_Cód.Atividade Econômica'!B290</f>
        <v>Educação superior – graduação e pós-graduação</v>
      </c>
      <c r="R301" s="5">
        <f t="shared" ca="1" si="50"/>
        <v>0</v>
      </c>
      <c r="S301" s="5" t="str">
        <f t="shared" si="51"/>
        <v>Educação superior – graduação e pós-graduação</v>
      </c>
      <c r="U301" s="5">
        <f ca="1">COUNTIF(R$10:R301,R301)</f>
        <v>284</v>
      </c>
      <c r="V301" s="5" t="str">
        <f t="shared" ca="1" si="52"/>
        <v>0284</v>
      </c>
      <c r="W301" s="5" t="str">
        <f t="shared" ca="1" si="53"/>
        <v>Educação superior – graduação e pós-graduação</v>
      </c>
      <c r="Y301" s="5">
        <v>292</v>
      </c>
      <c r="Z301" s="5">
        <f t="shared" ca="1" si="55"/>
        <v>0</v>
      </c>
      <c r="AA301" s="5" t="str">
        <f t="shared" ca="1" si="56"/>
        <v>Guarda-móveis</v>
      </c>
      <c r="AB301" s="5">
        <f ca="1">COUNTIF(R$10:R301,R301)</f>
        <v>284</v>
      </c>
      <c r="AC301" s="5" t="str">
        <f t="shared" ca="1" si="57"/>
        <v>0284</v>
      </c>
      <c r="AD301" s="5" t="str">
        <f t="shared" ca="1" si="58"/>
        <v>Educação superior – graduação e pós-graduação</v>
      </c>
      <c r="AE301" s="5">
        <f t="shared" ca="1" si="59"/>
        <v>0</v>
      </c>
    </row>
    <row r="302" spans="4:31" ht="15.6" thickTop="1" thickBot="1" x14ac:dyDescent="0.35">
      <c r="D302" s="57"/>
      <c r="E302" s="58"/>
      <c r="F302" s="59"/>
      <c r="G302" s="59"/>
      <c r="H302" s="59"/>
      <c r="I302" s="60"/>
      <c r="J302" s="61"/>
      <c r="K302" s="61"/>
      <c r="M302" s="9" t="str">
        <f t="shared" si="49"/>
        <v/>
      </c>
      <c r="N302" s="5" t="str">
        <f t="shared" si="60"/>
        <v/>
      </c>
      <c r="O302" s="5" t="str">
        <f t="shared" si="54"/>
        <v/>
      </c>
      <c r="Q302" s="5" t="str">
        <f>'CNAE_Cód.Atividade Econômica'!B291</f>
        <v>Educação superior – pós-graduação e extensão</v>
      </c>
      <c r="R302" s="5">
        <f t="shared" ca="1" si="50"/>
        <v>0</v>
      </c>
      <c r="S302" s="5" t="str">
        <f t="shared" si="51"/>
        <v>Educação superior – pós-graduação e extensão</v>
      </c>
      <c r="U302" s="5">
        <f ca="1">COUNTIF(R$10:R302,R302)</f>
        <v>285</v>
      </c>
      <c r="V302" s="5" t="str">
        <f t="shared" ca="1" si="52"/>
        <v>0285</v>
      </c>
      <c r="W302" s="5" t="str">
        <f t="shared" ca="1" si="53"/>
        <v>Educação superior – pós-graduação e extensão</v>
      </c>
      <c r="Y302" s="5">
        <v>293</v>
      </c>
      <c r="Z302" s="5">
        <f t="shared" ca="1" si="55"/>
        <v>0</v>
      </c>
      <c r="AA302" s="5" t="str">
        <f t="shared" ca="1" si="56"/>
        <v>Guarda-móveis</v>
      </c>
      <c r="AB302" s="5">
        <f ca="1">COUNTIF(R$10:R302,R302)</f>
        <v>285</v>
      </c>
      <c r="AC302" s="5" t="str">
        <f t="shared" ca="1" si="57"/>
        <v>0285</v>
      </c>
      <c r="AD302" s="5" t="str">
        <f t="shared" ca="1" si="58"/>
        <v>Educação superior – pós-graduação e extensão</v>
      </c>
      <c r="AE302" s="5">
        <f t="shared" ca="1" si="59"/>
        <v>0</v>
      </c>
    </row>
    <row r="303" spans="4:31" ht="15.6" thickTop="1" thickBot="1" x14ac:dyDescent="0.35">
      <c r="D303" s="57"/>
      <c r="E303" s="58"/>
      <c r="F303" s="59"/>
      <c r="G303" s="59"/>
      <c r="H303" s="59"/>
      <c r="I303" s="60"/>
      <c r="J303" s="61"/>
      <c r="K303" s="61"/>
      <c r="M303" s="9" t="str">
        <f t="shared" si="49"/>
        <v/>
      </c>
      <c r="N303" s="5" t="str">
        <f t="shared" si="60"/>
        <v/>
      </c>
      <c r="O303" s="5" t="str">
        <f t="shared" si="54"/>
        <v/>
      </c>
      <c r="Q303" s="5" t="str">
        <f>'CNAE_Cód.Atividade Econômica'!B292</f>
        <v>Educação profissional de nível técnico</v>
      </c>
      <c r="R303" s="5">
        <f t="shared" ca="1" si="50"/>
        <v>0</v>
      </c>
      <c r="S303" s="5" t="str">
        <f t="shared" si="51"/>
        <v>Educação profissional de nível técnico</v>
      </c>
      <c r="U303" s="5">
        <f ca="1">COUNTIF(R$10:R303,R303)</f>
        <v>286</v>
      </c>
      <c r="V303" s="5" t="str">
        <f t="shared" ca="1" si="52"/>
        <v>0286</v>
      </c>
      <c r="W303" s="5" t="str">
        <f t="shared" ca="1" si="53"/>
        <v>Educação profissional de nível técnico</v>
      </c>
      <c r="Y303" s="5">
        <v>294</v>
      </c>
      <c r="Z303" s="5">
        <f t="shared" ca="1" si="55"/>
        <v>0</v>
      </c>
      <c r="AA303" s="5" t="str">
        <f t="shared" ca="1" si="56"/>
        <v>Guarda-móveis</v>
      </c>
      <c r="AB303" s="5">
        <f ca="1">COUNTIF(R$10:R303,R303)</f>
        <v>286</v>
      </c>
      <c r="AC303" s="5" t="str">
        <f t="shared" ca="1" si="57"/>
        <v>0286</v>
      </c>
      <c r="AD303" s="5" t="str">
        <f t="shared" ca="1" si="58"/>
        <v>Educação profissional de nível técnico</v>
      </c>
      <c r="AE303" s="5">
        <f t="shared" ca="1" si="59"/>
        <v>0</v>
      </c>
    </row>
    <row r="304" spans="4:31" ht="15.6" thickTop="1" thickBot="1" x14ac:dyDescent="0.35">
      <c r="D304" s="57"/>
      <c r="E304" s="58"/>
      <c r="F304" s="59"/>
      <c r="G304" s="59"/>
      <c r="H304" s="59"/>
      <c r="I304" s="60"/>
      <c r="J304" s="61"/>
      <c r="K304" s="61"/>
      <c r="M304" s="9" t="str">
        <f t="shared" si="49"/>
        <v/>
      </c>
      <c r="N304" s="5" t="str">
        <f t="shared" si="60"/>
        <v/>
      </c>
      <c r="O304" s="5" t="str">
        <f t="shared" si="54"/>
        <v/>
      </c>
      <c r="Q304" s="5" t="str">
        <f>'CNAE_Cód.Atividade Econômica'!B293</f>
        <v>Educação profissional de nível tecnológico</v>
      </c>
      <c r="R304" s="5">
        <f t="shared" ca="1" si="50"/>
        <v>0</v>
      </c>
      <c r="S304" s="5" t="str">
        <f t="shared" si="51"/>
        <v>Educação profissional de nível tecnológico</v>
      </c>
      <c r="U304" s="5">
        <f ca="1">COUNTIF(R$10:R304,R304)</f>
        <v>287</v>
      </c>
      <c r="V304" s="5" t="str">
        <f t="shared" ca="1" si="52"/>
        <v>0287</v>
      </c>
      <c r="W304" s="5" t="str">
        <f t="shared" ca="1" si="53"/>
        <v>Educação profissional de nível tecnológico</v>
      </c>
      <c r="Y304" s="5">
        <v>295</v>
      </c>
      <c r="Z304" s="5">
        <f t="shared" ca="1" si="55"/>
        <v>0</v>
      </c>
      <c r="AA304" s="5" t="str">
        <f t="shared" ca="1" si="56"/>
        <v>Guarda-móveis</v>
      </c>
      <c r="AB304" s="5">
        <f ca="1">COUNTIF(R$10:R304,R304)</f>
        <v>287</v>
      </c>
      <c r="AC304" s="5" t="str">
        <f t="shared" ca="1" si="57"/>
        <v>0287</v>
      </c>
      <c r="AD304" s="5" t="str">
        <f t="shared" ca="1" si="58"/>
        <v>Educação profissional de nível tecnológico</v>
      </c>
      <c r="AE304" s="5">
        <f t="shared" ca="1" si="59"/>
        <v>0</v>
      </c>
    </row>
    <row r="305" spans="4:31" ht="15.6" thickTop="1" thickBot="1" x14ac:dyDescent="0.35">
      <c r="D305" s="57"/>
      <c r="E305" s="58"/>
      <c r="F305" s="59"/>
      <c r="G305" s="59"/>
      <c r="H305" s="59"/>
      <c r="I305" s="60"/>
      <c r="J305" s="61"/>
      <c r="K305" s="61"/>
      <c r="M305" s="9" t="str">
        <f t="shared" si="49"/>
        <v/>
      </c>
      <c r="N305" s="5" t="str">
        <f t="shared" si="60"/>
        <v/>
      </c>
      <c r="O305" s="5" t="str">
        <f t="shared" si="54"/>
        <v/>
      </c>
      <c r="Q305" s="5" t="str">
        <f>'CNAE_Cód.Atividade Econômica'!B294</f>
        <v>Atividades de apoio à educação, exceto caixas escolares</v>
      </c>
      <c r="R305" s="5">
        <f t="shared" ca="1" si="50"/>
        <v>0</v>
      </c>
      <c r="S305" s="5" t="str">
        <f t="shared" si="51"/>
        <v>Atividades de apoio à educação, exceto caixas escolares</v>
      </c>
      <c r="U305" s="5">
        <f ca="1">COUNTIF(R$10:R305,R305)</f>
        <v>288</v>
      </c>
      <c r="V305" s="5" t="str">
        <f t="shared" ca="1" si="52"/>
        <v>0288</v>
      </c>
      <c r="W305" s="5" t="str">
        <f t="shared" ca="1" si="53"/>
        <v>Atividades de apoio à educação, exceto caixas escolares</v>
      </c>
      <c r="Y305" s="5">
        <v>296</v>
      </c>
      <c r="Z305" s="5">
        <f t="shared" ca="1" si="55"/>
        <v>0</v>
      </c>
      <c r="AA305" s="5" t="str">
        <f t="shared" ca="1" si="56"/>
        <v>Guarda-móveis</v>
      </c>
      <c r="AB305" s="5">
        <f ca="1">COUNTIF(R$10:R305,R305)</f>
        <v>288</v>
      </c>
      <c r="AC305" s="5" t="str">
        <f t="shared" ca="1" si="57"/>
        <v>0288</v>
      </c>
      <c r="AD305" s="5" t="str">
        <f t="shared" ca="1" si="58"/>
        <v>Atividades de apoio à educação, exceto caixas escolares</v>
      </c>
      <c r="AE305" s="5">
        <f t="shared" ca="1" si="59"/>
        <v>0</v>
      </c>
    </row>
    <row r="306" spans="4:31" ht="15.6" thickTop="1" thickBot="1" x14ac:dyDescent="0.35">
      <c r="D306" s="57"/>
      <c r="E306" s="58"/>
      <c r="F306" s="59"/>
      <c r="G306" s="59"/>
      <c r="H306" s="59"/>
      <c r="I306" s="60"/>
      <c r="J306" s="61"/>
      <c r="K306" s="61"/>
      <c r="M306" s="9" t="str">
        <f t="shared" si="49"/>
        <v/>
      </c>
      <c r="N306" s="5" t="str">
        <f t="shared" si="60"/>
        <v/>
      </c>
      <c r="O306" s="5" t="str">
        <f t="shared" si="54"/>
        <v/>
      </c>
      <c r="Q306" s="5" t="str">
        <f>'CNAE_Cód.Atividade Econômica'!B295</f>
        <v>Ensino de esportes</v>
      </c>
      <c r="R306" s="5">
        <f t="shared" ca="1" si="50"/>
        <v>0</v>
      </c>
      <c r="S306" s="5" t="str">
        <f t="shared" si="51"/>
        <v>Ensino de esportes</v>
      </c>
      <c r="U306" s="5">
        <f ca="1">COUNTIF(R$10:R306,R306)</f>
        <v>289</v>
      </c>
      <c r="V306" s="5" t="str">
        <f t="shared" ca="1" si="52"/>
        <v>0289</v>
      </c>
      <c r="W306" s="5" t="str">
        <f t="shared" ca="1" si="53"/>
        <v>Ensino de esportes</v>
      </c>
      <c r="Y306" s="5">
        <v>297</v>
      </c>
      <c r="Z306" s="5">
        <f t="shared" ca="1" si="55"/>
        <v>0</v>
      </c>
      <c r="AA306" s="5" t="str">
        <f t="shared" ca="1" si="56"/>
        <v>Guarda-móveis</v>
      </c>
      <c r="AB306" s="5">
        <f ca="1">COUNTIF(R$10:R306,R306)</f>
        <v>289</v>
      </c>
      <c r="AC306" s="5" t="str">
        <f t="shared" ca="1" si="57"/>
        <v>0289</v>
      </c>
      <c r="AD306" s="5" t="str">
        <f t="shared" ca="1" si="58"/>
        <v>Ensino de esportes</v>
      </c>
      <c r="AE306" s="5">
        <f t="shared" ca="1" si="59"/>
        <v>0</v>
      </c>
    </row>
    <row r="307" spans="4:31" ht="15.6" thickTop="1" thickBot="1" x14ac:dyDescent="0.35">
      <c r="D307" s="57"/>
      <c r="E307" s="58"/>
      <c r="F307" s="59"/>
      <c r="G307" s="59"/>
      <c r="H307" s="59"/>
      <c r="I307" s="60"/>
      <c r="J307" s="61"/>
      <c r="K307" s="61"/>
      <c r="M307" s="9" t="str">
        <f t="shared" si="49"/>
        <v/>
      </c>
      <c r="N307" s="5" t="str">
        <f t="shared" si="60"/>
        <v/>
      </c>
      <c r="O307" s="5" t="str">
        <f t="shared" si="54"/>
        <v/>
      </c>
      <c r="Q307" s="5" t="str">
        <f>'CNAE_Cód.Atividade Econômica'!B296</f>
        <v>Ensino de dança</v>
      </c>
      <c r="R307" s="5">
        <f t="shared" ca="1" si="50"/>
        <v>0</v>
      </c>
      <c r="S307" s="5" t="str">
        <f t="shared" si="51"/>
        <v>Ensino de dança</v>
      </c>
      <c r="U307" s="5">
        <f ca="1">COUNTIF(R$10:R307,R307)</f>
        <v>290</v>
      </c>
      <c r="V307" s="5" t="str">
        <f t="shared" ca="1" si="52"/>
        <v>0290</v>
      </c>
      <c r="W307" s="5" t="str">
        <f t="shared" ca="1" si="53"/>
        <v>Ensino de dança</v>
      </c>
      <c r="Y307" s="5">
        <v>298</v>
      </c>
      <c r="Z307" s="5">
        <f t="shared" ca="1" si="55"/>
        <v>0</v>
      </c>
      <c r="AA307" s="5" t="str">
        <f t="shared" ca="1" si="56"/>
        <v>Guarda-móveis</v>
      </c>
      <c r="AB307" s="5">
        <f ca="1">COUNTIF(R$10:R307,R307)</f>
        <v>290</v>
      </c>
      <c r="AC307" s="5" t="str">
        <f t="shared" ca="1" si="57"/>
        <v>0290</v>
      </c>
      <c r="AD307" s="5" t="str">
        <f t="shared" ca="1" si="58"/>
        <v>Ensino de dança</v>
      </c>
      <c r="AE307" s="5">
        <f t="shared" ca="1" si="59"/>
        <v>0</v>
      </c>
    </row>
    <row r="308" spans="4:31" ht="15.6" thickTop="1" thickBot="1" x14ac:dyDescent="0.35">
      <c r="D308" s="57"/>
      <c r="E308" s="58"/>
      <c r="F308" s="59"/>
      <c r="G308" s="59"/>
      <c r="H308" s="59"/>
      <c r="I308" s="60"/>
      <c r="J308" s="61"/>
      <c r="K308" s="61"/>
      <c r="M308" s="9" t="str">
        <f t="shared" si="49"/>
        <v/>
      </c>
      <c r="N308" s="5" t="str">
        <f t="shared" si="60"/>
        <v/>
      </c>
      <c r="O308" s="5" t="str">
        <f t="shared" si="54"/>
        <v/>
      </c>
      <c r="Q308" s="5" t="str">
        <f>'CNAE_Cód.Atividade Econômica'!B297</f>
        <v>Ensino de artes cênicas, exceto dança</v>
      </c>
      <c r="R308" s="5">
        <f t="shared" ca="1" si="50"/>
        <v>0</v>
      </c>
      <c r="S308" s="5" t="str">
        <f t="shared" si="51"/>
        <v>Ensino de artes cênicas, exceto dança</v>
      </c>
      <c r="U308" s="5">
        <f ca="1">COUNTIF(R$10:R308,R308)</f>
        <v>291</v>
      </c>
      <c r="V308" s="5" t="str">
        <f t="shared" ca="1" si="52"/>
        <v>0291</v>
      </c>
      <c r="W308" s="5" t="str">
        <f t="shared" ca="1" si="53"/>
        <v>Ensino de artes cênicas, exceto dança</v>
      </c>
      <c r="Y308" s="5">
        <v>299</v>
      </c>
      <c r="Z308" s="5">
        <f t="shared" ca="1" si="55"/>
        <v>0</v>
      </c>
      <c r="AA308" s="5" t="str">
        <f t="shared" ca="1" si="56"/>
        <v>Guarda-móveis</v>
      </c>
      <c r="AB308" s="5">
        <f ca="1">COUNTIF(R$10:R308,R308)</f>
        <v>291</v>
      </c>
      <c r="AC308" s="5" t="str">
        <f t="shared" ca="1" si="57"/>
        <v>0291</v>
      </c>
      <c r="AD308" s="5" t="str">
        <f t="shared" ca="1" si="58"/>
        <v>Ensino de artes cênicas, exceto dança</v>
      </c>
      <c r="AE308" s="5">
        <f t="shared" ca="1" si="59"/>
        <v>0</v>
      </c>
    </row>
    <row r="309" spans="4:31" ht="15.6" thickTop="1" thickBot="1" x14ac:dyDescent="0.35">
      <c r="D309" s="57"/>
      <c r="E309" s="58"/>
      <c r="F309" s="59"/>
      <c r="G309" s="59"/>
      <c r="H309" s="59"/>
      <c r="I309" s="60"/>
      <c r="J309" s="61"/>
      <c r="K309" s="61"/>
      <c r="M309" s="9" t="str">
        <f t="shared" si="49"/>
        <v/>
      </c>
      <c r="N309" s="5" t="str">
        <f t="shared" si="60"/>
        <v/>
      </c>
      <c r="O309" s="5" t="str">
        <f t="shared" si="54"/>
        <v/>
      </c>
      <c r="Q309" s="5" t="str">
        <f>'CNAE_Cód.Atividade Econômica'!B298</f>
        <v>Ensino de música</v>
      </c>
      <c r="R309" s="5">
        <f t="shared" ca="1" si="50"/>
        <v>0</v>
      </c>
      <c r="S309" s="5" t="str">
        <f t="shared" si="51"/>
        <v>Ensino de música</v>
      </c>
      <c r="U309" s="5">
        <f ca="1">COUNTIF(R$10:R309,R309)</f>
        <v>292</v>
      </c>
      <c r="V309" s="5" t="str">
        <f t="shared" ca="1" si="52"/>
        <v>0292</v>
      </c>
      <c r="W309" s="5" t="str">
        <f t="shared" ca="1" si="53"/>
        <v>Ensino de música</v>
      </c>
      <c r="Y309" s="5">
        <v>300</v>
      </c>
      <c r="Z309" s="5">
        <f t="shared" ca="1" si="55"/>
        <v>0</v>
      </c>
      <c r="AA309" s="5" t="str">
        <f t="shared" ca="1" si="56"/>
        <v>Guarda-móveis</v>
      </c>
      <c r="AB309" s="5">
        <f ca="1">COUNTIF(R$10:R309,R309)</f>
        <v>292</v>
      </c>
      <c r="AC309" s="5" t="str">
        <f t="shared" ca="1" si="57"/>
        <v>0292</v>
      </c>
      <c r="AD309" s="5" t="str">
        <f t="shared" ca="1" si="58"/>
        <v>Ensino de música</v>
      </c>
      <c r="AE309" s="5">
        <f t="shared" ca="1" si="59"/>
        <v>0</v>
      </c>
    </row>
    <row r="310" spans="4:31" ht="15.6" thickTop="1" thickBot="1" x14ac:dyDescent="0.35">
      <c r="D310" s="57"/>
      <c r="E310" s="58"/>
      <c r="F310" s="59"/>
      <c r="G310" s="59"/>
      <c r="H310" s="59"/>
      <c r="I310" s="60"/>
      <c r="J310" s="61"/>
      <c r="K310" s="61"/>
      <c r="M310" s="9" t="str">
        <f t="shared" si="49"/>
        <v/>
      </c>
      <c r="N310" s="5" t="str">
        <f t="shared" si="60"/>
        <v/>
      </c>
      <c r="O310" s="5" t="str">
        <f t="shared" si="54"/>
        <v/>
      </c>
      <c r="Q310" s="5" t="str">
        <f>'CNAE_Cód.Atividade Econômica'!B299</f>
        <v>Ensino de arte e cultura não especificado anteriormente</v>
      </c>
      <c r="R310" s="5">
        <f t="shared" ca="1" si="50"/>
        <v>0</v>
      </c>
      <c r="S310" s="5" t="str">
        <f t="shared" si="51"/>
        <v>Ensino de arte e cultura não especificado anteriormente</v>
      </c>
      <c r="U310" s="5">
        <f ca="1">COUNTIF(R$10:R310,R310)</f>
        <v>293</v>
      </c>
      <c r="V310" s="5" t="str">
        <f t="shared" ca="1" si="52"/>
        <v>0293</v>
      </c>
      <c r="W310" s="5" t="str">
        <f t="shared" ca="1" si="53"/>
        <v>Ensino de arte e cultura não especificado anteriormente</v>
      </c>
      <c r="Y310" s="5">
        <v>301</v>
      </c>
      <c r="Z310" s="5">
        <f t="shared" ca="1" si="55"/>
        <v>0</v>
      </c>
      <c r="AA310" s="5" t="str">
        <f t="shared" ca="1" si="56"/>
        <v>Guarda-móveis</v>
      </c>
      <c r="AB310" s="5">
        <f ca="1">COUNTIF(R$10:R310,R310)</f>
        <v>293</v>
      </c>
      <c r="AC310" s="5" t="str">
        <f t="shared" ca="1" si="57"/>
        <v>0293</v>
      </c>
      <c r="AD310" s="5" t="str">
        <f t="shared" ca="1" si="58"/>
        <v>Ensino de arte e cultura não especificado anteriormente</v>
      </c>
      <c r="AE310" s="5">
        <f t="shared" ca="1" si="59"/>
        <v>0</v>
      </c>
    </row>
    <row r="311" spans="4:31" ht="15.6" thickTop="1" thickBot="1" x14ac:dyDescent="0.35">
      <c r="D311" s="57"/>
      <c r="E311" s="58"/>
      <c r="F311" s="59"/>
      <c r="G311" s="59"/>
      <c r="H311" s="59"/>
      <c r="I311" s="60"/>
      <c r="J311" s="61"/>
      <c r="K311" s="61"/>
      <c r="M311" s="9" t="str">
        <f t="shared" si="49"/>
        <v/>
      </c>
      <c r="N311" s="5" t="str">
        <f t="shared" si="60"/>
        <v/>
      </c>
      <c r="O311" s="5" t="str">
        <f t="shared" si="54"/>
        <v/>
      </c>
      <c r="Q311" s="5" t="str">
        <f>'CNAE_Cód.Atividade Econômica'!B300</f>
        <v>Ensino de idiomas</v>
      </c>
      <c r="R311" s="5">
        <f t="shared" ca="1" si="50"/>
        <v>0</v>
      </c>
      <c r="S311" s="5" t="str">
        <f t="shared" si="51"/>
        <v>Ensino de idiomas</v>
      </c>
      <c r="U311" s="5">
        <f ca="1">COUNTIF(R$10:R311,R311)</f>
        <v>294</v>
      </c>
      <c r="V311" s="5" t="str">
        <f t="shared" ca="1" si="52"/>
        <v>0294</v>
      </c>
      <c r="W311" s="5" t="str">
        <f t="shared" ca="1" si="53"/>
        <v>Ensino de idiomas</v>
      </c>
      <c r="Y311" s="5">
        <v>302</v>
      </c>
      <c r="Z311" s="5">
        <f t="shared" ca="1" si="55"/>
        <v>0</v>
      </c>
      <c r="AA311" s="5" t="str">
        <f t="shared" ca="1" si="56"/>
        <v>Guarda-móveis</v>
      </c>
      <c r="AB311" s="5">
        <f ca="1">COUNTIF(R$10:R311,R311)</f>
        <v>294</v>
      </c>
      <c r="AC311" s="5" t="str">
        <f t="shared" ca="1" si="57"/>
        <v>0294</v>
      </c>
      <c r="AD311" s="5" t="str">
        <f t="shared" ca="1" si="58"/>
        <v>Ensino de idiomas</v>
      </c>
      <c r="AE311" s="5">
        <f t="shared" ca="1" si="59"/>
        <v>0</v>
      </c>
    </row>
    <row r="312" spans="4:31" ht="15.6" thickTop="1" thickBot="1" x14ac:dyDescent="0.35">
      <c r="D312" s="57"/>
      <c r="E312" s="58"/>
      <c r="F312" s="59"/>
      <c r="G312" s="59"/>
      <c r="H312" s="59"/>
      <c r="I312" s="60"/>
      <c r="J312" s="61"/>
      <c r="K312" s="61"/>
      <c r="M312" s="9" t="str">
        <f t="shared" si="49"/>
        <v/>
      </c>
      <c r="N312" s="5" t="str">
        <f t="shared" si="60"/>
        <v/>
      </c>
      <c r="O312" s="5" t="str">
        <f t="shared" si="54"/>
        <v/>
      </c>
      <c r="Q312" s="5" t="str">
        <f>'CNAE_Cód.Atividade Econômica'!B301</f>
        <v>Formação de condutores</v>
      </c>
      <c r="R312" s="5">
        <f t="shared" ca="1" si="50"/>
        <v>0</v>
      </c>
      <c r="S312" s="5" t="str">
        <f t="shared" si="51"/>
        <v>Formação de condutores</v>
      </c>
      <c r="U312" s="5">
        <f ca="1">COUNTIF(R$10:R312,R312)</f>
        <v>295</v>
      </c>
      <c r="V312" s="5" t="str">
        <f t="shared" ca="1" si="52"/>
        <v>0295</v>
      </c>
      <c r="W312" s="5" t="str">
        <f t="shared" ca="1" si="53"/>
        <v>Formação de condutores</v>
      </c>
      <c r="Y312" s="5">
        <v>303</v>
      </c>
      <c r="Z312" s="5">
        <f t="shared" ca="1" si="55"/>
        <v>0</v>
      </c>
      <c r="AA312" s="5" t="str">
        <f t="shared" ca="1" si="56"/>
        <v>Guarda-móveis</v>
      </c>
      <c r="AB312" s="5">
        <f ca="1">COUNTIF(R$10:R312,R312)</f>
        <v>295</v>
      </c>
      <c r="AC312" s="5" t="str">
        <f t="shared" ca="1" si="57"/>
        <v>0295</v>
      </c>
      <c r="AD312" s="5" t="str">
        <f t="shared" ca="1" si="58"/>
        <v>Formação de condutores</v>
      </c>
      <c r="AE312" s="5">
        <f t="shared" ca="1" si="59"/>
        <v>0</v>
      </c>
    </row>
    <row r="313" spans="4:31" ht="15.6" thickTop="1" thickBot="1" x14ac:dyDescent="0.35">
      <c r="D313" s="57"/>
      <c r="E313" s="58"/>
      <c r="F313" s="59"/>
      <c r="G313" s="59"/>
      <c r="H313" s="59"/>
      <c r="I313" s="60"/>
      <c r="J313" s="61"/>
      <c r="K313" s="61"/>
      <c r="M313" s="9" t="str">
        <f t="shared" si="49"/>
        <v/>
      </c>
      <c r="N313" s="5" t="str">
        <f t="shared" si="60"/>
        <v/>
      </c>
      <c r="O313" s="5" t="str">
        <f t="shared" si="54"/>
        <v/>
      </c>
      <c r="Q313" s="5" t="str">
        <f>'CNAE_Cód.Atividade Econômica'!B302</f>
        <v>Cursos de pilotagem</v>
      </c>
      <c r="R313" s="5">
        <f t="shared" ca="1" si="50"/>
        <v>0</v>
      </c>
      <c r="S313" s="5" t="str">
        <f t="shared" si="51"/>
        <v>Cursos de pilotagem</v>
      </c>
      <c r="U313" s="5">
        <f ca="1">COUNTIF(R$10:R313,R313)</f>
        <v>296</v>
      </c>
      <c r="V313" s="5" t="str">
        <f t="shared" ca="1" si="52"/>
        <v>0296</v>
      </c>
      <c r="W313" s="5" t="str">
        <f t="shared" ca="1" si="53"/>
        <v>Cursos de pilotagem</v>
      </c>
      <c r="Y313" s="5">
        <v>304</v>
      </c>
      <c r="Z313" s="5">
        <f t="shared" ca="1" si="55"/>
        <v>0</v>
      </c>
      <c r="AA313" s="5" t="str">
        <f t="shared" ca="1" si="56"/>
        <v>Guarda-móveis</v>
      </c>
      <c r="AB313" s="5">
        <f ca="1">COUNTIF(R$10:R313,R313)</f>
        <v>296</v>
      </c>
      <c r="AC313" s="5" t="str">
        <f t="shared" ca="1" si="57"/>
        <v>0296</v>
      </c>
      <c r="AD313" s="5" t="str">
        <f t="shared" ca="1" si="58"/>
        <v>Cursos de pilotagem</v>
      </c>
      <c r="AE313" s="5">
        <f t="shared" ca="1" si="59"/>
        <v>0</v>
      </c>
    </row>
    <row r="314" spans="4:31" ht="15.6" thickTop="1" thickBot="1" x14ac:dyDescent="0.35">
      <c r="D314" s="57"/>
      <c r="E314" s="58"/>
      <c r="F314" s="59"/>
      <c r="G314" s="59"/>
      <c r="H314" s="59"/>
      <c r="I314" s="60"/>
      <c r="J314" s="61"/>
      <c r="K314" s="61"/>
      <c r="M314" s="9" t="str">
        <f t="shared" si="49"/>
        <v/>
      </c>
      <c r="N314" s="5" t="str">
        <f t="shared" si="60"/>
        <v/>
      </c>
      <c r="O314" s="5" t="str">
        <f t="shared" si="54"/>
        <v/>
      </c>
      <c r="Q314" s="5" t="str">
        <f>'CNAE_Cód.Atividade Econômica'!B303</f>
        <v>Treinamento em informática</v>
      </c>
      <c r="R314" s="5">
        <f t="shared" ca="1" si="50"/>
        <v>0</v>
      </c>
      <c r="S314" s="5" t="str">
        <f t="shared" si="51"/>
        <v>Treinamento em informática</v>
      </c>
      <c r="U314" s="5">
        <f ca="1">COUNTIF(R$10:R314,R314)</f>
        <v>297</v>
      </c>
      <c r="V314" s="5" t="str">
        <f t="shared" ca="1" si="52"/>
        <v>0297</v>
      </c>
      <c r="W314" s="5" t="str">
        <f t="shared" ca="1" si="53"/>
        <v>Treinamento em informática</v>
      </c>
      <c r="Y314" s="5">
        <v>305</v>
      </c>
      <c r="Z314" s="5">
        <f t="shared" ca="1" si="55"/>
        <v>0</v>
      </c>
      <c r="AA314" s="5" t="str">
        <f t="shared" ca="1" si="56"/>
        <v>Guarda-móveis</v>
      </c>
      <c r="AB314" s="5">
        <f ca="1">COUNTIF(R$10:R314,R314)</f>
        <v>297</v>
      </c>
      <c r="AC314" s="5" t="str">
        <f t="shared" ca="1" si="57"/>
        <v>0297</v>
      </c>
      <c r="AD314" s="5" t="str">
        <f t="shared" ca="1" si="58"/>
        <v>Treinamento em informática</v>
      </c>
      <c r="AE314" s="5">
        <f t="shared" ca="1" si="59"/>
        <v>0</v>
      </c>
    </row>
    <row r="315" spans="4:31" ht="15.6" thickTop="1" thickBot="1" x14ac:dyDescent="0.35">
      <c r="D315" s="57"/>
      <c r="E315" s="58"/>
      <c r="F315" s="59"/>
      <c r="G315" s="59"/>
      <c r="H315" s="59"/>
      <c r="I315" s="60"/>
      <c r="J315" s="61"/>
      <c r="K315" s="61"/>
      <c r="M315" s="9" t="str">
        <f t="shared" si="49"/>
        <v/>
      </c>
      <c r="N315" s="5" t="str">
        <f t="shared" si="60"/>
        <v/>
      </c>
      <c r="O315" s="5" t="str">
        <f t="shared" si="54"/>
        <v/>
      </c>
      <c r="Q315" s="5" t="str">
        <f>'CNAE_Cód.Atividade Econômica'!B304</f>
        <v>Treinamento em desenvolvimento profissional e gerencial</v>
      </c>
      <c r="R315" s="5">
        <f t="shared" ca="1" si="50"/>
        <v>0</v>
      </c>
      <c r="S315" s="5" t="str">
        <f t="shared" si="51"/>
        <v>Treinamento em desenvolvimento profissional e gerencial</v>
      </c>
      <c r="U315" s="5">
        <f ca="1">COUNTIF(R$10:R315,R315)</f>
        <v>298</v>
      </c>
      <c r="V315" s="5" t="str">
        <f t="shared" ca="1" si="52"/>
        <v>0298</v>
      </c>
      <c r="W315" s="5" t="str">
        <f t="shared" ca="1" si="53"/>
        <v>Treinamento em desenvolvimento profissional e gerencial</v>
      </c>
      <c r="Y315" s="5">
        <v>306</v>
      </c>
      <c r="Z315" s="5">
        <f t="shared" ca="1" si="55"/>
        <v>0</v>
      </c>
      <c r="AA315" s="5" t="str">
        <f t="shared" ca="1" si="56"/>
        <v>Guarda-móveis</v>
      </c>
      <c r="AB315" s="5">
        <f ca="1">COUNTIF(R$10:R315,R315)</f>
        <v>298</v>
      </c>
      <c r="AC315" s="5" t="str">
        <f t="shared" ca="1" si="57"/>
        <v>0298</v>
      </c>
      <c r="AD315" s="5" t="str">
        <f t="shared" ca="1" si="58"/>
        <v>Treinamento em desenvolvimento profissional e gerencial</v>
      </c>
      <c r="AE315" s="5">
        <f t="shared" ca="1" si="59"/>
        <v>0</v>
      </c>
    </row>
    <row r="316" spans="4:31" ht="15.6" thickTop="1" thickBot="1" x14ac:dyDescent="0.35">
      <c r="D316" s="57"/>
      <c r="E316" s="58"/>
      <c r="F316" s="59"/>
      <c r="G316" s="59"/>
      <c r="H316" s="59"/>
      <c r="I316" s="60"/>
      <c r="J316" s="61"/>
      <c r="K316" s="61"/>
      <c r="M316" s="9" t="str">
        <f t="shared" si="49"/>
        <v/>
      </c>
      <c r="N316" s="5" t="str">
        <f t="shared" si="60"/>
        <v/>
      </c>
      <c r="O316" s="5" t="str">
        <f t="shared" si="54"/>
        <v/>
      </c>
      <c r="Q316" s="5" t="str">
        <f>'CNAE_Cód.Atividade Econômica'!B305</f>
        <v>Cursos preparatórios para concursos</v>
      </c>
      <c r="R316" s="5">
        <f t="shared" ca="1" si="50"/>
        <v>0</v>
      </c>
      <c r="S316" s="5" t="str">
        <f t="shared" si="51"/>
        <v>Cursos preparatórios para concursos</v>
      </c>
      <c r="U316" s="5">
        <f ca="1">COUNTIF(R$10:R316,R316)</f>
        <v>299</v>
      </c>
      <c r="V316" s="5" t="str">
        <f t="shared" ca="1" si="52"/>
        <v>0299</v>
      </c>
      <c r="W316" s="5" t="str">
        <f t="shared" ca="1" si="53"/>
        <v>Cursos preparatórios para concursos</v>
      </c>
      <c r="Y316" s="5">
        <v>307</v>
      </c>
      <c r="Z316" s="5">
        <f t="shared" ca="1" si="55"/>
        <v>0</v>
      </c>
      <c r="AA316" s="5" t="str">
        <f t="shared" ca="1" si="56"/>
        <v>Guarda-móveis</v>
      </c>
      <c r="AB316" s="5">
        <f ca="1">COUNTIF(R$10:R316,R316)</f>
        <v>299</v>
      </c>
      <c r="AC316" s="5" t="str">
        <f t="shared" ca="1" si="57"/>
        <v>0299</v>
      </c>
      <c r="AD316" s="5" t="str">
        <f t="shared" ca="1" si="58"/>
        <v>Cursos preparatórios para concursos</v>
      </c>
      <c r="AE316" s="5">
        <f t="shared" ca="1" si="59"/>
        <v>0</v>
      </c>
    </row>
    <row r="317" spans="4:31" ht="15.6" thickTop="1" thickBot="1" x14ac:dyDescent="0.35">
      <c r="D317" s="57"/>
      <c r="E317" s="58"/>
      <c r="F317" s="59"/>
      <c r="G317" s="59"/>
      <c r="H317" s="59"/>
      <c r="I317" s="60"/>
      <c r="J317" s="61"/>
      <c r="K317" s="61"/>
      <c r="M317" s="9" t="str">
        <f t="shared" si="49"/>
        <v/>
      </c>
      <c r="N317" s="5" t="str">
        <f t="shared" si="60"/>
        <v/>
      </c>
      <c r="O317" s="5" t="str">
        <f t="shared" si="54"/>
        <v/>
      </c>
      <c r="Q317" s="5" t="str">
        <f>'CNAE_Cód.Atividade Econômica'!B306</f>
        <v>Outras atividades de ensino não especificadas anteriormente</v>
      </c>
      <c r="R317" s="5">
        <f t="shared" ca="1" si="50"/>
        <v>0</v>
      </c>
      <c r="S317" s="5" t="str">
        <f t="shared" si="51"/>
        <v>Outras atividades de ensino não especificadas anteriormente</v>
      </c>
      <c r="U317" s="5">
        <f ca="1">COUNTIF(R$10:R317,R317)</f>
        <v>300</v>
      </c>
      <c r="V317" s="5" t="str">
        <f t="shared" ca="1" si="52"/>
        <v>0300</v>
      </c>
      <c r="W317" s="5" t="str">
        <f t="shared" ca="1" si="53"/>
        <v>Outras atividades de ensino não especificadas anteriormente</v>
      </c>
      <c r="Y317" s="5">
        <v>308</v>
      </c>
      <c r="Z317" s="5">
        <f t="shared" ca="1" si="55"/>
        <v>0</v>
      </c>
      <c r="AA317" s="5" t="str">
        <f t="shared" ca="1" si="56"/>
        <v>Guarda-móveis</v>
      </c>
      <c r="AB317" s="5">
        <f ca="1">COUNTIF(R$10:R317,R317)</f>
        <v>300</v>
      </c>
      <c r="AC317" s="5" t="str">
        <f t="shared" ca="1" si="57"/>
        <v>0300</v>
      </c>
      <c r="AD317" s="5" t="str">
        <f t="shared" ca="1" si="58"/>
        <v>Outras atividades de ensino não especificadas anteriormente</v>
      </c>
      <c r="AE317" s="5">
        <f t="shared" ca="1" si="59"/>
        <v>0</v>
      </c>
    </row>
    <row r="318" spans="4:31" ht="15.6" thickTop="1" thickBot="1" x14ac:dyDescent="0.35">
      <c r="D318" s="57"/>
      <c r="E318" s="58"/>
      <c r="F318" s="59"/>
      <c r="G318" s="59"/>
      <c r="H318" s="59"/>
      <c r="I318" s="60"/>
      <c r="J318" s="61"/>
      <c r="K318" s="61"/>
      <c r="M318" s="9" t="str">
        <f t="shared" si="49"/>
        <v/>
      </c>
      <c r="N318" s="5" t="str">
        <f t="shared" si="60"/>
        <v/>
      </c>
      <c r="O318" s="5" t="str">
        <f t="shared" si="54"/>
        <v/>
      </c>
      <c r="Q318" s="5" t="str">
        <f>'CNAE_Cód.Atividade Econômica'!B307</f>
        <v>Atividades de atendimento hospitalar, exceto pronto-socorro e unidades para atendimento a urgências</v>
      </c>
      <c r="R318" s="5">
        <f t="shared" ca="1" si="50"/>
        <v>0</v>
      </c>
      <c r="S318" s="5" t="str">
        <f t="shared" si="51"/>
        <v>Atividades de atendimento hospitalar, exceto pronto-socorro e unidades para atendimento a urgências</v>
      </c>
      <c r="U318" s="5">
        <f ca="1">COUNTIF(R$10:R318,R318)</f>
        <v>301</v>
      </c>
      <c r="V318" s="5" t="str">
        <f t="shared" ca="1" si="52"/>
        <v>0301</v>
      </c>
      <c r="W318" s="5" t="str">
        <f t="shared" ca="1" si="53"/>
        <v>Atividades de atendimento hospitalar, exceto pronto-socorro e unidades para atendimento a urgências</v>
      </c>
      <c r="Y318" s="5">
        <v>309</v>
      </c>
      <c r="Z318" s="5">
        <f t="shared" ca="1" si="55"/>
        <v>0</v>
      </c>
      <c r="AA318" s="5" t="str">
        <f t="shared" ca="1" si="56"/>
        <v>Guarda-móveis</v>
      </c>
      <c r="AB318" s="5">
        <f ca="1">COUNTIF(R$10:R318,R318)</f>
        <v>301</v>
      </c>
      <c r="AC318" s="5" t="str">
        <f t="shared" ca="1" si="57"/>
        <v>0301</v>
      </c>
      <c r="AD318" s="5" t="str">
        <f t="shared" ca="1" si="58"/>
        <v>Atividades de atendimento hospitalar, exceto pronto-socorro e unidades para atendimento a urgências</v>
      </c>
      <c r="AE318" s="5">
        <f t="shared" ca="1" si="59"/>
        <v>0</v>
      </c>
    </row>
    <row r="319" spans="4:31" ht="15.6" thickTop="1" thickBot="1" x14ac:dyDescent="0.35">
      <c r="D319" s="57"/>
      <c r="E319" s="58"/>
      <c r="F319" s="59"/>
      <c r="G319" s="59"/>
      <c r="H319" s="59"/>
      <c r="I319" s="60"/>
      <c r="J319" s="61"/>
      <c r="K319" s="61"/>
      <c r="M319" s="9" t="str">
        <f t="shared" si="49"/>
        <v/>
      </c>
      <c r="N319" s="5" t="str">
        <f t="shared" si="60"/>
        <v/>
      </c>
      <c r="O319" s="5" t="str">
        <f t="shared" si="54"/>
        <v/>
      </c>
      <c r="Q319" s="5" t="str">
        <f>'CNAE_Cód.Atividade Econômica'!B308</f>
        <v>Atividades de atendimento em pronto-socorro e unidades hospitalares para atendimento a urgências</v>
      </c>
      <c r="R319" s="5">
        <f t="shared" ca="1" si="50"/>
        <v>0</v>
      </c>
      <c r="S319" s="5" t="str">
        <f t="shared" si="51"/>
        <v>Atividades de atendimento em pronto-socorro e unidades hospitalares para atendimento a urgências</v>
      </c>
      <c r="U319" s="5">
        <f ca="1">COUNTIF(R$10:R319,R319)</f>
        <v>302</v>
      </c>
      <c r="V319" s="5" t="str">
        <f t="shared" ca="1" si="52"/>
        <v>0302</v>
      </c>
      <c r="W319" s="5" t="str">
        <f t="shared" ca="1" si="53"/>
        <v>Atividades de atendimento em pronto-socorro e unidades hospitalares para atendimento a urgências</v>
      </c>
      <c r="Y319" s="5">
        <v>310</v>
      </c>
      <c r="Z319" s="5">
        <f t="shared" ca="1" si="55"/>
        <v>0</v>
      </c>
      <c r="AA319" s="5" t="str">
        <f t="shared" ca="1" si="56"/>
        <v>Guarda-móveis</v>
      </c>
      <c r="AB319" s="5">
        <f ca="1">COUNTIF(R$10:R319,R319)</f>
        <v>302</v>
      </c>
      <c r="AC319" s="5" t="str">
        <f t="shared" ca="1" si="57"/>
        <v>0302</v>
      </c>
      <c r="AD319" s="5" t="str">
        <f t="shared" ca="1" si="58"/>
        <v>Atividades de atendimento em pronto-socorro e unidades hospitalares para atendimento a urgências</v>
      </c>
      <c r="AE319" s="5">
        <f t="shared" ca="1" si="59"/>
        <v>0</v>
      </c>
    </row>
    <row r="320" spans="4:31" ht="15.6" thickTop="1" thickBot="1" x14ac:dyDescent="0.35">
      <c r="D320" s="57"/>
      <c r="E320" s="58"/>
      <c r="F320" s="59"/>
      <c r="G320" s="59"/>
      <c r="H320" s="59"/>
      <c r="I320" s="60"/>
      <c r="J320" s="61"/>
      <c r="K320" s="61"/>
      <c r="M320" s="9" t="str">
        <f t="shared" si="49"/>
        <v/>
      </c>
      <c r="N320" s="5" t="str">
        <f t="shared" si="60"/>
        <v/>
      </c>
      <c r="O320" s="5" t="str">
        <f t="shared" si="54"/>
        <v/>
      </c>
      <c r="Q320" s="5" t="str">
        <f>'CNAE_Cód.Atividade Econômica'!B309</f>
        <v>UTI móvel</v>
      </c>
      <c r="R320" s="5">
        <f t="shared" ca="1" si="50"/>
        <v>0</v>
      </c>
      <c r="S320" s="5" t="str">
        <f t="shared" si="51"/>
        <v>UTI móvel</v>
      </c>
      <c r="U320" s="5">
        <f ca="1">COUNTIF(R$10:R320,R320)</f>
        <v>303</v>
      </c>
      <c r="V320" s="5" t="str">
        <f t="shared" ca="1" si="52"/>
        <v>0303</v>
      </c>
      <c r="W320" s="5" t="str">
        <f t="shared" ca="1" si="53"/>
        <v>UTI móvel</v>
      </c>
      <c r="Y320" s="5">
        <v>311</v>
      </c>
      <c r="Z320" s="5">
        <f t="shared" ca="1" si="55"/>
        <v>0</v>
      </c>
      <c r="AA320" s="5" t="str">
        <f t="shared" ca="1" si="56"/>
        <v>Guarda-móveis</v>
      </c>
      <c r="AB320" s="5">
        <f ca="1">COUNTIF(R$10:R320,R320)</f>
        <v>303</v>
      </c>
      <c r="AC320" s="5" t="str">
        <f t="shared" ca="1" si="57"/>
        <v>0303</v>
      </c>
      <c r="AD320" s="5" t="str">
        <f t="shared" ca="1" si="58"/>
        <v>UTI móvel</v>
      </c>
      <c r="AE320" s="5">
        <f t="shared" ca="1" si="59"/>
        <v>0</v>
      </c>
    </row>
    <row r="321" spans="4:31" ht="15.6" thickTop="1" thickBot="1" x14ac:dyDescent="0.35">
      <c r="D321" s="57"/>
      <c r="E321" s="58"/>
      <c r="F321" s="59"/>
      <c r="G321" s="59"/>
      <c r="H321" s="59"/>
      <c r="I321" s="60"/>
      <c r="J321" s="61"/>
      <c r="K321" s="61"/>
      <c r="M321" s="9" t="str">
        <f t="shared" si="49"/>
        <v/>
      </c>
      <c r="N321" s="5" t="str">
        <f t="shared" si="60"/>
        <v/>
      </c>
      <c r="O321" s="5" t="str">
        <f t="shared" si="54"/>
        <v/>
      </c>
      <c r="Q321" s="5" t="str">
        <f>'CNAE_Cód.Atividade Econômica'!B310</f>
        <v>Serviços móveis de atendimento a urgências, exceto por UTI móvel</v>
      </c>
      <c r="R321" s="5">
        <f t="shared" ca="1" si="50"/>
        <v>0</v>
      </c>
      <c r="S321" s="5" t="str">
        <f t="shared" si="51"/>
        <v>Serviços móveis de atendimento a urgências, exceto por UTI móvel</v>
      </c>
      <c r="U321" s="5">
        <f ca="1">COUNTIF(R$10:R321,R321)</f>
        <v>304</v>
      </c>
      <c r="V321" s="5" t="str">
        <f t="shared" ca="1" si="52"/>
        <v>0304</v>
      </c>
      <c r="W321" s="5" t="str">
        <f t="shared" ca="1" si="53"/>
        <v>Serviços móveis de atendimento a urgências, exceto por UTI móvel</v>
      </c>
      <c r="Y321" s="5">
        <v>312</v>
      </c>
      <c r="Z321" s="5">
        <f t="shared" ca="1" si="55"/>
        <v>0</v>
      </c>
      <c r="AA321" s="5" t="str">
        <f t="shared" ca="1" si="56"/>
        <v>Guarda-móveis</v>
      </c>
      <c r="AB321" s="5">
        <f ca="1">COUNTIF(R$10:R321,R321)</f>
        <v>304</v>
      </c>
      <c r="AC321" s="5" t="str">
        <f t="shared" ca="1" si="57"/>
        <v>0304</v>
      </c>
      <c r="AD321" s="5" t="str">
        <f t="shared" ca="1" si="58"/>
        <v>Serviços móveis de atendimento a urgências, exceto por UTI móvel</v>
      </c>
      <c r="AE321" s="5">
        <f t="shared" ca="1" si="59"/>
        <v>0</v>
      </c>
    </row>
    <row r="322" spans="4:31" ht="15.6" thickTop="1" thickBot="1" x14ac:dyDescent="0.35">
      <c r="D322" s="57"/>
      <c r="E322" s="58"/>
      <c r="F322" s="59"/>
      <c r="G322" s="59"/>
      <c r="H322" s="59"/>
      <c r="I322" s="60"/>
      <c r="J322" s="61"/>
      <c r="K322" s="61"/>
      <c r="M322" s="9" t="str">
        <f t="shared" si="49"/>
        <v/>
      </c>
      <c r="N322" s="5" t="str">
        <f t="shared" si="60"/>
        <v/>
      </c>
      <c r="O322" s="5" t="str">
        <f t="shared" si="54"/>
        <v/>
      </c>
      <c r="Q322" s="5" t="str">
        <f>'CNAE_Cód.Atividade Econômica'!B311</f>
        <v>Serviços de remoção de pacientes, exceto os serviços móveis de atendimento a urgências</v>
      </c>
      <c r="R322" s="5">
        <f t="shared" ca="1" si="50"/>
        <v>0</v>
      </c>
      <c r="S322" s="5" t="str">
        <f t="shared" si="51"/>
        <v>Serviços de remoção de pacientes, exceto os serviços móveis de atendimento a urgências</v>
      </c>
      <c r="U322" s="5">
        <f ca="1">COUNTIF(R$10:R322,R322)</f>
        <v>305</v>
      </c>
      <c r="V322" s="5" t="str">
        <f t="shared" ca="1" si="52"/>
        <v>0305</v>
      </c>
      <c r="W322" s="5" t="str">
        <f t="shared" ca="1" si="53"/>
        <v>Serviços de remoção de pacientes, exceto os serviços móveis de atendimento a urgências</v>
      </c>
      <c r="Y322" s="5">
        <v>313</v>
      </c>
      <c r="Z322" s="5">
        <f t="shared" ca="1" si="55"/>
        <v>0</v>
      </c>
      <c r="AA322" s="5" t="str">
        <f t="shared" ca="1" si="56"/>
        <v>Guarda-móveis</v>
      </c>
      <c r="AB322" s="5">
        <f ca="1">COUNTIF(R$10:R322,R322)</f>
        <v>305</v>
      </c>
      <c r="AC322" s="5" t="str">
        <f t="shared" ca="1" si="57"/>
        <v>0305</v>
      </c>
      <c r="AD322" s="5" t="str">
        <f t="shared" ca="1" si="58"/>
        <v>Serviços de remoção de pacientes, exceto os serviços móveis de atendimento a urgências</v>
      </c>
      <c r="AE322" s="5">
        <f t="shared" ca="1" si="59"/>
        <v>0</v>
      </c>
    </row>
    <row r="323" spans="4:31" ht="15.6" thickTop="1" thickBot="1" x14ac:dyDescent="0.35">
      <c r="D323" s="57"/>
      <c r="E323" s="58"/>
      <c r="F323" s="59"/>
      <c r="G323" s="59"/>
      <c r="H323" s="59"/>
      <c r="I323" s="60"/>
      <c r="J323" s="61"/>
      <c r="K323" s="61"/>
      <c r="M323" s="9" t="str">
        <f t="shared" si="49"/>
        <v/>
      </c>
      <c r="N323" s="5" t="str">
        <f t="shared" si="60"/>
        <v/>
      </c>
      <c r="O323" s="5" t="str">
        <f t="shared" si="54"/>
        <v/>
      </c>
      <c r="Q323" s="5" t="str">
        <f>'CNAE_Cód.Atividade Econômica'!B312</f>
        <v>Atividade médica ambulatorial com recursos para realização de procedimentos cirúrgicos</v>
      </c>
      <c r="R323" s="5">
        <f t="shared" ca="1" si="50"/>
        <v>0</v>
      </c>
      <c r="S323" s="5" t="str">
        <f t="shared" si="51"/>
        <v>Atividade médica ambulatorial com recursos para realização de procedimentos cirúrgicos</v>
      </c>
      <c r="U323" s="5">
        <f ca="1">COUNTIF(R$10:R323,R323)</f>
        <v>306</v>
      </c>
      <c r="V323" s="5" t="str">
        <f t="shared" ca="1" si="52"/>
        <v>0306</v>
      </c>
      <c r="W323" s="5" t="str">
        <f t="shared" ca="1" si="53"/>
        <v>Atividade médica ambulatorial com recursos para realização de procedimentos cirúrgicos</v>
      </c>
      <c r="Y323" s="5">
        <v>314</v>
      </c>
      <c r="Z323" s="5">
        <f t="shared" ca="1" si="55"/>
        <v>0</v>
      </c>
      <c r="AA323" s="5" t="str">
        <f t="shared" ca="1" si="56"/>
        <v>Guarda-móveis</v>
      </c>
      <c r="AB323" s="5">
        <f ca="1">COUNTIF(R$10:R323,R323)</f>
        <v>306</v>
      </c>
      <c r="AC323" s="5" t="str">
        <f t="shared" ca="1" si="57"/>
        <v>0306</v>
      </c>
      <c r="AD323" s="5" t="str">
        <f t="shared" ca="1" si="58"/>
        <v>Atividade médica ambulatorial com recursos para realização de procedimentos cirúrgicos</v>
      </c>
      <c r="AE323" s="5">
        <f t="shared" ca="1" si="59"/>
        <v>0</v>
      </c>
    </row>
    <row r="324" spans="4:31" ht="15.6" thickTop="1" thickBot="1" x14ac:dyDescent="0.35">
      <c r="D324" s="57"/>
      <c r="E324" s="58"/>
      <c r="F324" s="59"/>
      <c r="G324" s="59"/>
      <c r="H324" s="59"/>
      <c r="I324" s="60"/>
      <c r="J324" s="61"/>
      <c r="K324" s="61"/>
      <c r="M324" s="9" t="str">
        <f t="shared" si="49"/>
        <v/>
      </c>
      <c r="N324" s="5" t="str">
        <f t="shared" si="60"/>
        <v/>
      </c>
      <c r="O324" s="5" t="str">
        <f t="shared" si="54"/>
        <v/>
      </c>
      <c r="Q324" s="5" t="str">
        <f>'CNAE_Cód.Atividade Econômica'!B313</f>
        <v>Atividade médica ambulatorial com recursos para realização de exames complementares</v>
      </c>
      <c r="R324" s="5">
        <f t="shared" ca="1" si="50"/>
        <v>0</v>
      </c>
      <c r="S324" s="5" t="str">
        <f t="shared" si="51"/>
        <v>Atividade médica ambulatorial com recursos para realização de exames complementares</v>
      </c>
      <c r="U324" s="5">
        <f ca="1">COUNTIF(R$10:R324,R324)</f>
        <v>307</v>
      </c>
      <c r="V324" s="5" t="str">
        <f t="shared" ca="1" si="52"/>
        <v>0307</v>
      </c>
      <c r="W324" s="5" t="str">
        <f t="shared" ca="1" si="53"/>
        <v>Atividade médica ambulatorial com recursos para realização de exames complementares</v>
      </c>
      <c r="Y324" s="5">
        <v>315</v>
      </c>
      <c r="Z324" s="5">
        <f t="shared" ca="1" si="55"/>
        <v>0</v>
      </c>
      <c r="AA324" s="5" t="str">
        <f t="shared" ca="1" si="56"/>
        <v>Guarda-móveis</v>
      </c>
      <c r="AB324" s="5">
        <f ca="1">COUNTIF(R$10:R324,R324)</f>
        <v>307</v>
      </c>
      <c r="AC324" s="5" t="str">
        <f t="shared" ca="1" si="57"/>
        <v>0307</v>
      </c>
      <c r="AD324" s="5" t="str">
        <f t="shared" ca="1" si="58"/>
        <v>Atividade médica ambulatorial com recursos para realização de exames complementares</v>
      </c>
      <c r="AE324" s="5">
        <f t="shared" ca="1" si="59"/>
        <v>0</v>
      </c>
    </row>
    <row r="325" spans="4:31" ht="15.6" thickTop="1" thickBot="1" x14ac:dyDescent="0.35">
      <c r="D325" s="57"/>
      <c r="E325" s="58"/>
      <c r="F325" s="59"/>
      <c r="G325" s="59"/>
      <c r="H325" s="59"/>
      <c r="I325" s="60"/>
      <c r="J325" s="61"/>
      <c r="K325" s="61"/>
      <c r="M325" s="9" t="str">
        <f t="shared" si="49"/>
        <v/>
      </c>
      <c r="N325" s="5" t="str">
        <f t="shared" si="60"/>
        <v/>
      </c>
      <c r="O325" s="5" t="str">
        <f t="shared" si="54"/>
        <v/>
      </c>
      <c r="Q325" s="5" t="str">
        <f>'CNAE_Cód.Atividade Econômica'!B314</f>
        <v>Atividade médica ambulatorial restrita a consultas</v>
      </c>
      <c r="R325" s="5">
        <f t="shared" ca="1" si="50"/>
        <v>0</v>
      </c>
      <c r="S325" s="5" t="str">
        <f t="shared" si="51"/>
        <v>Atividade médica ambulatorial restrita a consultas</v>
      </c>
      <c r="U325" s="5">
        <f ca="1">COUNTIF(R$10:R325,R325)</f>
        <v>308</v>
      </c>
      <c r="V325" s="5" t="str">
        <f t="shared" ca="1" si="52"/>
        <v>0308</v>
      </c>
      <c r="W325" s="5" t="str">
        <f t="shared" ca="1" si="53"/>
        <v>Atividade médica ambulatorial restrita a consultas</v>
      </c>
      <c r="Y325" s="5">
        <v>316</v>
      </c>
      <c r="Z325" s="5">
        <f t="shared" ca="1" si="55"/>
        <v>0</v>
      </c>
      <c r="AA325" s="5" t="str">
        <f t="shared" ca="1" si="56"/>
        <v>Guarda-móveis</v>
      </c>
      <c r="AB325" s="5">
        <f ca="1">COUNTIF(R$10:R325,R325)</f>
        <v>308</v>
      </c>
      <c r="AC325" s="5" t="str">
        <f t="shared" ca="1" si="57"/>
        <v>0308</v>
      </c>
      <c r="AD325" s="5" t="str">
        <f t="shared" ca="1" si="58"/>
        <v>Atividade médica ambulatorial restrita a consultas</v>
      </c>
      <c r="AE325" s="5">
        <f t="shared" ca="1" si="59"/>
        <v>0</v>
      </c>
    </row>
    <row r="326" spans="4:31" ht="15.6" thickTop="1" thickBot="1" x14ac:dyDescent="0.35">
      <c r="D326" s="57"/>
      <c r="E326" s="58"/>
      <c r="F326" s="59"/>
      <c r="G326" s="59"/>
      <c r="H326" s="59"/>
      <c r="I326" s="60"/>
      <c r="J326" s="61"/>
      <c r="K326" s="61"/>
      <c r="M326" s="9" t="str">
        <f t="shared" si="49"/>
        <v/>
      </c>
      <c r="N326" s="5" t="str">
        <f t="shared" si="60"/>
        <v/>
      </c>
      <c r="O326" s="5" t="str">
        <f t="shared" si="54"/>
        <v/>
      </c>
      <c r="Q326" s="5" t="str">
        <f>'CNAE_Cód.Atividade Econômica'!B315</f>
        <v>Atividade odontológica</v>
      </c>
      <c r="R326" s="5">
        <f t="shared" ca="1" si="50"/>
        <v>0</v>
      </c>
      <c r="S326" s="5" t="str">
        <f t="shared" si="51"/>
        <v>Atividade odontológica</v>
      </c>
      <c r="U326" s="5">
        <f ca="1">COUNTIF(R$10:R326,R326)</f>
        <v>309</v>
      </c>
      <c r="V326" s="5" t="str">
        <f t="shared" ca="1" si="52"/>
        <v>0309</v>
      </c>
      <c r="W326" s="5" t="str">
        <f t="shared" ca="1" si="53"/>
        <v>Atividade odontológica</v>
      </c>
      <c r="Y326" s="5">
        <v>317</v>
      </c>
      <c r="Z326" s="5">
        <f t="shared" ca="1" si="55"/>
        <v>0</v>
      </c>
      <c r="AA326" s="5" t="str">
        <f t="shared" ca="1" si="56"/>
        <v>Guarda-móveis</v>
      </c>
      <c r="AB326" s="5">
        <f ca="1">COUNTIF(R$10:R326,R326)</f>
        <v>309</v>
      </c>
      <c r="AC326" s="5" t="str">
        <f t="shared" ca="1" si="57"/>
        <v>0309</v>
      </c>
      <c r="AD326" s="5" t="str">
        <f t="shared" ca="1" si="58"/>
        <v>Atividade odontológica</v>
      </c>
      <c r="AE326" s="5">
        <f t="shared" ca="1" si="59"/>
        <v>0</v>
      </c>
    </row>
    <row r="327" spans="4:31" ht="15.6" thickTop="1" thickBot="1" x14ac:dyDescent="0.35">
      <c r="D327" s="57"/>
      <c r="E327" s="58"/>
      <c r="F327" s="59"/>
      <c r="G327" s="59"/>
      <c r="H327" s="59"/>
      <c r="I327" s="60"/>
      <c r="J327" s="61"/>
      <c r="K327" s="61"/>
      <c r="M327" s="9" t="str">
        <f t="shared" si="49"/>
        <v/>
      </c>
      <c r="N327" s="5" t="str">
        <f t="shared" si="60"/>
        <v/>
      </c>
      <c r="O327" s="5" t="str">
        <f t="shared" si="54"/>
        <v/>
      </c>
      <c r="Q327" s="5" t="str">
        <f>'CNAE_Cód.Atividade Econômica'!B316</f>
        <v>Serviços de vacinação e imunização humana</v>
      </c>
      <c r="R327" s="5">
        <f t="shared" ca="1" si="50"/>
        <v>0</v>
      </c>
      <c r="S327" s="5" t="str">
        <f t="shared" si="51"/>
        <v>Serviços de vacinação e imunização humana</v>
      </c>
      <c r="U327" s="5">
        <f ca="1">COUNTIF(R$10:R327,R327)</f>
        <v>310</v>
      </c>
      <c r="V327" s="5" t="str">
        <f t="shared" ca="1" si="52"/>
        <v>0310</v>
      </c>
      <c r="W327" s="5" t="str">
        <f t="shared" ca="1" si="53"/>
        <v>Serviços de vacinação e imunização humana</v>
      </c>
      <c r="Y327" s="5">
        <v>318</v>
      </c>
      <c r="Z327" s="5">
        <f t="shared" ca="1" si="55"/>
        <v>0</v>
      </c>
      <c r="AA327" s="5" t="str">
        <f t="shared" ca="1" si="56"/>
        <v>Guarda-móveis</v>
      </c>
      <c r="AB327" s="5">
        <f ca="1">COUNTIF(R$10:R327,R327)</f>
        <v>310</v>
      </c>
      <c r="AC327" s="5" t="str">
        <f t="shared" ca="1" si="57"/>
        <v>0310</v>
      </c>
      <c r="AD327" s="5" t="str">
        <f t="shared" ca="1" si="58"/>
        <v>Serviços de vacinação e imunização humana</v>
      </c>
      <c r="AE327" s="5">
        <f t="shared" ca="1" si="59"/>
        <v>0</v>
      </c>
    </row>
    <row r="328" spans="4:31" ht="15.6" thickTop="1" thickBot="1" x14ac:dyDescent="0.35">
      <c r="D328" s="57"/>
      <c r="E328" s="58"/>
      <c r="F328" s="59"/>
      <c r="G328" s="59"/>
      <c r="H328" s="59"/>
      <c r="I328" s="60"/>
      <c r="J328" s="61"/>
      <c r="K328" s="61"/>
      <c r="M328" s="9" t="str">
        <f t="shared" si="49"/>
        <v/>
      </c>
      <c r="N328" s="5" t="str">
        <f t="shared" si="60"/>
        <v/>
      </c>
      <c r="O328" s="5" t="str">
        <f t="shared" si="54"/>
        <v/>
      </c>
      <c r="Q328" s="5" t="str">
        <f>'CNAE_Cód.Atividade Econômica'!B317</f>
        <v>Atividades de reprodução humana assistida</v>
      </c>
      <c r="R328" s="5">
        <f t="shared" ca="1" si="50"/>
        <v>0</v>
      </c>
      <c r="S328" s="5" t="str">
        <f t="shared" si="51"/>
        <v>Atividades de reprodução humana assistida</v>
      </c>
      <c r="U328" s="5">
        <f ca="1">COUNTIF(R$10:R328,R328)</f>
        <v>311</v>
      </c>
      <c r="V328" s="5" t="str">
        <f t="shared" ca="1" si="52"/>
        <v>0311</v>
      </c>
      <c r="W328" s="5" t="str">
        <f t="shared" ca="1" si="53"/>
        <v>Atividades de reprodução humana assistida</v>
      </c>
      <c r="Y328" s="5">
        <v>319</v>
      </c>
      <c r="Z328" s="5">
        <f t="shared" ca="1" si="55"/>
        <v>0</v>
      </c>
      <c r="AA328" s="5" t="str">
        <f t="shared" ca="1" si="56"/>
        <v>Guarda-móveis</v>
      </c>
      <c r="AB328" s="5">
        <f ca="1">COUNTIF(R$10:R328,R328)</f>
        <v>311</v>
      </c>
      <c r="AC328" s="5" t="str">
        <f t="shared" ca="1" si="57"/>
        <v>0311</v>
      </c>
      <c r="AD328" s="5" t="str">
        <f t="shared" ca="1" si="58"/>
        <v>Atividades de reprodução humana assistida</v>
      </c>
      <c r="AE328" s="5">
        <f t="shared" ca="1" si="59"/>
        <v>0</v>
      </c>
    </row>
    <row r="329" spans="4:31" ht="15.6" thickTop="1" thickBot="1" x14ac:dyDescent="0.35">
      <c r="D329" s="57"/>
      <c r="E329" s="58"/>
      <c r="F329" s="59"/>
      <c r="G329" s="59"/>
      <c r="H329" s="59"/>
      <c r="I329" s="60"/>
      <c r="J329" s="61"/>
      <c r="K329" s="61"/>
      <c r="M329" s="9" t="str">
        <f t="shared" si="49"/>
        <v/>
      </c>
      <c r="N329" s="5" t="str">
        <f t="shared" si="60"/>
        <v/>
      </c>
      <c r="O329" s="5" t="str">
        <f t="shared" si="54"/>
        <v/>
      </c>
      <c r="Q329" s="5" t="str">
        <f>'CNAE_Cód.Atividade Econômica'!B318</f>
        <v>Atividades de atenção ambulatorial não especificadas anteriormente</v>
      </c>
      <c r="R329" s="5">
        <f t="shared" ca="1" si="50"/>
        <v>0</v>
      </c>
      <c r="S329" s="5" t="str">
        <f t="shared" si="51"/>
        <v>Atividades de atenção ambulatorial não especificadas anteriormente</v>
      </c>
      <c r="U329" s="5">
        <f ca="1">COUNTIF(R$10:R329,R329)</f>
        <v>312</v>
      </c>
      <c r="V329" s="5" t="str">
        <f t="shared" ca="1" si="52"/>
        <v>0312</v>
      </c>
      <c r="W329" s="5" t="str">
        <f t="shared" ca="1" si="53"/>
        <v>Atividades de atenção ambulatorial não especificadas anteriormente</v>
      </c>
      <c r="Y329" s="5">
        <v>320</v>
      </c>
      <c r="Z329" s="5">
        <f t="shared" ca="1" si="55"/>
        <v>0</v>
      </c>
      <c r="AA329" s="5" t="str">
        <f t="shared" ca="1" si="56"/>
        <v>Guarda-móveis</v>
      </c>
      <c r="AB329" s="5">
        <f ca="1">COUNTIF(R$10:R329,R329)</f>
        <v>312</v>
      </c>
      <c r="AC329" s="5" t="str">
        <f t="shared" ca="1" si="57"/>
        <v>0312</v>
      </c>
      <c r="AD329" s="5" t="str">
        <f t="shared" ca="1" si="58"/>
        <v>Atividades de atenção ambulatorial não especificadas anteriormente</v>
      </c>
      <c r="AE329" s="5">
        <f t="shared" ca="1" si="59"/>
        <v>0</v>
      </c>
    </row>
    <row r="330" spans="4:31" ht="15.6" thickTop="1" thickBot="1" x14ac:dyDescent="0.35">
      <c r="D330" s="57"/>
      <c r="E330" s="58"/>
      <c r="F330" s="59"/>
      <c r="G330" s="59"/>
      <c r="H330" s="59"/>
      <c r="I330" s="60"/>
      <c r="J330" s="61"/>
      <c r="K330" s="61"/>
      <c r="M330" s="9" t="str">
        <f t="shared" ref="M330:M393" si="61">IF(ISBLANK(D330), "", IFERROR(PROPER(TEXT(D330,"mmmm")),""))</f>
        <v/>
      </c>
      <c r="N330" s="5" t="str">
        <f t="shared" si="60"/>
        <v/>
      </c>
      <c r="O330" s="5" t="str">
        <f t="shared" si="54"/>
        <v/>
      </c>
      <c r="Q330" s="5" t="str">
        <f>'CNAE_Cód.Atividade Econômica'!B319</f>
        <v>Laboratórios de anatomia patológica e citológica</v>
      </c>
      <c r="R330" s="5">
        <f t="shared" ref="R330:R393" ca="1" si="62">COUNTIF($O:$O,Q330)</f>
        <v>0</v>
      </c>
      <c r="S330" s="5" t="str">
        <f t="shared" ref="S330:S393" si="63">Q330</f>
        <v>Laboratórios de anatomia patológica e citológica</v>
      </c>
      <c r="U330" s="5">
        <f ca="1">COUNTIF(R$10:R330,R330)</f>
        <v>313</v>
      </c>
      <c r="V330" s="5" t="str">
        <f t="shared" ref="V330:V393" ca="1" si="64">R330&amp;U330</f>
        <v>0313</v>
      </c>
      <c r="W330" s="5" t="str">
        <f t="shared" ref="W330:W393" ca="1" si="65">INDEX($S$10:$S$401, MATCH(V330,$V$10:$V$1048576, 0))</f>
        <v>Laboratórios de anatomia patológica e citológica</v>
      </c>
      <c r="Y330" s="5">
        <v>321</v>
      </c>
      <c r="Z330" s="5">
        <f t="shared" ca="1" si="55"/>
        <v>0</v>
      </c>
      <c r="AA330" s="5" t="str">
        <f t="shared" ca="1" si="56"/>
        <v>Guarda-móveis</v>
      </c>
      <c r="AB330" s="5">
        <f ca="1">COUNTIF(R$10:R330,R330)</f>
        <v>313</v>
      </c>
      <c r="AC330" s="5" t="str">
        <f t="shared" ca="1" si="57"/>
        <v>0313</v>
      </c>
      <c r="AD330" s="5" t="str">
        <f t="shared" ca="1" si="58"/>
        <v>Laboratórios de anatomia patológica e citológica</v>
      </c>
      <c r="AE330" s="5">
        <f t="shared" ca="1" si="59"/>
        <v>0</v>
      </c>
    </row>
    <row r="331" spans="4:31" ht="15.6" thickTop="1" thickBot="1" x14ac:dyDescent="0.35">
      <c r="D331" s="57"/>
      <c r="E331" s="58"/>
      <c r="F331" s="59"/>
      <c r="G331" s="59"/>
      <c r="H331" s="59"/>
      <c r="I331" s="60"/>
      <c r="J331" s="61"/>
      <c r="K331" s="61"/>
      <c r="M331" s="9" t="str">
        <f t="shared" si="61"/>
        <v/>
      </c>
      <c r="N331" s="5" t="str">
        <f t="shared" si="60"/>
        <v/>
      </c>
      <c r="O331" s="5" t="str">
        <f t="shared" ref="O331:O394" si="66">IFERROR(RIGHT(N331,LEN(N331)-SEARCH("- ",N331)-1),"")</f>
        <v/>
      </c>
      <c r="Q331" s="5" t="str">
        <f>'CNAE_Cód.Atividade Econômica'!B320</f>
        <v>Laboratórios clínicos</v>
      </c>
      <c r="R331" s="5">
        <f t="shared" ca="1" si="62"/>
        <v>0</v>
      </c>
      <c r="S331" s="5" t="str">
        <f t="shared" si="63"/>
        <v>Laboratórios clínicos</v>
      </c>
      <c r="U331" s="5">
        <f ca="1">COUNTIF(R$10:R331,R331)</f>
        <v>314</v>
      </c>
      <c r="V331" s="5" t="str">
        <f t="shared" ca="1" si="64"/>
        <v>0314</v>
      </c>
      <c r="W331" s="5" t="str">
        <f t="shared" ca="1" si="65"/>
        <v>Laboratórios clínicos</v>
      </c>
      <c r="Y331" s="5">
        <v>322</v>
      </c>
      <c r="Z331" s="5">
        <f t="shared" ref="Z331:Z394" ca="1" si="67">LARGE($R$10:$R$1048576,Y331)</f>
        <v>0</v>
      </c>
      <c r="AA331" s="5" t="str">
        <f t="shared" ref="AA331:AA394" ca="1" si="68">INDEX(S$10:S$1000, MATCH(R331, R$10:R$1000, 0))</f>
        <v>Guarda-móveis</v>
      </c>
      <c r="AB331" s="5">
        <f ca="1">COUNTIF(R$10:R331,R331)</f>
        <v>314</v>
      </c>
      <c r="AC331" s="5" t="str">
        <f t="shared" ref="AC331:AC394" ca="1" si="69">R331&amp;U331</f>
        <v>0314</v>
      </c>
      <c r="AD331" s="5" t="str">
        <f t="shared" ref="AD331:AD394" ca="1" si="70">INDEX($S$10:$S$1048576, MATCH(AC331, $V$10:$V$1048576, 0))</f>
        <v>Laboratórios clínicos</v>
      </c>
      <c r="AE331" s="5">
        <f t="shared" ref="AE331:AE394" ca="1" si="71">Z331</f>
        <v>0</v>
      </c>
    </row>
    <row r="332" spans="4:31" ht="15.6" thickTop="1" thickBot="1" x14ac:dyDescent="0.35">
      <c r="D332" s="57"/>
      <c r="E332" s="58"/>
      <c r="F332" s="59"/>
      <c r="G332" s="59"/>
      <c r="H332" s="59"/>
      <c r="I332" s="60"/>
      <c r="J332" s="61"/>
      <c r="K332" s="61"/>
      <c r="M332" s="9" t="str">
        <f t="shared" si="61"/>
        <v/>
      </c>
      <c r="N332" s="5" t="str">
        <f t="shared" si="60"/>
        <v/>
      </c>
      <c r="O332" s="5" t="str">
        <f t="shared" si="66"/>
        <v/>
      </c>
      <c r="Q332" s="5" t="str">
        <f>'CNAE_Cód.Atividade Econômica'!B321</f>
        <v>Serviços de diálise e nefrologia</v>
      </c>
      <c r="R332" s="5">
        <f t="shared" ca="1" si="62"/>
        <v>0</v>
      </c>
      <c r="S332" s="5" t="str">
        <f t="shared" si="63"/>
        <v>Serviços de diálise e nefrologia</v>
      </c>
      <c r="U332" s="5">
        <f ca="1">COUNTIF(R$10:R332,R332)</f>
        <v>315</v>
      </c>
      <c r="V332" s="5" t="str">
        <f t="shared" ca="1" si="64"/>
        <v>0315</v>
      </c>
      <c r="W332" s="5" t="str">
        <f t="shared" ca="1" si="65"/>
        <v>Serviços de diálise e nefrologia</v>
      </c>
      <c r="Y332" s="5">
        <v>323</v>
      </c>
      <c r="Z332" s="5">
        <f t="shared" ca="1" si="67"/>
        <v>0</v>
      </c>
      <c r="AA332" s="5" t="str">
        <f t="shared" ca="1" si="68"/>
        <v>Guarda-móveis</v>
      </c>
      <c r="AB332" s="5">
        <f ca="1">COUNTIF(R$10:R332,R332)</f>
        <v>315</v>
      </c>
      <c r="AC332" s="5" t="str">
        <f t="shared" ca="1" si="69"/>
        <v>0315</v>
      </c>
      <c r="AD332" s="5" t="str">
        <f t="shared" ca="1" si="70"/>
        <v>Serviços de diálise e nefrologia</v>
      </c>
      <c r="AE332" s="5">
        <f t="shared" ca="1" si="71"/>
        <v>0</v>
      </c>
    </row>
    <row r="333" spans="4:31" ht="15.6" thickTop="1" thickBot="1" x14ac:dyDescent="0.35">
      <c r="D333" s="57"/>
      <c r="E333" s="58"/>
      <c r="F333" s="59"/>
      <c r="G333" s="59"/>
      <c r="H333" s="59"/>
      <c r="I333" s="60"/>
      <c r="J333" s="61"/>
      <c r="K333" s="61"/>
      <c r="M333" s="9" t="str">
        <f t="shared" si="61"/>
        <v/>
      </c>
      <c r="N333" s="5" t="str">
        <f t="shared" si="60"/>
        <v/>
      </c>
      <c r="O333" s="5" t="str">
        <f t="shared" si="66"/>
        <v/>
      </c>
      <c r="Q333" s="5" t="str">
        <f>'CNAE_Cód.Atividade Econômica'!B322</f>
        <v>Serviços de tomografia</v>
      </c>
      <c r="R333" s="5">
        <f t="shared" ca="1" si="62"/>
        <v>0</v>
      </c>
      <c r="S333" s="5" t="str">
        <f t="shared" si="63"/>
        <v>Serviços de tomografia</v>
      </c>
      <c r="U333" s="5">
        <f ca="1">COUNTIF(R$10:R333,R333)</f>
        <v>316</v>
      </c>
      <c r="V333" s="5" t="str">
        <f t="shared" ca="1" si="64"/>
        <v>0316</v>
      </c>
      <c r="W333" s="5" t="str">
        <f t="shared" ca="1" si="65"/>
        <v>Serviços de tomografia</v>
      </c>
      <c r="Y333" s="5">
        <v>324</v>
      </c>
      <c r="Z333" s="5">
        <f t="shared" ca="1" si="67"/>
        <v>0</v>
      </c>
      <c r="AA333" s="5" t="str">
        <f t="shared" ca="1" si="68"/>
        <v>Guarda-móveis</v>
      </c>
      <c r="AB333" s="5">
        <f ca="1">COUNTIF(R$10:R333,R333)</f>
        <v>316</v>
      </c>
      <c r="AC333" s="5" t="str">
        <f t="shared" ca="1" si="69"/>
        <v>0316</v>
      </c>
      <c r="AD333" s="5" t="str">
        <f t="shared" ca="1" si="70"/>
        <v>Serviços de tomografia</v>
      </c>
      <c r="AE333" s="5">
        <f t="shared" ca="1" si="71"/>
        <v>0</v>
      </c>
    </row>
    <row r="334" spans="4:31" ht="15.6" thickTop="1" thickBot="1" x14ac:dyDescent="0.35">
      <c r="D334" s="57"/>
      <c r="E334" s="58"/>
      <c r="F334" s="59"/>
      <c r="G334" s="59"/>
      <c r="H334" s="59"/>
      <c r="I334" s="60"/>
      <c r="J334" s="61"/>
      <c r="K334" s="61"/>
      <c r="M334" s="9" t="str">
        <f t="shared" si="61"/>
        <v/>
      </c>
      <c r="N334" s="5" t="str">
        <f t="shared" si="60"/>
        <v/>
      </c>
      <c r="O334" s="5" t="str">
        <f t="shared" si="66"/>
        <v/>
      </c>
      <c r="Q334" s="5" t="str">
        <f>'CNAE_Cód.Atividade Econômica'!B323</f>
        <v>Serviços de diagnóstico por imagem com uso de radiação ionizante, exceto tomografia</v>
      </c>
      <c r="R334" s="5">
        <f t="shared" ca="1" si="62"/>
        <v>0</v>
      </c>
      <c r="S334" s="5" t="str">
        <f t="shared" si="63"/>
        <v>Serviços de diagnóstico por imagem com uso de radiação ionizante, exceto tomografia</v>
      </c>
      <c r="U334" s="5">
        <f ca="1">COUNTIF(R$10:R334,R334)</f>
        <v>317</v>
      </c>
      <c r="V334" s="5" t="str">
        <f t="shared" ca="1" si="64"/>
        <v>0317</v>
      </c>
      <c r="W334" s="5" t="str">
        <f t="shared" ca="1" si="65"/>
        <v>Serviços de diagnóstico por imagem com uso de radiação ionizante, exceto tomografia</v>
      </c>
      <c r="Y334" s="5">
        <v>325</v>
      </c>
      <c r="Z334" s="5">
        <f t="shared" ca="1" si="67"/>
        <v>0</v>
      </c>
      <c r="AA334" s="5" t="str">
        <f t="shared" ca="1" si="68"/>
        <v>Guarda-móveis</v>
      </c>
      <c r="AB334" s="5">
        <f ca="1">COUNTIF(R$10:R334,R334)</f>
        <v>317</v>
      </c>
      <c r="AC334" s="5" t="str">
        <f t="shared" ca="1" si="69"/>
        <v>0317</v>
      </c>
      <c r="AD334" s="5" t="str">
        <f t="shared" ca="1" si="70"/>
        <v>Serviços de diagnóstico por imagem com uso de radiação ionizante, exceto tomografia</v>
      </c>
      <c r="AE334" s="5">
        <f t="shared" ca="1" si="71"/>
        <v>0</v>
      </c>
    </row>
    <row r="335" spans="4:31" ht="15.6" thickTop="1" thickBot="1" x14ac:dyDescent="0.35">
      <c r="D335" s="57"/>
      <c r="E335" s="58"/>
      <c r="F335" s="59"/>
      <c r="G335" s="59"/>
      <c r="H335" s="59"/>
      <c r="I335" s="60"/>
      <c r="J335" s="61"/>
      <c r="K335" s="61"/>
      <c r="M335" s="9" t="str">
        <f t="shared" si="61"/>
        <v/>
      </c>
      <c r="N335" s="5" t="str">
        <f t="shared" si="60"/>
        <v/>
      </c>
      <c r="O335" s="5" t="str">
        <f t="shared" si="66"/>
        <v/>
      </c>
      <c r="Q335" s="5" t="str">
        <f>'CNAE_Cód.Atividade Econômica'!B324</f>
        <v>Serviços de ressonância magnética</v>
      </c>
      <c r="R335" s="5">
        <f t="shared" ca="1" si="62"/>
        <v>0</v>
      </c>
      <c r="S335" s="5" t="str">
        <f t="shared" si="63"/>
        <v>Serviços de ressonância magnética</v>
      </c>
      <c r="U335" s="5">
        <f ca="1">COUNTIF(R$10:R335,R335)</f>
        <v>318</v>
      </c>
      <c r="V335" s="5" t="str">
        <f t="shared" ca="1" si="64"/>
        <v>0318</v>
      </c>
      <c r="W335" s="5" t="str">
        <f t="shared" ca="1" si="65"/>
        <v>Serviços de ressonância magnética</v>
      </c>
      <c r="Y335" s="5">
        <v>326</v>
      </c>
      <c r="Z335" s="5">
        <f t="shared" ca="1" si="67"/>
        <v>0</v>
      </c>
      <c r="AA335" s="5" t="str">
        <f t="shared" ca="1" si="68"/>
        <v>Guarda-móveis</v>
      </c>
      <c r="AB335" s="5">
        <f ca="1">COUNTIF(R$10:R335,R335)</f>
        <v>318</v>
      </c>
      <c r="AC335" s="5" t="str">
        <f t="shared" ca="1" si="69"/>
        <v>0318</v>
      </c>
      <c r="AD335" s="5" t="str">
        <f t="shared" ca="1" si="70"/>
        <v>Serviços de ressonância magnética</v>
      </c>
      <c r="AE335" s="5">
        <f t="shared" ca="1" si="71"/>
        <v>0</v>
      </c>
    </row>
    <row r="336" spans="4:31" ht="15.6" thickTop="1" thickBot="1" x14ac:dyDescent="0.35">
      <c r="D336" s="57"/>
      <c r="E336" s="58"/>
      <c r="F336" s="59"/>
      <c r="G336" s="59"/>
      <c r="H336" s="59"/>
      <c r="I336" s="60"/>
      <c r="J336" s="61"/>
      <c r="K336" s="61"/>
      <c r="M336" s="9" t="str">
        <f t="shared" si="61"/>
        <v/>
      </c>
      <c r="N336" s="5" t="str">
        <f t="shared" si="60"/>
        <v/>
      </c>
      <c r="O336" s="5" t="str">
        <f t="shared" si="66"/>
        <v/>
      </c>
      <c r="Q336" s="5" t="str">
        <f>'CNAE_Cód.Atividade Econômica'!B325</f>
        <v>Serviços de diagnóstico por imagem sem uso de radiação ionizante, exceto ressonância magnética</v>
      </c>
      <c r="R336" s="5">
        <f t="shared" ca="1" si="62"/>
        <v>0</v>
      </c>
      <c r="S336" s="5" t="str">
        <f t="shared" si="63"/>
        <v>Serviços de diagnóstico por imagem sem uso de radiação ionizante, exceto ressonância magnética</v>
      </c>
      <c r="U336" s="5">
        <f ca="1">COUNTIF(R$10:R336,R336)</f>
        <v>319</v>
      </c>
      <c r="V336" s="5" t="str">
        <f t="shared" ca="1" si="64"/>
        <v>0319</v>
      </c>
      <c r="W336" s="5" t="str">
        <f t="shared" ca="1" si="65"/>
        <v>Serviços de diagnóstico por imagem sem uso de radiação ionizante, exceto ressonância magnética</v>
      </c>
      <c r="Y336" s="5">
        <v>327</v>
      </c>
      <c r="Z336" s="5">
        <f t="shared" ca="1" si="67"/>
        <v>0</v>
      </c>
      <c r="AA336" s="5" t="str">
        <f t="shared" ca="1" si="68"/>
        <v>Guarda-móveis</v>
      </c>
      <c r="AB336" s="5">
        <f ca="1">COUNTIF(R$10:R336,R336)</f>
        <v>319</v>
      </c>
      <c r="AC336" s="5" t="str">
        <f t="shared" ca="1" si="69"/>
        <v>0319</v>
      </c>
      <c r="AD336" s="5" t="str">
        <f t="shared" ca="1" si="70"/>
        <v>Serviços de diagnóstico por imagem sem uso de radiação ionizante, exceto ressonância magnética</v>
      </c>
      <c r="AE336" s="5">
        <f t="shared" ca="1" si="71"/>
        <v>0</v>
      </c>
    </row>
    <row r="337" spans="4:31" ht="15.6" thickTop="1" thickBot="1" x14ac:dyDescent="0.35">
      <c r="D337" s="57"/>
      <c r="E337" s="58"/>
      <c r="F337" s="59"/>
      <c r="G337" s="59"/>
      <c r="H337" s="59"/>
      <c r="I337" s="60"/>
      <c r="J337" s="61"/>
      <c r="K337" s="61"/>
      <c r="M337" s="9" t="str">
        <f t="shared" si="61"/>
        <v/>
      </c>
      <c r="N337" s="5" t="str">
        <f t="shared" si="60"/>
        <v/>
      </c>
      <c r="O337" s="5" t="str">
        <f t="shared" si="66"/>
        <v/>
      </c>
      <c r="Q337" s="5" t="str">
        <f>'CNAE_Cód.Atividade Econômica'!B326</f>
        <v>Serviços de diagnóstico por registro gráfico – ECG, EEG e outros exames análogos</v>
      </c>
      <c r="R337" s="5">
        <f t="shared" ca="1" si="62"/>
        <v>0</v>
      </c>
      <c r="S337" s="5" t="str">
        <f t="shared" si="63"/>
        <v>Serviços de diagnóstico por registro gráfico – ECG, EEG e outros exames análogos</v>
      </c>
      <c r="U337" s="5">
        <f ca="1">COUNTIF(R$10:R337,R337)</f>
        <v>320</v>
      </c>
      <c r="V337" s="5" t="str">
        <f t="shared" ca="1" si="64"/>
        <v>0320</v>
      </c>
      <c r="W337" s="5" t="str">
        <f t="shared" ca="1" si="65"/>
        <v>Serviços de diagnóstico por registro gráfico – ECG, EEG e outros exames análogos</v>
      </c>
      <c r="Y337" s="5">
        <v>328</v>
      </c>
      <c r="Z337" s="5">
        <f t="shared" ca="1" si="67"/>
        <v>0</v>
      </c>
      <c r="AA337" s="5" t="str">
        <f t="shared" ca="1" si="68"/>
        <v>Guarda-móveis</v>
      </c>
      <c r="AB337" s="5">
        <f ca="1">COUNTIF(R$10:R337,R337)</f>
        <v>320</v>
      </c>
      <c r="AC337" s="5" t="str">
        <f t="shared" ca="1" si="69"/>
        <v>0320</v>
      </c>
      <c r="AD337" s="5" t="str">
        <f t="shared" ca="1" si="70"/>
        <v>Serviços de diagnóstico por registro gráfico – ECG, EEG e outros exames análogos</v>
      </c>
      <c r="AE337" s="5">
        <f t="shared" ca="1" si="71"/>
        <v>0</v>
      </c>
    </row>
    <row r="338" spans="4:31" ht="15.6" thickTop="1" thickBot="1" x14ac:dyDescent="0.35">
      <c r="D338" s="57"/>
      <c r="E338" s="58"/>
      <c r="F338" s="59"/>
      <c r="G338" s="59"/>
      <c r="H338" s="59"/>
      <c r="I338" s="60"/>
      <c r="J338" s="61"/>
      <c r="K338" s="61"/>
      <c r="M338" s="9" t="str">
        <f t="shared" si="61"/>
        <v/>
      </c>
      <c r="N338" s="5" t="str">
        <f t="shared" si="60"/>
        <v/>
      </c>
      <c r="O338" s="5" t="str">
        <f t="shared" si="66"/>
        <v/>
      </c>
      <c r="Q338" s="5" t="str">
        <f>'CNAE_Cód.Atividade Econômica'!B327</f>
        <v>Serviços de diagnóstico por métodos ópticos – endoscopia e outros exames análogos</v>
      </c>
      <c r="R338" s="5">
        <f t="shared" ca="1" si="62"/>
        <v>0</v>
      </c>
      <c r="S338" s="5" t="str">
        <f t="shared" si="63"/>
        <v>Serviços de diagnóstico por métodos ópticos – endoscopia e outros exames análogos</v>
      </c>
      <c r="U338" s="5">
        <f ca="1">COUNTIF(R$10:R338,R338)</f>
        <v>321</v>
      </c>
      <c r="V338" s="5" t="str">
        <f t="shared" ca="1" si="64"/>
        <v>0321</v>
      </c>
      <c r="W338" s="5" t="str">
        <f t="shared" ca="1" si="65"/>
        <v>Serviços de diagnóstico por métodos ópticos – endoscopia e outros exames análogos</v>
      </c>
      <c r="Y338" s="5">
        <v>329</v>
      </c>
      <c r="Z338" s="5">
        <f t="shared" ca="1" si="67"/>
        <v>0</v>
      </c>
      <c r="AA338" s="5" t="str">
        <f t="shared" ca="1" si="68"/>
        <v>Guarda-móveis</v>
      </c>
      <c r="AB338" s="5">
        <f ca="1">COUNTIF(R$10:R338,R338)</f>
        <v>321</v>
      </c>
      <c r="AC338" s="5" t="str">
        <f t="shared" ca="1" si="69"/>
        <v>0321</v>
      </c>
      <c r="AD338" s="5" t="str">
        <f t="shared" ca="1" si="70"/>
        <v>Serviços de diagnóstico por métodos ópticos – endoscopia e outros exames análogos</v>
      </c>
      <c r="AE338" s="5">
        <f t="shared" ca="1" si="71"/>
        <v>0</v>
      </c>
    </row>
    <row r="339" spans="4:31" ht="15.6" thickTop="1" thickBot="1" x14ac:dyDescent="0.35">
      <c r="D339" s="57"/>
      <c r="E339" s="58"/>
      <c r="F339" s="59"/>
      <c r="G339" s="59"/>
      <c r="H339" s="59"/>
      <c r="I339" s="60"/>
      <c r="J339" s="61"/>
      <c r="K339" s="61"/>
      <c r="M339" s="9" t="str">
        <f t="shared" si="61"/>
        <v/>
      </c>
      <c r="N339" s="5" t="str">
        <f t="shared" si="60"/>
        <v/>
      </c>
      <c r="O339" s="5" t="str">
        <f t="shared" si="66"/>
        <v/>
      </c>
      <c r="Q339" s="5" t="str">
        <f>'CNAE_Cód.Atividade Econômica'!B328</f>
        <v>Serviços de quimioterapia</v>
      </c>
      <c r="R339" s="5">
        <f t="shared" ca="1" si="62"/>
        <v>0</v>
      </c>
      <c r="S339" s="5" t="str">
        <f t="shared" si="63"/>
        <v>Serviços de quimioterapia</v>
      </c>
      <c r="U339" s="5">
        <f ca="1">COUNTIF(R$10:R339,R339)</f>
        <v>322</v>
      </c>
      <c r="V339" s="5" t="str">
        <f t="shared" ca="1" si="64"/>
        <v>0322</v>
      </c>
      <c r="W339" s="5" t="str">
        <f t="shared" ca="1" si="65"/>
        <v>Serviços de quimioterapia</v>
      </c>
      <c r="Y339" s="5">
        <v>330</v>
      </c>
      <c r="Z339" s="5">
        <f t="shared" ca="1" si="67"/>
        <v>0</v>
      </c>
      <c r="AA339" s="5" t="str">
        <f t="shared" ca="1" si="68"/>
        <v>Guarda-móveis</v>
      </c>
      <c r="AB339" s="5">
        <f ca="1">COUNTIF(R$10:R339,R339)</f>
        <v>322</v>
      </c>
      <c r="AC339" s="5" t="str">
        <f t="shared" ca="1" si="69"/>
        <v>0322</v>
      </c>
      <c r="AD339" s="5" t="str">
        <f t="shared" ca="1" si="70"/>
        <v>Serviços de quimioterapia</v>
      </c>
      <c r="AE339" s="5">
        <f t="shared" ca="1" si="71"/>
        <v>0</v>
      </c>
    </row>
    <row r="340" spans="4:31" ht="15.6" thickTop="1" thickBot="1" x14ac:dyDescent="0.35">
      <c r="D340" s="57"/>
      <c r="E340" s="58"/>
      <c r="F340" s="59"/>
      <c r="G340" s="59"/>
      <c r="H340" s="59"/>
      <c r="I340" s="60"/>
      <c r="J340" s="61"/>
      <c r="K340" s="61"/>
      <c r="M340" s="9" t="str">
        <f t="shared" si="61"/>
        <v/>
      </c>
      <c r="N340" s="5" t="str">
        <f t="shared" si="60"/>
        <v/>
      </c>
      <c r="O340" s="5" t="str">
        <f t="shared" si="66"/>
        <v/>
      </c>
      <c r="Q340" s="5" t="str">
        <f>'CNAE_Cód.Atividade Econômica'!B329</f>
        <v>Serviços de radioterapia</v>
      </c>
      <c r="R340" s="5">
        <f t="shared" ca="1" si="62"/>
        <v>0</v>
      </c>
      <c r="S340" s="5" t="str">
        <f t="shared" si="63"/>
        <v>Serviços de radioterapia</v>
      </c>
      <c r="U340" s="5">
        <f ca="1">COUNTIF(R$10:R340,R340)</f>
        <v>323</v>
      </c>
      <c r="V340" s="5" t="str">
        <f t="shared" ca="1" si="64"/>
        <v>0323</v>
      </c>
      <c r="W340" s="5" t="str">
        <f t="shared" ca="1" si="65"/>
        <v>Serviços de radioterapia</v>
      </c>
      <c r="Y340" s="5">
        <v>331</v>
      </c>
      <c r="Z340" s="5">
        <f t="shared" ca="1" si="67"/>
        <v>0</v>
      </c>
      <c r="AA340" s="5" t="str">
        <f t="shared" ca="1" si="68"/>
        <v>Guarda-móveis</v>
      </c>
      <c r="AB340" s="5">
        <f ca="1">COUNTIF(R$10:R340,R340)</f>
        <v>323</v>
      </c>
      <c r="AC340" s="5" t="str">
        <f t="shared" ca="1" si="69"/>
        <v>0323</v>
      </c>
      <c r="AD340" s="5" t="str">
        <f t="shared" ca="1" si="70"/>
        <v>Serviços de radioterapia</v>
      </c>
      <c r="AE340" s="5">
        <f t="shared" ca="1" si="71"/>
        <v>0</v>
      </c>
    </row>
    <row r="341" spans="4:31" ht="15.6" thickTop="1" thickBot="1" x14ac:dyDescent="0.35">
      <c r="D341" s="57"/>
      <c r="E341" s="58"/>
      <c r="F341" s="59"/>
      <c r="G341" s="59"/>
      <c r="H341" s="59"/>
      <c r="I341" s="60"/>
      <c r="J341" s="61"/>
      <c r="K341" s="61"/>
      <c r="M341" s="9" t="str">
        <f t="shared" si="61"/>
        <v/>
      </c>
      <c r="N341" s="5" t="str">
        <f t="shared" si="60"/>
        <v/>
      </c>
      <c r="O341" s="5" t="str">
        <f t="shared" si="66"/>
        <v/>
      </c>
      <c r="Q341" s="5" t="str">
        <f>'CNAE_Cód.Atividade Econômica'!B330</f>
        <v>Serviços de hemoterapia</v>
      </c>
      <c r="R341" s="5">
        <f t="shared" ca="1" si="62"/>
        <v>0</v>
      </c>
      <c r="S341" s="5" t="str">
        <f t="shared" si="63"/>
        <v>Serviços de hemoterapia</v>
      </c>
      <c r="U341" s="5">
        <f ca="1">COUNTIF(R$10:R341,R341)</f>
        <v>324</v>
      </c>
      <c r="V341" s="5" t="str">
        <f t="shared" ca="1" si="64"/>
        <v>0324</v>
      </c>
      <c r="W341" s="5" t="str">
        <f t="shared" ca="1" si="65"/>
        <v>Serviços de hemoterapia</v>
      </c>
      <c r="Y341" s="5">
        <v>332</v>
      </c>
      <c r="Z341" s="5">
        <f t="shared" ca="1" si="67"/>
        <v>0</v>
      </c>
      <c r="AA341" s="5" t="str">
        <f t="shared" ca="1" si="68"/>
        <v>Guarda-móveis</v>
      </c>
      <c r="AB341" s="5">
        <f ca="1">COUNTIF(R$10:R341,R341)</f>
        <v>324</v>
      </c>
      <c r="AC341" s="5" t="str">
        <f t="shared" ca="1" si="69"/>
        <v>0324</v>
      </c>
      <c r="AD341" s="5" t="str">
        <f t="shared" ca="1" si="70"/>
        <v>Serviços de hemoterapia</v>
      </c>
      <c r="AE341" s="5">
        <f t="shared" ca="1" si="71"/>
        <v>0</v>
      </c>
    </row>
    <row r="342" spans="4:31" ht="15.6" thickTop="1" thickBot="1" x14ac:dyDescent="0.35">
      <c r="D342" s="57"/>
      <c r="E342" s="58"/>
      <c r="F342" s="59"/>
      <c r="G342" s="59"/>
      <c r="H342" s="59"/>
      <c r="I342" s="60"/>
      <c r="J342" s="61"/>
      <c r="K342" s="61"/>
      <c r="M342" s="9" t="str">
        <f t="shared" si="61"/>
        <v/>
      </c>
      <c r="N342" s="5" t="str">
        <f t="shared" si="60"/>
        <v/>
      </c>
      <c r="O342" s="5" t="str">
        <f t="shared" si="66"/>
        <v/>
      </c>
      <c r="Q342" s="5" t="str">
        <f>'CNAE_Cód.Atividade Econômica'!B331</f>
        <v>Serviços de litotripsia</v>
      </c>
      <c r="R342" s="5">
        <f t="shared" ca="1" si="62"/>
        <v>0</v>
      </c>
      <c r="S342" s="5" t="str">
        <f t="shared" si="63"/>
        <v>Serviços de litotripsia</v>
      </c>
      <c r="U342" s="5">
        <f ca="1">COUNTIF(R$10:R342,R342)</f>
        <v>325</v>
      </c>
      <c r="V342" s="5" t="str">
        <f t="shared" ca="1" si="64"/>
        <v>0325</v>
      </c>
      <c r="W342" s="5" t="str">
        <f t="shared" ca="1" si="65"/>
        <v>Serviços de litotripsia</v>
      </c>
      <c r="Y342" s="5">
        <v>333</v>
      </c>
      <c r="Z342" s="5">
        <f t="shared" ca="1" si="67"/>
        <v>0</v>
      </c>
      <c r="AA342" s="5" t="str">
        <f t="shared" ca="1" si="68"/>
        <v>Guarda-móveis</v>
      </c>
      <c r="AB342" s="5">
        <f ca="1">COUNTIF(R$10:R342,R342)</f>
        <v>325</v>
      </c>
      <c r="AC342" s="5" t="str">
        <f t="shared" ca="1" si="69"/>
        <v>0325</v>
      </c>
      <c r="AD342" s="5" t="str">
        <f t="shared" ca="1" si="70"/>
        <v>Serviços de litotripsia</v>
      </c>
      <c r="AE342" s="5">
        <f t="shared" ca="1" si="71"/>
        <v>0</v>
      </c>
    </row>
    <row r="343" spans="4:31" ht="15.6" thickTop="1" thickBot="1" x14ac:dyDescent="0.35">
      <c r="D343" s="57"/>
      <c r="E343" s="58"/>
      <c r="F343" s="59"/>
      <c r="G343" s="59"/>
      <c r="H343" s="59"/>
      <c r="I343" s="60"/>
      <c r="J343" s="61"/>
      <c r="K343" s="61"/>
      <c r="M343" s="9" t="str">
        <f t="shared" si="61"/>
        <v/>
      </c>
      <c r="N343" s="5" t="str">
        <f t="shared" ref="N343:N406" si="72">IF(H343="","",H343)</f>
        <v/>
      </c>
      <c r="O343" s="5" t="str">
        <f t="shared" si="66"/>
        <v/>
      </c>
      <c r="Q343" s="5" t="str">
        <f>'CNAE_Cód.Atividade Econômica'!B332</f>
        <v>Serviços de bancos de células e tecidos humanos</v>
      </c>
      <c r="R343" s="5">
        <f t="shared" ca="1" si="62"/>
        <v>0</v>
      </c>
      <c r="S343" s="5" t="str">
        <f t="shared" si="63"/>
        <v>Serviços de bancos de células e tecidos humanos</v>
      </c>
      <c r="U343" s="5">
        <f ca="1">COUNTIF(R$10:R343,R343)</f>
        <v>326</v>
      </c>
      <c r="V343" s="5" t="str">
        <f t="shared" ca="1" si="64"/>
        <v>0326</v>
      </c>
      <c r="W343" s="5" t="str">
        <f t="shared" ca="1" si="65"/>
        <v>Serviços de bancos de células e tecidos humanos</v>
      </c>
      <c r="Y343" s="5">
        <v>334</v>
      </c>
      <c r="Z343" s="5">
        <f t="shared" ca="1" si="67"/>
        <v>0</v>
      </c>
      <c r="AA343" s="5" t="str">
        <f t="shared" ca="1" si="68"/>
        <v>Guarda-móveis</v>
      </c>
      <c r="AB343" s="5">
        <f ca="1">COUNTIF(R$10:R343,R343)</f>
        <v>326</v>
      </c>
      <c r="AC343" s="5" t="str">
        <f t="shared" ca="1" si="69"/>
        <v>0326</v>
      </c>
      <c r="AD343" s="5" t="str">
        <f t="shared" ca="1" si="70"/>
        <v>Serviços de bancos de células e tecidos humanos</v>
      </c>
      <c r="AE343" s="5">
        <f t="shared" ca="1" si="71"/>
        <v>0</v>
      </c>
    </row>
    <row r="344" spans="4:31" ht="15.6" thickTop="1" thickBot="1" x14ac:dyDescent="0.35">
      <c r="D344" s="57"/>
      <c r="E344" s="58"/>
      <c r="F344" s="59"/>
      <c r="G344" s="59"/>
      <c r="H344" s="59"/>
      <c r="I344" s="60"/>
      <c r="J344" s="61"/>
      <c r="K344" s="61"/>
      <c r="M344" s="9" t="str">
        <f t="shared" si="61"/>
        <v/>
      </c>
      <c r="N344" s="5" t="str">
        <f t="shared" si="72"/>
        <v/>
      </c>
      <c r="O344" s="5" t="str">
        <f t="shared" si="66"/>
        <v/>
      </c>
      <c r="Q344" s="5" t="str">
        <f>'CNAE_Cód.Atividade Econômica'!B333</f>
        <v>Atividades de serviços de complementação diagnóstica e terapêutica não especificadas anteriormente</v>
      </c>
      <c r="R344" s="5">
        <f t="shared" ca="1" si="62"/>
        <v>0</v>
      </c>
      <c r="S344" s="5" t="str">
        <f t="shared" si="63"/>
        <v>Atividades de serviços de complementação diagnóstica e terapêutica não especificadas anteriormente</v>
      </c>
      <c r="U344" s="5">
        <f ca="1">COUNTIF(R$10:R344,R344)</f>
        <v>327</v>
      </c>
      <c r="V344" s="5" t="str">
        <f t="shared" ca="1" si="64"/>
        <v>0327</v>
      </c>
      <c r="W344" s="5" t="str">
        <f t="shared" ca="1" si="65"/>
        <v>Atividades de serviços de complementação diagnóstica e terapêutica não especificadas anteriormente</v>
      </c>
      <c r="Y344" s="5">
        <v>335</v>
      </c>
      <c r="Z344" s="5">
        <f t="shared" ca="1" si="67"/>
        <v>0</v>
      </c>
      <c r="AA344" s="5" t="str">
        <f t="shared" ca="1" si="68"/>
        <v>Guarda-móveis</v>
      </c>
      <c r="AB344" s="5">
        <f ca="1">COUNTIF(R$10:R344,R344)</f>
        <v>327</v>
      </c>
      <c r="AC344" s="5" t="str">
        <f t="shared" ca="1" si="69"/>
        <v>0327</v>
      </c>
      <c r="AD344" s="5" t="str">
        <f t="shared" ca="1" si="70"/>
        <v>Atividades de serviços de complementação diagnóstica e terapêutica não especificadas anteriormente</v>
      </c>
      <c r="AE344" s="5">
        <f t="shared" ca="1" si="71"/>
        <v>0</v>
      </c>
    </row>
    <row r="345" spans="4:31" ht="15.6" thickTop="1" thickBot="1" x14ac:dyDescent="0.35">
      <c r="D345" s="57"/>
      <c r="E345" s="58"/>
      <c r="F345" s="59"/>
      <c r="G345" s="59"/>
      <c r="H345" s="59"/>
      <c r="I345" s="60"/>
      <c r="J345" s="61"/>
      <c r="K345" s="61"/>
      <c r="M345" s="9" t="str">
        <f t="shared" si="61"/>
        <v/>
      </c>
      <c r="N345" s="5" t="str">
        <f t="shared" si="72"/>
        <v/>
      </c>
      <c r="O345" s="5" t="str">
        <f t="shared" si="66"/>
        <v/>
      </c>
      <c r="Q345" s="5" t="str">
        <f>'CNAE_Cód.Atividade Econômica'!B334</f>
        <v>Atividades de enfermagem</v>
      </c>
      <c r="R345" s="5">
        <f t="shared" ca="1" si="62"/>
        <v>0</v>
      </c>
      <c r="S345" s="5" t="str">
        <f t="shared" si="63"/>
        <v>Atividades de enfermagem</v>
      </c>
      <c r="U345" s="5">
        <f ca="1">COUNTIF(R$10:R345,R345)</f>
        <v>328</v>
      </c>
      <c r="V345" s="5" t="str">
        <f t="shared" ca="1" si="64"/>
        <v>0328</v>
      </c>
      <c r="W345" s="5" t="str">
        <f t="shared" ca="1" si="65"/>
        <v>Atividades de enfermagem</v>
      </c>
      <c r="Y345" s="5">
        <v>336</v>
      </c>
      <c r="Z345" s="5">
        <f t="shared" ca="1" si="67"/>
        <v>0</v>
      </c>
      <c r="AA345" s="5" t="str">
        <f t="shared" ca="1" si="68"/>
        <v>Guarda-móveis</v>
      </c>
      <c r="AB345" s="5">
        <f ca="1">COUNTIF(R$10:R345,R345)</f>
        <v>328</v>
      </c>
      <c r="AC345" s="5" t="str">
        <f t="shared" ca="1" si="69"/>
        <v>0328</v>
      </c>
      <c r="AD345" s="5" t="str">
        <f t="shared" ca="1" si="70"/>
        <v>Atividades de enfermagem</v>
      </c>
      <c r="AE345" s="5">
        <f t="shared" ca="1" si="71"/>
        <v>0</v>
      </c>
    </row>
    <row r="346" spans="4:31" ht="15.6" thickTop="1" thickBot="1" x14ac:dyDescent="0.35">
      <c r="D346" s="57"/>
      <c r="E346" s="58"/>
      <c r="F346" s="59"/>
      <c r="G346" s="59"/>
      <c r="H346" s="59"/>
      <c r="I346" s="60"/>
      <c r="J346" s="61"/>
      <c r="K346" s="61"/>
      <c r="M346" s="9" t="str">
        <f t="shared" si="61"/>
        <v/>
      </c>
      <c r="N346" s="5" t="str">
        <f t="shared" si="72"/>
        <v/>
      </c>
      <c r="O346" s="5" t="str">
        <f t="shared" si="66"/>
        <v/>
      </c>
      <c r="Q346" s="5" t="str">
        <f>'CNAE_Cód.Atividade Econômica'!B335</f>
        <v>Atividades de profissionais da nutrição</v>
      </c>
      <c r="R346" s="5">
        <f t="shared" ca="1" si="62"/>
        <v>0</v>
      </c>
      <c r="S346" s="5" t="str">
        <f t="shared" si="63"/>
        <v>Atividades de profissionais da nutrição</v>
      </c>
      <c r="U346" s="5">
        <f ca="1">COUNTIF(R$10:R346,R346)</f>
        <v>329</v>
      </c>
      <c r="V346" s="5" t="str">
        <f t="shared" ca="1" si="64"/>
        <v>0329</v>
      </c>
      <c r="W346" s="5" t="str">
        <f t="shared" ca="1" si="65"/>
        <v>Atividades de profissionais da nutrição</v>
      </c>
      <c r="Y346" s="5">
        <v>337</v>
      </c>
      <c r="Z346" s="5">
        <f t="shared" ca="1" si="67"/>
        <v>0</v>
      </c>
      <c r="AA346" s="5" t="str">
        <f t="shared" ca="1" si="68"/>
        <v>Guarda-móveis</v>
      </c>
      <c r="AB346" s="5">
        <f ca="1">COUNTIF(R$10:R346,R346)</f>
        <v>329</v>
      </c>
      <c r="AC346" s="5" t="str">
        <f t="shared" ca="1" si="69"/>
        <v>0329</v>
      </c>
      <c r="AD346" s="5" t="str">
        <f t="shared" ca="1" si="70"/>
        <v>Atividades de profissionais da nutrição</v>
      </c>
      <c r="AE346" s="5">
        <f t="shared" ca="1" si="71"/>
        <v>0</v>
      </c>
    </row>
    <row r="347" spans="4:31" ht="15.6" thickTop="1" thickBot="1" x14ac:dyDescent="0.35">
      <c r="D347" s="57"/>
      <c r="E347" s="58"/>
      <c r="F347" s="59"/>
      <c r="G347" s="59"/>
      <c r="H347" s="59"/>
      <c r="I347" s="60"/>
      <c r="J347" s="61"/>
      <c r="K347" s="61"/>
      <c r="M347" s="9" t="str">
        <f t="shared" si="61"/>
        <v/>
      </c>
      <c r="N347" s="5" t="str">
        <f t="shared" si="72"/>
        <v/>
      </c>
      <c r="O347" s="5" t="str">
        <f t="shared" si="66"/>
        <v/>
      </c>
      <c r="Q347" s="5" t="str">
        <f>'CNAE_Cód.Atividade Econômica'!B336</f>
        <v>Atividades de psicologia e psicanálise</v>
      </c>
      <c r="R347" s="5">
        <f t="shared" ca="1" si="62"/>
        <v>0</v>
      </c>
      <c r="S347" s="5" t="str">
        <f t="shared" si="63"/>
        <v>Atividades de psicologia e psicanálise</v>
      </c>
      <c r="U347" s="5">
        <f ca="1">COUNTIF(R$10:R347,R347)</f>
        <v>330</v>
      </c>
      <c r="V347" s="5" t="str">
        <f t="shared" ca="1" si="64"/>
        <v>0330</v>
      </c>
      <c r="W347" s="5" t="str">
        <f t="shared" ca="1" si="65"/>
        <v>Atividades de psicologia e psicanálise</v>
      </c>
      <c r="Y347" s="5">
        <v>338</v>
      </c>
      <c r="Z347" s="5">
        <f t="shared" ca="1" si="67"/>
        <v>0</v>
      </c>
      <c r="AA347" s="5" t="str">
        <f t="shared" ca="1" si="68"/>
        <v>Guarda-móveis</v>
      </c>
      <c r="AB347" s="5">
        <f ca="1">COUNTIF(R$10:R347,R347)</f>
        <v>330</v>
      </c>
      <c r="AC347" s="5" t="str">
        <f t="shared" ca="1" si="69"/>
        <v>0330</v>
      </c>
      <c r="AD347" s="5" t="str">
        <f t="shared" ca="1" si="70"/>
        <v>Atividades de psicologia e psicanálise</v>
      </c>
      <c r="AE347" s="5">
        <f t="shared" ca="1" si="71"/>
        <v>0</v>
      </c>
    </row>
    <row r="348" spans="4:31" ht="15.6" thickTop="1" thickBot="1" x14ac:dyDescent="0.35">
      <c r="D348" s="57"/>
      <c r="E348" s="58"/>
      <c r="F348" s="59"/>
      <c r="G348" s="59"/>
      <c r="H348" s="59"/>
      <c r="I348" s="60"/>
      <c r="J348" s="61"/>
      <c r="K348" s="61"/>
      <c r="M348" s="9" t="str">
        <f t="shared" si="61"/>
        <v/>
      </c>
      <c r="N348" s="5" t="str">
        <f t="shared" si="72"/>
        <v/>
      </c>
      <c r="O348" s="5" t="str">
        <f t="shared" si="66"/>
        <v/>
      </c>
      <c r="Q348" s="5" t="str">
        <f>'CNAE_Cód.Atividade Econômica'!B337</f>
        <v>Atividades de fisioterapia</v>
      </c>
      <c r="R348" s="5">
        <f t="shared" ca="1" si="62"/>
        <v>0</v>
      </c>
      <c r="S348" s="5" t="str">
        <f t="shared" si="63"/>
        <v>Atividades de fisioterapia</v>
      </c>
      <c r="U348" s="5">
        <f ca="1">COUNTIF(R$10:R348,R348)</f>
        <v>331</v>
      </c>
      <c r="V348" s="5" t="str">
        <f t="shared" ca="1" si="64"/>
        <v>0331</v>
      </c>
      <c r="W348" s="5" t="str">
        <f t="shared" ca="1" si="65"/>
        <v>Atividades de fisioterapia</v>
      </c>
      <c r="Y348" s="5">
        <v>339</v>
      </c>
      <c r="Z348" s="5">
        <f t="shared" ca="1" si="67"/>
        <v>0</v>
      </c>
      <c r="AA348" s="5" t="str">
        <f t="shared" ca="1" si="68"/>
        <v>Guarda-móveis</v>
      </c>
      <c r="AB348" s="5">
        <f ca="1">COUNTIF(R$10:R348,R348)</f>
        <v>331</v>
      </c>
      <c r="AC348" s="5" t="str">
        <f t="shared" ca="1" si="69"/>
        <v>0331</v>
      </c>
      <c r="AD348" s="5" t="str">
        <f t="shared" ca="1" si="70"/>
        <v>Atividades de fisioterapia</v>
      </c>
      <c r="AE348" s="5">
        <f t="shared" ca="1" si="71"/>
        <v>0</v>
      </c>
    </row>
    <row r="349" spans="4:31" ht="15.6" thickTop="1" thickBot="1" x14ac:dyDescent="0.35">
      <c r="D349" s="57"/>
      <c r="E349" s="58"/>
      <c r="F349" s="59"/>
      <c r="G349" s="59"/>
      <c r="H349" s="59"/>
      <c r="I349" s="60"/>
      <c r="J349" s="61"/>
      <c r="K349" s="61"/>
      <c r="M349" s="9" t="str">
        <f t="shared" si="61"/>
        <v/>
      </c>
      <c r="N349" s="5" t="str">
        <f t="shared" si="72"/>
        <v/>
      </c>
      <c r="O349" s="5" t="str">
        <f t="shared" si="66"/>
        <v/>
      </c>
      <c r="Q349" s="5" t="str">
        <f>'CNAE_Cód.Atividade Econômica'!B338</f>
        <v>Atividades de terapia ocupacional</v>
      </c>
      <c r="R349" s="5">
        <f t="shared" ca="1" si="62"/>
        <v>0</v>
      </c>
      <c r="S349" s="5" t="str">
        <f t="shared" si="63"/>
        <v>Atividades de terapia ocupacional</v>
      </c>
      <c r="U349" s="5">
        <f ca="1">COUNTIF(R$10:R349,R349)</f>
        <v>332</v>
      </c>
      <c r="V349" s="5" t="str">
        <f t="shared" ca="1" si="64"/>
        <v>0332</v>
      </c>
      <c r="W349" s="5" t="str">
        <f t="shared" ca="1" si="65"/>
        <v>Atividades de terapia ocupacional</v>
      </c>
      <c r="Y349" s="5">
        <v>340</v>
      </c>
      <c r="Z349" s="5">
        <f t="shared" ca="1" si="67"/>
        <v>0</v>
      </c>
      <c r="AA349" s="5" t="str">
        <f t="shared" ca="1" si="68"/>
        <v>Guarda-móveis</v>
      </c>
      <c r="AB349" s="5">
        <f ca="1">COUNTIF(R$10:R349,R349)</f>
        <v>332</v>
      </c>
      <c r="AC349" s="5" t="str">
        <f t="shared" ca="1" si="69"/>
        <v>0332</v>
      </c>
      <c r="AD349" s="5" t="str">
        <f t="shared" ca="1" si="70"/>
        <v>Atividades de terapia ocupacional</v>
      </c>
      <c r="AE349" s="5">
        <f t="shared" ca="1" si="71"/>
        <v>0</v>
      </c>
    </row>
    <row r="350" spans="4:31" ht="15.6" thickTop="1" thickBot="1" x14ac:dyDescent="0.35">
      <c r="D350" s="57"/>
      <c r="E350" s="58"/>
      <c r="F350" s="59"/>
      <c r="G350" s="59"/>
      <c r="H350" s="59"/>
      <c r="I350" s="60"/>
      <c r="J350" s="61"/>
      <c r="K350" s="61"/>
      <c r="M350" s="9" t="str">
        <f t="shared" si="61"/>
        <v/>
      </c>
      <c r="N350" s="5" t="str">
        <f t="shared" si="72"/>
        <v/>
      </c>
      <c r="O350" s="5" t="str">
        <f t="shared" si="66"/>
        <v/>
      </c>
      <c r="Q350" s="5" t="str">
        <f>'CNAE_Cód.Atividade Econômica'!B339</f>
        <v>Atividades de fonoaudiologia</v>
      </c>
      <c r="R350" s="5">
        <f t="shared" ca="1" si="62"/>
        <v>0</v>
      </c>
      <c r="S350" s="5" t="str">
        <f t="shared" si="63"/>
        <v>Atividades de fonoaudiologia</v>
      </c>
      <c r="U350" s="5">
        <f ca="1">COUNTIF(R$10:R350,R350)</f>
        <v>333</v>
      </c>
      <c r="V350" s="5" t="str">
        <f t="shared" ca="1" si="64"/>
        <v>0333</v>
      </c>
      <c r="W350" s="5" t="str">
        <f t="shared" ca="1" si="65"/>
        <v>Atividades de fonoaudiologia</v>
      </c>
      <c r="Y350" s="5">
        <v>341</v>
      </c>
      <c r="Z350" s="5">
        <f t="shared" ca="1" si="67"/>
        <v>0</v>
      </c>
      <c r="AA350" s="5" t="str">
        <f t="shared" ca="1" si="68"/>
        <v>Guarda-móveis</v>
      </c>
      <c r="AB350" s="5">
        <f ca="1">COUNTIF(R$10:R350,R350)</f>
        <v>333</v>
      </c>
      <c r="AC350" s="5" t="str">
        <f t="shared" ca="1" si="69"/>
        <v>0333</v>
      </c>
      <c r="AD350" s="5" t="str">
        <f t="shared" ca="1" si="70"/>
        <v>Atividades de fonoaudiologia</v>
      </c>
      <c r="AE350" s="5">
        <f t="shared" ca="1" si="71"/>
        <v>0</v>
      </c>
    </row>
    <row r="351" spans="4:31" ht="15.6" thickTop="1" thickBot="1" x14ac:dyDescent="0.35">
      <c r="D351" s="57"/>
      <c r="E351" s="58"/>
      <c r="F351" s="59"/>
      <c r="G351" s="59"/>
      <c r="H351" s="59"/>
      <c r="I351" s="60"/>
      <c r="J351" s="61"/>
      <c r="K351" s="61"/>
      <c r="M351" s="9" t="str">
        <f t="shared" si="61"/>
        <v/>
      </c>
      <c r="N351" s="5" t="str">
        <f t="shared" si="72"/>
        <v/>
      </c>
      <c r="O351" s="5" t="str">
        <f t="shared" si="66"/>
        <v/>
      </c>
      <c r="Q351" s="5" t="str">
        <f>'CNAE_Cód.Atividade Econômica'!B340</f>
        <v>Atividades de terapia de nutrição enteral e parenteral</v>
      </c>
      <c r="R351" s="5">
        <f t="shared" ca="1" si="62"/>
        <v>0</v>
      </c>
      <c r="S351" s="5" t="str">
        <f t="shared" si="63"/>
        <v>Atividades de terapia de nutrição enteral e parenteral</v>
      </c>
      <c r="U351" s="5">
        <f ca="1">COUNTIF(R$10:R351,R351)</f>
        <v>334</v>
      </c>
      <c r="V351" s="5" t="str">
        <f t="shared" ca="1" si="64"/>
        <v>0334</v>
      </c>
      <c r="W351" s="5" t="str">
        <f t="shared" ca="1" si="65"/>
        <v>Atividades de terapia de nutrição enteral e parenteral</v>
      </c>
      <c r="Y351" s="5">
        <v>342</v>
      </c>
      <c r="Z351" s="5">
        <f t="shared" ca="1" si="67"/>
        <v>0</v>
      </c>
      <c r="AA351" s="5" t="str">
        <f t="shared" ca="1" si="68"/>
        <v>Guarda-móveis</v>
      </c>
      <c r="AB351" s="5">
        <f ca="1">COUNTIF(R$10:R351,R351)</f>
        <v>334</v>
      </c>
      <c r="AC351" s="5" t="str">
        <f t="shared" ca="1" si="69"/>
        <v>0334</v>
      </c>
      <c r="AD351" s="5" t="str">
        <f t="shared" ca="1" si="70"/>
        <v>Atividades de terapia de nutrição enteral e parenteral</v>
      </c>
      <c r="AE351" s="5">
        <f t="shared" ca="1" si="71"/>
        <v>0</v>
      </c>
    </row>
    <row r="352" spans="4:31" ht="15.6" thickTop="1" thickBot="1" x14ac:dyDescent="0.35">
      <c r="D352" s="57"/>
      <c r="E352" s="58"/>
      <c r="F352" s="59"/>
      <c r="G352" s="59"/>
      <c r="H352" s="59"/>
      <c r="I352" s="60"/>
      <c r="J352" s="61"/>
      <c r="K352" s="61"/>
      <c r="M352" s="9" t="str">
        <f t="shared" si="61"/>
        <v/>
      </c>
      <c r="N352" s="5" t="str">
        <f t="shared" si="72"/>
        <v/>
      </c>
      <c r="O352" s="5" t="str">
        <f t="shared" si="66"/>
        <v/>
      </c>
      <c r="Q352" s="5" t="str">
        <f>'CNAE_Cód.Atividade Econômica'!B341</f>
        <v>Atividades de profissionais da área de saúde não especificadas anteriormente</v>
      </c>
      <c r="R352" s="5">
        <f t="shared" ca="1" si="62"/>
        <v>0</v>
      </c>
      <c r="S352" s="5" t="str">
        <f t="shared" si="63"/>
        <v>Atividades de profissionais da área de saúde não especificadas anteriormente</v>
      </c>
      <c r="U352" s="5">
        <f ca="1">COUNTIF(R$10:R352,R352)</f>
        <v>335</v>
      </c>
      <c r="V352" s="5" t="str">
        <f t="shared" ca="1" si="64"/>
        <v>0335</v>
      </c>
      <c r="W352" s="5" t="str">
        <f t="shared" ca="1" si="65"/>
        <v>Atividades de profissionais da área de saúde não especificadas anteriormente</v>
      </c>
      <c r="Y352" s="5">
        <v>343</v>
      </c>
      <c r="Z352" s="5">
        <f t="shared" ca="1" si="67"/>
        <v>0</v>
      </c>
      <c r="AA352" s="5" t="str">
        <f t="shared" ca="1" si="68"/>
        <v>Guarda-móveis</v>
      </c>
      <c r="AB352" s="5">
        <f ca="1">COUNTIF(R$10:R352,R352)</f>
        <v>335</v>
      </c>
      <c r="AC352" s="5" t="str">
        <f t="shared" ca="1" si="69"/>
        <v>0335</v>
      </c>
      <c r="AD352" s="5" t="str">
        <f t="shared" ca="1" si="70"/>
        <v>Atividades de profissionais da área de saúde não especificadas anteriormente</v>
      </c>
      <c r="AE352" s="5">
        <f t="shared" ca="1" si="71"/>
        <v>0</v>
      </c>
    </row>
    <row r="353" spans="4:31" ht="15.6" thickTop="1" thickBot="1" x14ac:dyDescent="0.35">
      <c r="D353" s="57"/>
      <c r="E353" s="58"/>
      <c r="F353" s="59"/>
      <c r="G353" s="59"/>
      <c r="H353" s="59"/>
      <c r="I353" s="60"/>
      <c r="J353" s="61"/>
      <c r="K353" s="61"/>
      <c r="M353" s="9" t="str">
        <f t="shared" si="61"/>
        <v/>
      </c>
      <c r="N353" s="5" t="str">
        <f t="shared" si="72"/>
        <v/>
      </c>
      <c r="O353" s="5" t="str">
        <f t="shared" si="66"/>
        <v/>
      </c>
      <c r="Q353" s="5" t="str">
        <f>'CNAE_Cód.Atividade Econômica'!B342</f>
        <v>Atividades de apoio à gestão de saúde</v>
      </c>
      <c r="R353" s="5">
        <f t="shared" ca="1" si="62"/>
        <v>0</v>
      </c>
      <c r="S353" s="5" t="str">
        <f t="shared" si="63"/>
        <v>Atividades de apoio à gestão de saúde</v>
      </c>
      <c r="U353" s="5">
        <f ca="1">COUNTIF(R$10:R353,R353)</f>
        <v>336</v>
      </c>
      <c r="V353" s="5" t="str">
        <f t="shared" ca="1" si="64"/>
        <v>0336</v>
      </c>
      <c r="W353" s="5" t="str">
        <f t="shared" ca="1" si="65"/>
        <v>Atividades de apoio à gestão de saúde</v>
      </c>
      <c r="Y353" s="5">
        <v>344</v>
      </c>
      <c r="Z353" s="5">
        <f t="shared" ca="1" si="67"/>
        <v>0</v>
      </c>
      <c r="AA353" s="5" t="str">
        <f t="shared" ca="1" si="68"/>
        <v>Guarda-móveis</v>
      </c>
      <c r="AB353" s="5">
        <f ca="1">COUNTIF(R$10:R353,R353)</f>
        <v>336</v>
      </c>
      <c r="AC353" s="5" t="str">
        <f t="shared" ca="1" si="69"/>
        <v>0336</v>
      </c>
      <c r="AD353" s="5" t="str">
        <f t="shared" ca="1" si="70"/>
        <v>Atividades de apoio à gestão de saúde</v>
      </c>
      <c r="AE353" s="5">
        <f t="shared" ca="1" si="71"/>
        <v>0</v>
      </c>
    </row>
    <row r="354" spans="4:31" ht="15.6" thickTop="1" thickBot="1" x14ac:dyDescent="0.35">
      <c r="D354" s="57"/>
      <c r="E354" s="58"/>
      <c r="F354" s="59"/>
      <c r="G354" s="59"/>
      <c r="H354" s="59"/>
      <c r="I354" s="60"/>
      <c r="J354" s="61"/>
      <c r="K354" s="61"/>
      <c r="M354" s="9" t="str">
        <f t="shared" si="61"/>
        <v/>
      </c>
      <c r="N354" s="5" t="str">
        <f t="shared" si="72"/>
        <v/>
      </c>
      <c r="O354" s="5" t="str">
        <f t="shared" si="66"/>
        <v/>
      </c>
      <c r="Q354" s="5" t="str">
        <f>'CNAE_Cód.Atividade Econômica'!B343</f>
        <v>Atividades de práticas integrativas e complementares em saúde humana</v>
      </c>
      <c r="R354" s="5">
        <f t="shared" ca="1" si="62"/>
        <v>0</v>
      </c>
      <c r="S354" s="5" t="str">
        <f t="shared" si="63"/>
        <v>Atividades de práticas integrativas e complementares em saúde humana</v>
      </c>
      <c r="U354" s="5">
        <f ca="1">COUNTIF(R$10:R354,R354)</f>
        <v>337</v>
      </c>
      <c r="V354" s="5" t="str">
        <f t="shared" ca="1" si="64"/>
        <v>0337</v>
      </c>
      <c r="W354" s="5" t="str">
        <f t="shared" ca="1" si="65"/>
        <v>Atividades de práticas integrativas e complementares em saúde humana</v>
      </c>
      <c r="Y354" s="5">
        <v>345</v>
      </c>
      <c r="Z354" s="5">
        <f t="shared" ca="1" si="67"/>
        <v>0</v>
      </c>
      <c r="AA354" s="5" t="str">
        <f t="shared" ca="1" si="68"/>
        <v>Guarda-móveis</v>
      </c>
      <c r="AB354" s="5">
        <f ca="1">COUNTIF(R$10:R354,R354)</f>
        <v>337</v>
      </c>
      <c r="AC354" s="5" t="str">
        <f t="shared" ca="1" si="69"/>
        <v>0337</v>
      </c>
      <c r="AD354" s="5" t="str">
        <f t="shared" ca="1" si="70"/>
        <v>Atividades de práticas integrativas e complementares em saúde humana</v>
      </c>
      <c r="AE354" s="5">
        <f t="shared" ca="1" si="71"/>
        <v>0</v>
      </c>
    </row>
    <row r="355" spans="4:31" ht="15.6" thickTop="1" thickBot="1" x14ac:dyDescent="0.35">
      <c r="D355" s="57"/>
      <c r="E355" s="58"/>
      <c r="F355" s="59"/>
      <c r="G355" s="59"/>
      <c r="H355" s="59"/>
      <c r="I355" s="60"/>
      <c r="J355" s="61"/>
      <c r="K355" s="61"/>
      <c r="M355" s="9" t="str">
        <f t="shared" si="61"/>
        <v/>
      </c>
      <c r="N355" s="5" t="str">
        <f t="shared" si="72"/>
        <v/>
      </c>
      <c r="O355" s="5" t="str">
        <f t="shared" si="66"/>
        <v/>
      </c>
      <c r="Q355" s="5" t="str">
        <f>'CNAE_Cód.Atividade Econômica'!B344</f>
        <v>Atividades de banco de leite humano</v>
      </c>
      <c r="R355" s="5">
        <f t="shared" ca="1" si="62"/>
        <v>0</v>
      </c>
      <c r="S355" s="5" t="str">
        <f t="shared" si="63"/>
        <v>Atividades de banco de leite humano</v>
      </c>
      <c r="U355" s="5">
        <f ca="1">COUNTIF(R$10:R355,R355)</f>
        <v>338</v>
      </c>
      <c r="V355" s="5" t="str">
        <f t="shared" ca="1" si="64"/>
        <v>0338</v>
      </c>
      <c r="W355" s="5" t="str">
        <f t="shared" ca="1" si="65"/>
        <v>Atividades de banco de leite humano</v>
      </c>
      <c r="Y355" s="5">
        <v>346</v>
      </c>
      <c r="Z355" s="5">
        <f t="shared" ca="1" si="67"/>
        <v>0</v>
      </c>
      <c r="AA355" s="5" t="str">
        <f t="shared" ca="1" si="68"/>
        <v>Guarda-móveis</v>
      </c>
      <c r="AB355" s="5">
        <f ca="1">COUNTIF(R$10:R355,R355)</f>
        <v>338</v>
      </c>
      <c r="AC355" s="5" t="str">
        <f t="shared" ca="1" si="69"/>
        <v>0338</v>
      </c>
      <c r="AD355" s="5" t="str">
        <f t="shared" ca="1" si="70"/>
        <v>Atividades de banco de leite humano</v>
      </c>
      <c r="AE355" s="5">
        <f t="shared" ca="1" si="71"/>
        <v>0</v>
      </c>
    </row>
    <row r="356" spans="4:31" ht="15.6" thickTop="1" thickBot="1" x14ac:dyDescent="0.35">
      <c r="D356" s="57"/>
      <c r="E356" s="58"/>
      <c r="F356" s="59"/>
      <c r="G356" s="59"/>
      <c r="H356" s="59"/>
      <c r="I356" s="60"/>
      <c r="J356" s="61"/>
      <c r="K356" s="61"/>
      <c r="M356" s="9" t="str">
        <f t="shared" si="61"/>
        <v/>
      </c>
      <c r="N356" s="5" t="str">
        <f t="shared" si="72"/>
        <v/>
      </c>
      <c r="O356" s="5" t="str">
        <f t="shared" si="66"/>
        <v/>
      </c>
      <c r="Q356" s="5" t="str">
        <f>'CNAE_Cód.Atividade Econômica'!B345</f>
        <v>Atividades de acupuntura</v>
      </c>
      <c r="R356" s="5">
        <f t="shared" ca="1" si="62"/>
        <v>0</v>
      </c>
      <c r="S356" s="5" t="str">
        <f t="shared" si="63"/>
        <v>Atividades de acupuntura</v>
      </c>
      <c r="U356" s="5">
        <f ca="1">COUNTIF(R$10:R356,R356)</f>
        <v>339</v>
      </c>
      <c r="V356" s="5" t="str">
        <f t="shared" ca="1" si="64"/>
        <v>0339</v>
      </c>
      <c r="W356" s="5" t="str">
        <f t="shared" ca="1" si="65"/>
        <v>Atividades de acupuntura</v>
      </c>
      <c r="Y356" s="5">
        <v>347</v>
      </c>
      <c r="Z356" s="5">
        <f t="shared" ca="1" si="67"/>
        <v>0</v>
      </c>
      <c r="AA356" s="5" t="str">
        <f t="shared" ca="1" si="68"/>
        <v>Guarda-móveis</v>
      </c>
      <c r="AB356" s="5">
        <f ca="1">COUNTIF(R$10:R356,R356)</f>
        <v>339</v>
      </c>
      <c r="AC356" s="5" t="str">
        <f t="shared" ca="1" si="69"/>
        <v>0339</v>
      </c>
      <c r="AD356" s="5" t="str">
        <f t="shared" ca="1" si="70"/>
        <v>Atividades de acupuntura</v>
      </c>
      <c r="AE356" s="5">
        <f t="shared" ca="1" si="71"/>
        <v>0</v>
      </c>
    </row>
    <row r="357" spans="4:31" ht="15.6" thickTop="1" thickBot="1" x14ac:dyDescent="0.35">
      <c r="D357" s="57"/>
      <c r="E357" s="58"/>
      <c r="F357" s="59"/>
      <c r="G357" s="59"/>
      <c r="H357" s="59"/>
      <c r="I357" s="60"/>
      <c r="J357" s="61"/>
      <c r="K357" s="61"/>
      <c r="M357" s="9" t="str">
        <f t="shared" si="61"/>
        <v/>
      </c>
      <c r="N357" s="5" t="str">
        <f t="shared" si="72"/>
        <v/>
      </c>
      <c r="O357" s="5" t="str">
        <f t="shared" si="66"/>
        <v/>
      </c>
      <c r="Q357" s="5" t="str">
        <f>'CNAE_Cód.Atividade Econômica'!B346</f>
        <v>Atividades de podologia</v>
      </c>
      <c r="R357" s="5">
        <f t="shared" ca="1" si="62"/>
        <v>0</v>
      </c>
      <c r="S357" s="5" t="str">
        <f t="shared" si="63"/>
        <v>Atividades de podologia</v>
      </c>
      <c r="U357" s="5">
        <f ca="1">COUNTIF(R$10:R357,R357)</f>
        <v>340</v>
      </c>
      <c r="V357" s="5" t="str">
        <f t="shared" ca="1" si="64"/>
        <v>0340</v>
      </c>
      <c r="W357" s="5" t="str">
        <f t="shared" ca="1" si="65"/>
        <v>Atividades de podologia</v>
      </c>
      <c r="Y357" s="5">
        <v>348</v>
      </c>
      <c r="Z357" s="5">
        <f t="shared" ca="1" si="67"/>
        <v>0</v>
      </c>
      <c r="AA357" s="5" t="str">
        <f t="shared" ca="1" si="68"/>
        <v>Guarda-móveis</v>
      </c>
      <c r="AB357" s="5">
        <f ca="1">COUNTIF(R$10:R357,R357)</f>
        <v>340</v>
      </c>
      <c r="AC357" s="5" t="str">
        <f t="shared" ca="1" si="69"/>
        <v>0340</v>
      </c>
      <c r="AD357" s="5" t="str">
        <f t="shared" ca="1" si="70"/>
        <v>Atividades de podologia</v>
      </c>
      <c r="AE357" s="5">
        <f t="shared" ca="1" si="71"/>
        <v>0</v>
      </c>
    </row>
    <row r="358" spans="4:31" ht="15.6" thickTop="1" thickBot="1" x14ac:dyDescent="0.35">
      <c r="D358" s="57"/>
      <c r="E358" s="58"/>
      <c r="F358" s="59"/>
      <c r="G358" s="59"/>
      <c r="H358" s="59"/>
      <c r="I358" s="60"/>
      <c r="J358" s="61"/>
      <c r="K358" s="61"/>
      <c r="M358" s="9" t="str">
        <f t="shared" si="61"/>
        <v/>
      </c>
      <c r="N358" s="5" t="str">
        <f t="shared" si="72"/>
        <v/>
      </c>
      <c r="O358" s="5" t="str">
        <f t="shared" si="66"/>
        <v/>
      </c>
      <c r="Q358" s="5" t="str">
        <f>'CNAE_Cód.Atividade Econômica'!B347</f>
        <v>Outras atividades de atenção à saúde humana não especificadas anteriormente</v>
      </c>
      <c r="R358" s="5">
        <f t="shared" ca="1" si="62"/>
        <v>0</v>
      </c>
      <c r="S358" s="5" t="str">
        <f t="shared" si="63"/>
        <v>Outras atividades de atenção à saúde humana não especificadas anteriormente</v>
      </c>
      <c r="U358" s="5">
        <f ca="1">COUNTIF(R$10:R358,R358)</f>
        <v>341</v>
      </c>
      <c r="V358" s="5" t="str">
        <f t="shared" ca="1" si="64"/>
        <v>0341</v>
      </c>
      <c r="W358" s="5" t="str">
        <f t="shared" ca="1" si="65"/>
        <v>Outras atividades de atenção à saúde humana não especificadas anteriormente</v>
      </c>
      <c r="Y358" s="5">
        <v>349</v>
      </c>
      <c r="Z358" s="5">
        <f t="shared" ca="1" si="67"/>
        <v>0</v>
      </c>
      <c r="AA358" s="5" t="str">
        <f t="shared" ca="1" si="68"/>
        <v>Guarda-móveis</v>
      </c>
      <c r="AB358" s="5">
        <f ca="1">COUNTIF(R$10:R358,R358)</f>
        <v>341</v>
      </c>
      <c r="AC358" s="5" t="str">
        <f t="shared" ca="1" si="69"/>
        <v>0341</v>
      </c>
      <c r="AD358" s="5" t="str">
        <f t="shared" ca="1" si="70"/>
        <v>Outras atividades de atenção à saúde humana não especificadas anteriormente</v>
      </c>
      <c r="AE358" s="5">
        <f t="shared" ca="1" si="71"/>
        <v>0</v>
      </c>
    </row>
    <row r="359" spans="4:31" ht="15.6" thickTop="1" thickBot="1" x14ac:dyDescent="0.35">
      <c r="D359" s="57"/>
      <c r="E359" s="58"/>
      <c r="F359" s="59"/>
      <c r="G359" s="59"/>
      <c r="H359" s="59"/>
      <c r="I359" s="60"/>
      <c r="J359" s="61"/>
      <c r="K359" s="61"/>
      <c r="M359" s="9" t="str">
        <f t="shared" si="61"/>
        <v/>
      </c>
      <c r="N359" s="5" t="str">
        <f t="shared" si="72"/>
        <v/>
      </c>
      <c r="O359" s="5" t="str">
        <f t="shared" si="66"/>
        <v/>
      </c>
      <c r="Q359" s="5" t="str">
        <f>'CNAE_Cód.Atividade Econômica'!B348</f>
        <v>Clínicas e residências geriátricas</v>
      </c>
      <c r="R359" s="5">
        <f t="shared" ca="1" si="62"/>
        <v>0</v>
      </c>
      <c r="S359" s="5" t="str">
        <f t="shared" si="63"/>
        <v>Clínicas e residências geriátricas</v>
      </c>
      <c r="U359" s="5">
        <f ca="1">COUNTIF(R$10:R359,R359)</f>
        <v>342</v>
      </c>
      <c r="V359" s="5" t="str">
        <f t="shared" ca="1" si="64"/>
        <v>0342</v>
      </c>
      <c r="W359" s="5" t="str">
        <f t="shared" ca="1" si="65"/>
        <v>Clínicas e residências geriátricas</v>
      </c>
      <c r="Y359" s="5">
        <v>350</v>
      </c>
      <c r="Z359" s="5">
        <f t="shared" ca="1" si="67"/>
        <v>0</v>
      </c>
      <c r="AA359" s="5" t="str">
        <f t="shared" ca="1" si="68"/>
        <v>Guarda-móveis</v>
      </c>
      <c r="AB359" s="5">
        <f ca="1">COUNTIF(R$10:R359,R359)</f>
        <v>342</v>
      </c>
      <c r="AC359" s="5" t="str">
        <f t="shared" ca="1" si="69"/>
        <v>0342</v>
      </c>
      <c r="AD359" s="5" t="str">
        <f t="shared" ca="1" si="70"/>
        <v>Clínicas e residências geriátricas</v>
      </c>
      <c r="AE359" s="5">
        <f t="shared" ca="1" si="71"/>
        <v>0</v>
      </c>
    </row>
    <row r="360" spans="4:31" ht="15.6" thickTop="1" thickBot="1" x14ac:dyDescent="0.35">
      <c r="D360" s="57"/>
      <c r="E360" s="58"/>
      <c r="F360" s="59"/>
      <c r="G360" s="59"/>
      <c r="H360" s="59"/>
      <c r="I360" s="60"/>
      <c r="J360" s="61"/>
      <c r="K360" s="61"/>
      <c r="M360" s="9" t="str">
        <f t="shared" si="61"/>
        <v/>
      </c>
      <c r="N360" s="5" t="str">
        <f t="shared" si="72"/>
        <v/>
      </c>
      <c r="O360" s="5" t="str">
        <f t="shared" si="66"/>
        <v/>
      </c>
      <c r="Q360" s="5" t="str">
        <f>'CNAE_Cód.Atividade Econômica'!B349</f>
        <v>Instituições de longa permanência para idosos</v>
      </c>
      <c r="R360" s="5">
        <f t="shared" ca="1" si="62"/>
        <v>0</v>
      </c>
      <c r="S360" s="5" t="str">
        <f t="shared" si="63"/>
        <v>Instituições de longa permanência para idosos</v>
      </c>
      <c r="U360" s="5">
        <f ca="1">COUNTIF(R$10:R360,R360)</f>
        <v>343</v>
      </c>
      <c r="V360" s="5" t="str">
        <f t="shared" ca="1" si="64"/>
        <v>0343</v>
      </c>
      <c r="W360" s="5" t="str">
        <f t="shared" ca="1" si="65"/>
        <v>Instituições de longa permanência para idosos</v>
      </c>
      <c r="Y360" s="5">
        <v>351</v>
      </c>
      <c r="Z360" s="5">
        <f t="shared" ca="1" si="67"/>
        <v>0</v>
      </c>
      <c r="AA360" s="5" t="str">
        <f t="shared" ca="1" si="68"/>
        <v>Guarda-móveis</v>
      </c>
      <c r="AB360" s="5">
        <f ca="1">COUNTIF(R$10:R360,R360)</f>
        <v>343</v>
      </c>
      <c r="AC360" s="5" t="str">
        <f t="shared" ca="1" si="69"/>
        <v>0343</v>
      </c>
      <c r="AD360" s="5" t="str">
        <f t="shared" ca="1" si="70"/>
        <v>Instituições de longa permanência para idosos</v>
      </c>
      <c r="AE360" s="5">
        <f t="shared" ca="1" si="71"/>
        <v>0</v>
      </c>
    </row>
    <row r="361" spans="4:31" ht="15.6" thickTop="1" thickBot="1" x14ac:dyDescent="0.35">
      <c r="D361" s="57"/>
      <c r="E361" s="58"/>
      <c r="F361" s="59"/>
      <c r="G361" s="59"/>
      <c r="H361" s="59"/>
      <c r="I361" s="60"/>
      <c r="J361" s="61"/>
      <c r="K361" s="61"/>
      <c r="M361" s="9" t="str">
        <f t="shared" si="61"/>
        <v/>
      </c>
      <c r="N361" s="5" t="str">
        <f t="shared" si="72"/>
        <v/>
      </c>
      <c r="O361" s="5" t="str">
        <f t="shared" si="66"/>
        <v/>
      </c>
      <c r="Q361" s="5" t="str">
        <f>'CNAE_Cód.Atividade Econômica'!B350</f>
        <v>Atividades de fornecimento de infra-estrutura de apoio e assistência a paciente no domicílio</v>
      </c>
      <c r="R361" s="5">
        <f t="shared" ca="1" si="62"/>
        <v>0</v>
      </c>
      <c r="S361" s="5" t="str">
        <f t="shared" si="63"/>
        <v>Atividades de fornecimento de infra-estrutura de apoio e assistência a paciente no domicílio</v>
      </c>
      <c r="U361" s="5">
        <f ca="1">COUNTIF(R$10:R361,R361)</f>
        <v>344</v>
      </c>
      <c r="V361" s="5" t="str">
        <f t="shared" ca="1" si="64"/>
        <v>0344</v>
      </c>
      <c r="W361" s="5" t="str">
        <f t="shared" ca="1" si="65"/>
        <v>Atividades de fornecimento de infra-estrutura de apoio e assistência a paciente no domicílio</v>
      </c>
      <c r="Y361" s="5">
        <v>352</v>
      </c>
      <c r="Z361" s="5">
        <f t="shared" ca="1" si="67"/>
        <v>0</v>
      </c>
      <c r="AA361" s="5" t="str">
        <f t="shared" ca="1" si="68"/>
        <v>Guarda-móveis</v>
      </c>
      <c r="AB361" s="5">
        <f ca="1">COUNTIF(R$10:R361,R361)</f>
        <v>344</v>
      </c>
      <c r="AC361" s="5" t="str">
        <f t="shared" ca="1" si="69"/>
        <v>0344</v>
      </c>
      <c r="AD361" s="5" t="str">
        <f t="shared" ca="1" si="70"/>
        <v>Atividades de fornecimento de infra-estrutura de apoio e assistência a paciente no domicílio</v>
      </c>
      <c r="AE361" s="5">
        <f t="shared" ca="1" si="71"/>
        <v>0</v>
      </c>
    </row>
    <row r="362" spans="4:31" ht="15.6" thickTop="1" thickBot="1" x14ac:dyDescent="0.35">
      <c r="D362" s="57"/>
      <c r="E362" s="58"/>
      <c r="F362" s="59"/>
      <c r="G362" s="59"/>
      <c r="H362" s="59"/>
      <c r="I362" s="60"/>
      <c r="J362" s="61"/>
      <c r="K362" s="61"/>
      <c r="M362" s="9" t="str">
        <f t="shared" si="61"/>
        <v/>
      </c>
      <c r="N362" s="5" t="str">
        <f t="shared" si="72"/>
        <v/>
      </c>
      <c r="O362" s="5" t="str">
        <f t="shared" si="66"/>
        <v/>
      </c>
      <c r="Q362" s="5" t="str">
        <f>'CNAE_Cód.Atividade Econômica'!B351</f>
        <v>Produção teatral</v>
      </c>
      <c r="R362" s="5">
        <f t="shared" ca="1" si="62"/>
        <v>0</v>
      </c>
      <c r="S362" s="5" t="str">
        <f t="shared" si="63"/>
        <v>Produção teatral</v>
      </c>
      <c r="U362" s="5">
        <f ca="1">COUNTIF(R$10:R362,R362)</f>
        <v>345</v>
      </c>
      <c r="V362" s="5" t="str">
        <f t="shared" ca="1" si="64"/>
        <v>0345</v>
      </c>
      <c r="W362" s="5" t="str">
        <f t="shared" ca="1" si="65"/>
        <v>Produção teatral</v>
      </c>
      <c r="Y362" s="5">
        <v>353</v>
      </c>
      <c r="Z362" s="5">
        <f t="shared" ca="1" si="67"/>
        <v>0</v>
      </c>
      <c r="AA362" s="5" t="str">
        <f t="shared" ca="1" si="68"/>
        <v>Guarda-móveis</v>
      </c>
      <c r="AB362" s="5">
        <f ca="1">COUNTIF(R$10:R362,R362)</f>
        <v>345</v>
      </c>
      <c r="AC362" s="5" t="str">
        <f t="shared" ca="1" si="69"/>
        <v>0345</v>
      </c>
      <c r="AD362" s="5" t="str">
        <f t="shared" ca="1" si="70"/>
        <v>Produção teatral</v>
      </c>
      <c r="AE362" s="5">
        <f t="shared" ca="1" si="71"/>
        <v>0</v>
      </c>
    </row>
    <row r="363" spans="4:31" ht="15.6" thickTop="1" thickBot="1" x14ac:dyDescent="0.35">
      <c r="D363" s="57"/>
      <c r="E363" s="58"/>
      <c r="F363" s="59"/>
      <c r="G363" s="59"/>
      <c r="H363" s="59"/>
      <c r="I363" s="60"/>
      <c r="J363" s="61"/>
      <c r="K363" s="61"/>
      <c r="M363" s="9" t="str">
        <f t="shared" si="61"/>
        <v/>
      </c>
      <c r="N363" s="5" t="str">
        <f t="shared" si="72"/>
        <v/>
      </c>
      <c r="O363" s="5" t="str">
        <f t="shared" si="66"/>
        <v/>
      </c>
      <c r="Q363" s="5" t="str">
        <f>'CNAE_Cód.Atividade Econômica'!B352</f>
        <v>Produção musical</v>
      </c>
      <c r="R363" s="5">
        <f t="shared" ca="1" si="62"/>
        <v>0</v>
      </c>
      <c r="S363" s="5" t="str">
        <f t="shared" si="63"/>
        <v>Produção musical</v>
      </c>
      <c r="U363" s="5">
        <f ca="1">COUNTIF(R$10:R363,R363)</f>
        <v>346</v>
      </c>
      <c r="V363" s="5" t="str">
        <f t="shared" ca="1" si="64"/>
        <v>0346</v>
      </c>
      <c r="W363" s="5" t="str">
        <f t="shared" ca="1" si="65"/>
        <v>Produção musical</v>
      </c>
      <c r="Y363" s="5">
        <v>354</v>
      </c>
      <c r="Z363" s="5">
        <f t="shared" ca="1" si="67"/>
        <v>0</v>
      </c>
      <c r="AA363" s="5" t="str">
        <f t="shared" ca="1" si="68"/>
        <v>Guarda-móveis</v>
      </c>
      <c r="AB363" s="5">
        <f ca="1">COUNTIF(R$10:R363,R363)</f>
        <v>346</v>
      </c>
      <c r="AC363" s="5" t="str">
        <f t="shared" ca="1" si="69"/>
        <v>0346</v>
      </c>
      <c r="AD363" s="5" t="str">
        <f t="shared" ca="1" si="70"/>
        <v>Produção musical</v>
      </c>
      <c r="AE363" s="5">
        <f t="shared" ca="1" si="71"/>
        <v>0</v>
      </c>
    </row>
    <row r="364" spans="4:31" ht="15.6" thickTop="1" thickBot="1" x14ac:dyDescent="0.35">
      <c r="D364" s="57"/>
      <c r="E364" s="58"/>
      <c r="F364" s="59"/>
      <c r="G364" s="59"/>
      <c r="H364" s="59"/>
      <c r="I364" s="60"/>
      <c r="J364" s="61"/>
      <c r="K364" s="61"/>
      <c r="M364" s="9" t="str">
        <f t="shared" si="61"/>
        <v/>
      </c>
      <c r="N364" s="5" t="str">
        <f t="shared" si="72"/>
        <v/>
      </c>
      <c r="O364" s="5" t="str">
        <f t="shared" si="66"/>
        <v/>
      </c>
      <c r="Q364" s="5" t="str">
        <f>'CNAE_Cód.Atividade Econômica'!B353</f>
        <v>Produção de espetáculos de dança</v>
      </c>
      <c r="R364" s="5">
        <f t="shared" ca="1" si="62"/>
        <v>0</v>
      </c>
      <c r="S364" s="5" t="str">
        <f t="shared" si="63"/>
        <v>Produção de espetáculos de dança</v>
      </c>
      <c r="U364" s="5">
        <f ca="1">COUNTIF(R$10:R364,R364)</f>
        <v>347</v>
      </c>
      <c r="V364" s="5" t="str">
        <f t="shared" ca="1" si="64"/>
        <v>0347</v>
      </c>
      <c r="W364" s="5" t="str">
        <f t="shared" ca="1" si="65"/>
        <v>Produção de espetáculos de dança</v>
      </c>
      <c r="Y364" s="5">
        <v>355</v>
      </c>
      <c r="Z364" s="5">
        <f t="shared" ca="1" si="67"/>
        <v>0</v>
      </c>
      <c r="AA364" s="5" t="str">
        <f t="shared" ca="1" si="68"/>
        <v>Guarda-móveis</v>
      </c>
      <c r="AB364" s="5">
        <f ca="1">COUNTIF(R$10:R364,R364)</f>
        <v>347</v>
      </c>
      <c r="AC364" s="5" t="str">
        <f t="shared" ca="1" si="69"/>
        <v>0347</v>
      </c>
      <c r="AD364" s="5" t="str">
        <f t="shared" ca="1" si="70"/>
        <v>Produção de espetáculos de dança</v>
      </c>
      <c r="AE364" s="5">
        <f t="shared" ca="1" si="71"/>
        <v>0</v>
      </c>
    </row>
    <row r="365" spans="4:31" ht="15.6" thickTop="1" thickBot="1" x14ac:dyDescent="0.35">
      <c r="D365" s="57"/>
      <c r="E365" s="58"/>
      <c r="F365" s="59"/>
      <c r="G365" s="59"/>
      <c r="H365" s="59"/>
      <c r="I365" s="60"/>
      <c r="J365" s="61"/>
      <c r="K365" s="61"/>
      <c r="M365" s="9" t="str">
        <f t="shared" si="61"/>
        <v/>
      </c>
      <c r="N365" s="5" t="str">
        <f t="shared" si="72"/>
        <v/>
      </c>
      <c r="O365" s="5" t="str">
        <f t="shared" si="66"/>
        <v/>
      </c>
      <c r="Q365" s="5" t="str">
        <f>'CNAE_Cód.Atividade Econômica'!B354</f>
        <v>Produção de espetáculos circenses, de marionetes e similares</v>
      </c>
      <c r="R365" s="5">
        <f t="shared" ca="1" si="62"/>
        <v>0</v>
      </c>
      <c r="S365" s="5" t="str">
        <f t="shared" si="63"/>
        <v>Produção de espetáculos circenses, de marionetes e similares</v>
      </c>
      <c r="U365" s="5">
        <f ca="1">COUNTIF(R$10:R365,R365)</f>
        <v>348</v>
      </c>
      <c r="V365" s="5" t="str">
        <f t="shared" ca="1" si="64"/>
        <v>0348</v>
      </c>
      <c r="W365" s="5" t="str">
        <f t="shared" ca="1" si="65"/>
        <v>Produção de espetáculos circenses, de marionetes e similares</v>
      </c>
      <c r="Y365" s="5">
        <v>356</v>
      </c>
      <c r="Z365" s="5">
        <f t="shared" ca="1" si="67"/>
        <v>0</v>
      </c>
      <c r="AA365" s="5" t="str">
        <f t="shared" ca="1" si="68"/>
        <v>Guarda-móveis</v>
      </c>
      <c r="AB365" s="5">
        <f ca="1">COUNTIF(R$10:R365,R365)</f>
        <v>348</v>
      </c>
      <c r="AC365" s="5" t="str">
        <f t="shared" ca="1" si="69"/>
        <v>0348</v>
      </c>
      <c r="AD365" s="5" t="str">
        <f t="shared" ca="1" si="70"/>
        <v>Produção de espetáculos circenses, de marionetes e similares</v>
      </c>
      <c r="AE365" s="5">
        <f t="shared" ca="1" si="71"/>
        <v>0</v>
      </c>
    </row>
    <row r="366" spans="4:31" ht="15.6" thickTop="1" thickBot="1" x14ac:dyDescent="0.35">
      <c r="D366" s="57"/>
      <c r="E366" s="58"/>
      <c r="F366" s="59"/>
      <c r="G366" s="59"/>
      <c r="H366" s="59"/>
      <c r="I366" s="60"/>
      <c r="J366" s="61"/>
      <c r="K366" s="61"/>
      <c r="M366" s="9" t="str">
        <f t="shared" si="61"/>
        <v/>
      </c>
      <c r="N366" s="5" t="str">
        <f t="shared" si="72"/>
        <v/>
      </c>
      <c r="O366" s="5" t="str">
        <f t="shared" si="66"/>
        <v/>
      </c>
      <c r="Q366" s="5" t="str">
        <f>'CNAE_Cód.Atividade Econômica'!B355</f>
        <v>Produção de espetáculos de rodeios, vaquejadas e similares</v>
      </c>
      <c r="R366" s="5">
        <f t="shared" ca="1" si="62"/>
        <v>0</v>
      </c>
      <c r="S366" s="5" t="str">
        <f t="shared" si="63"/>
        <v>Produção de espetáculos de rodeios, vaquejadas e similares</v>
      </c>
      <c r="U366" s="5">
        <f ca="1">COUNTIF(R$10:R366,R366)</f>
        <v>349</v>
      </c>
      <c r="V366" s="5" t="str">
        <f t="shared" ca="1" si="64"/>
        <v>0349</v>
      </c>
      <c r="W366" s="5" t="str">
        <f t="shared" ca="1" si="65"/>
        <v>Produção de espetáculos de rodeios, vaquejadas e similares</v>
      </c>
      <c r="Y366" s="5">
        <v>357</v>
      </c>
      <c r="Z366" s="5">
        <f t="shared" ca="1" si="67"/>
        <v>0</v>
      </c>
      <c r="AA366" s="5" t="str">
        <f t="shared" ca="1" si="68"/>
        <v>Guarda-móveis</v>
      </c>
      <c r="AB366" s="5">
        <f ca="1">COUNTIF(R$10:R366,R366)</f>
        <v>349</v>
      </c>
      <c r="AC366" s="5" t="str">
        <f t="shared" ca="1" si="69"/>
        <v>0349</v>
      </c>
      <c r="AD366" s="5" t="str">
        <f t="shared" ca="1" si="70"/>
        <v>Produção de espetáculos de rodeios, vaquejadas e similares</v>
      </c>
      <c r="AE366" s="5">
        <f t="shared" ca="1" si="71"/>
        <v>0</v>
      </c>
    </row>
    <row r="367" spans="4:31" ht="15.6" thickTop="1" thickBot="1" x14ac:dyDescent="0.35">
      <c r="D367" s="57"/>
      <c r="E367" s="58"/>
      <c r="F367" s="59"/>
      <c r="G367" s="59"/>
      <c r="H367" s="59"/>
      <c r="I367" s="60"/>
      <c r="J367" s="61"/>
      <c r="K367" s="61"/>
      <c r="M367" s="9" t="str">
        <f t="shared" si="61"/>
        <v/>
      </c>
      <c r="N367" s="5" t="str">
        <f t="shared" si="72"/>
        <v/>
      </c>
      <c r="O367" s="5" t="str">
        <f t="shared" si="66"/>
        <v/>
      </c>
      <c r="Q367" s="5" t="str">
        <f>'CNAE_Cód.Atividade Econômica'!B356</f>
        <v>Atividades de sonorização e de iluminação</v>
      </c>
      <c r="R367" s="5">
        <f t="shared" ca="1" si="62"/>
        <v>0</v>
      </c>
      <c r="S367" s="5" t="str">
        <f t="shared" si="63"/>
        <v>Atividades de sonorização e de iluminação</v>
      </c>
      <c r="U367" s="5">
        <f ca="1">COUNTIF(R$10:R367,R367)</f>
        <v>350</v>
      </c>
      <c r="V367" s="5" t="str">
        <f t="shared" ca="1" si="64"/>
        <v>0350</v>
      </c>
      <c r="W367" s="5" t="str">
        <f t="shared" ca="1" si="65"/>
        <v>Atividades de sonorização e de iluminação</v>
      </c>
      <c r="Y367" s="5">
        <v>358</v>
      </c>
      <c r="Z367" s="5">
        <f t="shared" ca="1" si="67"/>
        <v>0</v>
      </c>
      <c r="AA367" s="5" t="str">
        <f t="shared" ca="1" si="68"/>
        <v>Guarda-móveis</v>
      </c>
      <c r="AB367" s="5">
        <f ca="1">COUNTIF(R$10:R367,R367)</f>
        <v>350</v>
      </c>
      <c r="AC367" s="5" t="str">
        <f t="shared" ca="1" si="69"/>
        <v>0350</v>
      </c>
      <c r="AD367" s="5" t="str">
        <f t="shared" ca="1" si="70"/>
        <v>Atividades de sonorização e de iluminação</v>
      </c>
      <c r="AE367" s="5">
        <f t="shared" ca="1" si="71"/>
        <v>0</v>
      </c>
    </row>
    <row r="368" spans="4:31" ht="15.6" thickTop="1" thickBot="1" x14ac:dyDescent="0.35">
      <c r="D368" s="57"/>
      <c r="E368" s="58"/>
      <c r="F368" s="59"/>
      <c r="G368" s="59"/>
      <c r="H368" s="59"/>
      <c r="I368" s="60"/>
      <c r="J368" s="61"/>
      <c r="K368" s="61"/>
      <c r="M368" s="9" t="str">
        <f t="shared" si="61"/>
        <v/>
      </c>
      <c r="N368" s="5" t="str">
        <f t="shared" si="72"/>
        <v/>
      </c>
      <c r="O368" s="5" t="str">
        <f t="shared" si="66"/>
        <v/>
      </c>
      <c r="Q368" s="5" t="str">
        <f>'CNAE_Cód.Atividade Econômica'!B357</f>
        <v>Artes cênicas, espetáculos e atividades complementares não especificadas anteriormente</v>
      </c>
      <c r="R368" s="5">
        <f t="shared" ca="1" si="62"/>
        <v>0</v>
      </c>
      <c r="S368" s="5" t="str">
        <f t="shared" si="63"/>
        <v>Artes cênicas, espetáculos e atividades complementares não especificadas anteriormente</v>
      </c>
      <c r="U368" s="5">
        <f ca="1">COUNTIF(R$10:R368,R368)</f>
        <v>351</v>
      </c>
      <c r="V368" s="5" t="str">
        <f t="shared" ca="1" si="64"/>
        <v>0351</v>
      </c>
      <c r="W368" s="5" t="str">
        <f t="shared" ca="1" si="65"/>
        <v>Artes cênicas, espetáculos e atividades complementares não especificadas anteriormente</v>
      </c>
      <c r="Y368" s="5">
        <v>359</v>
      </c>
      <c r="Z368" s="5">
        <f t="shared" ca="1" si="67"/>
        <v>0</v>
      </c>
      <c r="AA368" s="5" t="str">
        <f t="shared" ca="1" si="68"/>
        <v>Guarda-móveis</v>
      </c>
      <c r="AB368" s="5">
        <f ca="1">COUNTIF(R$10:R368,R368)</f>
        <v>351</v>
      </c>
      <c r="AC368" s="5" t="str">
        <f t="shared" ca="1" si="69"/>
        <v>0351</v>
      </c>
      <c r="AD368" s="5" t="str">
        <f t="shared" ca="1" si="70"/>
        <v>Artes cênicas, espetáculos e atividades complementares não especificadas anteriormente</v>
      </c>
      <c r="AE368" s="5">
        <f t="shared" ca="1" si="71"/>
        <v>0</v>
      </c>
    </row>
    <row r="369" spans="4:31" ht="15.6" thickTop="1" thickBot="1" x14ac:dyDescent="0.35">
      <c r="D369" s="57"/>
      <c r="E369" s="58"/>
      <c r="F369" s="59"/>
      <c r="G369" s="59"/>
      <c r="H369" s="59"/>
      <c r="I369" s="60"/>
      <c r="J369" s="61"/>
      <c r="K369" s="61"/>
      <c r="M369" s="9" t="str">
        <f t="shared" si="61"/>
        <v/>
      </c>
      <c r="N369" s="5" t="str">
        <f t="shared" si="72"/>
        <v/>
      </c>
      <c r="O369" s="5" t="str">
        <f t="shared" si="66"/>
        <v/>
      </c>
      <c r="Q369" s="5" t="str">
        <f>'CNAE_Cód.Atividade Econômica'!B358</f>
        <v>Atividades de artistas plásticos, jornalistas independentes e escritores</v>
      </c>
      <c r="R369" s="5">
        <f t="shared" ca="1" si="62"/>
        <v>0</v>
      </c>
      <c r="S369" s="5" t="str">
        <f t="shared" si="63"/>
        <v>Atividades de artistas plásticos, jornalistas independentes e escritores</v>
      </c>
      <c r="U369" s="5">
        <f ca="1">COUNTIF(R$10:R369,R369)</f>
        <v>352</v>
      </c>
      <c r="V369" s="5" t="str">
        <f t="shared" ca="1" si="64"/>
        <v>0352</v>
      </c>
      <c r="W369" s="5" t="str">
        <f t="shared" ca="1" si="65"/>
        <v>Atividades de artistas plásticos, jornalistas independentes e escritores</v>
      </c>
      <c r="Y369" s="5">
        <v>360</v>
      </c>
      <c r="Z369" s="5">
        <f t="shared" ca="1" si="67"/>
        <v>0</v>
      </c>
      <c r="AA369" s="5" t="str">
        <f t="shared" ca="1" si="68"/>
        <v>Guarda-móveis</v>
      </c>
      <c r="AB369" s="5">
        <f ca="1">COUNTIF(R$10:R369,R369)</f>
        <v>352</v>
      </c>
      <c r="AC369" s="5" t="str">
        <f t="shared" ca="1" si="69"/>
        <v>0352</v>
      </c>
      <c r="AD369" s="5" t="str">
        <f t="shared" ca="1" si="70"/>
        <v>Atividades de artistas plásticos, jornalistas independentes e escritores</v>
      </c>
      <c r="AE369" s="5">
        <f t="shared" ca="1" si="71"/>
        <v>0</v>
      </c>
    </row>
    <row r="370" spans="4:31" ht="15.6" thickTop="1" thickBot="1" x14ac:dyDescent="0.35">
      <c r="D370" s="57"/>
      <c r="E370" s="58"/>
      <c r="F370" s="59"/>
      <c r="G370" s="59"/>
      <c r="H370" s="59"/>
      <c r="I370" s="60"/>
      <c r="J370" s="61"/>
      <c r="K370" s="61"/>
      <c r="M370" s="9" t="str">
        <f t="shared" si="61"/>
        <v/>
      </c>
      <c r="N370" s="5" t="str">
        <f t="shared" si="72"/>
        <v/>
      </c>
      <c r="O370" s="5" t="str">
        <f t="shared" si="66"/>
        <v/>
      </c>
      <c r="Q370" s="5" t="str">
        <f>'CNAE_Cód.Atividade Econômica'!B359</f>
        <v>Restauração de obras de arte</v>
      </c>
      <c r="R370" s="5">
        <f t="shared" ca="1" si="62"/>
        <v>0</v>
      </c>
      <c r="S370" s="5" t="str">
        <f t="shared" si="63"/>
        <v>Restauração de obras de arte</v>
      </c>
      <c r="U370" s="5">
        <f ca="1">COUNTIF(R$10:R370,R370)</f>
        <v>353</v>
      </c>
      <c r="V370" s="5" t="str">
        <f t="shared" ca="1" si="64"/>
        <v>0353</v>
      </c>
      <c r="W370" s="5" t="str">
        <f t="shared" ca="1" si="65"/>
        <v>Restauração de obras de arte</v>
      </c>
      <c r="Y370" s="5">
        <v>361</v>
      </c>
      <c r="Z370" s="5">
        <f t="shared" ca="1" si="67"/>
        <v>0</v>
      </c>
      <c r="AA370" s="5" t="str">
        <f t="shared" ca="1" si="68"/>
        <v>Guarda-móveis</v>
      </c>
      <c r="AB370" s="5">
        <f ca="1">COUNTIF(R$10:R370,R370)</f>
        <v>353</v>
      </c>
      <c r="AC370" s="5" t="str">
        <f t="shared" ca="1" si="69"/>
        <v>0353</v>
      </c>
      <c r="AD370" s="5" t="str">
        <f t="shared" ca="1" si="70"/>
        <v>Restauração de obras de arte</v>
      </c>
      <c r="AE370" s="5">
        <f t="shared" ca="1" si="71"/>
        <v>0</v>
      </c>
    </row>
    <row r="371" spans="4:31" ht="15.6" thickTop="1" thickBot="1" x14ac:dyDescent="0.35">
      <c r="D371" s="57"/>
      <c r="E371" s="58"/>
      <c r="F371" s="59"/>
      <c r="G371" s="59"/>
      <c r="H371" s="59"/>
      <c r="I371" s="60"/>
      <c r="J371" s="61"/>
      <c r="K371" s="61"/>
      <c r="M371" s="9" t="str">
        <f t="shared" si="61"/>
        <v/>
      </c>
      <c r="N371" s="5" t="str">
        <f t="shared" si="72"/>
        <v/>
      </c>
      <c r="O371" s="5" t="str">
        <f t="shared" si="66"/>
        <v/>
      </c>
      <c r="Q371" s="5" t="str">
        <f>'CNAE_Cód.Atividade Econômica'!B360</f>
        <v>Gestão de espaços para artes cênicas, espetáculos e outras atividades artísticas</v>
      </c>
      <c r="R371" s="5">
        <f t="shared" ca="1" si="62"/>
        <v>0</v>
      </c>
      <c r="S371" s="5" t="str">
        <f t="shared" si="63"/>
        <v>Gestão de espaços para artes cênicas, espetáculos e outras atividades artísticas</v>
      </c>
      <c r="U371" s="5">
        <f ca="1">COUNTIF(R$10:R371,R371)</f>
        <v>354</v>
      </c>
      <c r="V371" s="5" t="str">
        <f t="shared" ca="1" si="64"/>
        <v>0354</v>
      </c>
      <c r="W371" s="5" t="str">
        <f t="shared" ca="1" si="65"/>
        <v>Gestão de espaços para artes cênicas, espetáculos e outras atividades artísticas</v>
      </c>
      <c r="Y371" s="5">
        <v>362</v>
      </c>
      <c r="Z371" s="5">
        <f t="shared" ca="1" si="67"/>
        <v>0</v>
      </c>
      <c r="AA371" s="5" t="str">
        <f t="shared" ca="1" si="68"/>
        <v>Guarda-móveis</v>
      </c>
      <c r="AB371" s="5">
        <f ca="1">COUNTIF(R$10:R371,R371)</f>
        <v>354</v>
      </c>
      <c r="AC371" s="5" t="str">
        <f t="shared" ca="1" si="69"/>
        <v>0354</v>
      </c>
      <c r="AD371" s="5" t="str">
        <f t="shared" ca="1" si="70"/>
        <v>Gestão de espaços para artes cênicas, espetáculos e outras atividades artísticas</v>
      </c>
      <c r="AE371" s="5">
        <f t="shared" ca="1" si="71"/>
        <v>0</v>
      </c>
    </row>
    <row r="372" spans="4:31" ht="15.6" thickTop="1" thickBot="1" x14ac:dyDescent="0.35">
      <c r="D372" s="57"/>
      <c r="E372" s="58"/>
      <c r="F372" s="59"/>
      <c r="G372" s="59"/>
      <c r="H372" s="59"/>
      <c r="I372" s="60"/>
      <c r="J372" s="61"/>
      <c r="K372" s="61"/>
      <c r="M372" s="9" t="str">
        <f t="shared" si="61"/>
        <v/>
      </c>
      <c r="N372" s="5" t="str">
        <f t="shared" si="72"/>
        <v/>
      </c>
      <c r="O372" s="5" t="str">
        <f t="shared" si="66"/>
        <v/>
      </c>
      <c r="Q372" s="5" t="str">
        <f>'CNAE_Cód.Atividade Econômica'!B361</f>
        <v>Atividades de bibliotecas e arquivos</v>
      </c>
      <c r="R372" s="5">
        <f t="shared" ca="1" si="62"/>
        <v>0</v>
      </c>
      <c r="S372" s="5" t="str">
        <f t="shared" si="63"/>
        <v>Atividades de bibliotecas e arquivos</v>
      </c>
      <c r="U372" s="5">
        <f ca="1">COUNTIF(R$10:R372,R372)</f>
        <v>355</v>
      </c>
      <c r="V372" s="5" t="str">
        <f t="shared" ca="1" si="64"/>
        <v>0355</v>
      </c>
      <c r="W372" s="5" t="str">
        <f t="shared" ca="1" si="65"/>
        <v>Atividades de bibliotecas e arquivos</v>
      </c>
      <c r="Y372" s="5">
        <v>363</v>
      </c>
      <c r="Z372" s="5">
        <f t="shared" ca="1" si="67"/>
        <v>0</v>
      </c>
      <c r="AA372" s="5" t="str">
        <f t="shared" ca="1" si="68"/>
        <v>Guarda-móveis</v>
      </c>
      <c r="AB372" s="5">
        <f ca="1">COUNTIF(R$10:R372,R372)</f>
        <v>355</v>
      </c>
      <c r="AC372" s="5" t="str">
        <f t="shared" ca="1" si="69"/>
        <v>0355</v>
      </c>
      <c r="AD372" s="5" t="str">
        <f t="shared" ca="1" si="70"/>
        <v>Atividades de bibliotecas e arquivos</v>
      </c>
      <c r="AE372" s="5">
        <f t="shared" ca="1" si="71"/>
        <v>0</v>
      </c>
    </row>
    <row r="373" spans="4:31" ht="15.6" thickTop="1" thickBot="1" x14ac:dyDescent="0.35">
      <c r="D373" s="57"/>
      <c r="E373" s="58"/>
      <c r="F373" s="59"/>
      <c r="G373" s="59"/>
      <c r="H373" s="59"/>
      <c r="I373" s="60"/>
      <c r="J373" s="61"/>
      <c r="K373" s="61"/>
      <c r="M373" s="9" t="str">
        <f t="shared" si="61"/>
        <v/>
      </c>
      <c r="N373" s="5" t="str">
        <f t="shared" si="72"/>
        <v/>
      </c>
      <c r="O373" s="5" t="str">
        <f t="shared" si="66"/>
        <v/>
      </c>
      <c r="Q373" s="5" t="str">
        <f>'CNAE_Cód.Atividade Econômica'!B362</f>
        <v>Atividades de museus e de exploração de lugares e prédios históricos e atrações similares</v>
      </c>
      <c r="R373" s="5">
        <f t="shared" ca="1" si="62"/>
        <v>0</v>
      </c>
      <c r="S373" s="5" t="str">
        <f t="shared" si="63"/>
        <v>Atividades de museus e de exploração de lugares e prédios históricos e atrações similares</v>
      </c>
      <c r="U373" s="5">
        <f ca="1">COUNTIF(R$10:R373,R373)</f>
        <v>356</v>
      </c>
      <c r="V373" s="5" t="str">
        <f t="shared" ca="1" si="64"/>
        <v>0356</v>
      </c>
      <c r="W373" s="5" t="str">
        <f t="shared" ca="1" si="65"/>
        <v>Atividades de museus e de exploração de lugares e prédios históricos e atrações similares</v>
      </c>
      <c r="Y373" s="5">
        <v>364</v>
      </c>
      <c r="Z373" s="5">
        <f t="shared" ca="1" si="67"/>
        <v>0</v>
      </c>
      <c r="AA373" s="5" t="str">
        <f t="shared" ca="1" si="68"/>
        <v>Guarda-móveis</v>
      </c>
      <c r="AB373" s="5">
        <f ca="1">COUNTIF(R$10:R373,R373)</f>
        <v>356</v>
      </c>
      <c r="AC373" s="5" t="str">
        <f t="shared" ca="1" si="69"/>
        <v>0356</v>
      </c>
      <c r="AD373" s="5" t="str">
        <f t="shared" ca="1" si="70"/>
        <v>Atividades de museus e de exploração de lugares e prédios históricos e atrações similares</v>
      </c>
      <c r="AE373" s="5">
        <f t="shared" ca="1" si="71"/>
        <v>0</v>
      </c>
    </row>
    <row r="374" spans="4:31" ht="15.6" thickTop="1" thickBot="1" x14ac:dyDescent="0.35">
      <c r="D374" s="57"/>
      <c r="E374" s="58"/>
      <c r="F374" s="59"/>
      <c r="G374" s="59"/>
      <c r="H374" s="59"/>
      <c r="I374" s="60"/>
      <c r="J374" s="61"/>
      <c r="K374" s="61"/>
      <c r="M374" s="9" t="str">
        <f t="shared" si="61"/>
        <v/>
      </c>
      <c r="N374" s="5" t="str">
        <f t="shared" si="72"/>
        <v/>
      </c>
      <c r="O374" s="5" t="str">
        <f t="shared" si="66"/>
        <v/>
      </c>
      <c r="Q374" s="5" t="str">
        <f>'CNAE_Cód.Atividade Econômica'!B363</f>
        <v>Restauração e conservação de lugares e prédios históricos</v>
      </c>
      <c r="R374" s="5">
        <f t="shared" ca="1" si="62"/>
        <v>0</v>
      </c>
      <c r="S374" s="5" t="str">
        <f t="shared" si="63"/>
        <v>Restauração e conservação de lugares e prédios históricos</v>
      </c>
      <c r="U374" s="5">
        <f ca="1">COUNTIF(R$10:R374,R374)</f>
        <v>357</v>
      </c>
      <c r="V374" s="5" t="str">
        <f t="shared" ca="1" si="64"/>
        <v>0357</v>
      </c>
      <c r="W374" s="5" t="str">
        <f t="shared" ca="1" si="65"/>
        <v>Restauração e conservação de lugares e prédios históricos</v>
      </c>
      <c r="Y374" s="5">
        <v>365</v>
      </c>
      <c r="Z374" s="5">
        <f t="shared" ca="1" si="67"/>
        <v>0</v>
      </c>
      <c r="AA374" s="5" t="str">
        <f t="shared" ca="1" si="68"/>
        <v>Guarda-móveis</v>
      </c>
      <c r="AB374" s="5">
        <f ca="1">COUNTIF(R$10:R374,R374)</f>
        <v>357</v>
      </c>
      <c r="AC374" s="5" t="str">
        <f t="shared" ca="1" si="69"/>
        <v>0357</v>
      </c>
      <c r="AD374" s="5" t="str">
        <f t="shared" ca="1" si="70"/>
        <v>Restauração e conservação de lugares e prédios históricos</v>
      </c>
      <c r="AE374" s="5">
        <f t="shared" ca="1" si="71"/>
        <v>0</v>
      </c>
    </row>
    <row r="375" spans="4:31" ht="15.6" thickTop="1" thickBot="1" x14ac:dyDescent="0.35">
      <c r="D375" s="57"/>
      <c r="E375" s="58"/>
      <c r="F375" s="59"/>
      <c r="G375" s="59"/>
      <c r="H375" s="59"/>
      <c r="I375" s="60"/>
      <c r="J375" s="61"/>
      <c r="K375" s="61"/>
      <c r="M375" s="9" t="str">
        <f t="shared" si="61"/>
        <v/>
      </c>
      <c r="N375" s="5" t="str">
        <f t="shared" si="72"/>
        <v/>
      </c>
      <c r="O375" s="5" t="str">
        <f t="shared" si="66"/>
        <v/>
      </c>
      <c r="Q375" s="5" t="str">
        <f>'CNAE_Cód.Atividade Econômica'!B364</f>
        <v>Gestão de instalações de esportes</v>
      </c>
      <c r="R375" s="5">
        <f t="shared" ca="1" si="62"/>
        <v>0</v>
      </c>
      <c r="S375" s="5" t="str">
        <f t="shared" si="63"/>
        <v>Gestão de instalações de esportes</v>
      </c>
      <c r="U375" s="5">
        <f ca="1">COUNTIF(R$10:R375,R375)</f>
        <v>358</v>
      </c>
      <c r="V375" s="5" t="str">
        <f t="shared" ca="1" si="64"/>
        <v>0358</v>
      </c>
      <c r="W375" s="5" t="str">
        <f t="shared" ca="1" si="65"/>
        <v>Gestão de instalações de esportes</v>
      </c>
      <c r="Y375" s="5">
        <v>366</v>
      </c>
      <c r="Z375" s="5">
        <f t="shared" ca="1" si="67"/>
        <v>0</v>
      </c>
      <c r="AA375" s="5" t="str">
        <f t="shared" ca="1" si="68"/>
        <v>Guarda-móveis</v>
      </c>
      <c r="AB375" s="5">
        <f ca="1">COUNTIF(R$10:R375,R375)</f>
        <v>358</v>
      </c>
      <c r="AC375" s="5" t="str">
        <f t="shared" ca="1" si="69"/>
        <v>0358</v>
      </c>
      <c r="AD375" s="5" t="str">
        <f t="shared" ca="1" si="70"/>
        <v>Gestão de instalações de esportes</v>
      </c>
      <c r="AE375" s="5">
        <f t="shared" ca="1" si="71"/>
        <v>0</v>
      </c>
    </row>
    <row r="376" spans="4:31" ht="15.6" thickTop="1" thickBot="1" x14ac:dyDescent="0.35">
      <c r="D376" s="57"/>
      <c r="E376" s="58"/>
      <c r="F376" s="59"/>
      <c r="G376" s="59"/>
      <c r="H376" s="59"/>
      <c r="I376" s="60"/>
      <c r="J376" s="61"/>
      <c r="K376" s="61"/>
      <c r="M376" s="9" t="str">
        <f t="shared" si="61"/>
        <v/>
      </c>
      <c r="N376" s="5" t="str">
        <f t="shared" si="72"/>
        <v/>
      </c>
      <c r="O376" s="5" t="str">
        <f t="shared" si="66"/>
        <v/>
      </c>
      <c r="Q376" s="5" t="str">
        <f>'CNAE_Cód.Atividade Econômica'!B365</f>
        <v>Atividades de condicionamento físico</v>
      </c>
      <c r="R376" s="5">
        <f t="shared" ca="1" si="62"/>
        <v>0</v>
      </c>
      <c r="S376" s="5" t="str">
        <f t="shared" si="63"/>
        <v>Atividades de condicionamento físico</v>
      </c>
      <c r="U376" s="5">
        <f ca="1">COUNTIF(R$10:R376,R376)</f>
        <v>359</v>
      </c>
      <c r="V376" s="5" t="str">
        <f t="shared" ca="1" si="64"/>
        <v>0359</v>
      </c>
      <c r="W376" s="5" t="str">
        <f t="shared" ca="1" si="65"/>
        <v>Atividades de condicionamento físico</v>
      </c>
      <c r="Y376" s="5">
        <v>367</v>
      </c>
      <c r="Z376" s="5">
        <f t="shared" ca="1" si="67"/>
        <v>0</v>
      </c>
      <c r="AA376" s="5" t="str">
        <f t="shared" ca="1" si="68"/>
        <v>Guarda-móveis</v>
      </c>
      <c r="AB376" s="5">
        <f ca="1">COUNTIF(R$10:R376,R376)</f>
        <v>359</v>
      </c>
      <c r="AC376" s="5" t="str">
        <f t="shared" ca="1" si="69"/>
        <v>0359</v>
      </c>
      <c r="AD376" s="5" t="str">
        <f t="shared" ca="1" si="70"/>
        <v>Atividades de condicionamento físico</v>
      </c>
      <c r="AE376" s="5">
        <f t="shared" ca="1" si="71"/>
        <v>0</v>
      </c>
    </row>
    <row r="377" spans="4:31" ht="15.6" thickTop="1" thickBot="1" x14ac:dyDescent="0.35">
      <c r="D377" s="57"/>
      <c r="E377" s="58"/>
      <c r="F377" s="59"/>
      <c r="G377" s="59"/>
      <c r="H377" s="59"/>
      <c r="I377" s="60"/>
      <c r="J377" s="61"/>
      <c r="K377" s="61"/>
      <c r="M377" s="9" t="str">
        <f t="shared" si="61"/>
        <v/>
      </c>
      <c r="N377" s="5" t="str">
        <f t="shared" si="72"/>
        <v/>
      </c>
      <c r="O377" s="5" t="str">
        <f t="shared" si="66"/>
        <v/>
      </c>
      <c r="Q377" s="5" t="str">
        <f>'CNAE_Cód.Atividade Econômica'!B366</f>
        <v>Produção e promoção de eventos esportivos</v>
      </c>
      <c r="R377" s="5">
        <f t="shared" ca="1" si="62"/>
        <v>0</v>
      </c>
      <c r="S377" s="5" t="str">
        <f t="shared" si="63"/>
        <v>Produção e promoção de eventos esportivos</v>
      </c>
      <c r="U377" s="5">
        <f ca="1">COUNTIF(R$10:R377,R377)</f>
        <v>360</v>
      </c>
      <c r="V377" s="5" t="str">
        <f t="shared" ca="1" si="64"/>
        <v>0360</v>
      </c>
      <c r="W377" s="5" t="str">
        <f t="shared" ca="1" si="65"/>
        <v>Produção e promoção de eventos esportivos</v>
      </c>
      <c r="Y377" s="5">
        <v>368</v>
      </c>
      <c r="Z377" s="5">
        <f t="shared" ca="1" si="67"/>
        <v>0</v>
      </c>
      <c r="AA377" s="5" t="str">
        <f t="shared" ca="1" si="68"/>
        <v>Guarda-móveis</v>
      </c>
      <c r="AB377" s="5">
        <f ca="1">COUNTIF(R$10:R377,R377)</f>
        <v>360</v>
      </c>
      <c r="AC377" s="5" t="str">
        <f t="shared" ca="1" si="69"/>
        <v>0360</v>
      </c>
      <c r="AD377" s="5" t="str">
        <f t="shared" ca="1" si="70"/>
        <v>Produção e promoção de eventos esportivos</v>
      </c>
      <c r="AE377" s="5">
        <f t="shared" ca="1" si="71"/>
        <v>0</v>
      </c>
    </row>
    <row r="378" spans="4:31" ht="15.6" thickTop="1" thickBot="1" x14ac:dyDescent="0.35">
      <c r="D378" s="57"/>
      <c r="E378" s="58"/>
      <c r="F378" s="59"/>
      <c r="G378" s="59"/>
      <c r="H378" s="59"/>
      <c r="I378" s="60"/>
      <c r="J378" s="61"/>
      <c r="K378" s="61"/>
      <c r="M378" s="9" t="str">
        <f t="shared" si="61"/>
        <v/>
      </c>
      <c r="N378" s="5" t="str">
        <f t="shared" si="72"/>
        <v/>
      </c>
      <c r="O378" s="5" t="str">
        <f t="shared" si="66"/>
        <v/>
      </c>
      <c r="Q378" s="5" t="str">
        <f>'CNAE_Cód.Atividade Econômica'!B367</f>
        <v>Outras atividades esportivas não especificadas anteriormente</v>
      </c>
      <c r="R378" s="5">
        <f t="shared" ca="1" si="62"/>
        <v>0</v>
      </c>
      <c r="S378" s="5" t="str">
        <f t="shared" si="63"/>
        <v>Outras atividades esportivas não especificadas anteriormente</v>
      </c>
      <c r="U378" s="5">
        <f ca="1">COUNTIF(R$10:R378,R378)</f>
        <v>361</v>
      </c>
      <c r="V378" s="5" t="str">
        <f t="shared" ca="1" si="64"/>
        <v>0361</v>
      </c>
      <c r="W378" s="5" t="str">
        <f t="shared" ca="1" si="65"/>
        <v>Outras atividades esportivas não especificadas anteriormente</v>
      </c>
      <c r="Y378" s="5">
        <v>369</v>
      </c>
      <c r="Z378" s="5">
        <f t="shared" ca="1" si="67"/>
        <v>0</v>
      </c>
      <c r="AA378" s="5" t="str">
        <f t="shared" ca="1" si="68"/>
        <v>Guarda-móveis</v>
      </c>
      <c r="AB378" s="5">
        <f ca="1">COUNTIF(R$10:R378,R378)</f>
        <v>361</v>
      </c>
      <c r="AC378" s="5" t="str">
        <f t="shared" ca="1" si="69"/>
        <v>0361</v>
      </c>
      <c r="AD378" s="5" t="str">
        <f t="shared" ca="1" si="70"/>
        <v>Outras atividades esportivas não especificadas anteriormente</v>
      </c>
      <c r="AE378" s="5">
        <f t="shared" ca="1" si="71"/>
        <v>0</v>
      </c>
    </row>
    <row r="379" spans="4:31" ht="15.6" thickTop="1" thickBot="1" x14ac:dyDescent="0.35">
      <c r="D379" s="57"/>
      <c r="E379" s="58"/>
      <c r="F379" s="59"/>
      <c r="G379" s="59"/>
      <c r="H379" s="59"/>
      <c r="I379" s="60"/>
      <c r="J379" s="61"/>
      <c r="K379" s="61"/>
      <c r="M379" s="9" t="str">
        <f t="shared" si="61"/>
        <v/>
      </c>
      <c r="N379" s="5" t="str">
        <f t="shared" si="72"/>
        <v/>
      </c>
      <c r="O379" s="5" t="str">
        <f t="shared" si="66"/>
        <v/>
      </c>
      <c r="Q379" s="5" t="str">
        <f>'CNAE_Cód.Atividade Econômica'!B368</f>
        <v>Exploração de boliches</v>
      </c>
      <c r="R379" s="5">
        <f t="shared" ca="1" si="62"/>
        <v>0</v>
      </c>
      <c r="S379" s="5" t="str">
        <f t="shared" si="63"/>
        <v>Exploração de boliches</v>
      </c>
      <c r="U379" s="5">
        <f ca="1">COUNTIF(R$10:R379,R379)</f>
        <v>362</v>
      </c>
      <c r="V379" s="5" t="str">
        <f t="shared" ca="1" si="64"/>
        <v>0362</v>
      </c>
      <c r="W379" s="5" t="str">
        <f t="shared" ca="1" si="65"/>
        <v>Exploração de boliches</v>
      </c>
      <c r="Y379" s="5">
        <v>370</v>
      </c>
      <c r="Z379" s="5">
        <f t="shared" ca="1" si="67"/>
        <v>0</v>
      </c>
      <c r="AA379" s="5" t="str">
        <f t="shared" ca="1" si="68"/>
        <v>Guarda-móveis</v>
      </c>
      <c r="AB379" s="5">
        <f ca="1">COUNTIF(R$10:R379,R379)</f>
        <v>362</v>
      </c>
      <c r="AC379" s="5" t="str">
        <f t="shared" ca="1" si="69"/>
        <v>0362</v>
      </c>
      <c r="AD379" s="5" t="str">
        <f t="shared" ca="1" si="70"/>
        <v>Exploração de boliches</v>
      </c>
      <c r="AE379" s="5">
        <f t="shared" ca="1" si="71"/>
        <v>0</v>
      </c>
    </row>
    <row r="380" spans="4:31" ht="15.6" thickTop="1" thickBot="1" x14ac:dyDescent="0.35">
      <c r="D380" s="57"/>
      <c r="E380" s="58"/>
      <c r="F380" s="59"/>
      <c r="G380" s="59"/>
      <c r="H380" s="59"/>
      <c r="I380" s="60"/>
      <c r="J380" s="61"/>
      <c r="K380" s="61"/>
      <c r="M380" s="9" t="str">
        <f t="shared" si="61"/>
        <v/>
      </c>
      <c r="N380" s="5" t="str">
        <f t="shared" si="72"/>
        <v/>
      </c>
      <c r="O380" s="5" t="str">
        <f t="shared" si="66"/>
        <v/>
      </c>
      <c r="Q380" s="5" t="str">
        <f>'CNAE_Cód.Atividade Econômica'!B369</f>
        <v>Exploração de jogos de sinuca, bilhar e similares</v>
      </c>
      <c r="R380" s="5">
        <f t="shared" ca="1" si="62"/>
        <v>0</v>
      </c>
      <c r="S380" s="5" t="str">
        <f t="shared" si="63"/>
        <v>Exploração de jogos de sinuca, bilhar e similares</v>
      </c>
      <c r="U380" s="5">
        <f ca="1">COUNTIF(R$10:R380,R380)</f>
        <v>363</v>
      </c>
      <c r="V380" s="5" t="str">
        <f t="shared" ca="1" si="64"/>
        <v>0363</v>
      </c>
      <c r="W380" s="5" t="str">
        <f t="shared" ca="1" si="65"/>
        <v>Exploração de jogos de sinuca, bilhar e similares</v>
      </c>
      <c r="Y380" s="5">
        <v>371</v>
      </c>
      <c r="Z380" s="5">
        <f t="shared" ca="1" si="67"/>
        <v>0</v>
      </c>
      <c r="AA380" s="5" t="str">
        <f t="shared" ca="1" si="68"/>
        <v>Guarda-móveis</v>
      </c>
      <c r="AB380" s="5">
        <f ca="1">COUNTIF(R$10:R380,R380)</f>
        <v>363</v>
      </c>
      <c r="AC380" s="5" t="str">
        <f t="shared" ca="1" si="69"/>
        <v>0363</v>
      </c>
      <c r="AD380" s="5" t="str">
        <f t="shared" ca="1" si="70"/>
        <v>Exploração de jogos de sinuca, bilhar e similares</v>
      </c>
      <c r="AE380" s="5">
        <f t="shared" ca="1" si="71"/>
        <v>0</v>
      </c>
    </row>
    <row r="381" spans="4:31" ht="15.6" thickTop="1" thickBot="1" x14ac:dyDescent="0.35">
      <c r="D381" s="57"/>
      <c r="E381" s="58"/>
      <c r="F381" s="59"/>
      <c r="G381" s="59"/>
      <c r="H381" s="59"/>
      <c r="I381" s="60"/>
      <c r="J381" s="61"/>
      <c r="K381" s="61"/>
      <c r="M381" s="9" t="str">
        <f t="shared" si="61"/>
        <v/>
      </c>
      <c r="N381" s="5" t="str">
        <f t="shared" si="72"/>
        <v/>
      </c>
      <c r="O381" s="5" t="str">
        <f t="shared" si="66"/>
        <v/>
      </c>
      <c r="Q381" s="5" t="str">
        <f>'CNAE_Cód.Atividade Econômica'!B370</f>
        <v>Exploração de jogos eletrônicos recreativos</v>
      </c>
      <c r="R381" s="5">
        <f t="shared" ca="1" si="62"/>
        <v>0</v>
      </c>
      <c r="S381" s="5" t="str">
        <f t="shared" si="63"/>
        <v>Exploração de jogos eletrônicos recreativos</v>
      </c>
      <c r="U381" s="5">
        <f ca="1">COUNTIF(R$10:R381,R381)</f>
        <v>364</v>
      </c>
      <c r="V381" s="5" t="str">
        <f t="shared" ca="1" si="64"/>
        <v>0364</v>
      </c>
      <c r="W381" s="5" t="str">
        <f t="shared" ca="1" si="65"/>
        <v>Exploração de jogos eletrônicos recreativos</v>
      </c>
      <c r="Y381" s="5">
        <v>372</v>
      </c>
      <c r="Z381" s="5">
        <f t="shared" ca="1" si="67"/>
        <v>0</v>
      </c>
      <c r="AA381" s="5" t="str">
        <f t="shared" ca="1" si="68"/>
        <v>Guarda-móveis</v>
      </c>
      <c r="AB381" s="5">
        <f ca="1">COUNTIF(R$10:R381,R381)</f>
        <v>364</v>
      </c>
      <c r="AC381" s="5" t="str">
        <f t="shared" ca="1" si="69"/>
        <v>0364</v>
      </c>
      <c r="AD381" s="5" t="str">
        <f t="shared" ca="1" si="70"/>
        <v>Exploração de jogos eletrônicos recreativos</v>
      </c>
      <c r="AE381" s="5">
        <f t="shared" ca="1" si="71"/>
        <v>0</v>
      </c>
    </row>
    <row r="382" spans="4:31" ht="15.6" thickTop="1" thickBot="1" x14ac:dyDescent="0.35">
      <c r="D382" s="57"/>
      <c r="E382" s="58"/>
      <c r="F382" s="59"/>
      <c r="G382" s="59"/>
      <c r="H382" s="59"/>
      <c r="I382" s="60"/>
      <c r="J382" s="61"/>
      <c r="K382" s="61"/>
      <c r="M382" s="9" t="str">
        <f t="shared" si="61"/>
        <v/>
      </c>
      <c r="N382" s="5" t="str">
        <f t="shared" si="72"/>
        <v/>
      </c>
      <c r="O382" s="5" t="str">
        <f t="shared" si="66"/>
        <v/>
      </c>
      <c r="Q382" s="5" t="str">
        <f>'CNAE_Cód.Atividade Econômica'!B371</f>
        <v>Outras atividades de recreação e lazer não especificadas anteriormente</v>
      </c>
      <c r="R382" s="5">
        <f t="shared" ca="1" si="62"/>
        <v>0</v>
      </c>
      <c r="S382" s="5" t="str">
        <f t="shared" si="63"/>
        <v>Outras atividades de recreação e lazer não especificadas anteriormente</v>
      </c>
      <c r="U382" s="5">
        <f ca="1">COUNTIF(R$10:R382,R382)</f>
        <v>365</v>
      </c>
      <c r="V382" s="5" t="str">
        <f t="shared" ca="1" si="64"/>
        <v>0365</v>
      </c>
      <c r="W382" s="5" t="str">
        <f t="shared" ca="1" si="65"/>
        <v>Outras atividades de recreação e lazer não especificadas anteriormente</v>
      </c>
      <c r="Y382" s="5">
        <v>373</v>
      </c>
      <c r="Z382" s="5">
        <f t="shared" ca="1" si="67"/>
        <v>0</v>
      </c>
      <c r="AA382" s="5" t="str">
        <f t="shared" ca="1" si="68"/>
        <v>Guarda-móveis</v>
      </c>
      <c r="AB382" s="5">
        <f ca="1">COUNTIF(R$10:R382,R382)</f>
        <v>365</v>
      </c>
      <c r="AC382" s="5" t="str">
        <f t="shared" ca="1" si="69"/>
        <v>0365</v>
      </c>
      <c r="AD382" s="5" t="str">
        <f t="shared" ca="1" si="70"/>
        <v>Outras atividades de recreação e lazer não especificadas anteriormente</v>
      </c>
      <c r="AE382" s="5">
        <f t="shared" ca="1" si="71"/>
        <v>0</v>
      </c>
    </row>
    <row r="383" spans="4:31" ht="15.6" thickTop="1" thickBot="1" x14ac:dyDescent="0.35">
      <c r="D383" s="57"/>
      <c r="E383" s="58"/>
      <c r="F383" s="59"/>
      <c r="G383" s="59"/>
      <c r="H383" s="59"/>
      <c r="I383" s="60"/>
      <c r="J383" s="61"/>
      <c r="K383" s="61"/>
      <c r="M383" s="9" t="str">
        <f t="shared" si="61"/>
        <v/>
      </c>
      <c r="N383" s="5" t="str">
        <f t="shared" si="72"/>
        <v/>
      </c>
      <c r="O383" s="5" t="str">
        <f t="shared" si="66"/>
        <v/>
      </c>
      <c r="Q383" s="5" t="str">
        <f>'CNAE_Cód.Atividade Econômica'!B372</f>
        <v>Reparação e manutenção de computadores e de equipamentos periféricos</v>
      </c>
      <c r="R383" s="5">
        <f t="shared" ca="1" si="62"/>
        <v>0</v>
      </c>
      <c r="S383" s="5" t="str">
        <f t="shared" si="63"/>
        <v>Reparação e manutenção de computadores e de equipamentos periféricos</v>
      </c>
      <c r="U383" s="5">
        <f ca="1">COUNTIF(R$10:R383,R383)</f>
        <v>366</v>
      </c>
      <c r="V383" s="5" t="str">
        <f t="shared" ca="1" si="64"/>
        <v>0366</v>
      </c>
      <c r="W383" s="5" t="str">
        <f t="shared" ca="1" si="65"/>
        <v>Reparação e manutenção de computadores e de equipamentos periféricos</v>
      </c>
      <c r="Y383" s="5">
        <v>374</v>
      </c>
      <c r="Z383" s="5">
        <f t="shared" ca="1" si="67"/>
        <v>0</v>
      </c>
      <c r="AA383" s="5" t="str">
        <f t="shared" ca="1" si="68"/>
        <v>Guarda-móveis</v>
      </c>
      <c r="AB383" s="5">
        <f ca="1">COUNTIF(R$10:R383,R383)</f>
        <v>366</v>
      </c>
      <c r="AC383" s="5" t="str">
        <f t="shared" ca="1" si="69"/>
        <v>0366</v>
      </c>
      <c r="AD383" s="5" t="str">
        <f t="shared" ca="1" si="70"/>
        <v>Reparação e manutenção de computadores e de equipamentos periféricos</v>
      </c>
      <c r="AE383" s="5">
        <f t="shared" ca="1" si="71"/>
        <v>0</v>
      </c>
    </row>
    <row r="384" spans="4:31" ht="15.6" thickTop="1" thickBot="1" x14ac:dyDescent="0.35">
      <c r="D384" s="57"/>
      <c r="E384" s="58"/>
      <c r="F384" s="59"/>
      <c r="G384" s="59"/>
      <c r="H384" s="59"/>
      <c r="I384" s="60"/>
      <c r="J384" s="61"/>
      <c r="K384" s="61"/>
      <c r="M384" s="9" t="str">
        <f t="shared" si="61"/>
        <v/>
      </c>
      <c r="N384" s="5" t="str">
        <f t="shared" si="72"/>
        <v/>
      </c>
      <c r="O384" s="5" t="str">
        <f t="shared" si="66"/>
        <v/>
      </c>
      <c r="Q384" s="5" t="str">
        <f>'CNAE_Cód.Atividade Econômica'!B373</f>
        <v>Reparação e manutenção de equipamentos de comunicação</v>
      </c>
      <c r="R384" s="5">
        <f t="shared" ca="1" si="62"/>
        <v>0</v>
      </c>
      <c r="S384" s="5" t="str">
        <f t="shared" si="63"/>
        <v>Reparação e manutenção de equipamentos de comunicação</v>
      </c>
      <c r="U384" s="5">
        <f ca="1">COUNTIF(R$10:R384,R384)</f>
        <v>367</v>
      </c>
      <c r="V384" s="5" t="str">
        <f t="shared" ca="1" si="64"/>
        <v>0367</v>
      </c>
      <c r="W384" s="5" t="str">
        <f t="shared" ca="1" si="65"/>
        <v>Reparação e manutenção de equipamentos de comunicação</v>
      </c>
      <c r="Y384" s="5">
        <v>375</v>
      </c>
      <c r="Z384" s="5">
        <f t="shared" ca="1" si="67"/>
        <v>0</v>
      </c>
      <c r="AA384" s="5" t="str">
        <f t="shared" ca="1" si="68"/>
        <v>Guarda-móveis</v>
      </c>
      <c r="AB384" s="5">
        <f ca="1">COUNTIF(R$10:R384,R384)</f>
        <v>367</v>
      </c>
      <c r="AC384" s="5" t="str">
        <f t="shared" ca="1" si="69"/>
        <v>0367</v>
      </c>
      <c r="AD384" s="5" t="str">
        <f t="shared" ca="1" si="70"/>
        <v>Reparação e manutenção de equipamentos de comunicação</v>
      </c>
      <c r="AE384" s="5">
        <f t="shared" ca="1" si="71"/>
        <v>0</v>
      </c>
    </row>
    <row r="385" spans="4:31" ht="15.6" thickTop="1" thickBot="1" x14ac:dyDescent="0.35">
      <c r="D385" s="57"/>
      <c r="E385" s="58"/>
      <c r="F385" s="59"/>
      <c r="G385" s="59"/>
      <c r="H385" s="59"/>
      <c r="I385" s="60"/>
      <c r="J385" s="61"/>
      <c r="K385" s="61"/>
      <c r="M385" s="9" t="str">
        <f t="shared" si="61"/>
        <v/>
      </c>
      <c r="N385" s="5" t="str">
        <f t="shared" si="72"/>
        <v/>
      </c>
      <c r="O385" s="5" t="str">
        <f t="shared" si="66"/>
        <v/>
      </c>
      <c r="Q385" s="5" t="str">
        <f>'CNAE_Cód.Atividade Econômica'!B374</f>
        <v>Reparação e manutenção de equipamentos eletroeletrônicos de uso pessoal e doméstico</v>
      </c>
      <c r="R385" s="5">
        <f t="shared" ca="1" si="62"/>
        <v>0</v>
      </c>
      <c r="S385" s="5" t="str">
        <f t="shared" si="63"/>
        <v>Reparação e manutenção de equipamentos eletroeletrônicos de uso pessoal e doméstico</v>
      </c>
      <c r="U385" s="5">
        <f ca="1">COUNTIF(R$10:R385,R385)</f>
        <v>368</v>
      </c>
      <c r="V385" s="5" t="str">
        <f t="shared" ca="1" si="64"/>
        <v>0368</v>
      </c>
      <c r="W385" s="5" t="str">
        <f t="shared" ca="1" si="65"/>
        <v>Reparação e manutenção de equipamentos eletroeletrônicos de uso pessoal e doméstico</v>
      </c>
      <c r="Y385" s="5">
        <v>376</v>
      </c>
      <c r="Z385" s="5">
        <f t="shared" ca="1" si="67"/>
        <v>0</v>
      </c>
      <c r="AA385" s="5" t="str">
        <f t="shared" ca="1" si="68"/>
        <v>Guarda-móveis</v>
      </c>
      <c r="AB385" s="5">
        <f ca="1">COUNTIF(R$10:R385,R385)</f>
        <v>368</v>
      </c>
      <c r="AC385" s="5" t="str">
        <f t="shared" ca="1" si="69"/>
        <v>0368</v>
      </c>
      <c r="AD385" s="5" t="str">
        <f t="shared" ca="1" si="70"/>
        <v>Reparação e manutenção de equipamentos eletroeletrônicos de uso pessoal e doméstico</v>
      </c>
      <c r="AE385" s="5">
        <f t="shared" ca="1" si="71"/>
        <v>0</v>
      </c>
    </row>
    <row r="386" spans="4:31" ht="15.6" thickTop="1" thickBot="1" x14ac:dyDescent="0.35">
      <c r="D386" s="57"/>
      <c r="E386" s="58"/>
      <c r="F386" s="59"/>
      <c r="G386" s="59"/>
      <c r="H386" s="59"/>
      <c r="I386" s="60"/>
      <c r="J386" s="61"/>
      <c r="K386" s="61"/>
      <c r="M386" s="9" t="str">
        <f t="shared" si="61"/>
        <v/>
      </c>
      <c r="N386" s="5" t="str">
        <f t="shared" si="72"/>
        <v/>
      </c>
      <c r="O386" s="5" t="str">
        <f t="shared" si="66"/>
        <v/>
      </c>
      <c r="Q386" s="5" t="str">
        <f>'CNAE_Cód.Atividade Econômica'!B375</f>
        <v>Reparação de calçados, bolsas e artigos de viagem</v>
      </c>
      <c r="R386" s="5">
        <f t="shared" ca="1" si="62"/>
        <v>0</v>
      </c>
      <c r="S386" s="5" t="str">
        <f t="shared" si="63"/>
        <v>Reparação de calçados, bolsas e artigos de viagem</v>
      </c>
      <c r="U386" s="5">
        <f ca="1">COUNTIF(R$10:R386,R386)</f>
        <v>369</v>
      </c>
      <c r="V386" s="5" t="str">
        <f t="shared" ca="1" si="64"/>
        <v>0369</v>
      </c>
      <c r="W386" s="5" t="str">
        <f t="shared" ca="1" si="65"/>
        <v>Reparação de calçados, bolsas e artigos de viagem</v>
      </c>
      <c r="Y386" s="5">
        <v>377</v>
      </c>
      <c r="Z386" s="5">
        <f t="shared" ca="1" si="67"/>
        <v>0</v>
      </c>
      <c r="AA386" s="5" t="str">
        <f t="shared" ca="1" si="68"/>
        <v>Guarda-móveis</v>
      </c>
      <c r="AB386" s="5">
        <f ca="1">COUNTIF(R$10:R386,R386)</f>
        <v>369</v>
      </c>
      <c r="AC386" s="5" t="str">
        <f t="shared" ca="1" si="69"/>
        <v>0369</v>
      </c>
      <c r="AD386" s="5" t="str">
        <f t="shared" ca="1" si="70"/>
        <v>Reparação de calçados, bolsas e artigos de viagem</v>
      </c>
      <c r="AE386" s="5">
        <f t="shared" ca="1" si="71"/>
        <v>0</v>
      </c>
    </row>
    <row r="387" spans="4:31" ht="15.6" thickTop="1" thickBot="1" x14ac:dyDescent="0.35">
      <c r="D387" s="57"/>
      <c r="E387" s="58"/>
      <c r="F387" s="59"/>
      <c r="G387" s="59"/>
      <c r="H387" s="59"/>
      <c r="I387" s="60"/>
      <c r="J387" s="61"/>
      <c r="K387" s="61"/>
      <c r="M387" s="9" t="str">
        <f t="shared" si="61"/>
        <v/>
      </c>
      <c r="N387" s="5" t="str">
        <f t="shared" si="72"/>
        <v/>
      </c>
      <c r="O387" s="5" t="str">
        <f t="shared" si="66"/>
        <v/>
      </c>
      <c r="Q387" s="5" t="str">
        <f>'CNAE_Cód.Atividade Econômica'!B376</f>
        <v>Chaveiros</v>
      </c>
      <c r="R387" s="5">
        <f t="shared" ca="1" si="62"/>
        <v>0</v>
      </c>
      <c r="S387" s="5" t="str">
        <f t="shared" si="63"/>
        <v>Chaveiros</v>
      </c>
      <c r="U387" s="5">
        <f ca="1">COUNTIF(R$10:R387,R387)</f>
        <v>370</v>
      </c>
      <c r="V387" s="5" t="str">
        <f t="shared" ca="1" si="64"/>
        <v>0370</v>
      </c>
      <c r="W387" s="5" t="str">
        <f t="shared" ca="1" si="65"/>
        <v>Chaveiros</v>
      </c>
      <c r="Y387" s="5">
        <v>378</v>
      </c>
      <c r="Z387" s="5">
        <f t="shared" ca="1" si="67"/>
        <v>0</v>
      </c>
      <c r="AA387" s="5" t="str">
        <f t="shared" ca="1" si="68"/>
        <v>Guarda-móveis</v>
      </c>
      <c r="AB387" s="5">
        <f ca="1">COUNTIF(R$10:R387,R387)</f>
        <v>370</v>
      </c>
      <c r="AC387" s="5" t="str">
        <f t="shared" ca="1" si="69"/>
        <v>0370</v>
      </c>
      <c r="AD387" s="5" t="str">
        <f t="shared" ca="1" si="70"/>
        <v>Chaveiros</v>
      </c>
      <c r="AE387" s="5">
        <f t="shared" ca="1" si="71"/>
        <v>0</v>
      </c>
    </row>
    <row r="388" spans="4:31" ht="15.6" thickTop="1" thickBot="1" x14ac:dyDescent="0.35">
      <c r="D388" s="57"/>
      <c r="E388" s="58"/>
      <c r="F388" s="59"/>
      <c r="G388" s="59"/>
      <c r="H388" s="59"/>
      <c r="I388" s="60"/>
      <c r="J388" s="61"/>
      <c r="K388" s="61"/>
      <c r="M388" s="9" t="str">
        <f t="shared" si="61"/>
        <v/>
      </c>
      <c r="N388" s="5" t="str">
        <f t="shared" si="72"/>
        <v/>
      </c>
      <c r="O388" s="5" t="str">
        <f t="shared" si="66"/>
        <v/>
      </c>
      <c r="Q388" s="5" t="str">
        <f>'CNAE_Cód.Atividade Econômica'!B377</f>
        <v>Reparação de relógios</v>
      </c>
      <c r="R388" s="5">
        <f t="shared" ca="1" si="62"/>
        <v>0</v>
      </c>
      <c r="S388" s="5" t="str">
        <f t="shared" si="63"/>
        <v>Reparação de relógios</v>
      </c>
      <c r="U388" s="5">
        <f ca="1">COUNTIF(R$10:R388,R388)</f>
        <v>371</v>
      </c>
      <c r="V388" s="5" t="str">
        <f t="shared" ca="1" si="64"/>
        <v>0371</v>
      </c>
      <c r="W388" s="5" t="str">
        <f t="shared" ca="1" si="65"/>
        <v>Reparação de relógios</v>
      </c>
      <c r="Y388" s="5">
        <v>379</v>
      </c>
      <c r="Z388" s="5">
        <f t="shared" ca="1" si="67"/>
        <v>0</v>
      </c>
      <c r="AA388" s="5" t="str">
        <f t="shared" ca="1" si="68"/>
        <v>Guarda-móveis</v>
      </c>
      <c r="AB388" s="5">
        <f ca="1">COUNTIF(R$10:R388,R388)</f>
        <v>371</v>
      </c>
      <c r="AC388" s="5" t="str">
        <f t="shared" ca="1" si="69"/>
        <v>0371</v>
      </c>
      <c r="AD388" s="5" t="str">
        <f t="shared" ca="1" si="70"/>
        <v>Reparação de relógios</v>
      </c>
      <c r="AE388" s="5">
        <f t="shared" ca="1" si="71"/>
        <v>0</v>
      </c>
    </row>
    <row r="389" spans="4:31" ht="15.6" thickTop="1" thickBot="1" x14ac:dyDescent="0.35">
      <c r="D389" s="57"/>
      <c r="E389" s="58"/>
      <c r="F389" s="59"/>
      <c r="G389" s="59"/>
      <c r="H389" s="59"/>
      <c r="I389" s="60"/>
      <c r="J389" s="61"/>
      <c r="K389" s="61"/>
      <c r="M389" s="9" t="str">
        <f t="shared" si="61"/>
        <v/>
      </c>
      <c r="N389" s="5" t="str">
        <f t="shared" si="72"/>
        <v/>
      </c>
      <c r="O389" s="5" t="str">
        <f t="shared" si="66"/>
        <v/>
      </c>
      <c r="Q389" s="5" t="str">
        <f>'CNAE_Cód.Atividade Econômica'!B378</f>
        <v>Reparação de bicicletas, triciclos e outros veículos não-motorizados</v>
      </c>
      <c r="R389" s="5">
        <f t="shared" ca="1" si="62"/>
        <v>0</v>
      </c>
      <c r="S389" s="5" t="str">
        <f t="shared" si="63"/>
        <v>Reparação de bicicletas, triciclos e outros veículos não-motorizados</v>
      </c>
      <c r="U389" s="5">
        <f ca="1">COUNTIF(R$10:R389,R389)</f>
        <v>372</v>
      </c>
      <c r="V389" s="5" t="str">
        <f t="shared" ca="1" si="64"/>
        <v>0372</v>
      </c>
      <c r="W389" s="5" t="str">
        <f t="shared" ca="1" si="65"/>
        <v>Reparação de bicicletas, triciclos e outros veículos não-motorizados</v>
      </c>
      <c r="Y389" s="5">
        <v>380</v>
      </c>
      <c r="Z389" s="5">
        <f t="shared" ca="1" si="67"/>
        <v>0</v>
      </c>
      <c r="AA389" s="5" t="str">
        <f t="shared" ca="1" si="68"/>
        <v>Guarda-móveis</v>
      </c>
      <c r="AB389" s="5">
        <f ca="1">COUNTIF(R$10:R389,R389)</f>
        <v>372</v>
      </c>
      <c r="AC389" s="5" t="str">
        <f t="shared" ca="1" si="69"/>
        <v>0372</v>
      </c>
      <c r="AD389" s="5" t="str">
        <f t="shared" ca="1" si="70"/>
        <v>Reparação de bicicletas, triciclos e outros veículos não-motorizados</v>
      </c>
      <c r="AE389" s="5">
        <f t="shared" ca="1" si="71"/>
        <v>0</v>
      </c>
    </row>
    <row r="390" spans="4:31" ht="15.6" thickTop="1" thickBot="1" x14ac:dyDescent="0.35">
      <c r="D390" s="57"/>
      <c r="E390" s="58"/>
      <c r="F390" s="59"/>
      <c r="G390" s="59"/>
      <c r="H390" s="59"/>
      <c r="I390" s="60"/>
      <c r="J390" s="61"/>
      <c r="K390" s="61"/>
      <c r="M390" s="9" t="str">
        <f t="shared" si="61"/>
        <v/>
      </c>
      <c r="N390" s="5" t="str">
        <f t="shared" si="72"/>
        <v/>
      </c>
      <c r="O390" s="5" t="str">
        <f t="shared" si="66"/>
        <v/>
      </c>
      <c r="Q390" s="5" t="str">
        <f>'CNAE_Cód.Atividade Econômica'!B379</f>
        <v>Reparação de artigos do mobiliário</v>
      </c>
      <c r="R390" s="5">
        <f t="shared" ca="1" si="62"/>
        <v>0</v>
      </c>
      <c r="S390" s="5" t="str">
        <f t="shared" si="63"/>
        <v>Reparação de artigos do mobiliário</v>
      </c>
      <c r="U390" s="5">
        <f ca="1">COUNTIF(R$10:R390,R390)</f>
        <v>373</v>
      </c>
      <c r="V390" s="5" t="str">
        <f t="shared" ca="1" si="64"/>
        <v>0373</v>
      </c>
      <c r="W390" s="5" t="str">
        <f t="shared" ca="1" si="65"/>
        <v>Reparação de artigos do mobiliário</v>
      </c>
      <c r="Y390" s="5">
        <v>381</v>
      </c>
      <c r="Z390" s="5">
        <f t="shared" ca="1" si="67"/>
        <v>0</v>
      </c>
      <c r="AA390" s="5" t="str">
        <f t="shared" ca="1" si="68"/>
        <v>Guarda-móveis</v>
      </c>
      <c r="AB390" s="5">
        <f ca="1">COUNTIF(R$10:R390,R390)</f>
        <v>373</v>
      </c>
      <c r="AC390" s="5" t="str">
        <f t="shared" ca="1" si="69"/>
        <v>0373</v>
      </c>
      <c r="AD390" s="5" t="str">
        <f t="shared" ca="1" si="70"/>
        <v>Reparação de artigos do mobiliário</v>
      </c>
      <c r="AE390" s="5">
        <f t="shared" ca="1" si="71"/>
        <v>0</v>
      </c>
    </row>
    <row r="391" spans="4:31" ht="15.6" thickTop="1" thickBot="1" x14ac:dyDescent="0.35">
      <c r="D391" s="57"/>
      <c r="E391" s="58"/>
      <c r="F391" s="59"/>
      <c r="G391" s="59"/>
      <c r="H391" s="59"/>
      <c r="I391" s="60"/>
      <c r="J391" s="61"/>
      <c r="K391" s="61"/>
      <c r="M391" s="9" t="str">
        <f t="shared" si="61"/>
        <v/>
      </c>
      <c r="N391" s="5" t="str">
        <f t="shared" si="72"/>
        <v/>
      </c>
      <c r="O391" s="5" t="str">
        <f t="shared" si="66"/>
        <v/>
      </c>
      <c r="Q391" s="5" t="str">
        <f>'CNAE_Cód.Atividade Econômica'!B380</f>
        <v>Reparação de jóias</v>
      </c>
      <c r="R391" s="5">
        <f t="shared" ca="1" si="62"/>
        <v>0</v>
      </c>
      <c r="S391" s="5" t="str">
        <f t="shared" si="63"/>
        <v>Reparação de jóias</v>
      </c>
      <c r="U391" s="5">
        <f ca="1">COUNTIF(R$10:R391,R391)</f>
        <v>374</v>
      </c>
      <c r="V391" s="5" t="str">
        <f t="shared" ca="1" si="64"/>
        <v>0374</v>
      </c>
      <c r="W391" s="5" t="str">
        <f t="shared" ca="1" si="65"/>
        <v>Reparação de jóias</v>
      </c>
      <c r="Y391" s="5">
        <v>382</v>
      </c>
      <c r="Z391" s="5">
        <f t="shared" ca="1" si="67"/>
        <v>0</v>
      </c>
      <c r="AA391" s="5" t="str">
        <f t="shared" ca="1" si="68"/>
        <v>Guarda-móveis</v>
      </c>
      <c r="AB391" s="5">
        <f ca="1">COUNTIF(R$10:R391,R391)</f>
        <v>374</v>
      </c>
      <c r="AC391" s="5" t="str">
        <f t="shared" ca="1" si="69"/>
        <v>0374</v>
      </c>
      <c r="AD391" s="5" t="str">
        <f t="shared" ca="1" si="70"/>
        <v>Reparação de jóias</v>
      </c>
      <c r="AE391" s="5">
        <f t="shared" ca="1" si="71"/>
        <v>0</v>
      </c>
    </row>
    <row r="392" spans="4:31" ht="15.6" thickTop="1" thickBot="1" x14ac:dyDescent="0.35">
      <c r="D392" s="57"/>
      <c r="E392" s="58"/>
      <c r="F392" s="59"/>
      <c r="G392" s="59"/>
      <c r="H392" s="59"/>
      <c r="I392" s="60"/>
      <c r="J392" s="61"/>
      <c r="K392" s="61"/>
      <c r="M392" s="9" t="str">
        <f t="shared" si="61"/>
        <v/>
      </c>
      <c r="N392" s="5" t="str">
        <f t="shared" si="72"/>
        <v/>
      </c>
      <c r="O392" s="5" t="str">
        <f t="shared" si="66"/>
        <v/>
      </c>
      <c r="Q392" s="5" t="str">
        <f>'CNAE_Cód.Atividade Econômica'!B381</f>
        <v>Reparação e manutenção de outros objetos e equipamentos pessoais e domésticos não especificados anteriormente</v>
      </c>
      <c r="R392" s="5">
        <f t="shared" ca="1" si="62"/>
        <v>0</v>
      </c>
      <c r="S392" s="5" t="str">
        <f t="shared" si="63"/>
        <v>Reparação e manutenção de outros objetos e equipamentos pessoais e domésticos não especificados anteriormente</v>
      </c>
      <c r="U392" s="5">
        <f ca="1">COUNTIF(R$10:R392,R392)</f>
        <v>375</v>
      </c>
      <c r="V392" s="5" t="str">
        <f t="shared" ca="1" si="64"/>
        <v>0375</v>
      </c>
      <c r="W392" s="5" t="str">
        <f t="shared" ca="1" si="65"/>
        <v>Reparação e manutenção de outros objetos e equipamentos pessoais e domésticos não especificados anteriormente</v>
      </c>
      <c r="Y392" s="5">
        <v>383</v>
      </c>
      <c r="Z392" s="5">
        <f t="shared" ca="1" si="67"/>
        <v>0</v>
      </c>
      <c r="AA392" s="5" t="str">
        <f t="shared" ca="1" si="68"/>
        <v>Guarda-móveis</v>
      </c>
      <c r="AB392" s="5">
        <f ca="1">COUNTIF(R$10:R392,R392)</f>
        <v>375</v>
      </c>
      <c r="AC392" s="5" t="str">
        <f t="shared" ca="1" si="69"/>
        <v>0375</v>
      </c>
      <c r="AD392" s="5" t="str">
        <f t="shared" ca="1" si="70"/>
        <v>Reparação e manutenção de outros objetos e equipamentos pessoais e domésticos não especificados anteriormente</v>
      </c>
      <c r="AE392" s="5">
        <f t="shared" ca="1" si="71"/>
        <v>0</v>
      </c>
    </row>
    <row r="393" spans="4:31" ht="15.6" thickTop="1" thickBot="1" x14ac:dyDescent="0.35">
      <c r="D393" s="57"/>
      <c r="E393" s="58"/>
      <c r="F393" s="59"/>
      <c r="G393" s="59"/>
      <c r="H393" s="59"/>
      <c r="I393" s="60"/>
      <c r="J393" s="61"/>
      <c r="K393" s="61"/>
      <c r="M393" s="9" t="str">
        <f t="shared" si="61"/>
        <v/>
      </c>
      <c r="N393" s="5" t="str">
        <f t="shared" si="72"/>
        <v/>
      </c>
      <c r="O393" s="5" t="str">
        <f t="shared" si="66"/>
        <v/>
      </c>
      <c r="Q393" s="5" t="str">
        <f>'CNAE_Cód.Atividade Econômica'!B382</f>
        <v>Lavanderias</v>
      </c>
      <c r="R393" s="5">
        <f t="shared" ca="1" si="62"/>
        <v>0</v>
      </c>
      <c r="S393" s="5" t="str">
        <f t="shared" si="63"/>
        <v>Lavanderias</v>
      </c>
      <c r="U393" s="5">
        <f ca="1">COUNTIF(R$10:R393,R393)</f>
        <v>376</v>
      </c>
      <c r="V393" s="5" t="str">
        <f t="shared" ca="1" si="64"/>
        <v>0376</v>
      </c>
      <c r="W393" s="5" t="str">
        <f t="shared" ca="1" si="65"/>
        <v>Lavanderias</v>
      </c>
      <c r="Y393" s="5">
        <v>384</v>
      </c>
      <c r="Z393" s="5">
        <f t="shared" ca="1" si="67"/>
        <v>0</v>
      </c>
      <c r="AA393" s="5" t="str">
        <f t="shared" ca="1" si="68"/>
        <v>Guarda-móveis</v>
      </c>
      <c r="AB393" s="5">
        <f ca="1">COUNTIF(R$10:R393,R393)</f>
        <v>376</v>
      </c>
      <c r="AC393" s="5" t="str">
        <f t="shared" ca="1" si="69"/>
        <v>0376</v>
      </c>
      <c r="AD393" s="5" t="str">
        <f t="shared" ca="1" si="70"/>
        <v>Lavanderias</v>
      </c>
      <c r="AE393" s="5">
        <f t="shared" ca="1" si="71"/>
        <v>0</v>
      </c>
    </row>
    <row r="394" spans="4:31" ht="15.6" thickTop="1" thickBot="1" x14ac:dyDescent="0.35">
      <c r="D394" s="57"/>
      <c r="E394" s="58"/>
      <c r="F394" s="59"/>
      <c r="G394" s="59"/>
      <c r="H394" s="59"/>
      <c r="I394" s="60"/>
      <c r="J394" s="61"/>
      <c r="K394" s="61"/>
      <c r="M394" s="9" t="str">
        <f t="shared" ref="M394:M457" si="73">IF(ISBLANK(D394), "", IFERROR(PROPER(TEXT(D394,"mmmm")),""))</f>
        <v/>
      </c>
      <c r="N394" s="5" t="str">
        <f t="shared" si="72"/>
        <v/>
      </c>
      <c r="O394" s="5" t="str">
        <f t="shared" si="66"/>
        <v/>
      </c>
      <c r="Q394" s="5" t="str">
        <f>'CNAE_Cód.Atividade Econômica'!B383</f>
        <v>Tinturarias</v>
      </c>
      <c r="R394" s="5">
        <f t="shared" ref="R394:R457" ca="1" si="74">COUNTIF($O:$O,Q394)</f>
        <v>0</v>
      </c>
      <c r="S394" s="5" t="str">
        <f t="shared" ref="S394:S457" si="75">Q394</f>
        <v>Tinturarias</v>
      </c>
      <c r="U394" s="5">
        <f ca="1">COUNTIF(R$10:R394,R394)</f>
        <v>377</v>
      </c>
      <c r="V394" s="5" t="str">
        <f t="shared" ref="V394:V457" ca="1" si="76">R394&amp;U394</f>
        <v>0377</v>
      </c>
      <c r="W394" s="5" t="str">
        <f t="shared" ref="W394:W457" ca="1" si="77">INDEX($S$10:$S$401, MATCH(V394,$V$10:$V$1048576, 0))</f>
        <v>Tinturarias</v>
      </c>
      <c r="Y394" s="5">
        <v>385</v>
      </c>
      <c r="Z394" s="5">
        <f t="shared" ca="1" si="67"/>
        <v>0</v>
      </c>
      <c r="AA394" s="5" t="str">
        <f t="shared" ca="1" si="68"/>
        <v>Guarda-móveis</v>
      </c>
      <c r="AB394" s="5">
        <f ca="1">COUNTIF(R$10:R394,R394)</f>
        <v>377</v>
      </c>
      <c r="AC394" s="5" t="str">
        <f t="shared" ca="1" si="69"/>
        <v>0377</v>
      </c>
      <c r="AD394" s="5" t="str">
        <f t="shared" ca="1" si="70"/>
        <v>Tinturarias</v>
      </c>
      <c r="AE394" s="5">
        <f t="shared" ca="1" si="71"/>
        <v>0</v>
      </c>
    </row>
    <row r="395" spans="4:31" ht="15.6" thickTop="1" thickBot="1" x14ac:dyDescent="0.35">
      <c r="D395" s="57"/>
      <c r="E395" s="58"/>
      <c r="F395" s="59"/>
      <c r="G395" s="59"/>
      <c r="H395" s="59"/>
      <c r="I395" s="60"/>
      <c r="J395" s="61"/>
      <c r="K395" s="61"/>
      <c r="M395" s="9" t="str">
        <f t="shared" si="73"/>
        <v/>
      </c>
      <c r="N395" s="5" t="str">
        <f t="shared" si="72"/>
        <v/>
      </c>
      <c r="O395" s="5" t="str">
        <f t="shared" ref="O395:O458" si="78">IFERROR(RIGHT(N395,LEN(N395)-SEARCH("- ",N395)-1),"")</f>
        <v/>
      </c>
      <c r="Q395" s="5" t="str">
        <f>'CNAE_Cód.Atividade Econômica'!B384</f>
        <v>Toalheiros</v>
      </c>
      <c r="R395" s="5">
        <f t="shared" ca="1" si="74"/>
        <v>0</v>
      </c>
      <c r="S395" s="5" t="str">
        <f t="shared" si="75"/>
        <v>Toalheiros</v>
      </c>
      <c r="U395" s="5">
        <f ca="1">COUNTIF(R$10:R395,R395)</f>
        <v>378</v>
      </c>
      <c r="V395" s="5" t="str">
        <f t="shared" ca="1" si="76"/>
        <v>0378</v>
      </c>
      <c r="W395" s="5" t="str">
        <f t="shared" ca="1" si="77"/>
        <v>Toalheiros</v>
      </c>
      <c r="Y395" s="5">
        <v>386</v>
      </c>
      <c r="Z395" s="5">
        <f t="shared" ref="Z395:Z458" ca="1" si="79">LARGE($R$10:$R$1048576,Y395)</f>
        <v>0</v>
      </c>
      <c r="AA395" s="5" t="str">
        <f t="shared" ref="AA395:AA458" ca="1" si="80">INDEX(S$10:S$1000, MATCH(R395, R$10:R$1000, 0))</f>
        <v>Guarda-móveis</v>
      </c>
      <c r="AB395" s="5">
        <f ca="1">COUNTIF(R$10:R395,R395)</f>
        <v>378</v>
      </c>
      <c r="AC395" s="5" t="str">
        <f t="shared" ref="AC395:AC458" ca="1" si="81">R395&amp;U395</f>
        <v>0378</v>
      </c>
      <c r="AD395" s="5" t="str">
        <f t="shared" ref="AD395:AD458" ca="1" si="82">INDEX($S$10:$S$1048576, MATCH(AC395, $V$10:$V$1048576, 0))</f>
        <v>Toalheiros</v>
      </c>
      <c r="AE395" s="5">
        <f t="shared" ref="AE395:AE458" ca="1" si="83">Z395</f>
        <v>0</v>
      </c>
    </row>
    <row r="396" spans="4:31" ht="15.6" thickTop="1" thickBot="1" x14ac:dyDescent="0.35">
      <c r="D396" s="57"/>
      <c r="E396" s="58"/>
      <c r="F396" s="59"/>
      <c r="G396" s="59"/>
      <c r="H396" s="59"/>
      <c r="I396" s="60"/>
      <c r="J396" s="61"/>
      <c r="K396" s="61"/>
      <c r="M396" s="9" t="str">
        <f t="shared" si="73"/>
        <v/>
      </c>
      <c r="N396" s="5" t="str">
        <f t="shared" si="72"/>
        <v/>
      </c>
      <c r="O396" s="5" t="str">
        <f t="shared" si="78"/>
        <v/>
      </c>
      <c r="Q396" s="5" t="str">
        <f>'CNAE_Cód.Atividade Econômica'!B385</f>
        <v>Cabeleireiros, manicure e pedicure</v>
      </c>
      <c r="R396" s="5">
        <f t="shared" ca="1" si="74"/>
        <v>0</v>
      </c>
      <c r="S396" s="5" t="str">
        <f t="shared" si="75"/>
        <v>Cabeleireiros, manicure e pedicure</v>
      </c>
      <c r="U396" s="5">
        <f ca="1">COUNTIF(R$10:R396,R396)</f>
        <v>379</v>
      </c>
      <c r="V396" s="5" t="str">
        <f t="shared" ca="1" si="76"/>
        <v>0379</v>
      </c>
      <c r="W396" s="5" t="str">
        <f t="shared" ca="1" si="77"/>
        <v>Cabeleireiros, manicure e pedicure</v>
      </c>
      <c r="Y396" s="5">
        <v>387</v>
      </c>
      <c r="Z396" s="5">
        <f t="shared" ca="1" si="79"/>
        <v>0</v>
      </c>
      <c r="AA396" s="5" t="str">
        <f t="shared" ca="1" si="80"/>
        <v>Guarda-móveis</v>
      </c>
      <c r="AB396" s="5">
        <f ca="1">COUNTIF(R$10:R396,R396)</f>
        <v>379</v>
      </c>
      <c r="AC396" s="5" t="str">
        <f t="shared" ca="1" si="81"/>
        <v>0379</v>
      </c>
      <c r="AD396" s="5" t="str">
        <f t="shared" ca="1" si="82"/>
        <v>Cabeleireiros, manicure e pedicure</v>
      </c>
      <c r="AE396" s="5">
        <f t="shared" ca="1" si="83"/>
        <v>0</v>
      </c>
    </row>
    <row r="397" spans="4:31" ht="15.6" thickTop="1" thickBot="1" x14ac:dyDescent="0.35">
      <c r="D397" s="57"/>
      <c r="E397" s="58"/>
      <c r="F397" s="59"/>
      <c r="G397" s="59"/>
      <c r="H397" s="59"/>
      <c r="I397" s="60"/>
      <c r="J397" s="61"/>
      <c r="K397" s="61"/>
      <c r="M397" s="9" t="str">
        <f t="shared" si="73"/>
        <v/>
      </c>
      <c r="N397" s="5" t="str">
        <f t="shared" si="72"/>
        <v/>
      </c>
      <c r="O397" s="5" t="str">
        <f t="shared" si="78"/>
        <v/>
      </c>
      <c r="Q397" s="5" t="str">
        <f>'CNAE_Cód.Atividade Econômica'!B387</f>
        <v>Agências matrimoniais</v>
      </c>
      <c r="R397" s="5">
        <f t="shared" ca="1" si="74"/>
        <v>0</v>
      </c>
      <c r="S397" s="5" t="str">
        <f t="shared" si="75"/>
        <v>Agências matrimoniais</v>
      </c>
      <c r="U397" s="5">
        <f ca="1">COUNTIF(R$10:R397,R397)</f>
        <v>380</v>
      </c>
      <c r="V397" s="5" t="str">
        <f t="shared" ca="1" si="76"/>
        <v>0380</v>
      </c>
      <c r="W397" s="5" t="str">
        <f t="shared" ca="1" si="77"/>
        <v>Agências matrimoniais</v>
      </c>
      <c r="Y397" s="5">
        <v>388</v>
      </c>
      <c r="Z397" s="5">
        <f t="shared" ca="1" si="79"/>
        <v>0</v>
      </c>
      <c r="AA397" s="5" t="str">
        <f t="shared" ca="1" si="80"/>
        <v>Guarda-móveis</v>
      </c>
      <c r="AB397" s="5">
        <f ca="1">COUNTIF(R$10:R397,R397)</f>
        <v>380</v>
      </c>
      <c r="AC397" s="5" t="str">
        <f t="shared" ca="1" si="81"/>
        <v>0380</v>
      </c>
      <c r="AD397" s="5" t="str">
        <f t="shared" ca="1" si="82"/>
        <v>Agências matrimoniais</v>
      </c>
      <c r="AE397" s="5">
        <f t="shared" ca="1" si="83"/>
        <v>0</v>
      </c>
    </row>
    <row r="398" spans="4:31" ht="15.6" thickTop="1" thickBot="1" x14ac:dyDescent="0.35">
      <c r="D398" s="57"/>
      <c r="E398" s="58"/>
      <c r="F398" s="59"/>
      <c r="G398" s="59"/>
      <c r="H398" s="59"/>
      <c r="I398" s="60"/>
      <c r="J398" s="61"/>
      <c r="K398" s="61"/>
      <c r="M398" s="9" t="str">
        <f t="shared" si="73"/>
        <v/>
      </c>
      <c r="N398" s="5" t="str">
        <f t="shared" si="72"/>
        <v/>
      </c>
      <c r="O398" s="5" t="str">
        <f t="shared" si="78"/>
        <v/>
      </c>
      <c r="Q398" s="5" t="str">
        <f>'CNAE_Cód.Atividade Econômica'!B390</f>
        <v>Alojamento de animais domésticos</v>
      </c>
      <c r="R398" s="5">
        <f t="shared" ca="1" si="74"/>
        <v>0</v>
      </c>
      <c r="S398" s="5" t="str">
        <f t="shared" si="75"/>
        <v>Alojamento de animais domésticos</v>
      </c>
      <c r="U398" s="5">
        <f ca="1">COUNTIF(R$10:R398,R398)</f>
        <v>381</v>
      </c>
      <c r="V398" s="5" t="str">
        <f t="shared" ca="1" si="76"/>
        <v>0381</v>
      </c>
      <c r="W398" s="5" t="str">
        <f t="shared" ca="1" si="77"/>
        <v>Alojamento de animais domésticos</v>
      </c>
      <c r="Y398" s="5">
        <v>389</v>
      </c>
      <c r="Z398" s="5">
        <f t="shared" ca="1" si="79"/>
        <v>0</v>
      </c>
      <c r="AA398" s="5" t="str">
        <f t="shared" ca="1" si="80"/>
        <v>Guarda-móveis</v>
      </c>
      <c r="AB398" s="5">
        <f ca="1">COUNTIF(R$10:R398,R398)</f>
        <v>381</v>
      </c>
      <c r="AC398" s="5" t="str">
        <f t="shared" ca="1" si="81"/>
        <v>0381</v>
      </c>
      <c r="AD398" s="5" t="str">
        <f t="shared" ca="1" si="82"/>
        <v>Alojamento de animais domésticos</v>
      </c>
      <c r="AE398" s="5">
        <f t="shared" ca="1" si="83"/>
        <v>0</v>
      </c>
    </row>
    <row r="399" spans="4:31" ht="15.6" thickTop="1" thickBot="1" x14ac:dyDescent="0.35">
      <c r="D399" s="57"/>
      <c r="E399" s="58"/>
      <c r="F399" s="59"/>
      <c r="G399" s="59"/>
      <c r="H399" s="59"/>
      <c r="I399" s="60"/>
      <c r="J399" s="61"/>
      <c r="K399" s="61"/>
      <c r="M399" s="9" t="str">
        <f t="shared" si="73"/>
        <v/>
      </c>
      <c r="N399" s="5" t="str">
        <f t="shared" si="72"/>
        <v/>
      </c>
      <c r="O399" s="5" t="str">
        <f t="shared" si="78"/>
        <v/>
      </c>
      <c r="Q399" s="5" t="str">
        <f>'CNAE_Cód.Atividade Econômica'!B391</f>
        <v>Higiene e embelezamento de animais domésticos</v>
      </c>
      <c r="R399" s="5">
        <f t="shared" ca="1" si="74"/>
        <v>0</v>
      </c>
      <c r="S399" s="5" t="str">
        <f t="shared" si="75"/>
        <v>Higiene e embelezamento de animais domésticos</v>
      </c>
      <c r="U399" s="5">
        <f ca="1">COUNTIF(R$10:R399,R399)</f>
        <v>382</v>
      </c>
      <c r="V399" s="5" t="str">
        <f t="shared" ca="1" si="76"/>
        <v>0382</v>
      </c>
      <c r="W399" s="5" t="str">
        <f t="shared" ca="1" si="77"/>
        <v>Higiene e embelezamento de animais domésticos</v>
      </c>
      <c r="Y399" s="5">
        <v>390</v>
      </c>
      <c r="Z399" s="5">
        <f t="shared" ca="1" si="79"/>
        <v>0</v>
      </c>
      <c r="AA399" s="5" t="str">
        <f t="shared" ca="1" si="80"/>
        <v>Guarda-móveis</v>
      </c>
      <c r="AB399" s="5">
        <f ca="1">COUNTIF(R$10:R399,R399)</f>
        <v>382</v>
      </c>
      <c r="AC399" s="5" t="str">
        <f t="shared" ca="1" si="81"/>
        <v>0382</v>
      </c>
      <c r="AD399" s="5" t="str">
        <f t="shared" ca="1" si="82"/>
        <v>Higiene e embelezamento de animais domésticos</v>
      </c>
      <c r="AE399" s="5">
        <f t="shared" ca="1" si="83"/>
        <v>0</v>
      </c>
    </row>
    <row r="400" spans="4:31" ht="15.6" thickTop="1" thickBot="1" x14ac:dyDescent="0.35">
      <c r="D400" s="57"/>
      <c r="E400" s="58"/>
      <c r="F400" s="59"/>
      <c r="G400" s="59"/>
      <c r="H400" s="59"/>
      <c r="I400" s="60"/>
      <c r="J400" s="61"/>
      <c r="K400" s="61"/>
      <c r="M400" s="9" t="str">
        <f t="shared" si="73"/>
        <v/>
      </c>
      <c r="N400" s="5" t="str">
        <f t="shared" si="72"/>
        <v/>
      </c>
      <c r="O400" s="5" t="str">
        <f t="shared" si="78"/>
        <v/>
      </c>
      <c r="Q400" s="5" t="str">
        <f>'CNAE_Cód.Atividade Econômica'!B392</f>
        <v>Outras atividades de serviços pessoais não especificadas anteriormente</v>
      </c>
      <c r="R400" s="5">
        <f t="shared" ca="1" si="74"/>
        <v>0</v>
      </c>
      <c r="S400" s="5" t="str">
        <f t="shared" si="75"/>
        <v>Outras atividades de serviços pessoais não especificadas anteriormente</v>
      </c>
      <c r="U400" s="5">
        <f ca="1">COUNTIF(R$10:R400,R400)</f>
        <v>383</v>
      </c>
      <c r="V400" s="5" t="str">
        <f t="shared" ca="1" si="76"/>
        <v>0383</v>
      </c>
      <c r="W400" s="5" t="str">
        <f t="shared" ca="1" si="77"/>
        <v>Outras atividades de serviços pessoais não especificadas anteriormente</v>
      </c>
      <c r="Y400" s="5">
        <v>391</v>
      </c>
      <c r="Z400" s="5">
        <f t="shared" ca="1" si="79"/>
        <v>0</v>
      </c>
      <c r="AA400" s="5" t="str">
        <f t="shared" ca="1" si="80"/>
        <v>Guarda-móveis</v>
      </c>
      <c r="AB400" s="5">
        <f ca="1">COUNTIF(R$10:R400,R400)</f>
        <v>383</v>
      </c>
      <c r="AC400" s="5" t="str">
        <f t="shared" ca="1" si="81"/>
        <v>0383</v>
      </c>
      <c r="AD400" s="5" t="str">
        <f t="shared" ca="1" si="82"/>
        <v>Outras atividades de serviços pessoais não especificadas anteriormente</v>
      </c>
      <c r="AE400" s="5">
        <f t="shared" ca="1" si="83"/>
        <v>0</v>
      </c>
    </row>
    <row r="401" spans="4:31" ht="15.6" thickTop="1" thickBot="1" x14ac:dyDescent="0.35">
      <c r="D401" s="57"/>
      <c r="E401" s="58"/>
      <c r="F401" s="59"/>
      <c r="G401" s="59"/>
      <c r="H401" s="59"/>
      <c r="I401" s="60"/>
      <c r="J401" s="61"/>
      <c r="K401" s="61"/>
      <c r="M401" s="9" t="str">
        <f t="shared" si="73"/>
        <v/>
      </c>
      <c r="N401" s="5" t="str">
        <f t="shared" si="72"/>
        <v/>
      </c>
      <c r="O401" s="5" t="str">
        <f t="shared" si="78"/>
        <v/>
      </c>
      <c r="R401" s="5">
        <f t="shared" ca="1" si="74"/>
        <v>0</v>
      </c>
      <c r="S401" s="5">
        <f t="shared" si="75"/>
        <v>0</v>
      </c>
      <c r="U401" s="5">
        <f ca="1">COUNTIF(R$10:R401,R401)</f>
        <v>384</v>
      </c>
      <c r="V401" s="5" t="str">
        <f t="shared" ca="1" si="76"/>
        <v>0384</v>
      </c>
      <c r="W401" s="5">
        <f t="shared" ca="1" si="77"/>
        <v>0</v>
      </c>
      <c r="Y401" s="5">
        <v>392</v>
      </c>
      <c r="Z401" s="5">
        <f t="shared" ca="1" si="79"/>
        <v>0</v>
      </c>
      <c r="AA401" s="5" t="str">
        <f t="shared" ca="1" si="80"/>
        <v>Guarda-móveis</v>
      </c>
      <c r="AB401" s="5">
        <f ca="1">COUNTIF(R$10:R401,R401)</f>
        <v>384</v>
      </c>
      <c r="AC401" s="5" t="str">
        <f t="shared" ca="1" si="81"/>
        <v>0384</v>
      </c>
      <c r="AD401" s="5">
        <f t="shared" ca="1" si="82"/>
        <v>0</v>
      </c>
      <c r="AE401" s="5">
        <f t="shared" ca="1" si="83"/>
        <v>0</v>
      </c>
    </row>
    <row r="402" spans="4:31" ht="15.6" thickTop="1" thickBot="1" x14ac:dyDescent="0.35">
      <c r="D402" s="57"/>
      <c r="E402" s="58"/>
      <c r="F402" s="59"/>
      <c r="G402" s="59"/>
      <c r="H402" s="59"/>
      <c r="I402" s="60"/>
      <c r="J402" s="61"/>
      <c r="K402" s="61"/>
      <c r="M402" s="9" t="str">
        <f t="shared" si="73"/>
        <v/>
      </c>
      <c r="N402" s="5" t="str">
        <f t="shared" si="72"/>
        <v/>
      </c>
      <c r="O402" s="5" t="str">
        <f t="shared" si="78"/>
        <v/>
      </c>
      <c r="R402" s="5">
        <f t="shared" ca="1" si="74"/>
        <v>0</v>
      </c>
      <c r="S402" s="5">
        <f t="shared" si="75"/>
        <v>0</v>
      </c>
      <c r="U402" s="5">
        <f ca="1">COUNTIF(R$10:R402,R402)</f>
        <v>385</v>
      </c>
      <c r="V402" s="5" t="str">
        <f t="shared" ca="1" si="76"/>
        <v>0385</v>
      </c>
      <c r="W402" s="5" t="e">
        <f t="shared" ca="1" si="77"/>
        <v>#REF!</v>
      </c>
      <c r="Y402" s="5">
        <v>393</v>
      </c>
      <c r="Z402" s="5">
        <f t="shared" ca="1" si="79"/>
        <v>0</v>
      </c>
      <c r="AA402" s="5" t="str">
        <f t="shared" ca="1" si="80"/>
        <v>Guarda-móveis</v>
      </c>
      <c r="AB402" s="5">
        <f ca="1">COUNTIF(R$10:R402,R402)</f>
        <v>385</v>
      </c>
      <c r="AC402" s="5" t="str">
        <f t="shared" ca="1" si="81"/>
        <v>0385</v>
      </c>
      <c r="AD402" s="5">
        <f t="shared" ca="1" si="82"/>
        <v>0</v>
      </c>
      <c r="AE402" s="5">
        <f t="shared" ca="1" si="83"/>
        <v>0</v>
      </c>
    </row>
    <row r="403" spans="4:31" ht="15.6" thickTop="1" thickBot="1" x14ac:dyDescent="0.35">
      <c r="D403" s="57"/>
      <c r="E403" s="58"/>
      <c r="F403" s="59"/>
      <c r="G403" s="59"/>
      <c r="H403" s="59"/>
      <c r="I403" s="60"/>
      <c r="J403" s="61"/>
      <c r="K403" s="61"/>
      <c r="M403" s="9" t="str">
        <f t="shared" si="73"/>
        <v/>
      </c>
      <c r="N403" s="5" t="str">
        <f t="shared" si="72"/>
        <v/>
      </c>
      <c r="O403" s="5" t="str">
        <f t="shared" si="78"/>
        <v/>
      </c>
      <c r="R403" s="5">
        <f t="shared" ca="1" si="74"/>
        <v>0</v>
      </c>
      <c r="S403" s="5">
        <f t="shared" si="75"/>
        <v>0</v>
      </c>
      <c r="U403" s="5">
        <f ca="1">COUNTIF(R$10:R403,R403)</f>
        <v>386</v>
      </c>
      <c r="V403" s="5" t="str">
        <f t="shared" ca="1" si="76"/>
        <v>0386</v>
      </c>
      <c r="W403" s="5" t="e">
        <f t="shared" ca="1" si="77"/>
        <v>#REF!</v>
      </c>
      <c r="Y403" s="5">
        <v>394</v>
      </c>
      <c r="Z403" s="5">
        <f t="shared" ca="1" si="79"/>
        <v>0</v>
      </c>
      <c r="AA403" s="5" t="str">
        <f t="shared" ca="1" si="80"/>
        <v>Guarda-móveis</v>
      </c>
      <c r="AB403" s="5">
        <f ca="1">COUNTIF(R$10:R403,R403)</f>
        <v>386</v>
      </c>
      <c r="AC403" s="5" t="str">
        <f t="shared" ca="1" si="81"/>
        <v>0386</v>
      </c>
      <c r="AD403" s="5">
        <f t="shared" ca="1" si="82"/>
        <v>0</v>
      </c>
      <c r="AE403" s="5">
        <f t="shared" ca="1" si="83"/>
        <v>0</v>
      </c>
    </row>
    <row r="404" spans="4:31" ht="15.6" thickTop="1" thickBot="1" x14ac:dyDescent="0.35">
      <c r="D404" s="57"/>
      <c r="E404" s="58"/>
      <c r="F404" s="59"/>
      <c r="G404" s="59"/>
      <c r="H404" s="59"/>
      <c r="I404" s="60"/>
      <c r="J404" s="61"/>
      <c r="K404" s="61"/>
      <c r="M404" s="9" t="str">
        <f t="shared" si="73"/>
        <v/>
      </c>
      <c r="N404" s="5" t="str">
        <f t="shared" si="72"/>
        <v/>
      </c>
      <c r="O404" s="5" t="str">
        <f t="shared" si="78"/>
        <v/>
      </c>
      <c r="R404" s="5">
        <f t="shared" ca="1" si="74"/>
        <v>0</v>
      </c>
      <c r="S404" s="5">
        <f t="shared" si="75"/>
        <v>0</v>
      </c>
      <c r="U404" s="5">
        <f ca="1">COUNTIF(R$10:R404,R404)</f>
        <v>387</v>
      </c>
      <c r="V404" s="5" t="str">
        <f t="shared" ca="1" si="76"/>
        <v>0387</v>
      </c>
      <c r="W404" s="5" t="e">
        <f t="shared" ca="1" si="77"/>
        <v>#REF!</v>
      </c>
      <c r="Y404" s="5">
        <v>395</v>
      </c>
      <c r="Z404" s="5">
        <f t="shared" ca="1" si="79"/>
        <v>0</v>
      </c>
      <c r="AA404" s="5" t="str">
        <f t="shared" ca="1" si="80"/>
        <v>Guarda-móveis</v>
      </c>
      <c r="AB404" s="5">
        <f ca="1">COUNTIF(R$10:R404,R404)</f>
        <v>387</v>
      </c>
      <c r="AC404" s="5" t="str">
        <f t="shared" ca="1" si="81"/>
        <v>0387</v>
      </c>
      <c r="AD404" s="5">
        <f t="shared" ca="1" si="82"/>
        <v>0</v>
      </c>
      <c r="AE404" s="5">
        <f t="shared" ca="1" si="83"/>
        <v>0</v>
      </c>
    </row>
    <row r="405" spans="4:31" ht="15.6" thickTop="1" thickBot="1" x14ac:dyDescent="0.35">
      <c r="D405" s="57"/>
      <c r="E405" s="58"/>
      <c r="F405" s="59"/>
      <c r="G405" s="59"/>
      <c r="H405" s="59"/>
      <c r="I405" s="60"/>
      <c r="J405" s="61"/>
      <c r="K405" s="61"/>
      <c r="M405" s="9" t="str">
        <f t="shared" si="73"/>
        <v/>
      </c>
      <c r="N405" s="5" t="str">
        <f t="shared" si="72"/>
        <v/>
      </c>
      <c r="O405" s="5" t="str">
        <f t="shared" si="78"/>
        <v/>
      </c>
      <c r="R405" s="5">
        <f t="shared" ca="1" si="74"/>
        <v>0</v>
      </c>
      <c r="S405" s="5">
        <f t="shared" si="75"/>
        <v>0</v>
      </c>
      <c r="U405" s="5">
        <f ca="1">COUNTIF(R$10:R405,R405)</f>
        <v>388</v>
      </c>
      <c r="V405" s="5" t="str">
        <f t="shared" ca="1" si="76"/>
        <v>0388</v>
      </c>
      <c r="W405" s="5" t="e">
        <f t="shared" ca="1" si="77"/>
        <v>#REF!</v>
      </c>
      <c r="Y405" s="5">
        <v>396</v>
      </c>
      <c r="Z405" s="5">
        <f t="shared" ca="1" si="79"/>
        <v>0</v>
      </c>
      <c r="AA405" s="5" t="str">
        <f t="shared" ca="1" si="80"/>
        <v>Guarda-móveis</v>
      </c>
      <c r="AB405" s="5">
        <f ca="1">COUNTIF(R$10:R405,R405)</f>
        <v>388</v>
      </c>
      <c r="AC405" s="5" t="str">
        <f t="shared" ca="1" si="81"/>
        <v>0388</v>
      </c>
      <c r="AD405" s="5">
        <f t="shared" ca="1" si="82"/>
        <v>0</v>
      </c>
      <c r="AE405" s="5">
        <f t="shared" ca="1" si="83"/>
        <v>0</v>
      </c>
    </row>
    <row r="406" spans="4:31" ht="15.6" thickTop="1" thickBot="1" x14ac:dyDescent="0.35">
      <c r="D406" s="57"/>
      <c r="E406" s="58"/>
      <c r="F406" s="59"/>
      <c r="G406" s="59"/>
      <c r="H406" s="59"/>
      <c r="I406" s="60"/>
      <c r="J406" s="61"/>
      <c r="K406" s="61"/>
      <c r="M406" s="9" t="str">
        <f t="shared" si="73"/>
        <v/>
      </c>
      <c r="N406" s="5" t="str">
        <f t="shared" si="72"/>
        <v/>
      </c>
      <c r="O406" s="5" t="str">
        <f t="shared" si="78"/>
        <v/>
      </c>
      <c r="R406" s="5">
        <f t="shared" ca="1" si="74"/>
        <v>0</v>
      </c>
      <c r="S406" s="5">
        <f t="shared" si="75"/>
        <v>0</v>
      </c>
      <c r="U406" s="5">
        <f ca="1">COUNTIF(R$10:R406,R406)</f>
        <v>389</v>
      </c>
      <c r="V406" s="5" t="str">
        <f t="shared" ca="1" si="76"/>
        <v>0389</v>
      </c>
      <c r="W406" s="5" t="e">
        <f t="shared" ca="1" si="77"/>
        <v>#REF!</v>
      </c>
      <c r="Y406" s="5">
        <v>397</v>
      </c>
      <c r="Z406" s="5">
        <f t="shared" ca="1" si="79"/>
        <v>0</v>
      </c>
      <c r="AA406" s="5" t="str">
        <f t="shared" ca="1" si="80"/>
        <v>Guarda-móveis</v>
      </c>
      <c r="AB406" s="5">
        <f ca="1">COUNTIF(R$10:R406,R406)</f>
        <v>389</v>
      </c>
      <c r="AC406" s="5" t="str">
        <f t="shared" ca="1" si="81"/>
        <v>0389</v>
      </c>
      <c r="AD406" s="5">
        <f t="shared" ca="1" si="82"/>
        <v>0</v>
      </c>
      <c r="AE406" s="5">
        <f t="shared" ca="1" si="83"/>
        <v>0</v>
      </c>
    </row>
    <row r="407" spans="4:31" ht="15.6" thickTop="1" thickBot="1" x14ac:dyDescent="0.35">
      <c r="D407" s="57"/>
      <c r="E407" s="58"/>
      <c r="F407" s="59"/>
      <c r="G407" s="59"/>
      <c r="H407" s="59"/>
      <c r="I407" s="60"/>
      <c r="J407" s="61"/>
      <c r="K407" s="61"/>
      <c r="M407" s="9" t="str">
        <f t="shared" si="73"/>
        <v/>
      </c>
      <c r="N407" s="5" t="str">
        <f t="shared" ref="N407:N470" si="84">IF(H407="","",H407)</f>
        <v/>
      </c>
      <c r="O407" s="5" t="str">
        <f t="shared" si="78"/>
        <v/>
      </c>
      <c r="R407" s="5">
        <f t="shared" ca="1" si="74"/>
        <v>0</v>
      </c>
      <c r="S407" s="5">
        <f t="shared" si="75"/>
        <v>0</v>
      </c>
      <c r="U407" s="5">
        <f ca="1">COUNTIF(R$10:R407,R407)</f>
        <v>390</v>
      </c>
      <c r="V407" s="5" t="str">
        <f t="shared" ca="1" si="76"/>
        <v>0390</v>
      </c>
      <c r="W407" s="5" t="e">
        <f t="shared" ca="1" si="77"/>
        <v>#REF!</v>
      </c>
      <c r="Y407" s="5">
        <v>398</v>
      </c>
      <c r="Z407" s="5">
        <f t="shared" ca="1" si="79"/>
        <v>0</v>
      </c>
      <c r="AA407" s="5" t="str">
        <f t="shared" ca="1" si="80"/>
        <v>Guarda-móveis</v>
      </c>
      <c r="AB407" s="5">
        <f ca="1">COUNTIF(R$10:R407,R407)</f>
        <v>390</v>
      </c>
      <c r="AC407" s="5" t="str">
        <f t="shared" ca="1" si="81"/>
        <v>0390</v>
      </c>
      <c r="AD407" s="5">
        <f t="shared" ca="1" si="82"/>
        <v>0</v>
      </c>
      <c r="AE407" s="5">
        <f t="shared" ca="1" si="83"/>
        <v>0</v>
      </c>
    </row>
    <row r="408" spans="4:31" ht="15.6" thickTop="1" thickBot="1" x14ac:dyDescent="0.35">
      <c r="D408" s="57"/>
      <c r="E408" s="58"/>
      <c r="F408" s="59"/>
      <c r="G408" s="59"/>
      <c r="H408" s="59"/>
      <c r="I408" s="60"/>
      <c r="J408" s="61"/>
      <c r="K408" s="61"/>
      <c r="M408" s="9" t="str">
        <f t="shared" si="73"/>
        <v/>
      </c>
      <c r="N408" s="5" t="str">
        <f t="shared" si="84"/>
        <v/>
      </c>
      <c r="O408" s="5" t="str">
        <f t="shared" si="78"/>
        <v/>
      </c>
      <c r="R408" s="5">
        <f t="shared" ca="1" si="74"/>
        <v>0</v>
      </c>
      <c r="S408" s="5">
        <f t="shared" si="75"/>
        <v>0</v>
      </c>
      <c r="U408" s="5">
        <f ca="1">COUNTIF(R$10:R408,R408)</f>
        <v>391</v>
      </c>
      <c r="V408" s="5" t="str">
        <f t="shared" ca="1" si="76"/>
        <v>0391</v>
      </c>
      <c r="W408" s="5" t="e">
        <f t="shared" ca="1" si="77"/>
        <v>#REF!</v>
      </c>
      <c r="Y408" s="5">
        <v>399</v>
      </c>
      <c r="Z408" s="5">
        <f t="shared" ca="1" si="79"/>
        <v>0</v>
      </c>
      <c r="AA408" s="5" t="str">
        <f t="shared" ca="1" si="80"/>
        <v>Guarda-móveis</v>
      </c>
      <c r="AB408" s="5">
        <f ca="1">COUNTIF(R$10:R408,R408)</f>
        <v>391</v>
      </c>
      <c r="AC408" s="5" t="str">
        <f t="shared" ca="1" si="81"/>
        <v>0391</v>
      </c>
      <c r="AD408" s="5">
        <f t="shared" ca="1" si="82"/>
        <v>0</v>
      </c>
      <c r="AE408" s="5">
        <f t="shared" ca="1" si="83"/>
        <v>0</v>
      </c>
    </row>
    <row r="409" spans="4:31" ht="15.6" thickTop="1" thickBot="1" x14ac:dyDescent="0.35">
      <c r="D409" s="57"/>
      <c r="E409" s="58"/>
      <c r="F409" s="59"/>
      <c r="G409" s="59"/>
      <c r="H409" s="59"/>
      <c r="I409" s="60"/>
      <c r="J409" s="61"/>
      <c r="K409" s="61"/>
      <c r="M409" s="9" t="str">
        <f t="shared" si="73"/>
        <v/>
      </c>
      <c r="N409" s="5" t="str">
        <f t="shared" si="84"/>
        <v/>
      </c>
      <c r="O409" s="5" t="str">
        <f t="shared" si="78"/>
        <v/>
      </c>
      <c r="R409" s="5">
        <f t="shared" ca="1" si="74"/>
        <v>0</v>
      </c>
      <c r="S409" s="5">
        <f t="shared" si="75"/>
        <v>0</v>
      </c>
      <c r="U409" s="5">
        <f ca="1">COUNTIF(R$10:R409,R409)</f>
        <v>392</v>
      </c>
      <c r="V409" s="5" t="str">
        <f t="shared" ca="1" si="76"/>
        <v>0392</v>
      </c>
      <c r="W409" s="5" t="e">
        <f t="shared" ca="1" si="77"/>
        <v>#REF!</v>
      </c>
      <c r="Y409" s="5">
        <v>400</v>
      </c>
      <c r="Z409" s="5">
        <f t="shared" ca="1" si="79"/>
        <v>0</v>
      </c>
      <c r="AA409" s="5" t="str">
        <f t="shared" ca="1" si="80"/>
        <v>Guarda-móveis</v>
      </c>
      <c r="AB409" s="5">
        <f ca="1">COUNTIF(R$10:R409,R409)</f>
        <v>392</v>
      </c>
      <c r="AC409" s="5" t="str">
        <f t="shared" ca="1" si="81"/>
        <v>0392</v>
      </c>
      <c r="AD409" s="5">
        <f t="shared" ca="1" si="82"/>
        <v>0</v>
      </c>
      <c r="AE409" s="5">
        <f t="shared" ca="1" si="83"/>
        <v>0</v>
      </c>
    </row>
    <row r="410" spans="4:31" ht="15.6" thickTop="1" thickBot="1" x14ac:dyDescent="0.35">
      <c r="D410" s="57"/>
      <c r="E410" s="58"/>
      <c r="F410" s="59"/>
      <c r="G410" s="59"/>
      <c r="H410" s="59"/>
      <c r="I410" s="60"/>
      <c r="J410" s="61"/>
      <c r="K410" s="61"/>
      <c r="M410" s="9" t="str">
        <f t="shared" si="73"/>
        <v/>
      </c>
      <c r="N410" s="5" t="str">
        <f t="shared" si="84"/>
        <v/>
      </c>
      <c r="O410" s="5" t="str">
        <f t="shared" si="78"/>
        <v/>
      </c>
      <c r="R410" s="5">
        <f t="shared" ca="1" si="74"/>
        <v>0</v>
      </c>
      <c r="S410" s="5">
        <f t="shared" si="75"/>
        <v>0</v>
      </c>
      <c r="U410" s="5">
        <f ca="1">COUNTIF(R$10:R410,R410)</f>
        <v>393</v>
      </c>
      <c r="V410" s="5" t="str">
        <f t="shared" ca="1" si="76"/>
        <v>0393</v>
      </c>
      <c r="W410" s="5" t="e">
        <f t="shared" ca="1" si="77"/>
        <v>#REF!</v>
      </c>
      <c r="Y410" s="5">
        <v>401</v>
      </c>
      <c r="Z410" s="5">
        <f t="shared" ca="1" si="79"/>
        <v>0</v>
      </c>
      <c r="AA410" s="5" t="str">
        <f t="shared" ca="1" si="80"/>
        <v>Guarda-móveis</v>
      </c>
      <c r="AB410" s="5">
        <f ca="1">COUNTIF(R$10:R410,R410)</f>
        <v>393</v>
      </c>
      <c r="AC410" s="5" t="str">
        <f t="shared" ca="1" si="81"/>
        <v>0393</v>
      </c>
      <c r="AD410" s="5">
        <f t="shared" ca="1" si="82"/>
        <v>0</v>
      </c>
      <c r="AE410" s="5">
        <f t="shared" ca="1" si="83"/>
        <v>0</v>
      </c>
    </row>
    <row r="411" spans="4:31" ht="15.6" thickTop="1" thickBot="1" x14ac:dyDescent="0.35">
      <c r="D411" s="57"/>
      <c r="E411" s="58"/>
      <c r="F411" s="59"/>
      <c r="G411" s="59"/>
      <c r="H411" s="59"/>
      <c r="I411" s="60"/>
      <c r="J411" s="61"/>
      <c r="K411" s="61"/>
      <c r="M411" s="9" t="str">
        <f t="shared" si="73"/>
        <v/>
      </c>
      <c r="N411" s="5" t="str">
        <f t="shared" si="84"/>
        <v/>
      </c>
      <c r="O411" s="5" t="str">
        <f t="shared" si="78"/>
        <v/>
      </c>
      <c r="R411" s="5">
        <f t="shared" ca="1" si="74"/>
        <v>0</v>
      </c>
      <c r="S411" s="5">
        <f t="shared" si="75"/>
        <v>0</v>
      </c>
      <c r="U411" s="5">
        <f ca="1">COUNTIF(R$10:R411,R411)</f>
        <v>394</v>
      </c>
      <c r="V411" s="5" t="str">
        <f t="shared" ca="1" si="76"/>
        <v>0394</v>
      </c>
      <c r="W411" s="5" t="e">
        <f t="shared" ca="1" si="77"/>
        <v>#REF!</v>
      </c>
      <c r="Y411" s="5">
        <v>402</v>
      </c>
      <c r="Z411" s="5">
        <f t="shared" ca="1" si="79"/>
        <v>0</v>
      </c>
      <c r="AA411" s="5" t="str">
        <f t="shared" ca="1" si="80"/>
        <v>Guarda-móveis</v>
      </c>
      <c r="AB411" s="5">
        <f ca="1">COUNTIF(R$10:R411,R411)</f>
        <v>394</v>
      </c>
      <c r="AC411" s="5" t="str">
        <f t="shared" ca="1" si="81"/>
        <v>0394</v>
      </c>
      <c r="AD411" s="5">
        <f t="shared" ca="1" si="82"/>
        <v>0</v>
      </c>
      <c r="AE411" s="5">
        <f t="shared" ca="1" si="83"/>
        <v>0</v>
      </c>
    </row>
    <row r="412" spans="4:31" ht="15.6" thickTop="1" thickBot="1" x14ac:dyDescent="0.35">
      <c r="D412" s="57"/>
      <c r="E412" s="58"/>
      <c r="F412" s="59"/>
      <c r="G412" s="59"/>
      <c r="H412" s="59"/>
      <c r="I412" s="60"/>
      <c r="J412" s="61"/>
      <c r="K412" s="61"/>
      <c r="M412" s="9" t="str">
        <f t="shared" si="73"/>
        <v/>
      </c>
      <c r="N412" s="5" t="str">
        <f t="shared" si="84"/>
        <v/>
      </c>
      <c r="O412" s="5" t="str">
        <f t="shared" si="78"/>
        <v/>
      </c>
      <c r="R412" s="5">
        <f t="shared" ca="1" si="74"/>
        <v>0</v>
      </c>
      <c r="S412" s="5">
        <f t="shared" si="75"/>
        <v>0</v>
      </c>
      <c r="U412" s="5">
        <f ca="1">COUNTIF(R$10:R412,R412)</f>
        <v>395</v>
      </c>
      <c r="V412" s="5" t="str">
        <f t="shared" ca="1" si="76"/>
        <v>0395</v>
      </c>
      <c r="W412" s="5" t="e">
        <f t="shared" ca="1" si="77"/>
        <v>#REF!</v>
      </c>
      <c r="Y412" s="5">
        <v>403</v>
      </c>
      <c r="Z412" s="5">
        <f t="shared" ca="1" si="79"/>
        <v>0</v>
      </c>
      <c r="AA412" s="5" t="str">
        <f t="shared" ca="1" si="80"/>
        <v>Guarda-móveis</v>
      </c>
      <c r="AB412" s="5">
        <f ca="1">COUNTIF(R$10:R412,R412)</f>
        <v>395</v>
      </c>
      <c r="AC412" s="5" t="str">
        <f t="shared" ca="1" si="81"/>
        <v>0395</v>
      </c>
      <c r="AD412" s="5">
        <f t="shared" ca="1" si="82"/>
        <v>0</v>
      </c>
      <c r="AE412" s="5">
        <f t="shared" ca="1" si="83"/>
        <v>0</v>
      </c>
    </row>
    <row r="413" spans="4:31" ht="15.6" thickTop="1" thickBot="1" x14ac:dyDescent="0.35">
      <c r="D413" s="57"/>
      <c r="E413" s="58"/>
      <c r="F413" s="59"/>
      <c r="G413" s="59"/>
      <c r="H413" s="59"/>
      <c r="I413" s="60"/>
      <c r="J413" s="61"/>
      <c r="K413" s="61"/>
      <c r="M413" s="9" t="str">
        <f t="shared" si="73"/>
        <v/>
      </c>
      <c r="N413" s="5" t="str">
        <f t="shared" si="84"/>
        <v/>
      </c>
      <c r="O413" s="5" t="str">
        <f t="shared" si="78"/>
        <v/>
      </c>
      <c r="R413" s="5">
        <f t="shared" ca="1" si="74"/>
        <v>0</v>
      </c>
      <c r="S413" s="5">
        <f t="shared" si="75"/>
        <v>0</v>
      </c>
      <c r="U413" s="5">
        <f ca="1">COUNTIF(R$10:R413,R413)</f>
        <v>396</v>
      </c>
      <c r="V413" s="5" t="str">
        <f t="shared" ca="1" si="76"/>
        <v>0396</v>
      </c>
      <c r="W413" s="5" t="e">
        <f t="shared" ca="1" si="77"/>
        <v>#REF!</v>
      </c>
      <c r="Y413" s="5">
        <v>404</v>
      </c>
      <c r="Z413" s="5">
        <f t="shared" ca="1" si="79"/>
        <v>0</v>
      </c>
      <c r="AA413" s="5" t="str">
        <f t="shared" ca="1" si="80"/>
        <v>Guarda-móveis</v>
      </c>
      <c r="AB413" s="5">
        <f ca="1">COUNTIF(R$10:R413,R413)</f>
        <v>396</v>
      </c>
      <c r="AC413" s="5" t="str">
        <f t="shared" ca="1" si="81"/>
        <v>0396</v>
      </c>
      <c r="AD413" s="5">
        <f t="shared" ca="1" si="82"/>
        <v>0</v>
      </c>
      <c r="AE413" s="5">
        <f t="shared" ca="1" si="83"/>
        <v>0</v>
      </c>
    </row>
    <row r="414" spans="4:31" ht="15.6" thickTop="1" thickBot="1" x14ac:dyDescent="0.35">
      <c r="D414" s="57"/>
      <c r="E414" s="58"/>
      <c r="F414" s="59"/>
      <c r="G414" s="59"/>
      <c r="H414" s="59"/>
      <c r="I414" s="60"/>
      <c r="J414" s="61"/>
      <c r="K414" s="61"/>
      <c r="M414" s="9" t="str">
        <f t="shared" si="73"/>
        <v/>
      </c>
      <c r="N414" s="5" t="str">
        <f t="shared" si="84"/>
        <v/>
      </c>
      <c r="O414" s="5" t="str">
        <f t="shared" si="78"/>
        <v/>
      </c>
      <c r="R414" s="5">
        <f t="shared" ca="1" si="74"/>
        <v>0</v>
      </c>
      <c r="S414" s="5">
        <f t="shared" si="75"/>
        <v>0</v>
      </c>
      <c r="U414" s="5">
        <f ca="1">COUNTIF(R$10:R414,R414)</f>
        <v>397</v>
      </c>
      <c r="V414" s="5" t="str">
        <f t="shared" ca="1" si="76"/>
        <v>0397</v>
      </c>
      <c r="W414" s="5" t="e">
        <f t="shared" ca="1" si="77"/>
        <v>#REF!</v>
      </c>
      <c r="Y414" s="5">
        <v>405</v>
      </c>
      <c r="Z414" s="5">
        <f t="shared" ca="1" si="79"/>
        <v>0</v>
      </c>
      <c r="AA414" s="5" t="str">
        <f t="shared" ca="1" si="80"/>
        <v>Guarda-móveis</v>
      </c>
      <c r="AB414" s="5">
        <f ca="1">COUNTIF(R$10:R414,R414)</f>
        <v>397</v>
      </c>
      <c r="AC414" s="5" t="str">
        <f t="shared" ca="1" si="81"/>
        <v>0397</v>
      </c>
      <c r="AD414" s="5">
        <f t="shared" ca="1" si="82"/>
        <v>0</v>
      </c>
      <c r="AE414" s="5">
        <f t="shared" ca="1" si="83"/>
        <v>0</v>
      </c>
    </row>
    <row r="415" spans="4:31" ht="15.6" thickTop="1" thickBot="1" x14ac:dyDescent="0.35">
      <c r="D415" s="57"/>
      <c r="E415" s="58"/>
      <c r="F415" s="59"/>
      <c r="G415" s="59"/>
      <c r="H415" s="59"/>
      <c r="I415" s="60"/>
      <c r="J415" s="61"/>
      <c r="K415" s="61"/>
      <c r="M415" s="9" t="str">
        <f t="shared" si="73"/>
        <v/>
      </c>
      <c r="N415" s="5" t="str">
        <f t="shared" si="84"/>
        <v/>
      </c>
      <c r="O415" s="5" t="str">
        <f t="shared" si="78"/>
        <v/>
      </c>
      <c r="R415" s="5">
        <f t="shared" ca="1" si="74"/>
        <v>0</v>
      </c>
      <c r="S415" s="5">
        <f t="shared" si="75"/>
        <v>0</v>
      </c>
      <c r="U415" s="5">
        <f ca="1">COUNTIF(R$10:R415,R415)</f>
        <v>398</v>
      </c>
      <c r="V415" s="5" t="str">
        <f t="shared" ca="1" si="76"/>
        <v>0398</v>
      </c>
      <c r="W415" s="5" t="e">
        <f t="shared" ca="1" si="77"/>
        <v>#REF!</v>
      </c>
      <c r="Y415" s="5">
        <v>406</v>
      </c>
      <c r="Z415" s="5">
        <f t="shared" ca="1" si="79"/>
        <v>0</v>
      </c>
      <c r="AA415" s="5" t="str">
        <f t="shared" ca="1" si="80"/>
        <v>Guarda-móveis</v>
      </c>
      <c r="AB415" s="5">
        <f ca="1">COUNTIF(R$10:R415,R415)</f>
        <v>398</v>
      </c>
      <c r="AC415" s="5" t="str">
        <f t="shared" ca="1" si="81"/>
        <v>0398</v>
      </c>
      <c r="AD415" s="5">
        <f t="shared" ca="1" si="82"/>
        <v>0</v>
      </c>
      <c r="AE415" s="5">
        <f t="shared" ca="1" si="83"/>
        <v>0</v>
      </c>
    </row>
    <row r="416" spans="4:31" ht="15.6" thickTop="1" thickBot="1" x14ac:dyDescent="0.35">
      <c r="D416" s="57"/>
      <c r="E416" s="58"/>
      <c r="F416" s="59"/>
      <c r="G416" s="59"/>
      <c r="H416" s="59"/>
      <c r="I416" s="60"/>
      <c r="J416" s="61"/>
      <c r="K416" s="61"/>
      <c r="M416" s="9" t="str">
        <f t="shared" si="73"/>
        <v/>
      </c>
      <c r="N416" s="5" t="str">
        <f t="shared" si="84"/>
        <v/>
      </c>
      <c r="O416" s="5" t="str">
        <f t="shared" si="78"/>
        <v/>
      </c>
      <c r="R416" s="5">
        <f t="shared" ca="1" si="74"/>
        <v>0</v>
      </c>
      <c r="S416" s="5">
        <f t="shared" si="75"/>
        <v>0</v>
      </c>
      <c r="U416" s="5">
        <f ca="1">COUNTIF(R$10:R416,R416)</f>
        <v>399</v>
      </c>
      <c r="V416" s="5" t="str">
        <f t="shared" ca="1" si="76"/>
        <v>0399</v>
      </c>
      <c r="W416" s="5" t="e">
        <f t="shared" ca="1" si="77"/>
        <v>#REF!</v>
      </c>
      <c r="Y416" s="5">
        <v>407</v>
      </c>
      <c r="Z416" s="5">
        <f t="shared" ca="1" si="79"/>
        <v>0</v>
      </c>
      <c r="AA416" s="5" t="str">
        <f t="shared" ca="1" si="80"/>
        <v>Guarda-móveis</v>
      </c>
      <c r="AB416" s="5">
        <f ca="1">COUNTIF(R$10:R416,R416)</f>
        <v>399</v>
      </c>
      <c r="AC416" s="5" t="str">
        <f t="shared" ca="1" si="81"/>
        <v>0399</v>
      </c>
      <c r="AD416" s="5">
        <f t="shared" ca="1" si="82"/>
        <v>0</v>
      </c>
      <c r="AE416" s="5">
        <f t="shared" ca="1" si="83"/>
        <v>0</v>
      </c>
    </row>
    <row r="417" spans="4:31" ht="15.6" thickTop="1" thickBot="1" x14ac:dyDescent="0.35">
      <c r="D417" s="57"/>
      <c r="E417" s="58"/>
      <c r="F417" s="59"/>
      <c r="G417" s="59"/>
      <c r="H417" s="59"/>
      <c r="I417" s="60"/>
      <c r="J417" s="61"/>
      <c r="K417" s="61"/>
      <c r="M417" s="9" t="str">
        <f t="shared" si="73"/>
        <v/>
      </c>
      <c r="N417" s="5" t="str">
        <f t="shared" si="84"/>
        <v/>
      </c>
      <c r="O417" s="5" t="str">
        <f t="shared" si="78"/>
        <v/>
      </c>
      <c r="R417" s="5">
        <f t="shared" ca="1" si="74"/>
        <v>0</v>
      </c>
      <c r="S417" s="5">
        <f t="shared" si="75"/>
        <v>0</v>
      </c>
      <c r="U417" s="5">
        <f ca="1">COUNTIF(R$10:R417,R417)</f>
        <v>400</v>
      </c>
      <c r="V417" s="5" t="str">
        <f t="shared" ca="1" si="76"/>
        <v>0400</v>
      </c>
      <c r="W417" s="5" t="e">
        <f t="shared" ca="1" si="77"/>
        <v>#REF!</v>
      </c>
      <c r="Y417" s="5">
        <v>408</v>
      </c>
      <c r="Z417" s="5">
        <f t="shared" ca="1" si="79"/>
        <v>0</v>
      </c>
      <c r="AA417" s="5" t="str">
        <f t="shared" ca="1" si="80"/>
        <v>Guarda-móveis</v>
      </c>
      <c r="AB417" s="5">
        <f ca="1">COUNTIF(R$10:R417,R417)</f>
        <v>400</v>
      </c>
      <c r="AC417" s="5" t="str">
        <f t="shared" ca="1" si="81"/>
        <v>0400</v>
      </c>
      <c r="AD417" s="5">
        <f t="shared" ca="1" si="82"/>
        <v>0</v>
      </c>
      <c r="AE417" s="5">
        <f t="shared" ca="1" si="83"/>
        <v>0</v>
      </c>
    </row>
    <row r="418" spans="4:31" ht="15.6" thickTop="1" thickBot="1" x14ac:dyDescent="0.35">
      <c r="D418" s="57"/>
      <c r="E418" s="58"/>
      <c r="F418" s="59"/>
      <c r="G418" s="59"/>
      <c r="H418" s="59"/>
      <c r="I418" s="60"/>
      <c r="J418" s="61"/>
      <c r="K418" s="61"/>
      <c r="M418" s="9" t="str">
        <f t="shared" si="73"/>
        <v/>
      </c>
      <c r="N418" s="5" t="str">
        <f t="shared" si="84"/>
        <v/>
      </c>
      <c r="O418" s="5" t="str">
        <f t="shared" si="78"/>
        <v/>
      </c>
      <c r="R418" s="5">
        <f t="shared" ca="1" si="74"/>
        <v>0</v>
      </c>
      <c r="S418" s="5">
        <f t="shared" si="75"/>
        <v>0</v>
      </c>
      <c r="U418" s="5">
        <f ca="1">COUNTIF(R$10:R418,R418)</f>
        <v>401</v>
      </c>
      <c r="V418" s="5" t="str">
        <f t="shared" ca="1" si="76"/>
        <v>0401</v>
      </c>
      <c r="W418" s="5" t="e">
        <f t="shared" ca="1" si="77"/>
        <v>#REF!</v>
      </c>
      <c r="Y418" s="5">
        <v>409</v>
      </c>
      <c r="Z418" s="5">
        <f t="shared" ca="1" si="79"/>
        <v>0</v>
      </c>
      <c r="AA418" s="5" t="str">
        <f t="shared" ca="1" si="80"/>
        <v>Guarda-móveis</v>
      </c>
      <c r="AB418" s="5">
        <f ca="1">COUNTIF(R$10:R418,R418)</f>
        <v>401</v>
      </c>
      <c r="AC418" s="5" t="str">
        <f t="shared" ca="1" si="81"/>
        <v>0401</v>
      </c>
      <c r="AD418" s="5">
        <f t="shared" ca="1" si="82"/>
        <v>0</v>
      </c>
      <c r="AE418" s="5">
        <f t="shared" ca="1" si="83"/>
        <v>0</v>
      </c>
    </row>
    <row r="419" spans="4:31" ht="15.6" thickTop="1" thickBot="1" x14ac:dyDescent="0.35">
      <c r="D419" s="57"/>
      <c r="E419" s="58"/>
      <c r="F419" s="59"/>
      <c r="G419" s="59"/>
      <c r="H419" s="59"/>
      <c r="I419" s="60"/>
      <c r="J419" s="61"/>
      <c r="K419" s="61"/>
      <c r="M419" s="9" t="str">
        <f t="shared" si="73"/>
        <v/>
      </c>
      <c r="N419" s="5" t="str">
        <f t="shared" si="84"/>
        <v/>
      </c>
      <c r="O419" s="5" t="str">
        <f t="shared" si="78"/>
        <v/>
      </c>
      <c r="R419" s="5">
        <f t="shared" ca="1" si="74"/>
        <v>0</v>
      </c>
      <c r="S419" s="5">
        <f t="shared" si="75"/>
        <v>0</v>
      </c>
      <c r="U419" s="5">
        <f ca="1">COUNTIF(R$10:R419,R419)</f>
        <v>402</v>
      </c>
      <c r="V419" s="5" t="str">
        <f t="shared" ca="1" si="76"/>
        <v>0402</v>
      </c>
      <c r="W419" s="5" t="e">
        <f t="shared" ca="1" si="77"/>
        <v>#REF!</v>
      </c>
      <c r="Y419" s="5">
        <v>410</v>
      </c>
      <c r="Z419" s="5">
        <f t="shared" ca="1" si="79"/>
        <v>0</v>
      </c>
      <c r="AA419" s="5" t="str">
        <f t="shared" ca="1" si="80"/>
        <v>Guarda-móveis</v>
      </c>
      <c r="AB419" s="5">
        <f ca="1">COUNTIF(R$10:R419,R419)</f>
        <v>402</v>
      </c>
      <c r="AC419" s="5" t="str">
        <f t="shared" ca="1" si="81"/>
        <v>0402</v>
      </c>
      <c r="AD419" s="5">
        <f t="shared" ca="1" si="82"/>
        <v>0</v>
      </c>
      <c r="AE419" s="5">
        <f t="shared" ca="1" si="83"/>
        <v>0</v>
      </c>
    </row>
    <row r="420" spans="4:31" ht="15.6" thickTop="1" thickBot="1" x14ac:dyDescent="0.35">
      <c r="D420" s="57"/>
      <c r="E420" s="58"/>
      <c r="F420" s="59"/>
      <c r="G420" s="59"/>
      <c r="H420" s="59"/>
      <c r="I420" s="60"/>
      <c r="J420" s="61"/>
      <c r="K420" s="61"/>
      <c r="M420" s="9" t="str">
        <f t="shared" si="73"/>
        <v/>
      </c>
      <c r="N420" s="5" t="str">
        <f t="shared" si="84"/>
        <v/>
      </c>
      <c r="O420" s="5" t="str">
        <f t="shared" si="78"/>
        <v/>
      </c>
      <c r="R420" s="5">
        <f t="shared" ca="1" si="74"/>
        <v>0</v>
      </c>
      <c r="S420" s="5">
        <f t="shared" si="75"/>
        <v>0</v>
      </c>
      <c r="U420" s="5">
        <f ca="1">COUNTIF(R$10:R420,R420)</f>
        <v>403</v>
      </c>
      <c r="V420" s="5" t="str">
        <f t="shared" ca="1" si="76"/>
        <v>0403</v>
      </c>
      <c r="W420" s="5" t="e">
        <f t="shared" ca="1" si="77"/>
        <v>#REF!</v>
      </c>
      <c r="Y420" s="5">
        <v>411</v>
      </c>
      <c r="Z420" s="5">
        <f t="shared" ca="1" si="79"/>
        <v>0</v>
      </c>
      <c r="AA420" s="5" t="str">
        <f t="shared" ca="1" si="80"/>
        <v>Guarda-móveis</v>
      </c>
      <c r="AB420" s="5">
        <f ca="1">COUNTIF(R$10:R420,R420)</f>
        <v>403</v>
      </c>
      <c r="AC420" s="5" t="str">
        <f t="shared" ca="1" si="81"/>
        <v>0403</v>
      </c>
      <c r="AD420" s="5">
        <f t="shared" ca="1" si="82"/>
        <v>0</v>
      </c>
      <c r="AE420" s="5">
        <f t="shared" ca="1" si="83"/>
        <v>0</v>
      </c>
    </row>
    <row r="421" spans="4:31" ht="15.6" thickTop="1" thickBot="1" x14ac:dyDescent="0.35">
      <c r="D421" s="57"/>
      <c r="E421" s="58"/>
      <c r="F421" s="59"/>
      <c r="G421" s="59"/>
      <c r="H421" s="59"/>
      <c r="I421" s="60"/>
      <c r="J421" s="61"/>
      <c r="K421" s="61"/>
      <c r="M421" s="9" t="str">
        <f t="shared" si="73"/>
        <v/>
      </c>
      <c r="N421" s="5" t="str">
        <f t="shared" si="84"/>
        <v/>
      </c>
      <c r="O421" s="5" t="str">
        <f t="shared" si="78"/>
        <v/>
      </c>
      <c r="R421" s="5">
        <f t="shared" ca="1" si="74"/>
        <v>0</v>
      </c>
      <c r="S421" s="5">
        <f t="shared" si="75"/>
        <v>0</v>
      </c>
      <c r="U421" s="5">
        <f ca="1">COUNTIF(R$10:R421,R421)</f>
        <v>404</v>
      </c>
      <c r="V421" s="5" t="str">
        <f t="shared" ca="1" si="76"/>
        <v>0404</v>
      </c>
      <c r="W421" s="5" t="e">
        <f t="shared" ca="1" si="77"/>
        <v>#REF!</v>
      </c>
      <c r="Y421" s="5">
        <v>412</v>
      </c>
      <c r="Z421" s="5">
        <f t="shared" ca="1" si="79"/>
        <v>0</v>
      </c>
      <c r="AA421" s="5" t="str">
        <f t="shared" ca="1" si="80"/>
        <v>Guarda-móveis</v>
      </c>
      <c r="AB421" s="5">
        <f ca="1">COUNTIF(R$10:R421,R421)</f>
        <v>404</v>
      </c>
      <c r="AC421" s="5" t="str">
        <f t="shared" ca="1" si="81"/>
        <v>0404</v>
      </c>
      <c r="AD421" s="5">
        <f t="shared" ca="1" si="82"/>
        <v>0</v>
      </c>
      <c r="AE421" s="5">
        <f t="shared" ca="1" si="83"/>
        <v>0</v>
      </c>
    </row>
    <row r="422" spans="4:31" ht="15.6" thickTop="1" thickBot="1" x14ac:dyDescent="0.35">
      <c r="D422" s="57"/>
      <c r="E422" s="58"/>
      <c r="F422" s="59"/>
      <c r="G422" s="59"/>
      <c r="H422" s="59"/>
      <c r="I422" s="60"/>
      <c r="J422" s="61"/>
      <c r="K422" s="61"/>
      <c r="M422" s="9" t="str">
        <f t="shared" si="73"/>
        <v/>
      </c>
      <c r="N422" s="5" t="str">
        <f t="shared" si="84"/>
        <v/>
      </c>
      <c r="O422" s="5" t="str">
        <f t="shared" si="78"/>
        <v/>
      </c>
      <c r="R422" s="5">
        <f t="shared" ca="1" si="74"/>
        <v>0</v>
      </c>
      <c r="S422" s="5">
        <f t="shared" si="75"/>
        <v>0</v>
      </c>
      <c r="U422" s="5">
        <f ca="1">COUNTIF(R$10:R422,R422)</f>
        <v>405</v>
      </c>
      <c r="V422" s="5" t="str">
        <f t="shared" ca="1" si="76"/>
        <v>0405</v>
      </c>
      <c r="W422" s="5" t="e">
        <f t="shared" ca="1" si="77"/>
        <v>#REF!</v>
      </c>
      <c r="Y422" s="5">
        <v>413</v>
      </c>
      <c r="Z422" s="5">
        <f t="shared" ca="1" si="79"/>
        <v>0</v>
      </c>
      <c r="AA422" s="5" t="str">
        <f t="shared" ca="1" si="80"/>
        <v>Guarda-móveis</v>
      </c>
      <c r="AB422" s="5">
        <f ca="1">COUNTIF(R$10:R422,R422)</f>
        <v>405</v>
      </c>
      <c r="AC422" s="5" t="str">
        <f t="shared" ca="1" si="81"/>
        <v>0405</v>
      </c>
      <c r="AD422" s="5">
        <f t="shared" ca="1" si="82"/>
        <v>0</v>
      </c>
      <c r="AE422" s="5">
        <f t="shared" ca="1" si="83"/>
        <v>0</v>
      </c>
    </row>
    <row r="423" spans="4:31" ht="15.6" thickTop="1" thickBot="1" x14ac:dyDescent="0.35">
      <c r="D423" s="57"/>
      <c r="E423" s="58"/>
      <c r="F423" s="59"/>
      <c r="G423" s="59"/>
      <c r="H423" s="59"/>
      <c r="I423" s="60"/>
      <c r="J423" s="61"/>
      <c r="K423" s="61"/>
      <c r="M423" s="9" t="str">
        <f t="shared" si="73"/>
        <v/>
      </c>
      <c r="N423" s="5" t="str">
        <f t="shared" si="84"/>
        <v/>
      </c>
      <c r="O423" s="5" t="str">
        <f t="shared" si="78"/>
        <v/>
      </c>
      <c r="R423" s="5">
        <f t="shared" ca="1" si="74"/>
        <v>0</v>
      </c>
      <c r="S423" s="5">
        <f t="shared" si="75"/>
        <v>0</v>
      </c>
      <c r="U423" s="5">
        <f ca="1">COUNTIF(R$10:R423,R423)</f>
        <v>406</v>
      </c>
      <c r="V423" s="5" t="str">
        <f t="shared" ca="1" si="76"/>
        <v>0406</v>
      </c>
      <c r="W423" s="5" t="e">
        <f t="shared" ca="1" si="77"/>
        <v>#REF!</v>
      </c>
      <c r="Y423" s="5">
        <v>414</v>
      </c>
      <c r="Z423" s="5">
        <f t="shared" ca="1" si="79"/>
        <v>0</v>
      </c>
      <c r="AA423" s="5" t="str">
        <f t="shared" ca="1" si="80"/>
        <v>Guarda-móveis</v>
      </c>
      <c r="AB423" s="5">
        <f ca="1">COUNTIF(R$10:R423,R423)</f>
        <v>406</v>
      </c>
      <c r="AC423" s="5" t="str">
        <f t="shared" ca="1" si="81"/>
        <v>0406</v>
      </c>
      <c r="AD423" s="5">
        <f t="shared" ca="1" si="82"/>
        <v>0</v>
      </c>
      <c r="AE423" s="5">
        <f t="shared" ca="1" si="83"/>
        <v>0</v>
      </c>
    </row>
    <row r="424" spans="4:31" ht="15.6" thickTop="1" thickBot="1" x14ac:dyDescent="0.35">
      <c r="D424" s="57"/>
      <c r="E424" s="58"/>
      <c r="F424" s="59"/>
      <c r="G424" s="59"/>
      <c r="H424" s="59"/>
      <c r="I424" s="60"/>
      <c r="J424" s="61"/>
      <c r="K424" s="61"/>
      <c r="M424" s="9" t="str">
        <f t="shared" si="73"/>
        <v/>
      </c>
      <c r="N424" s="5" t="str">
        <f t="shared" si="84"/>
        <v/>
      </c>
      <c r="O424" s="5" t="str">
        <f t="shared" si="78"/>
        <v/>
      </c>
      <c r="R424" s="5">
        <f t="shared" ca="1" si="74"/>
        <v>0</v>
      </c>
      <c r="S424" s="5">
        <f t="shared" si="75"/>
        <v>0</v>
      </c>
      <c r="U424" s="5">
        <f ca="1">COUNTIF(R$10:R424,R424)</f>
        <v>407</v>
      </c>
      <c r="V424" s="5" t="str">
        <f t="shared" ca="1" si="76"/>
        <v>0407</v>
      </c>
      <c r="W424" s="5" t="e">
        <f t="shared" ca="1" si="77"/>
        <v>#REF!</v>
      </c>
      <c r="Y424" s="5">
        <v>415</v>
      </c>
      <c r="Z424" s="5">
        <f t="shared" ca="1" si="79"/>
        <v>0</v>
      </c>
      <c r="AA424" s="5" t="str">
        <f t="shared" ca="1" si="80"/>
        <v>Guarda-móveis</v>
      </c>
      <c r="AB424" s="5">
        <f ca="1">COUNTIF(R$10:R424,R424)</f>
        <v>407</v>
      </c>
      <c r="AC424" s="5" t="str">
        <f t="shared" ca="1" si="81"/>
        <v>0407</v>
      </c>
      <c r="AD424" s="5">
        <f t="shared" ca="1" si="82"/>
        <v>0</v>
      </c>
      <c r="AE424" s="5">
        <f t="shared" ca="1" si="83"/>
        <v>0</v>
      </c>
    </row>
    <row r="425" spans="4:31" ht="15.6" thickTop="1" thickBot="1" x14ac:dyDescent="0.35">
      <c r="D425" s="57"/>
      <c r="E425" s="58"/>
      <c r="F425" s="59"/>
      <c r="G425" s="59"/>
      <c r="H425" s="59"/>
      <c r="I425" s="60"/>
      <c r="J425" s="61"/>
      <c r="K425" s="61"/>
      <c r="M425" s="9" t="str">
        <f t="shared" si="73"/>
        <v/>
      </c>
      <c r="N425" s="5" t="str">
        <f t="shared" si="84"/>
        <v/>
      </c>
      <c r="O425" s="5" t="str">
        <f t="shared" si="78"/>
        <v/>
      </c>
      <c r="R425" s="5">
        <f t="shared" ca="1" si="74"/>
        <v>0</v>
      </c>
      <c r="S425" s="5">
        <f t="shared" si="75"/>
        <v>0</v>
      </c>
      <c r="U425" s="5">
        <f ca="1">COUNTIF(R$10:R425,R425)</f>
        <v>408</v>
      </c>
      <c r="V425" s="5" t="str">
        <f t="shared" ca="1" si="76"/>
        <v>0408</v>
      </c>
      <c r="W425" s="5" t="e">
        <f t="shared" ca="1" si="77"/>
        <v>#REF!</v>
      </c>
      <c r="Y425" s="5">
        <v>416</v>
      </c>
      <c r="Z425" s="5">
        <f t="shared" ca="1" si="79"/>
        <v>0</v>
      </c>
      <c r="AA425" s="5" t="str">
        <f t="shared" ca="1" si="80"/>
        <v>Guarda-móveis</v>
      </c>
      <c r="AB425" s="5">
        <f ca="1">COUNTIF(R$10:R425,R425)</f>
        <v>408</v>
      </c>
      <c r="AC425" s="5" t="str">
        <f t="shared" ca="1" si="81"/>
        <v>0408</v>
      </c>
      <c r="AD425" s="5">
        <f t="shared" ca="1" si="82"/>
        <v>0</v>
      </c>
      <c r="AE425" s="5">
        <f t="shared" ca="1" si="83"/>
        <v>0</v>
      </c>
    </row>
    <row r="426" spans="4:31" ht="15.6" thickTop="1" thickBot="1" x14ac:dyDescent="0.35">
      <c r="D426" s="57"/>
      <c r="E426" s="58"/>
      <c r="F426" s="59"/>
      <c r="G426" s="59"/>
      <c r="H426" s="59"/>
      <c r="I426" s="60"/>
      <c r="J426" s="61"/>
      <c r="K426" s="61"/>
      <c r="M426" s="9" t="str">
        <f t="shared" si="73"/>
        <v/>
      </c>
      <c r="N426" s="5" t="str">
        <f t="shared" si="84"/>
        <v/>
      </c>
      <c r="O426" s="5" t="str">
        <f t="shared" si="78"/>
        <v/>
      </c>
      <c r="R426" s="5">
        <f t="shared" ca="1" si="74"/>
        <v>0</v>
      </c>
      <c r="S426" s="5">
        <f t="shared" si="75"/>
        <v>0</v>
      </c>
      <c r="U426" s="5">
        <f ca="1">COUNTIF(R$10:R426,R426)</f>
        <v>409</v>
      </c>
      <c r="V426" s="5" t="str">
        <f t="shared" ca="1" si="76"/>
        <v>0409</v>
      </c>
      <c r="W426" s="5" t="e">
        <f t="shared" ca="1" si="77"/>
        <v>#REF!</v>
      </c>
      <c r="Y426" s="5">
        <v>417</v>
      </c>
      <c r="Z426" s="5">
        <f t="shared" ca="1" si="79"/>
        <v>0</v>
      </c>
      <c r="AA426" s="5" t="str">
        <f t="shared" ca="1" si="80"/>
        <v>Guarda-móveis</v>
      </c>
      <c r="AB426" s="5">
        <f ca="1">COUNTIF(R$10:R426,R426)</f>
        <v>409</v>
      </c>
      <c r="AC426" s="5" t="str">
        <f t="shared" ca="1" si="81"/>
        <v>0409</v>
      </c>
      <c r="AD426" s="5">
        <f t="shared" ca="1" si="82"/>
        <v>0</v>
      </c>
      <c r="AE426" s="5">
        <f t="shared" ca="1" si="83"/>
        <v>0</v>
      </c>
    </row>
    <row r="427" spans="4:31" ht="15.6" thickTop="1" thickBot="1" x14ac:dyDescent="0.35">
      <c r="D427" s="57"/>
      <c r="E427" s="58"/>
      <c r="F427" s="59"/>
      <c r="G427" s="59"/>
      <c r="H427" s="59"/>
      <c r="I427" s="60"/>
      <c r="J427" s="61"/>
      <c r="K427" s="61"/>
      <c r="M427" s="9" t="str">
        <f t="shared" si="73"/>
        <v/>
      </c>
      <c r="N427" s="5" t="str">
        <f t="shared" si="84"/>
        <v/>
      </c>
      <c r="O427" s="5" t="str">
        <f t="shared" si="78"/>
        <v/>
      </c>
      <c r="R427" s="5">
        <f t="shared" ca="1" si="74"/>
        <v>0</v>
      </c>
      <c r="S427" s="5">
        <f t="shared" si="75"/>
        <v>0</v>
      </c>
      <c r="U427" s="5">
        <f ca="1">COUNTIF(R$10:R427,R427)</f>
        <v>410</v>
      </c>
      <c r="V427" s="5" t="str">
        <f t="shared" ca="1" si="76"/>
        <v>0410</v>
      </c>
      <c r="W427" s="5" t="e">
        <f t="shared" ca="1" si="77"/>
        <v>#REF!</v>
      </c>
      <c r="Y427" s="5">
        <v>418</v>
      </c>
      <c r="Z427" s="5">
        <f t="shared" ca="1" si="79"/>
        <v>0</v>
      </c>
      <c r="AA427" s="5" t="str">
        <f t="shared" ca="1" si="80"/>
        <v>Guarda-móveis</v>
      </c>
      <c r="AB427" s="5">
        <f ca="1">COUNTIF(R$10:R427,R427)</f>
        <v>410</v>
      </c>
      <c r="AC427" s="5" t="str">
        <f t="shared" ca="1" si="81"/>
        <v>0410</v>
      </c>
      <c r="AD427" s="5">
        <f t="shared" ca="1" si="82"/>
        <v>0</v>
      </c>
      <c r="AE427" s="5">
        <f t="shared" ca="1" si="83"/>
        <v>0</v>
      </c>
    </row>
    <row r="428" spans="4:31" ht="15.6" thickTop="1" thickBot="1" x14ac:dyDescent="0.35">
      <c r="D428" s="57"/>
      <c r="E428" s="58"/>
      <c r="F428" s="59"/>
      <c r="G428" s="59"/>
      <c r="H428" s="59"/>
      <c r="I428" s="60"/>
      <c r="J428" s="61"/>
      <c r="K428" s="61"/>
      <c r="M428" s="9" t="str">
        <f t="shared" si="73"/>
        <v/>
      </c>
      <c r="N428" s="5" t="str">
        <f t="shared" si="84"/>
        <v/>
      </c>
      <c r="O428" s="5" t="str">
        <f t="shared" si="78"/>
        <v/>
      </c>
      <c r="R428" s="5">
        <f t="shared" ca="1" si="74"/>
        <v>0</v>
      </c>
      <c r="S428" s="5">
        <f t="shared" si="75"/>
        <v>0</v>
      </c>
      <c r="U428" s="5">
        <f ca="1">COUNTIF(R$10:R428,R428)</f>
        <v>411</v>
      </c>
      <c r="V428" s="5" t="str">
        <f t="shared" ca="1" si="76"/>
        <v>0411</v>
      </c>
      <c r="W428" s="5" t="e">
        <f t="shared" ca="1" si="77"/>
        <v>#REF!</v>
      </c>
      <c r="Y428" s="5">
        <v>419</v>
      </c>
      <c r="Z428" s="5">
        <f t="shared" ca="1" si="79"/>
        <v>0</v>
      </c>
      <c r="AA428" s="5" t="str">
        <f t="shared" ca="1" si="80"/>
        <v>Guarda-móveis</v>
      </c>
      <c r="AB428" s="5">
        <f ca="1">COUNTIF(R$10:R428,R428)</f>
        <v>411</v>
      </c>
      <c r="AC428" s="5" t="str">
        <f t="shared" ca="1" si="81"/>
        <v>0411</v>
      </c>
      <c r="AD428" s="5">
        <f t="shared" ca="1" si="82"/>
        <v>0</v>
      </c>
      <c r="AE428" s="5">
        <f t="shared" ca="1" si="83"/>
        <v>0</v>
      </c>
    </row>
    <row r="429" spans="4:31" ht="15.6" thickTop="1" thickBot="1" x14ac:dyDescent="0.35">
      <c r="D429" s="57"/>
      <c r="E429" s="58"/>
      <c r="F429" s="59"/>
      <c r="G429" s="59"/>
      <c r="H429" s="59"/>
      <c r="I429" s="60"/>
      <c r="J429" s="61"/>
      <c r="K429" s="61"/>
      <c r="M429" s="9" t="str">
        <f t="shared" si="73"/>
        <v/>
      </c>
      <c r="N429" s="5" t="str">
        <f t="shared" si="84"/>
        <v/>
      </c>
      <c r="O429" s="5" t="str">
        <f t="shared" si="78"/>
        <v/>
      </c>
      <c r="R429" s="5">
        <f t="shared" ca="1" si="74"/>
        <v>0</v>
      </c>
      <c r="S429" s="5">
        <f t="shared" si="75"/>
        <v>0</v>
      </c>
      <c r="U429" s="5">
        <f ca="1">COUNTIF(R$10:R429,R429)</f>
        <v>412</v>
      </c>
      <c r="V429" s="5" t="str">
        <f t="shared" ca="1" si="76"/>
        <v>0412</v>
      </c>
      <c r="W429" s="5" t="e">
        <f t="shared" ca="1" si="77"/>
        <v>#REF!</v>
      </c>
      <c r="Y429" s="5">
        <v>420</v>
      </c>
      <c r="Z429" s="5">
        <f t="shared" ca="1" si="79"/>
        <v>0</v>
      </c>
      <c r="AA429" s="5" t="str">
        <f t="shared" ca="1" si="80"/>
        <v>Guarda-móveis</v>
      </c>
      <c r="AB429" s="5">
        <f ca="1">COUNTIF(R$10:R429,R429)</f>
        <v>412</v>
      </c>
      <c r="AC429" s="5" t="str">
        <f t="shared" ca="1" si="81"/>
        <v>0412</v>
      </c>
      <c r="AD429" s="5">
        <f t="shared" ca="1" si="82"/>
        <v>0</v>
      </c>
      <c r="AE429" s="5">
        <f t="shared" ca="1" si="83"/>
        <v>0</v>
      </c>
    </row>
    <row r="430" spans="4:31" ht="15.6" thickTop="1" thickBot="1" x14ac:dyDescent="0.35">
      <c r="D430" s="57"/>
      <c r="E430" s="58"/>
      <c r="F430" s="59"/>
      <c r="G430" s="59"/>
      <c r="H430" s="59"/>
      <c r="I430" s="60"/>
      <c r="J430" s="61"/>
      <c r="K430" s="61"/>
      <c r="M430" s="9" t="str">
        <f t="shared" si="73"/>
        <v/>
      </c>
      <c r="N430" s="5" t="str">
        <f t="shared" si="84"/>
        <v/>
      </c>
      <c r="O430" s="5" t="str">
        <f t="shared" si="78"/>
        <v/>
      </c>
      <c r="R430" s="5">
        <f t="shared" ca="1" si="74"/>
        <v>0</v>
      </c>
      <c r="S430" s="5">
        <f t="shared" si="75"/>
        <v>0</v>
      </c>
      <c r="U430" s="5">
        <f ca="1">COUNTIF(R$10:R430,R430)</f>
        <v>413</v>
      </c>
      <c r="V430" s="5" t="str">
        <f t="shared" ca="1" si="76"/>
        <v>0413</v>
      </c>
      <c r="W430" s="5" t="e">
        <f t="shared" ca="1" si="77"/>
        <v>#REF!</v>
      </c>
      <c r="Y430" s="5">
        <v>421</v>
      </c>
      <c r="Z430" s="5">
        <f t="shared" ca="1" si="79"/>
        <v>0</v>
      </c>
      <c r="AA430" s="5" t="str">
        <f t="shared" ca="1" si="80"/>
        <v>Guarda-móveis</v>
      </c>
      <c r="AB430" s="5">
        <f ca="1">COUNTIF(R$10:R430,R430)</f>
        <v>413</v>
      </c>
      <c r="AC430" s="5" t="str">
        <f t="shared" ca="1" si="81"/>
        <v>0413</v>
      </c>
      <c r="AD430" s="5">
        <f t="shared" ca="1" si="82"/>
        <v>0</v>
      </c>
      <c r="AE430" s="5">
        <f t="shared" ca="1" si="83"/>
        <v>0</v>
      </c>
    </row>
    <row r="431" spans="4:31" ht="15.6" thickTop="1" thickBot="1" x14ac:dyDescent="0.35">
      <c r="D431" s="57"/>
      <c r="E431" s="58"/>
      <c r="F431" s="59"/>
      <c r="G431" s="59"/>
      <c r="H431" s="59"/>
      <c r="I431" s="60"/>
      <c r="J431" s="61"/>
      <c r="K431" s="61"/>
      <c r="M431" s="9" t="str">
        <f t="shared" si="73"/>
        <v/>
      </c>
      <c r="N431" s="5" t="str">
        <f t="shared" si="84"/>
        <v/>
      </c>
      <c r="O431" s="5" t="str">
        <f t="shared" si="78"/>
        <v/>
      </c>
      <c r="R431" s="5">
        <f t="shared" ca="1" si="74"/>
        <v>0</v>
      </c>
      <c r="S431" s="5">
        <f t="shared" si="75"/>
        <v>0</v>
      </c>
      <c r="U431" s="5">
        <f ca="1">COUNTIF(R$10:R431,R431)</f>
        <v>414</v>
      </c>
      <c r="V431" s="5" t="str">
        <f t="shared" ca="1" si="76"/>
        <v>0414</v>
      </c>
      <c r="W431" s="5" t="e">
        <f t="shared" ca="1" si="77"/>
        <v>#REF!</v>
      </c>
      <c r="Y431" s="5">
        <v>422</v>
      </c>
      <c r="Z431" s="5">
        <f t="shared" ca="1" si="79"/>
        <v>0</v>
      </c>
      <c r="AA431" s="5" t="str">
        <f t="shared" ca="1" si="80"/>
        <v>Guarda-móveis</v>
      </c>
      <c r="AB431" s="5">
        <f ca="1">COUNTIF(R$10:R431,R431)</f>
        <v>414</v>
      </c>
      <c r="AC431" s="5" t="str">
        <f t="shared" ca="1" si="81"/>
        <v>0414</v>
      </c>
      <c r="AD431" s="5">
        <f t="shared" ca="1" si="82"/>
        <v>0</v>
      </c>
      <c r="AE431" s="5">
        <f t="shared" ca="1" si="83"/>
        <v>0</v>
      </c>
    </row>
    <row r="432" spans="4:31" ht="15.6" thickTop="1" thickBot="1" x14ac:dyDescent="0.35">
      <c r="D432" s="57"/>
      <c r="E432" s="58"/>
      <c r="F432" s="59"/>
      <c r="G432" s="59"/>
      <c r="H432" s="59"/>
      <c r="I432" s="60"/>
      <c r="J432" s="61"/>
      <c r="K432" s="61"/>
      <c r="M432" s="9" t="str">
        <f t="shared" si="73"/>
        <v/>
      </c>
      <c r="N432" s="5" t="str">
        <f t="shared" si="84"/>
        <v/>
      </c>
      <c r="O432" s="5" t="str">
        <f t="shared" si="78"/>
        <v/>
      </c>
      <c r="R432" s="5">
        <f t="shared" ca="1" si="74"/>
        <v>0</v>
      </c>
      <c r="S432" s="5">
        <f t="shared" si="75"/>
        <v>0</v>
      </c>
      <c r="U432" s="5">
        <f ca="1">COUNTIF(R$10:R432,R432)</f>
        <v>415</v>
      </c>
      <c r="V432" s="5" t="str">
        <f t="shared" ca="1" si="76"/>
        <v>0415</v>
      </c>
      <c r="W432" s="5" t="e">
        <f t="shared" ca="1" si="77"/>
        <v>#REF!</v>
      </c>
      <c r="Y432" s="5">
        <v>423</v>
      </c>
      <c r="Z432" s="5">
        <f t="shared" ca="1" si="79"/>
        <v>0</v>
      </c>
      <c r="AA432" s="5" t="str">
        <f t="shared" ca="1" si="80"/>
        <v>Guarda-móveis</v>
      </c>
      <c r="AB432" s="5">
        <f ca="1">COUNTIF(R$10:R432,R432)</f>
        <v>415</v>
      </c>
      <c r="AC432" s="5" t="str">
        <f t="shared" ca="1" si="81"/>
        <v>0415</v>
      </c>
      <c r="AD432" s="5">
        <f t="shared" ca="1" si="82"/>
        <v>0</v>
      </c>
      <c r="AE432" s="5">
        <f t="shared" ca="1" si="83"/>
        <v>0</v>
      </c>
    </row>
    <row r="433" spans="4:31" ht="15.6" thickTop="1" thickBot="1" x14ac:dyDescent="0.35">
      <c r="D433" s="57"/>
      <c r="E433" s="58"/>
      <c r="F433" s="59"/>
      <c r="G433" s="59"/>
      <c r="H433" s="59"/>
      <c r="I433" s="60"/>
      <c r="J433" s="61"/>
      <c r="K433" s="61"/>
      <c r="M433" s="9" t="str">
        <f t="shared" si="73"/>
        <v/>
      </c>
      <c r="N433" s="5" t="str">
        <f t="shared" si="84"/>
        <v/>
      </c>
      <c r="O433" s="5" t="str">
        <f t="shared" si="78"/>
        <v/>
      </c>
      <c r="R433" s="5">
        <f t="shared" ca="1" si="74"/>
        <v>0</v>
      </c>
      <c r="S433" s="5">
        <f t="shared" si="75"/>
        <v>0</v>
      </c>
      <c r="U433" s="5">
        <f ca="1">COUNTIF(R$10:R433,R433)</f>
        <v>416</v>
      </c>
      <c r="V433" s="5" t="str">
        <f t="shared" ca="1" si="76"/>
        <v>0416</v>
      </c>
      <c r="W433" s="5" t="e">
        <f t="shared" ca="1" si="77"/>
        <v>#REF!</v>
      </c>
      <c r="Y433" s="5">
        <v>424</v>
      </c>
      <c r="Z433" s="5">
        <f t="shared" ca="1" si="79"/>
        <v>0</v>
      </c>
      <c r="AA433" s="5" t="str">
        <f t="shared" ca="1" si="80"/>
        <v>Guarda-móveis</v>
      </c>
      <c r="AB433" s="5">
        <f ca="1">COUNTIF(R$10:R433,R433)</f>
        <v>416</v>
      </c>
      <c r="AC433" s="5" t="str">
        <f t="shared" ca="1" si="81"/>
        <v>0416</v>
      </c>
      <c r="AD433" s="5">
        <f t="shared" ca="1" si="82"/>
        <v>0</v>
      </c>
      <c r="AE433" s="5">
        <f t="shared" ca="1" si="83"/>
        <v>0</v>
      </c>
    </row>
    <row r="434" spans="4:31" ht="15.6" thickTop="1" thickBot="1" x14ac:dyDescent="0.35">
      <c r="D434" s="57"/>
      <c r="E434" s="58"/>
      <c r="F434" s="59"/>
      <c r="G434" s="59"/>
      <c r="H434" s="59"/>
      <c r="I434" s="60"/>
      <c r="J434" s="61"/>
      <c r="K434" s="61"/>
      <c r="M434" s="9" t="str">
        <f t="shared" si="73"/>
        <v/>
      </c>
      <c r="N434" s="5" t="str">
        <f t="shared" si="84"/>
        <v/>
      </c>
      <c r="O434" s="5" t="str">
        <f t="shared" si="78"/>
        <v/>
      </c>
      <c r="R434" s="5">
        <f t="shared" ca="1" si="74"/>
        <v>0</v>
      </c>
      <c r="S434" s="5">
        <f t="shared" si="75"/>
        <v>0</v>
      </c>
      <c r="U434" s="5">
        <f ca="1">COUNTIF(R$10:R434,R434)</f>
        <v>417</v>
      </c>
      <c r="V434" s="5" t="str">
        <f t="shared" ca="1" si="76"/>
        <v>0417</v>
      </c>
      <c r="W434" s="5" t="e">
        <f t="shared" ca="1" si="77"/>
        <v>#REF!</v>
      </c>
      <c r="Y434" s="5">
        <v>425</v>
      </c>
      <c r="Z434" s="5">
        <f t="shared" ca="1" si="79"/>
        <v>0</v>
      </c>
      <c r="AA434" s="5" t="str">
        <f t="shared" ca="1" si="80"/>
        <v>Guarda-móveis</v>
      </c>
      <c r="AB434" s="5">
        <f ca="1">COUNTIF(R$10:R434,R434)</f>
        <v>417</v>
      </c>
      <c r="AC434" s="5" t="str">
        <f t="shared" ca="1" si="81"/>
        <v>0417</v>
      </c>
      <c r="AD434" s="5">
        <f t="shared" ca="1" si="82"/>
        <v>0</v>
      </c>
      <c r="AE434" s="5">
        <f t="shared" ca="1" si="83"/>
        <v>0</v>
      </c>
    </row>
    <row r="435" spans="4:31" ht="15.6" thickTop="1" thickBot="1" x14ac:dyDescent="0.35">
      <c r="D435" s="57"/>
      <c r="E435" s="58"/>
      <c r="F435" s="59"/>
      <c r="G435" s="59"/>
      <c r="H435" s="59"/>
      <c r="I435" s="60"/>
      <c r="J435" s="61"/>
      <c r="K435" s="61"/>
      <c r="M435" s="9" t="str">
        <f t="shared" si="73"/>
        <v/>
      </c>
      <c r="N435" s="5" t="str">
        <f t="shared" si="84"/>
        <v/>
      </c>
      <c r="O435" s="5" t="str">
        <f t="shared" si="78"/>
        <v/>
      </c>
      <c r="R435" s="5">
        <f t="shared" ca="1" si="74"/>
        <v>0</v>
      </c>
      <c r="S435" s="5">
        <f t="shared" si="75"/>
        <v>0</v>
      </c>
      <c r="U435" s="5">
        <f ca="1">COUNTIF(R$10:R435,R435)</f>
        <v>418</v>
      </c>
      <c r="V435" s="5" t="str">
        <f t="shared" ca="1" si="76"/>
        <v>0418</v>
      </c>
      <c r="W435" s="5" t="e">
        <f t="shared" ca="1" si="77"/>
        <v>#REF!</v>
      </c>
      <c r="Y435" s="5">
        <v>426</v>
      </c>
      <c r="Z435" s="5">
        <f t="shared" ca="1" si="79"/>
        <v>0</v>
      </c>
      <c r="AA435" s="5" t="str">
        <f t="shared" ca="1" si="80"/>
        <v>Guarda-móveis</v>
      </c>
      <c r="AB435" s="5">
        <f ca="1">COUNTIF(R$10:R435,R435)</f>
        <v>418</v>
      </c>
      <c r="AC435" s="5" t="str">
        <f t="shared" ca="1" si="81"/>
        <v>0418</v>
      </c>
      <c r="AD435" s="5">
        <f t="shared" ca="1" si="82"/>
        <v>0</v>
      </c>
      <c r="AE435" s="5">
        <f t="shared" ca="1" si="83"/>
        <v>0</v>
      </c>
    </row>
    <row r="436" spans="4:31" ht="15.6" thickTop="1" thickBot="1" x14ac:dyDescent="0.35">
      <c r="D436" s="57"/>
      <c r="E436" s="58"/>
      <c r="F436" s="59"/>
      <c r="G436" s="59"/>
      <c r="H436" s="59"/>
      <c r="I436" s="60"/>
      <c r="J436" s="61"/>
      <c r="K436" s="61"/>
      <c r="M436" s="9" t="str">
        <f t="shared" si="73"/>
        <v/>
      </c>
      <c r="N436" s="5" t="str">
        <f t="shared" si="84"/>
        <v/>
      </c>
      <c r="O436" s="5" t="str">
        <f t="shared" si="78"/>
        <v/>
      </c>
      <c r="R436" s="5">
        <f t="shared" ca="1" si="74"/>
        <v>0</v>
      </c>
      <c r="S436" s="5">
        <f t="shared" si="75"/>
        <v>0</v>
      </c>
      <c r="U436" s="5">
        <f ca="1">COUNTIF(R$10:R436,R436)</f>
        <v>419</v>
      </c>
      <c r="V436" s="5" t="str">
        <f t="shared" ca="1" si="76"/>
        <v>0419</v>
      </c>
      <c r="W436" s="5" t="e">
        <f t="shared" ca="1" si="77"/>
        <v>#REF!</v>
      </c>
      <c r="Y436" s="5">
        <v>427</v>
      </c>
      <c r="Z436" s="5">
        <f t="shared" ca="1" si="79"/>
        <v>0</v>
      </c>
      <c r="AA436" s="5" t="str">
        <f t="shared" ca="1" si="80"/>
        <v>Guarda-móveis</v>
      </c>
      <c r="AB436" s="5">
        <f ca="1">COUNTIF(R$10:R436,R436)</f>
        <v>419</v>
      </c>
      <c r="AC436" s="5" t="str">
        <f t="shared" ca="1" si="81"/>
        <v>0419</v>
      </c>
      <c r="AD436" s="5">
        <f t="shared" ca="1" si="82"/>
        <v>0</v>
      </c>
      <c r="AE436" s="5">
        <f t="shared" ca="1" si="83"/>
        <v>0</v>
      </c>
    </row>
    <row r="437" spans="4:31" ht="15.6" thickTop="1" thickBot="1" x14ac:dyDescent="0.35">
      <c r="D437" s="57"/>
      <c r="E437" s="58"/>
      <c r="F437" s="59"/>
      <c r="G437" s="59"/>
      <c r="H437" s="59"/>
      <c r="I437" s="60"/>
      <c r="J437" s="61"/>
      <c r="K437" s="61"/>
      <c r="M437" s="9" t="str">
        <f t="shared" si="73"/>
        <v/>
      </c>
      <c r="N437" s="5" t="str">
        <f t="shared" si="84"/>
        <v/>
      </c>
      <c r="O437" s="5" t="str">
        <f t="shared" si="78"/>
        <v/>
      </c>
      <c r="R437" s="5">
        <f t="shared" ca="1" si="74"/>
        <v>0</v>
      </c>
      <c r="S437" s="5">
        <f t="shared" si="75"/>
        <v>0</v>
      </c>
      <c r="U437" s="5">
        <f ca="1">COUNTIF(R$10:R437,R437)</f>
        <v>420</v>
      </c>
      <c r="V437" s="5" t="str">
        <f t="shared" ca="1" si="76"/>
        <v>0420</v>
      </c>
      <c r="W437" s="5" t="e">
        <f t="shared" ca="1" si="77"/>
        <v>#REF!</v>
      </c>
      <c r="Y437" s="5">
        <v>428</v>
      </c>
      <c r="Z437" s="5">
        <f t="shared" ca="1" si="79"/>
        <v>0</v>
      </c>
      <c r="AA437" s="5" t="str">
        <f t="shared" ca="1" si="80"/>
        <v>Guarda-móveis</v>
      </c>
      <c r="AB437" s="5">
        <f ca="1">COUNTIF(R$10:R437,R437)</f>
        <v>420</v>
      </c>
      <c r="AC437" s="5" t="str">
        <f t="shared" ca="1" si="81"/>
        <v>0420</v>
      </c>
      <c r="AD437" s="5">
        <f t="shared" ca="1" si="82"/>
        <v>0</v>
      </c>
      <c r="AE437" s="5">
        <f t="shared" ca="1" si="83"/>
        <v>0</v>
      </c>
    </row>
    <row r="438" spans="4:31" ht="15.6" thickTop="1" thickBot="1" x14ac:dyDescent="0.35">
      <c r="D438" s="57"/>
      <c r="E438" s="58"/>
      <c r="F438" s="59"/>
      <c r="G438" s="59"/>
      <c r="H438" s="59"/>
      <c r="I438" s="60"/>
      <c r="J438" s="61"/>
      <c r="K438" s="61"/>
      <c r="M438" s="9" t="str">
        <f t="shared" si="73"/>
        <v/>
      </c>
      <c r="N438" s="5" t="str">
        <f t="shared" si="84"/>
        <v/>
      </c>
      <c r="O438" s="5" t="str">
        <f t="shared" si="78"/>
        <v/>
      </c>
      <c r="R438" s="5">
        <f t="shared" ca="1" si="74"/>
        <v>0</v>
      </c>
      <c r="S438" s="5">
        <f t="shared" si="75"/>
        <v>0</v>
      </c>
      <c r="U438" s="5">
        <f ca="1">COUNTIF(R$10:R438,R438)</f>
        <v>421</v>
      </c>
      <c r="V438" s="5" t="str">
        <f t="shared" ca="1" si="76"/>
        <v>0421</v>
      </c>
      <c r="W438" s="5" t="e">
        <f t="shared" ca="1" si="77"/>
        <v>#REF!</v>
      </c>
      <c r="Y438" s="5">
        <v>429</v>
      </c>
      <c r="Z438" s="5">
        <f t="shared" ca="1" si="79"/>
        <v>0</v>
      </c>
      <c r="AA438" s="5" t="str">
        <f t="shared" ca="1" si="80"/>
        <v>Guarda-móveis</v>
      </c>
      <c r="AB438" s="5">
        <f ca="1">COUNTIF(R$10:R438,R438)</f>
        <v>421</v>
      </c>
      <c r="AC438" s="5" t="str">
        <f t="shared" ca="1" si="81"/>
        <v>0421</v>
      </c>
      <c r="AD438" s="5">
        <f t="shared" ca="1" si="82"/>
        <v>0</v>
      </c>
      <c r="AE438" s="5">
        <f t="shared" ca="1" si="83"/>
        <v>0</v>
      </c>
    </row>
    <row r="439" spans="4:31" ht="15.6" thickTop="1" thickBot="1" x14ac:dyDescent="0.35">
      <c r="D439" s="57"/>
      <c r="E439" s="58"/>
      <c r="F439" s="59"/>
      <c r="G439" s="59"/>
      <c r="H439" s="59"/>
      <c r="I439" s="60"/>
      <c r="J439" s="61"/>
      <c r="K439" s="61"/>
      <c r="M439" s="9" t="str">
        <f t="shared" si="73"/>
        <v/>
      </c>
      <c r="N439" s="5" t="str">
        <f t="shared" si="84"/>
        <v/>
      </c>
      <c r="O439" s="5" t="str">
        <f t="shared" si="78"/>
        <v/>
      </c>
      <c r="R439" s="5">
        <f t="shared" ca="1" si="74"/>
        <v>0</v>
      </c>
      <c r="S439" s="5">
        <f t="shared" si="75"/>
        <v>0</v>
      </c>
      <c r="U439" s="5">
        <f ca="1">COUNTIF(R$10:R439,R439)</f>
        <v>422</v>
      </c>
      <c r="V439" s="5" t="str">
        <f t="shared" ca="1" si="76"/>
        <v>0422</v>
      </c>
      <c r="W439" s="5" t="e">
        <f t="shared" ca="1" si="77"/>
        <v>#REF!</v>
      </c>
      <c r="Y439" s="5">
        <v>430</v>
      </c>
      <c r="Z439" s="5">
        <f t="shared" ca="1" si="79"/>
        <v>0</v>
      </c>
      <c r="AA439" s="5" t="str">
        <f t="shared" ca="1" si="80"/>
        <v>Guarda-móveis</v>
      </c>
      <c r="AB439" s="5">
        <f ca="1">COUNTIF(R$10:R439,R439)</f>
        <v>422</v>
      </c>
      <c r="AC439" s="5" t="str">
        <f t="shared" ca="1" si="81"/>
        <v>0422</v>
      </c>
      <c r="AD439" s="5">
        <f t="shared" ca="1" si="82"/>
        <v>0</v>
      </c>
      <c r="AE439" s="5">
        <f t="shared" ca="1" si="83"/>
        <v>0</v>
      </c>
    </row>
    <row r="440" spans="4:31" ht="15.6" thickTop="1" thickBot="1" x14ac:dyDescent="0.35">
      <c r="D440" s="57"/>
      <c r="E440" s="58"/>
      <c r="F440" s="59"/>
      <c r="G440" s="59"/>
      <c r="H440" s="59"/>
      <c r="I440" s="60"/>
      <c r="J440" s="61"/>
      <c r="K440" s="61"/>
      <c r="M440" s="9" t="str">
        <f t="shared" si="73"/>
        <v/>
      </c>
      <c r="N440" s="5" t="str">
        <f t="shared" si="84"/>
        <v/>
      </c>
      <c r="O440" s="5" t="str">
        <f t="shared" si="78"/>
        <v/>
      </c>
      <c r="R440" s="5">
        <f t="shared" ca="1" si="74"/>
        <v>0</v>
      </c>
      <c r="S440" s="5">
        <f t="shared" si="75"/>
        <v>0</v>
      </c>
      <c r="U440" s="5">
        <f ca="1">COUNTIF(R$10:R440,R440)</f>
        <v>423</v>
      </c>
      <c r="V440" s="5" t="str">
        <f t="shared" ca="1" si="76"/>
        <v>0423</v>
      </c>
      <c r="W440" s="5" t="e">
        <f t="shared" ca="1" si="77"/>
        <v>#REF!</v>
      </c>
      <c r="Y440" s="5">
        <v>431</v>
      </c>
      <c r="Z440" s="5">
        <f t="shared" ca="1" si="79"/>
        <v>0</v>
      </c>
      <c r="AA440" s="5" t="str">
        <f t="shared" ca="1" si="80"/>
        <v>Guarda-móveis</v>
      </c>
      <c r="AB440" s="5">
        <f ca="1">COUNTIF(R$10:R440,R440)</f>
        <v>423</v>
      </c>
      <c r="AC440" s="5" t="str">
        <f t="shared" ca="1" si="81"/>
        <v>0423</v>
      </c>
      <c r="AD440" s="5">
        <f t="shared" ca="1" si="82"/>
        <v>0</v>
      </c>
      <c r="AE440" s="5">
        <f t="shared" ca="1" si="83"/>
        <v>0</v>
      </c>
    </row>
    <row r="441" spans="4:31" ht="15.6" thickTop="1" thickBot="1" x14ac:dyDescent="0.35">
      <c r="D441" s="57"/>
      <c r="E441" s="58"/>
      <c r="F441" s="59"/>
      <c r="G441" s="59"/>
      <c r="H441" s="59"/>
      <c r="I441" s="60"/>
      <c r="J441" s="61"/>
      <c r="K441" s="61"/>
      <c r="M441" s="9" t="str">
        <f t="shared" si="73"/>
        <v/>
      </c>
      <c r="N441" s="5" t="str">
        <f t="shared" si="84"/>
        <v/>
      </c>
      <c r="O441" s="5" t="str">
        <f t="shared" si="78"/>
        <v/>
      </c>
      <c r="R441" s="5">
        <f t="shared" ca="1" si="74"/>
        <v>0</v>
      </c>
      <c r="S441" s="5">
        <f t="shared" si="75"/>
        <v>0</v>
      </c>
      <c r="U441" s="5">
        <f ca="1">COUNTIF(R$10:R441,R441)</f>
        <v>424</v>
      </c>
      <c r="V441" s="5" t="str">
        <f t="shared" ca="1" si="76"/>
        <v>0424</v>
      </c>
      <c r="W441" s="5" t="e">
        <f t="shared" ca="1" si="77"/>
        <v>#REF!</v>
      </c>
      <c r="Y441" s="5">
        <v>432</v>
      </c>
      <c r="Z441" s="5">
        <f t="shared" ca="1" si="79"/>
        <v>0</v>
      </c>
      <c r="AA441" s="5" t="str">
        <f t="shared" ca="1" si="80"/>
        <v>Guarda-móveis</v>
      </c>
      <c r="AB441" s="5">
        <f ca="1">COUNTIF(R$10:R441,R441)</f>
        <v>424</v>
      </c>
      <c r="AC441" s="5" t="str">
        <f t="shared" ca="1" si="81"/>
        <v>0424</v>
      </c>
      <c r="AD441" s="5">
        <f t="shared" ca="1" si="82"/>
        <v>0</v>
      </c>
      <c r="AE441" s="5">
        <f t="shared" ca="1" si="83"/>
        <v>0</v>
      </c>
    </row>
    <row r="442" spans="4:31" ht="15.6" thickTop="1" thickBot="1" x14ac:dyDescent="0.35">
      <c r="D442" s="57"/>
      <c r="E442" s="58"/>
      <c r="F442" s="59"/>
      <c r="G442" s="59"/>
      <c r="H442" s="59"/>
      <c r="I442" s="60"/>
      <c r="J442" s="61"/>
      <c r="K442" s="61"/>
      <c r="M442" s="9" t="str">
        <f t="shared" si="73"/>
        <v/>
      </c>
      <c r="N442" s="5" t="str">
        <f t="shared" si="84"/>
        <v/>
      </c>
      <c r="O442" s="5" t="str">
        <f t="shared" si="78"/>
        <v/>
      </c>
      <c r="R442" s="5">
        <f t="shared" ca="1" si="74"/>
        <v>0</v>
      </c>
      <c r="S442" s="5">
        <f t="shared" si="75"/>
        <v>0</v>
      </c>
      <c r="U442" s="5">
        <f ca="1">COUNTIF(R$10:R442,R442)</f>
        <v>425</v>
      </c>
      <c r="V442" s="5" t="str">
        <f t="shared" ca="1" si="76"/>
        <v>0425</v>
      </c>
      <c r="W442" s="5" t="e">
        <f t="shared" ca="1" si="77"/>
        <v>#REF!</v>
      </c>
      <c r="Y442" s="5">
        <v>433</v>
      </c>
      <c r="Z442" s="5">
        <f t="shared" ca="1" si="79"/>
        <v>0</v>
      </c>
      <c r="AA442" s="5" t="str">
        <f t="shared" ca="1" si="80"/>
        <v>Guarda-móveis</v>
      </c>
      <c r="AB442" s="5">
        <f ca="1">COUNTIF(R$10:R442,R442)</f>
        <v>425</v>
      </c>
      <c r="AC442" s="5" t="str">
        <f t="shared" ca="1" si="81"/>
        <v>0425</v>
      </c>
      <c r="AD442" s="5">
        <f t="shared" ca="1" si="82"/>
        <v>0</v>
      </c>
      <c r="AE442" s="5">
        <f t="shared" ca="1" si="83"/>
        <v>0</v>
      </c>
    </row>
    <row r="443" spans="4:31" ht="15.6" thickTop="1" thickBot="1" x14ac:dyDescent="0.35">
      <c r="D443" s="57"/>
      <c r="E443" s="58"/>
      <c r="F443" s="59"/>
      <c r="G443" s="59"/>
      <c r="H443" s="59"/>
      <c r="I443" s="60"/>
      <c r="J443" s="61"/>
      <c r="K443" s="61"/>
      <c r="M443" s="9" t="str">
        <f t="shared" si="73"/>
        <v/>
      </c>
      <c r="N443" s="5" t="str">
        <f t="shared" si="84"/>
        <v/>
      </c>
      <c r="O443" s="5" t="str">
        <f t="shared" si="78"/>
        <v/>
      </c>
      <c r="R443" s="5">
        <f t="shared" ca="1" si="74"/>
        <v>0</v>
      </c>
      <c r="S443" s="5">
        <f t="shared" si="75"/>
        <v>0</v>
      </c>
      <c r="U443" s="5">
        <f ca="1">COUNTIF(R$10:R443,R443)</f>
        <v>426</v>
      </c>
      <c r="V443" s="5" t="str">
        <f t="shared" ca="1" si="76"/>
        <v>0426</v>
      </c>
      <c r="W443" s="5" t="e">
        <f t="shared" ca="1" si="77"/>
        <v>#REF!</v>
      </c>
      <c r="Y443" s="5">
        <v>434</v>
      </c>
      <c r="Z443" s="5">
        <f t="shared" ca="1" si="79"/>
        <v>0</v>
      </c>
      <c r="AA443" s="5" t="str">
        <f t="shared" ca="1" si="80"/>
        <v>Guarda-móveis</v>
      </c>
      <c r="AB443" s="5">
        <f ca="1">COUNTIF(R$10:R443,R443)</f>
        <v>426</v>
      </c>
      <c r="AC443" s="5" t="str">
        <f t="shared" ca="1" si="81"/>
        <v>0426</v>
      </c>
      <c r="AD443" s="5">
        <f t="shared" ca="1" si="82"/>
        <v>0</v>
      </c>
      <c r="AE443" s="5">
        <f t="shared" ca="1" si="83"/>
        <v>0</v>
      </c>
    </row>
    <row r="444" spans="4:31" ht="15.6" thickTop="1" thickBot="1" x14ac:dyDescent="0.35">
      <c r="D444" s="57"/>
      <c r="E444" s="58"/>
      <c r="F444" s="59"/>
      <c r="G444" s="59"/>
      <c r="H444" s="59"/>
      <c r="I444" s="60"/>
      <c r="J444" s="61"/>
      <c r="K444" s="61"/>
      <c r="M444" s="9" t="str">
        <f t="shared" si="73"/>
        <v/>
      </c>
      <c r="N444" s="5" t="str">
        <f t="shared" si="84"/>
        <v/>
      </c>
      <c r="O444" s="5" t="str">
        <f t="shared" si="78"/>
        <v/>
      </c>
      <c r="R444" s="5">
        <f t="shared" ca="1" si="74"/>
        <v>0</v>
      </c>
      <c r="S444" s="5">
        <f t="shared" si="75"/>
        <v>0</v>
      </c>
      <c r="U444" s="5">
        <f ca="1">COUNTIF(R$10:R444,R444)</f>
        <v>427</v>
      </c>
      <c r="V444" s="5" t="str">
        <f t="shared" ca="1" si="76"/>
        <v>0427</v>
      </c>
      <c r="W444" s="5" t="e">
        <f t="shared" ca="1" si="77"/>
        <v>#REF!</v>
      </c>
      <c r="Y444" s="5">
        <v>435</v>
      </c>
      <c r="Z444" s="5">
        <f t="shared" ca="1" si="79"/>
        <v>0</v>
      </c>
      <c r="AA444" s="5" t="str">
        <f t="shared" ca="1" si="80"/>
        <v>Guarda-móveis</v>
      </c>
      <c r="AB444" s="5">
        <f ca="1">COUNTIF(R$10:R444,R444)</f>
        <v>427</v>
      </c>
      <c r="AC444" s="5" t="str">
        <f t="shared" ca="1" si="81"/>
        <v>0427</v>
      </c>
      <c r="AD444" s="5">
        <f t="shared" ca="1" si="82"/>
        <v>0</v>
      </c>
      <c r="AE444" s="5">
        <f t="shared" ca="1" si="83"/>
        <v>0</v>
      </c>
    </row>
    <row r="445" spans="4:31" ht="15.6" thickTop="1" thickBot="1" x14ac:dyDescent="0.35">
      <c r="D445" s="57"/>
      <c r="E445" s="58"/>
      <c r="F445" s="59"/>
      <c r="G445" s="59"/>
      <c r="H445" s="59"/>
      <c r="I445" s="60"/>
      <c r="J445" s="61"/>
      <c r="K445" s="61"/>
      <c r="M445" s="9" t="str">
        <f t="shared" si="73"/>
        <v/>
      </c>
      <c r="N445" s="5" t="str">
        <f t="shared" si="84"/>
        <v/>
      </c>
      <c r="O445" s="5" t="str">
        <f t="shared" si="78"/>
        <v/>
      </c>
      <c r="R445" s="5">
        <f t="shared" ca="1" si="74"/>
        <v>0</v>
      </c>
      <c r="S445" s="5">
        <f t="shared" si="75"/>
        <v>0</v>
      </c>
      <c r="U445" s="5">
        <f ca="1">COUNTIF(R$10:R445,R445)</f>
        <v>428</v>
      </c>
      <c r="V445" s="5" t="str">
        <f t="shared" ca="1" si="76"/>
        <v>0428</v>
      </c>
      <c r="W445" s="5" t="e">
        <f t="shared" ca="1" si="77"/>
        <v>#REF!</v>
      </c>
      <c r="Y445" s="5">
        <v>436</v>
      </c>
      <c r="Z445" s="5">
        <f t="shared" ca="1" si="79"/>
        <v>0</v>
      </c>
      <c r="AA445" s="5" t="str">
        <f t="shared" ca="1" si="80"/>
        <v>Guarda-móveis</v>
      </c>
      <c r="AB445" s="5">
        <f ca="1">COUNTIF(R$10:R445,R445)</f>
        <v>428</v>
      </c>
      <c r="AC445" s="5" t="str">
        <f t="shared" ca="1" si="81"/>
        <v>0428</v>
      </c>
      <c r="AD445" s="5">
        <f t="shared" ca="1" si="82"/>
        <v>0</v>
      </c>
      <c r="AE445" s="5">
        <f t="shared" ca="1" si="83"/>
        <v>0</v>
      </c>
    </row>
    <row r="446" spans="4:31" ht="15.6" thickTop="1" thickBot="1" x14ac:dyDescent="0.35">
      <c r="D446" s="57"/>
      <c r="E446" s="58"/>
      <c r="F446" s="59"/>
      <c r="G446" s="59"/>
      <c r="H446" s="59"/>
      <c r="I446" s="60"/>
      <c r="J446" s="61"/>
      <c r="K446" s="61"/>
      <c r="M446" s="9" t="str">
        <f t="shared" si="73"/>
        <v/>
      </c>
      <c r="N446" s="5" t="str">
        <f t="shared" si="84"/>
        <v/>
      </c>
      <c r="O446" s="5" t="str">
        <f t="shared" si="78"/>
        <v/>
      </c>
      <c r="R446" s="5">
        <f t="shared" ca="1" si="74"/>
        <v>0</v>
      </c>
      <c r="S446" s="5">
        <f t="shared" si="75"/>
        <v>0</v>
      </c>
      <c r="U446" s="5">
        <f ca="1">COUNTIF(R$10:R446,R446)</f>
        <v>429</v>
      </c>
      <c r="V446" s="5" t="str">
        <f t="shared" ca="1" si="76"/>
        <v>0429</v>
      </c>
      <c r="W446" s="5" t="e">
        <f t="shared" ca="1" si="77"/>
        <v>#REF!</v>
      </c>
      <c r="Y446" s="5">
        <v>437</v>
      </c>
      <c r="Z446" s="5">
        <f t="shared" ca="1" si="79"/>
        <v>0</v>
      </c>
      <c r="AA446" s="5" t="str">
        <f t="shared" ca="1" si="80"/>
        <v>Guarda-móveis</v>
      </c>
      <c r="AB446" s="5">
        <f ca="1">COUNTIF(R$10:R446,R446)</f>
        <v>429</v>
      </c>
      <c r="AC446" s="5" t="str">
        <f t="shared" ca="1" si="81"/>
        <v>0429</v>
      </c>
      <c r="AD446" s="5">
        <f t="shared" ca="1" si="82"/>
        <v>0</v>
      </c>
      <c r="AE446" s="5">
        <f t="shared" ca="1" si="83"/>
        <v>0</v>
      </c>
    </row>
    <row r="447" spans="4:31" ht="15.6" thickTop="1" thickBot="1" x14ac:dyDescent="0.35">
      <c r="D447" s="57"/>
      <c r="E447" s="58"/>
      <c r="F447" s="59"/>
      <c r="G447" s="59"/>
      <c r="H447" s="59"/>
      <c r="I447" s="60"/>
      <c r="J447" s="61"/>
      <c r="K447" s="61"/>
      <c r="M447" s="9" t="str">
        <f t="shared" si="73"/>
        <v/>
      </c>
      <c r="N447" s="5" t="str">
        <f t="shared" si="84"/>
        <v/>
      </c>
      <c r="O447" s="5" t="str">
        <f t="shared" si="78"/>
        <v/>
      </c>
      <c r="R447" s="5">
        <f t="shared" ca="1" si="74"/>
        <v>0</v>
      </c>
      <c r="S447" s="5">
        <f t="shared" si="75"/>
        <v>0</v>
      </c>
      <c r="U447" s="5">
        <f ca="1">COUNTIF(R$10:R447,R447)</f>
        <v>430</v>
      </c>
      <c r="V447" s="5" t="str">
        <f t="shared" ca="1" si="76"/>
        <v>0430</v>
      </c>
      <c r="W447" s="5" t="e">
        <f t="shared" ca="1" si="77"/>
        <v>#REF!</v>
      </c>
      <c r="Y447" s="5">
        <v>438</v>
      </c>
      <c r="Z447" s="5">
        <f t="shared" ca="1" si="79"/>
        <v>0</v>
      </c>
      <c r="AA447" s="5" t="str">
        <f t="shared" ca="1" si="80"/>
        <v>Guarda-móveis</v>
      </c>
      <c r="AB447" s="5">
        <f ca="1">COUNTIF(R$10:R447,R447)</f>
        <v>430</v>
      </c>
      <c r="AC447" s="5" t="str">
        <f t="shared" ca="1" si="81"/>
        <v>0430</v>
      </c>
      <c r="AD447" s="5">
        <f t="shared" ca="1" si="82"/>
        <v>0</v>
      </c>
      <c r="AE447" s="5">
        <f t="shared" ca="1" si="83"/>
        <v>0</v>
      </c>
    </row>
    <row r="448" spans="4:31" ht="15.6" thickTop="1" thickBot="1" x14ac:dyDescent="0.35">
      <c r="D448" s="57"/>
      <c r="E448" s="58"/>
      <c r="F448" s="59"/>
      <c r="G448" s="59"/>
      <c r="H448" s="59"/>
      <c r="I448" s="60"/>
      <c r="J448" s="61"/>
      <c r="K448" s="61"/>
      <c r="M448" s="9" t="str">
        <f t="shared" si="73"/>
        <v/>
      </c>
      <c r="N448" s="5" t="str">
        <f t="shared" si="84"/>
        <v/>
      </c>
      <c r="O448" s="5" t="str">
        <f t="shared" si="78"/>
        <v/>
      </c>
      <c r="R448" s="5">
        <f t="shared" ca="1" si="74"/>
        <v>0</v>
      </c>
      <c r="S448" s="5">
        <f t="shared" si="75"/>
        <v>0</v>
      </c>
      <c r="U448" s="5">
        <f ca="1">COUNTIF(R$10:R448,R448)</f>
        <v>431</v>
      </c>
      <c r="V448" s="5" t="str">
        <f t="shared" ca="1" si="76"/>
        <v>0431</v>
      </c>
      <c r="W448" s="5" t="e">
        <f t="shared" ca="1" si="77"/>
        <v>#REF!</v>
      </c>
      <c r="Y448" s="5">
        <v>439</v>
      </c>
      <c r="Z448" s="5">
        <f t="shared" ca="1" si="79"/>
        <v>0</v>
      </c>
      <c r="AA448" s="5" t="str">
        <f t="shared" ca="1" si="80"/>
        <v>Guarda-móveis</v>
      </c>
      <c r="AB448" s="5">
        <f ca="1">COUNTIF(R$10:R448,R448)</f>
        <v>431</v>
      </c>
      <c r="AC448" s="5" t="str">
        <f t="shared" ca="1" si="81"/>
        <v>0431</v>
      </c>
      <c r="AD448" s="5">
        <f t="shared" ca="1" si="82"/>
        <v>0</v>
      </c>
      <c r="AE448" s="5">
        <f t="shared" ca="1" si="83"/>
        <v>0</v>
      </c>
    </row>
    <row r="449" spans="4:31" ht="15.6" thickTop="1" thickBot="1" x14ac:dyDescent="0.35">
      <c r="D449" s="57"/>
      <c r="E449" s="58"/>
      <c r="F449" s="59"/>
      <c r="G449" s="59"/>
      <c r="H449" s="59"/>
      <c r="I449" s="60"/>
      <c r="J449" s="61"/>
      <c r="K449" s="61"/>
      <c r="M449" s="9" t="str">
        <f t="shared" si="73"/>
        <v/>
      </c>
      <c r="N449" s="5" t="str">
        <f t="shared" si="84"/>
        <v/>
      </c>
      <c r="O449" s="5" t="str">
        <f t="shared" si="78"/>
        <v/>
      </c>
      <c r="R449" s="5">
        <f t="shared" ca="1" si="74"/>
        <v>0</v>
      </c>
      <c r="S449" s="5">
        <f t="shared" si="75"/>
        <v>0</v>
      </c>
      <c r="U449" s="5">
        <f ca="1">COUNTIF(R$10:R449,R449)</f>
        <v>432</v>
      </c>
      <c r="V449" s="5" t="str">
        <f t="shared" ca="1" si="76"/>
        <v>0432</v>
      </c>
      <c r="W449" s="5" t="e">
        <f t="shared" ca="1" si="77"/>
        <v>#REF!</v>
      </c>
      <c r="Y449" s="5">
        <v>440</v>
      </c>
      <c r="Z449" s="5">
        <f t="shared" ca="1" si="79"/>
        <v>0</v>
      </c>
      <c r="AA449" s="5" t="str">
        <f t="shared" ca="1" si="80"/>
        <v>Guarda-móveis</v>
      </c>
      <c r="AB449" s="5">
        <f ca="1">COUNTIF(R$10:R449,R449)</f>
        <v>432</v>
      </c>
      <c r="AC449" s="5" t="str">
        <f t="shared" ca="1" si="81"/>
        <v>0432</v>
      </c>
      <c r="AD449" s="5">
        <f t="shared" ca="1" si="82"/>
        <v>0</v>
      </c>
      <c r="AE449" s="5">
        <f t="shared" ca="1" si="83"/>
        <v>0</v>
      </c>
    </row>
    <row r="450" spans="4:31" ht="15.6" thickTop="1" thickBot="1" x14ac:dyDescent="0.35">
      <c r="D450" s="57"/>
      <c r="E450" s="58"/>
      <c r="F450" s="59"/>
      <c r="G450" s="59"/>
      <c r="H450" s="59"/>
      <c r="I450" s="60"/>
      <c r="J450" s="61"/>
      <c r="K450" s="61"/>
      <c r="M450" s="9" t="str">
        <f t="shared" si="73"/>
        <v/>
      </c>
      <c r="N450" s="5" t="str">
        <f t="shared" si="84"/>
        <v/>
      </c>
      <c r="O450" s="5" t="str">
        <f t="shared" si="78"/>
        <v/>
      </c>
      <c r="R450" s="5">
        <f t="shared" ca="1" si="74"/>
        <v>0</v>
      </c>
      <c r="S450" s="5">
        <f t="shared" si="75"/>
        <v>0</v>
      </c>
      <c r="U450" s="5">
        <f ca="1">COUNTIF(R$10:R450,R450)</f>
        <v>433</v>
      </c>
      <c r="V450" s="5" t="str">
        <f t="shared" ca="1" si="76"/>
        <v>0433</v>
      </c>
      <c r="W450" s="5" t="e">
        <f t="shared" ca="1" si="77"/>
        <v>#REF!</v>
      </c>
      <c r="Y450" s="5">
        <v>441</v>
      </c>
      <c r="Z450" s="5">
        <f t="shared" ca="1" si="79"/>
        <v>0</v>
      </c>
      <c r="AA450" s="5" t="str">
        <f t="shared" ca="1" si="80"/>
        <v>Guarda-móveis</v>
      </c>
      <c r="AB450" s="5">
        <f ca="1">COUNTIF(R$10:R450,R450)</f>
        <v>433</v>
      </c>
      <c r="AC450" s="5" t="str">
        <f t="shared" ca="1" si="81"/>
        <v>0433</v>
      </c>
      <c r="AD450" s="5">
        <f t="shared" ca="1" si="82"/>
        <v>0</v>
      </c>
      <c r="AE450" s="5">
        <f t="shared" ca="1" si="83"/>
        <v>0</v>
      </c>
    </row>
    <row r="451" spans="4:31" ht="15.6" thickTop="1" thickBot="1" x14ac:dyDescent="0.35">
      <c r="D451" s="57"/>
      <c r="E451" s="58"/>
      <c r="F451" s="59"/>
      <c r="G451" s="59"/>
      <c r="H451" s="59"/>
      <c r="I451" s="60"/>
      <c r="J451" s="61"/>
      <c r="K451" s="61"/>
      <c r="M451" s="9" t="str">
        <f t="shared" si="73"/>
        <v/>
      </c>
      <c r="N451" s="5" t="str">
        <f t="shared" si="84"/>
        <v/>
      </c>
      <c r="O451" s="5" t="str">
        <f t="shared" si="78"/>
        <v/>
      </c>
      <c r="R451" s="5">
        <f t="shared" ca="1" si="74"/>
        <v>0</v>
      </c>
      <c r="S451" s="5">
        <f t="shared" si="75"/>
        <v>0</v>
      </c>
      <c r="U451" s="5">
        <f ca="1">COUNTIF(R$10:R451,R451)</f>
        <v>434</v>
      </c>
      <c r="V451" s="5" t="str">
        <f t="shared" ca="1" si="76"/>
        <v>0434</v>
      </c>
      <c r="W451" s="5" t="e">
        <f t="shared" ca="1" si="77"/>
        <v>#REF!</v>
      </c>
      <c r="Y451" s="5">
        <v>442</v>
      </c>
      <c r="Z451" s="5">
        <f t="shared" ca="1" si="79"/>
        <v>0</v>
      </c>
      <c r="AA451" s="5" t="str">
        <f t="shared" ca="1" si="80"/>
        <v>Guarda-móveis</v>
      </c>
      <c r="AB451" s="5">
        <f ca="1">COUNTIF(R$10:R451,R451)</f>
        <v>434</v>
      </c>
      <c r="AC451" s="5" t="str">
        <f t="shared" ca="1" si="81"/>
        <v>0434</v>
      </c>
      <c r="AD451" s="5">
        <f t="shared" ca="1" si="82"/>
        <v>0</v>
      </c>
      <c r="AE451" s="5">
        <f t="shared" ca="1" si="83"/>
        <v>0</v>
      </c>
    </row>
    <row r="452" spans="4:31" ht="15.6" thickTop="1" thickBot="1" x14ac:dyDescent="0.35">
      <c r="D452" s="57"/>
      <c r="E452" s="58"/>
      <c r="F452" s="59"/>
      <c r="G452" s="59"/>
      <c r="H452" s="59"/>
      <c r="I452" s="60"/>
      <c r="J452" s="61"/>
      <c r="K452" s="61"/>
      <c r="M452" s="9" t="str">
        <f t="shared" si="73"/>
        <v/>
      </c>
      <c r="N452" s="5" t="str">
        <f t="shared" si="84"/>
        <v/>
      </c>
      <c r="O452" s="5" t="str">
        <f t="shared" si="78"/>
        <v/>
      </c>
      <c r="R452" s="5">
        <f t="shared" ca="1" si="74"/>
        <v>0</v>
      </c>
      <c r="S452" s="5">
        <f t="shared" si="75"/>
        <v>0</v>
      </c>
      <c r="U452" s="5">
        <f ca="1">COUNTIF(R$10:R452,R452)</f>
        <v>435</v>
      </c>
      <c r="V452" s="5" t="str">
        <f t="shared" ca="1" si="76"/>
        <v>0435</v>
      </c>
      <c r="W452" s="5" t="e">
        <f t="shared" ca="1" si="77"/>
        <v>#REF!</v>
      </c>
      <c r="Y452" s="5">
        <v>443</v>
      </c>
      <c r="Z452" s="5">
        <f t="shared" ca="1" si="79"/>
        <v>0</v>
      </c>
      <c r="AA452" s="5" t="str">
        <f t="shared" ca="1" si="80"/>
        <v>Guarda-móveis</v>
      </c>
      <c r="AB452" s="5">
        <f ca="1">COUNTIF(R$10:R452,R452)</f>
        <v>435</v>
      </c>
      <c r="AC452" s="5" t="str">
        <f t="shared" ca="1" si="81"/>
        <v>0435</v>
      </c>
      <c r="AD452" s="5">
        <f t="shared" ca="1" si="82"/>
        <v>0</v>
      </c>
      <c r="AE452" s="5">
        <f t="shared" ca="1" si="83"/>
        <v>0</v>
      </c>
    </row>
    <row r="453" spans="4:31" ht="15.6" thickTop="1" thickBot="1" x14ac:dyDescent="0.35">
      <c r="D453" s="57"/>
      <c r="E453" s="58"/>
      <c r="F453" s="59"/>
      <c r="G453" s="59"/>
      <c r="H453" s="59"/>
      <c r="I453" s="60"/>
      <c r="J453" s="61"/>
      <c r="K453" s="61"/>
      <c r="M453" s="9" t="str">
        <f t="shared" si="73"/>
        <v/>
      </c>
      <c r="N453" s="5" t="str">
        <f t="shared" si="84"/>
        <v/>
      </c>
      <c r="O453" s="5" t="str">
        <f t="shared" si="78"/>
        <v/>
      </c>
      <c r="R453" s="5">
        <f t="shared" ca="1" si="74"/>
        <v>0</v>
      </c>
      <c r="S453" s="5">
        <f t="shared" si="75"/>
        <v>0</v>
      </c>
      <c r="U453" s="5">
        <f ca="1">COUNTIF(R$10:R453,R453)</f>
        <v>436</v>
      </c>
      <c r="V453" s="5" t="str">
        <f t="shared" ca="1" si="76"/>
        <v>0436</v>
      </c>
      <c r="W453" s="5" t="e">
        <f t="shared" ca="1" si="77"/>
        <v>#REF!</v>
      </c>
      <c r="Y453" s="5">
        <v>444</v>
      </c>
      <c r="Z453" s="5">
        <f t="shared" ca="1" si="79"/>
        <v>0</v>
      </c>
      <c r="AA453" s="5" t="str">
        <f t="shared" ca="1" si="80"/>
        <v>Guarda-móveis</v>
      </c>
      <c r="AB453" s="5">
        <f ca="1">COUNTIF(R$10:R453,R453)</f>
        <v>436</v>
      </c>
      <c r="AC453" s="5" t="str">
        <f t="shared" ca="1" si="81"/>
        <v>0436</v>
      </c>
      <c r="AD453" s="5">
        <f t="shared" ca="1" si="82"/>
        <v>0</v>
      </c>
      <c r="AE453" s="5">
        <f t="shared" ca="1" si="83"/>
        <v>0</v>
      </c>
    </row>
    <row r="454" spans="4:31" ht="15.6" thickTop="1" thickBot="1" x14ac:dyDescent="0.35">
      <c r="D454" s="57"/>
      <c r="E454" s="58"/>
      <c r="F454" s="59"/>
      <c r="G454" s="59"/>
      <c r="H454" s="59"/>
      <c r="I454" s="60"/>
      <c r="J454" s="61"/>
      <c r="K454" s="61"/>
      <c r="M454" s="9" t="str">
        <f t="shared" si="73"/>
        <v/>
      </c>
      <c r="N454" s="5" t="str">
        <f t="shared" si="84"/>
        <v/>
      </c>
      <c r="O454" s="5" t="str">
        <f t="shared" si="78"/>
        <v/>
      </c>
      <c r="R454" s="5">
        <f t="shared" ca="1" si="74"/>
        <v>0</v>
      </c>
      <c r="S454" s="5">
        <f t="shared" si="75"/>
        <v>0</v>
      </c>
      <c r="U454" s="5">
        <f ca="1">COUNTIF(R$10:R454,R454)</f>
        <v>437</v>
      </c>
      <c r="V454" s="5" t="str">
        <f t="shared" ca="1" si="76"/>
        <v>0437</v>
      </c>
      <c r="W454" s="5" t="e">
        <f t="shared" ca="1" si="77"/>
        <v>#REF!</v>
      </c>
      <c r="Y454" s="5">
        <v>445</v>
      </c>
      <c r="Z454" s="5">
        <f t="shared" ca="1" si="79"/>
        <v>0</v>
      </c>
      <c r="AA454" s="5" t="str">
        <f t="shared" ca="1" si="80"/>
        <v>Guarda-móveis</v>
      </c>
      <c r="AB454" s="5">
        <f ca="1">COUNTIF(R$10:R454,R454)</f>
        <v>437</v>
      </c>
      <c r="AC454" s="5" t="str">
        <f t="shared" ca="1" si="81"/>
        <v>0437</v>
      </c>
      <c r="AD454" s="5">
        <f t="shared" ca="1" si="82"/>
        <v>0</v>
      </c>
      <c r="AE454" s="5">
        <f t="shared" ca="1" si="83"/>
        <v>0</v>
      </c>
    </row>
    <row r="455" spans="4:31" ht="15.6" thickTop="1" thickBot="1" x14ac:dyDescent="0.35">
      <c r="D455" s="57"/>
      <c r="E455" s="58"/>
      <c r="F455" s="59"/>
      <c r="G455" s="59"/>
      <c r="H455" s="59"/>
      <c r="I455" s="60"/>
      <c r="J455" s="61"/>
      <c r="K455" s="61"/>
      <c r="M455" s="9" t="str">
        <f t="shared" si="73"/>
        <v/>
      </c>
      <c r="N455" s="5" t="str">
        <f t="shared" si="84"/>
        <v/>
      </c>
      <c r="O455" s="5" t="str">
        <f t="shared" si="78"/>
        <v/>
      </c>
      <c r="R455" s="5">
        <f t="shared" ca="1" si="74"/>
        <v>0</v>
      </c>
      <c r="S455" s="5">
        <f t="shared" si="75"/>
        <v>0</v>
      </c>
      <c r="U455" s="5">
        <f ca="1">COUNTIF(R$10:R455,R455)</f>
        <v>438</v>
      </c>
      <c r="V455" s="5" t="str">
        <f t="shared" ca="1" si="76"/>
        <v>0438</v>
      </c>
      <c r="W455" s="5" t="e">
        <f t="shared" ca="1" si="77"/>
        <v>#REF!</v>
      </c>
      <c r="Y455" s="5">
        <v>446</v>
      </c>
      <c r="Z455" s="5">
        <f t="shared" ca="1" si="79"/>
        <v>0</v>
      </c>
      <c r="AA455" s="5" t="str">
        <f t="shared" ca="1" si="80"/>
        <v>Guarda-móveis</v>
      </c>
      <c r="AB455" s="5">
        <f ca="1">COUNTIF(R$10:R455,R455)</f>
        <v>438</v>
      </c>
      <c r="AC455" s="5" t="str">
        <f t="shared" ca="1" si="81"/>
        <v>0438</v>
      </c>
      <c r="AD455" s="5">
        <f t="shared" ca="1" si="82"/>
        <v>0</v>
      </c>
      <c r="AE455" s="5">
        <f t="shared" ca="1" si="83"/>
        <v>0</v>
      </c>
    </row>
    <row r="456" spans="4:31" ht="15.6" thickTop="1" thickBot="1" x14ac:dyDescent="0.35">
      <c r="D456" s="57"/>
      <c r="E456" s="58"/>
      <c r="F456" s="59"/>
      <c r="G456" s="59"/>
      <c r="H456" s="59"/>
      <c r="I456" s="60"/>
      <c r="J456" s="61"/>
      <c r="K456" s="61"/>
      <c r="M456" s="9" t="str">
        <f t="shared" si="73"/>
        <v/>
      </c>
      <c r="N456" s="5" t="str">
        <f t="shared" si="84"/>
        <v/>
      </c>
      <c r="O456" s="5" t="str">
        <f t="shared" si="78"/>
        <v/>
      </c>
      <c r="R456" s="5">
        <f t="shared" ca="1" si="74"/>
        <v>0</v>
      </c>
      <c r="S456" s="5">
        <f t="shared" si="75"/>
        <v>0</v>
      </c>
      <c r="U456" s="5">
        <f ca="1">COUNTIF(R$10:R456,R456)</f>
        <v>439</v>
      </c>
      <c r="V456" s="5" t="str">
        <f t="shared" ca="1" si="76"/>
        <v>0439</v>
      </c>
      <c r="W456" s="5" t="e">
        <f t="shared" ca="1" si="77"/>
        <v>#REF!</v>
      </c>
      <c r="Y456" s="5">
        <v>447</v>
      </c>
      <c r="Z456" s="5">
        <f t="shared" ca="1" si="79"/>
        <v>0</v>
      </c>
      <c r="AA456" s="5" t="str">
        <f t="shared" ca="1" si="80"/>
        <v>Guarda-móveis</v>
      </c>
      <c r="AB456" s="5">
        <f ca="1">COUNTIF(R$10:R456,R456)</f>
        <v>439</v>
      </c>
      <c r="AC456" s="5" t="str">
        <f t="shared" ca="1" si="81"/>
        <v>0439</v>
      </c>
      <c r="AD456" s="5">
        <f t="shared" ca="1" si="82"/>
        <v>0</v>
      </c>
      <c r="AE456" s="5">
        <f t="shared" ca="1" si="83"/>
        <v>0</v>
      </c>
    </row>
    <row r="457" spans="4:31" ht="15.6" thickTop="1" thickBot="1" x14ac:dyDescent="0.35">
      <c r="D457" s="57"/>
      <c r="E457" s="58"/>
      <c r="F457" s="59"/>
      <c r="G457" s="59"/>
      <c r="H457" s="59"/>
      <c r="I457" s="60"/>
      <c r="J457" s="61"/>
      <c r="K457" s="61"/>
      <c r="M457" s="9" t="str">
        <f t="shared" si="73"/>
        <v/>
      </c>
      <c r="N457" s="5" t="str">
        <f t="shared" si="84"/>
        <v/>
      </c>
      <c r="O457" s="5" t="str">
        <f t="shared" si="78"/>
        <v/>
      </c>
      <c r="R457" s="5">
        <f t="shared" ca="1" si="74"/>
        <v>0</v>
      </c>
      <c r="S457" s="5">
        <f t="shared" si="75"/>
        <v>0</v>
      </c>
      <c r="U457" s="5">
        <f ca="1">COUNTIF(R$10:R457,R457)</f>
        <v>440</v>
      </c>
      <c r="V457" s="5" t="str">
        <f t="shared" ca="1" si="76"/>
        <v>0440</v>
      </c>
      <c r="W457" s="5" t="e">
        <f t="shared" ca="1" si="77"/>
        <v>#REF!</v>
      </c>
      <c r="Y457" s="5">
        <v>448</v>
      </c>
      <c r="Z457" s="5">
        <f t="shared" ca="1" si="79"/>
        <v>0</v>
      </c>
      <c r="AA457" s="5" t="str">
        <f t="shared" ca="1" si="80"/>
        <v>Guarda-móveis</v>
      </c>
      <c r="AB457" s="5">
        <f ca="1">COUNTIF(R$10:R457,R457)</f>
        <v>440</v>
      </c>
      <c r="AC457" s="5" t="str">
        <f t="shared" ca="1" si="81"/>
        <v>0440</v>
      </c>
      <c r="AD457" s="5">
        <f t="shared" ca="1" si="82"/>
        <v>0</v>
      </c>
      <c r="AE457" s="5">
        <f t="shared" ca="1" si="83"/>
        <v>0</v>
      </c>
    </row>
    <row r="458" spans="4:31" ht="15.6" thickTop="1" thickBot="1" x14ac:dyDescent="0.35">
      <c r="D458" s="57"/>
      <c r="E458" s="58"/>
      <c r="F458" s="59"/>
      <c r="G458" s="59"/>
      <c r="H458" s="59"/>
      <c r="I458" s="60"/>
      <c r="J458" s="61"/>
      <c r="K458" s="61"/>
      <c r="M458" s="9" t="str">
        <f t="shared" ref="M458:M521" si="85">IF(ISBLANK(D458), "", IFERROR(PROPER(TEXT(D458,"mmmm")),""))</f>
        <v/>
      </c>
      <c r="N458" s="5" t="str">
        <f t="shared" si="84"/>
        <v/>
      </c>
      <c r="O458" s="5" t="str">
        <f t="shared" si="78"/>
        <v/>
      </c>
      <c r="R458" s="5">
        <f t="shared" ref="R458:R521" ca="1" si="86">COUNTIF($O:$O,Q458)</f>
        <v>0</v>
      </c>
      <c r="S458" s="5">
        <f t="shared" ref="S458:S521" si="87">Q458</f>
        <v>0</v>
      </c>
      <c r="U458" s="5">
        <f ca="1">COUNTIF(R$10:R458,R458)</f>
        <v>441</v>
      </c>
      <c r="V458" s="5" t="str">
        <f t="shared" ref="V458:V521" ca="1" si="88">R458&amp;U458</f>
        <v>0441</v>
      </c>
      <c r="W458" s="5" t="e">
        <f t="shared" ref="W458:W521" ca="1" si="89">INDEX($S$10:$S$401, MATCH(V458,$V$10:$V$1048576, 0))</f>
        <v>#REF!</v>
      </c>
      <c r="Y458" s="5">
        <v>449</v>
      </c>
      <c r="Z458" s="5">
        <f t="shared" ca="1" si="79"/>
        <v>0</v>
      </c>
      <c r="AA458" s="5" t="str">
        <f t="shared" ca="1" si="80"/>
        <v>Guarda-móveis</v>
      </c>
      <c r="AB458" s="5">
        <f ca="1">COUNTIF(R$10:R458,R458)</f>
        <v>441</v>
      </c>
      <c r="AC458" s="5" t="str">
        <f t="shared" ca="1" si="81"/>
        <v>0441</v>
      </c>
      <c r="AD458" s="5">
        <f t="shared" ca="1" si="82"/>
        <v>0</v>
      </c>
      <c r="AE458" s="5">
        <f t="shared" ca="1" si="83"/>
        <v>0</v>
      </c>
    </row>
    <row r="459" spans="4:31" ht="15.6" thickTop="1" thickBot="1" x14ac:dyDescent="0.35">
      <c r="D459" s="57"/>
      <c r="E459" s="58"/>
      <c r="F459" s="59"/>
      <c r="G459" s="59"/>
      <c r="H459" s="59"/>
      <c r="I459" s="60"/>
      <c r="J459" s="61"/>
      <c r="K459" s="61"/>
      <c r="M459" s="9" t="str">
        <f t="shared" si="85"/>
        <v/>
      </c>
      <c r="N459" s="5" t="str">
        <f t="shared" si="84"/>
        <v/>
      </c>
      <c r="O459" s="5" t="str">
        <f t="shared" ref="O459:O522" si="90">IFERROR(RIGHT(N459,LEN(N459)-SEARCH("- ",N459)-1),"")</f>
        <v/>
      </c>
      <c r="R459" s="5">
        <f t="shared" ca="1" si="86"/>
        <v>0</v>
      </c>
      <c r="S459" s="5">
        <f t="shared" si="87"/>
        <v>0</v>
      </c>
      <c r="U459" s="5">
        <f ca="1">COUNTIF(R$10:R459,R459)</f>
        <v>442</v>
      </c>
      <c r="V459" s="5" t="str">
        <f t="shared" ca="1" si="88"/>
        <v>0442</v>
      </c>
      <c r="W459" s="5" t="e">
        <f t="shared" ca="1" si="89"/>
        <v>#REF!</v>
      </c>
      <c r="Y459" s="5">
        <v>450</v>
      </c>
      <c r="Z459" s="5">
        <f t="shared" ref="Z459:Z522" ca="1" si="91">LARGE($R$10:$R$1048576,Y459)</f>
        <v>0</v>
      </c>
      <c r="AA459" s="5" t="str">
        <f t="shared" ref="AA459:AA522" ca="1" si="92">INDEX(S$10:S$1000, MATCH(R459, R$10:R$1000, 0))</f>
        <v>Guarda-móveis</v>
      </c>
      <c r="AB459" s="5">
        <f ca="1">COUNTIF(R$10:R459,R459)</f>
        <v>442</v>
      </c>
      <c r="AC459" s="5" t="str">
        <f t="shared" ref="AC459:AC522" ca="1" si="93">R459&amp;U459</f>
        <v>0442</v>
      </c>
      <c r="AD459" s="5">
        <f t="shared" ref="AD459:AD522" ca="1" si="94">INDEX($S$10:$S$1048576, MATCH(AC459, $V$10:$V$1048576, 0))</f>
        <v>0</v>
      </c>
      <c r="AE459" s="5">
        <f t="shared" ref="AE459:AE522" ca="1" si="95">Z459</f>
        <v>0</v>
      </c>
    </row>
    <row r="460" spans="4:31" ht="15.6" thickTop="1" thickBot="1" x14ac:dyDescent="0.35">
      <c r="D460" s="57"/>
      <c r="E460" s="58"/>
      <c r="F460" s="59"/>
      <c r="G460" s="59"/>
      <c r="H460" s="59"/>
      <c r="I460" s="60"/>
      <c r="J460" s="61"/>
      <c r="K460" s="61"/>
      <c r="M460" s="9" t="str">
        <f t="shared" si="85"/>
        <v/>
      </c>
      <c r="N460" s="5" t="str">
        <f t="shared" si="84"/>
        <v/>
      </c>
      <c r="O460" s="5" t="str">
        <f t="shared" si="90"/>
        <v/>
      </c>
      <c r="R460" s="5">
        <f t="shared" ca="1" si="86"/>
        <v>0</v>
      </c>
      <c r="S460" s="5">
        <f t="shared" si="87"/>
        <v>0</v>
      </c>
      <c r="U460" s="5">
        <f ca="1">COUNTIF(R$10:R460,R460)</f>
        <v>443</v>
      </c>
      <c r="V460" s="5" t="str">
        <f t="shared" ca="1" si="88"/>
        <v>0443</v>
      </c>
      <c r="W460" s="5" t="e">
        <f t="shared" ca="1" si="89"/>
        <v>#REF!</v>
      </c>
      <c r="Y460" s="5">
        <v>451</v>
      </c>
      <c r="Z460" s="5">
        <f t="shared" ca="1" si="91"/>
        <v>0</v>
      </c>
      <c r="AA460" s="5" t="str">
        <f t="shared" ca="1" si="92"/>
        <v>Guarda-móveis</v>
      </c>
      <c r="AB460" s="5">
        <f ca="1">COUNTIF(R$10:R460,R460)</f>
        <v>443</v>
      </c>
      <c r="AC460" s="5" t="str">
        <f t="shared" ca="1" si="93"/>
        <v>0443</v>
      </c>
      <c r="AD460" s="5">
        <f t="shared" ca="1" si="94"/>
        <v>0</v>
      </c>
      <c r="AE460" s="5">
        <f t="shared" ca="1" si="95"/>
        <v>0</v>
      </c>
    </row>
    <row r="461" spans="4:31" ht="15.6" thickTop="1" thickBot="1" x14ac:dyDescent="0.35">
      <c r="D461" s="57"/>
      <c r="E461" s="58"/>
      <c r="F461" s="59"/>
      <c r="G461" s="59"/>
      <c r="H461" s="59"/>
      <c r="I461" s="60"/>
      <c r="J461" s="61"/>
      <c r="K461" s="61"/>
      <c r="M461" s="9" t="str">
        <f t="shared" si="85"/>
        <v/>
      </c>
      <c r="N461" s="5" t="str">
        <f t="shared" si="84"/>
        <v/>
      </c>
      <c r="O461" s="5" t="str">
        <f t="shared" si="90"/>
        <v/>
      </c>
      <c r="R461" s="5">
        <f t="shared" ca="1" si="86"/>
        <v>0</v>
      </c>
      <c r="S461" s="5">
        <f t="shared" si="87"/>
        <v>0</v>
      </c>
      <c r="U461" s="5">
        <f ca="1">COUNTIF(R$10:R461,R461)</f>
        <v>444</v>
      </c>
      <c r="V461" s="5" t="str">
        <f t="shared" ca="1" si="88"/>
        <v>0444</v>
      </c>
      <c r="W461" s="5" t="e">
        <f t="shared" ca="1" si="89"/>
        <v>#REF!</v>
      </c>
      <c r="Y461" s="5">
        <v>452</v>
      </c>
      <c r="Z461" s="5">
        <f t="shared" ca="1" si="91"/>
        <v>0</v>
      </c>
      <c r="AA461" s="5" t="str">
        <f t="shared" ca="1" si="92"/>
        <v>Guarda-móveis</v>
      </c>
      <c r="AB461" s="5">
        <f ca="1">COUNTIF(R$10:R461,R461)</f>
        <v>444</v>
      </c>
      <c r="AC461" s="5" t="str">
        <f t="shared" ca="1" si="93"/>
        <v>0444</v>
      </c>
      <c r="AD461" s="5">
        <f t="shared" ca="1" si="94"/>
        <v>0</v>
      </c>
      <c r="AE461" s="5">
        <f t="shared" ca="1" si="95"/>
        <v>0</v>
      </c>
    </row>
    <row r="462" spans="4:31" ht="15.6" thickTop="1" thickBot="1" x14ac:dyDescent="0.35">
      <c r="D462" s="57"/>
      <c r="E462" s="58"/>
      <c r="F462" s="59"/>
      <c r="G462" s="59"/>
      <c r="H462" s="59"/>
      <c r="I462" s="60"/>
      <c r="J462" s="61"/>
      <c r="K462" s="61"/>
      <c r="M462" s="9" t="str">
        <f t="shared" si="85"/>
        <v/>
      </c>
      <c r="N462" s="5" t="str">
        <f t="shared" si="84"/>
        <v/>
      </c>
      <c r="O462" s="5" t="str">
        <f t="shared" si="90"/>
        <v/>
      </c>
      <c r="R462" s="5">
        <f t="shared" ca="1" si="86"/>
        <v>0</v>
      </c>
      <c r="S462" s="5">
        <f t="shared" si="87"/>
        <v>0</v>
      </c>
      <c r="U462" s="5">
        <f ca="1">COUNTIF(R$10:R462,R462)</f>
        <v>445</v>
      </c>
      <c r="V462" s="5" t="str">
        <f t="shared" ca="1" si="88"/>
        <v>0445</v>
      </c>
      <c r="W462" s="5" t="e">
        <f t="shared" ca="1" si="89"/>
        <v>#REF!</v>
      </c>
      <c r="Y462" s="5">
        <v>453</v>
      </c>
      <c r="Z462" s="5">
        <f t="shared" ca="1" si="91"/>
        <v>0</v>
      </c>
      <c r="AA462" s="5" t="str">
        <f t="shared" ca="1" si="92"/>
        <v>Guarda-móveis</v>
      </c>
      <c r="AB462" s="5">
        <f ca="1">COUNTIF(R$10:R462,R462)</f>
        <v>445</v>
      </c>
      <c r="AC462" s="5" t="str">
        <f t="shared" ca="1" si="93"/>
        <v>0445</v>
      </c>
      <c r="AD462" s="5">
        <f t="shared" ca="1" si="94"/>
        <v>0</v>
      </c>
      <c r="AE462" s="5">
        <f t="shared" ca="1" si="95"/>
        <v>0</v>
      </c>
    </row>
    <row r="463" spans="4:31" ht="15.6" thickTop="1" thickBot="1" x14ac:dyDescent="0.35">
      <c r="D463" s="57"/>
      <c r="E463" s="58"/>
      <c r="F463" s="59"/>
      <c r="G463" s="59"/>
      <c r="H463" s="59"/>
      <c r="I463" s="60"/>
      <c r="J463" s="61"/>
      <c r="K463" s="61"/>
      <c r="M463" s="9" t="str">
        <f t="shared" si="85"/>
        <v/>
      </c>
      <c r="N463" s="5" t="str">
        <f t="shared" si="84"/>
        <v/>
      </c>
      <c r="O463" s="5" t="str">
        <f t="shared" si="90"/>
        <v/>
      </c>
      <c r="R463" s="5">
        <f t="shared" ca="1" si="86"/>
        <v>0</v>
      </c>
      <c r="S463" s="5">
        <f t="shared" si="87"/>
        <v>0</v>
      </c>
      <c r="U463" s="5">
        <f ca="1">COUNTIF(R$10:R463,R463)</f>
        <v>446</v>
      </c>
      <c r="V463" s="5" t="str">
        <f t="shared" ca="1" si="88"/>
        <v>0446</v>
      </c>
      <c r="W463" s="5" t="e">
        <f t="shared" ca="1" si="89"/>
        <v>#REF!</v>
      </c>
      <c r="Y463" s="5">
        <v>454</v>
      </c>
      <c r="Z463" s="5">
        <f t="shared" ca="1" si="91"/>
        <v>0</v>
      </c>
      <c r="AA463" s="5" t="str">
        <f t="shared" ca="1" si="92"/>
        <v>Guarda-móveis</v>
      </c>
      <c r="AB463" s="5">
        <f ca="1">COUNTIF(R$10:R463,R463)</f>
        <v>446</v>
      </c>
      <c r="AC463" s="5" t="str">
        <f t="shared" ca="1" si="93"/>
        <v>0446</v>
      </c>
      <c r="AD463" s="5">
        <f t="shared" ca="1" si="94"/>
        <v>0</v>
      </c>
      <c r="AE463" s="5">
        <f t="shared" ca="1" si="95"/>
        <v>0</v>
      </c>
    </row>
    <row r="464" spans="4:31" ht="15.6" thickTop="1" thickBot="1" x14ac:dyDescent="0.35">
      <c r="D464" s="57"/>
      <c r="E464" s="58"/>
      <c r="F464" s="59"/>
      <c r="G464" s="59"/>
      <c r="H464" s="59"/>
      <c r="I464" s="60"/>
      <c r="J464" s="61"/>
      <c r="K464" s="61"/>
      <c r="M464" s="9" t="str">
        <f t="shared" si="85"/>
        <v/>
      </c>
      <c r="N464" s="5" t="str">
        <f t="shared" si="84"/>
        <v/>
      </c>
      <c r="O464" s="5" t="str">
        <f t="shared" si="90"/>
        <v/>
      </c>
      <c r="R464" s="5">
        <f t="shared" ca="1" si="86"/>
        <v>0</v>
      </c>
      <c r="S464" s="5">
        <f t="shared" si="87"/>
        <v>0</v>
      </c>
      <c r="U464" s="5">
        <f ca="1">COUNTIF(R$10:R464,R464)</f>
        <v>447</v>
      </c>
      <c r="V464" s="5" t="str">
        <f t="shared" ca="1" si="88"/>
        <v>0447</v>
      </c>
      <c r="W464" s="5" t="e">
        <f t="shared" ca="1" si="89"/>
        <v>#REF!</v>
      </c>
      <c r="Y464" s="5">
        <v>455</v>
      </c>
      <c r="Z464" s="5">
        <f t="shared" ca="1" si="91"/>
        <v>0</v>
      </c>
      <c r="AA464" s="5" t="str">
        <f t="shared" ca="1" si="92"/>
        <v>Guarda-móveis</v>
      </c>
      <c r="AB464" s="5">
        <f ca="1">COUNTIF(R$10:R464,R464)</f>
        <v>447</v>
      </c>
      <c r="AC464" s="5" t="str">
        <f t="shared" ca="1" si="93"/>
        <v>0447</v>
      </c>
      <c r="AD464" s="5">
        <f t="shared" ca="1" si="94"/>
        <v>0</v>
      </c>
      <c r="AE464" s="5">
        <f t="shared" ca="1" si="95"/>
        <v>0</v>
      </c>
    </row>
    <row r="465" spans="4:31" ht="15.6" thickTop="1" thickBot="1" x14ac:dyDescent="0.35">
      <c r="D465" s="57"/>
      <c r="E465" s="58"/>
      <c r="F465" s="59"/>
      <c r="G465" s="59"/>
      <c r="H465" s="59"/>
      <c r="I465" s="60"/>
      <c r="J465" s="61"/>
      <c r="K465" s="61"/>
      <c r="M465" s="9" t="str">
        <f t="shared" si="85"/>
        <v/>
      </c>
      <c r="N465" s="5" t="str">
        <f t="shared" si="84"/>
        <v/>
      </c>
      <c r="O465" s="5" t="str">
        <f t="shared" si="90"/>
        <v/>
      </c>
      <c r="R465" s="5">
        <f t="shared" ca="1" si="86"/>
        <v>0</v>
      </c>
      <c r="S465" s="5">
        <f t="shared" si="87"/>
        <v>0</v>
      </c>
      <c r="U465" s="5">
        <f ca="1">COUNTIF(R$10:R465,R465)</f>
        <v>448</v>
      </c>
      <c r="V465" s="5" t="str">
        <f t="shared" ca="1" si="88"/>
        <v>0448</v>
      </c>
      <c r="W465" s="5" t="e">
        <f t="shared" ca="1" si="89"/>
        <v>#REF!</v>
      </c>
      <c r="Y465" s="5">
        <v>456</v>
      </c>
      <c r="Z465" s="5">
        <f t="shared" ca="1" si="91"/>
        <v>0</v>
      </c>
      <c r="AA465" s="5" t="str">
        <f t="shared" ca="1" si="92"/>
        <v>Guarda-móveis</v>
      </c>
      <c r="AB465" s="5">
        <f ca="1">COUNTIF(R$10:R465,R465)</f>
        <v>448</v>
      </c>
      <c r="AC465" s="5" t="str">
        <f t="shared" ca="1" si="93"/>
        <v>0448</v>
      </c>
      <c r="AD465" s="5">
        <f t="shared" ca="1" si="94"/>
        <v>0</v>
      </c>
      <c r="AE465" s="5">
        <f t="shared" ca="1" si="95"/>
        <v>0</v>
      </c>
    </row>
    <row r="466" spans="4:31" ht="15.6" thickTop="1" thickBot="1" x14ac:dyDescent="0.35">
      <c r="D466" s="57"/>
      <c r="E466" s="58"/>
      <c r="F466" s="59"/>
      <c r="G466" s="59"/>
      <c r="H466" s="59"/>
      <c r="I466" s="60"/>
      <c r="J466" s="61"/>
      <c r="K466" s="61"/>
      <c r="M466" s="9" t="str">
        <f t="shared" si="85"/>
        <v/>
      </c>
      <c r="N466" s="5" t="str">
        <f t="shared" si="84"/>
        <v/>
      </c>
      <c r="O466" s="5" t="str">
        <f t="shared" si="90"/>
        <v/>
      </c>
      <c r="R466" s="5">
        <f t="shared" ca="1" si="86"/>
        <v>0</v>
      </c>
      <c r="S466" s="5">
        <f t="shared" si="87"/>
        <v>0</v>
      </c>
      <c r="U466" s="5">
        <f ca="1">COUNTIF(R$10:R466,R466)</f>
        <v>449</v>
      </c>
      <c r="V466" s="5" t="str">
        <f t="shared" ca="1" si="88"/>
        <v>0449</v>
      </c>
      <c r="W466" s="5" t="e">
        <f t="shared" ca="1" si="89"/>
        <v>#REF!</v>
      </c>
      <c r="Y466" s="5">
        <v>457</v>
      </c>
      <c r="Z466" s="5">
        <f t="shared" ca="1" si="91"/>
        <v>0</v>
      </c>
      <c r="AA466" s="5" t="str">
        <f t="shared" ca="1" si="92"/>
        <v>Guarda-móveis</v>
      </c>
      <c r="AB466" s="5">
        <f ca="1">COUNTIF(R$10:R466,R466)</f>
        <v>449</v>
      </c>
      <c r="AC466" s="5" t="str">
        <f t="shared" ca="1" si="93"/>
        <v>0449</v>
      </c>
      <c r="AD466" s="5">
        <f t="shared" ca="1" si="94"/>
        <v>0</v>
      </c>
      <c r="AE466" s="5">
        <f t="shared" ca="1" si="95"/>
        <v>0</v>
      </c>
    </row>
    <row r="467" spans="4:31" ht="15.6" thickTop="1" thickBot="1" x14ac:dyDescent="0.35">
      <c r="D467" s="57"/>
      <c r="E467" s="58"/>
      <c r="F467" s="59"/>
      <c r="G467" s="59"/>
      <c r="H467" s="59"/>
      <c r="I467" s="60"/>
      <c r="J467" s="61"/>
      <c r="K467" s="61"/>
      <c r="M467" s="9" t="str">
        <f t="shared" si="85"/>
        <v/>
      </c>
      <c r="N467" s="5" t="str">
        <f t="shared" si="84"/>
        <v/>
      </c>
      <c r="O467" s="5" t="str">
        <f t="shared" si="90"/>
        <v/>
      </c>
      <c r="R467" s="5">
        <f t="shared" ca="1" si="86"/>
        <v>0</v>
      </c>
      <c r="S467" s="5">
        <f t="shared" si="87"/>
        <v>0</v>
      </c>
      <c r="U467" s="5">
        <f ca="1">COUNTIF(R$10:R467,R467)</f>
        <v>450</v>
      </c>
      <c r="V467" s="5" t="str">
        <f t="shared" ca="1" si="88"/>
        <v>0450</v>
      </c>
      <c r="W467" s="5" t="e">
        <f t="shared" ca="1" si="89"/>
        <v>#REF!</v>
      </c>
      <c r="Y467" s="5">
        <v>458</v>
      </c>
      <c r="Z467" s="5">
        <f t="shared" ca="1" si="91"/>
        <v>0</v>
      </c>
      <c r="AA467" s="5" t="str">
        <f t="shared" ca="1" si="92"/>
        <v>Guarda-móveis</v>
      </c>
      <c r="AB467" s="5">
        <f ca="1">COUNTIF(R$10:R467,R467)</f>
        <v>450</v>
      </c>
      <c r="AC467" s="5" t="str">
        <f t="shared" ca="1" si="93"/>
        <v>0450</v>
      </c>
      <c r="AD467" s="5">
        <f t="shared" ca="1" si="94"/>
        <v>0</v>
      </c>
      <c r="AE467" s="5">
        <f t="shared" ca="1" si="95"/>
        <v>0</v>
      </c>
    </row>
    <row r="468" spans="4:31" ht="15.6" thickTop="1" thickBot="1" x14ac:dyDescent="0.35">
      <c r="D468" s="57"/>
      <c r="E468" s="58"/>
      <c r="F468" s="59"/>
      <c r="G468" s="59"/>
      <c r="H468" s="59"/>
      <c r="I468" s="60"/>
      <c r="J468" s="61"/>
      <c r="K468" s="61"/>
      <c r="M468" s="9" t="str">
        <f t="shared" si="85"/>
        <v/>
      </c>
      <c r="N468" s="5" t="str">
        <f t="shared" si="84"/>
        <v/>
      </c>
      <c r="O468" s="5" t="str">
        <f t="shared" si="90"/>
        <v/>
      </c>
      <c r="R468" s="5">
        <f t="shared" ca="1" si="86"/>
        <v>0</v>
      </c>
      <c r="S468" s="5">
        <f t="shared" si="87"/>
        <v>0</v>
      </c>
      <c r="U468" s="5">
        <f ca="1">COUNTIF(R$10:R468,R468)</f>
        <v>451</v>
      </c>
      <c r="V468" s="5" t="str">
        <f t="shared" ca="1" si="88"/>
        <v>0451</v>
      </c>
      <c r="W468" s="5" t="e">
        <f t="shared" ca="1" si="89"/>
        <v>#REF!</v>
      </c>
      <c r="Y468" s="5">
        <v>459</v>
      </c>
      <c r="Z468" s="5">
        <f t="shared" ca="1" si="91"/>
        <v>0</v>
      </c>
      <c r="AA468" s="5" t="str">
        <f t="shared" ca="1" si="92"/>
        <v>Guarda-móveis</v>
      </c>
      <c r="AB468" s="5">
        <f ca="1">COUNTIF(R$10:R468,R468)</f>
        <v>451</v>
      </c>
      <c r="AC468" s="5" t="str">
        <f t="shared" ca="1" si="93"/>
        <v>0451</v>
      </c>
      <c r="AD468" s="5">
        <f t="shared" ca="1" si="94"/>
        <v>0</v>
      </c>
      <c r="AE468" s="5">
        <f t="shared" ca="1" si="95"/>
        <v>0</v>
      </c>
    </row>
    <row r="469" spans="4:31" ht="15.6" thickTop="1" thickBot="1" x14ac:dyDescent="0.35">
      <c r="D469" s="57"/>
      <c r="E469" s="58"/>
      <c r="F469" s="59"/>
      <c r="G469" s="59"/>
      <c r="H469" s="59"/>
      <c r="I469" s="60"/>
      <c r="J469" s="61"/>
      <c r="K469" s="61"/>
      <c r="M469" s="9" t="str">
        <f t="shared" si="85"/>
        <v/>
      </c>
      <c r="N469" s="5" t="str">
        <f t="shared" si="84"/>
        <v/>
      </c>
      <c r="O469" s="5" t="str">
        <f t="shared" si="90"/>
        <v/>
      </c>
      <c r="R469" s="5">
        <f t="shared" ca="1" si="86"/>
        <v>0</v>
      </c>
      <c r="S469" s="5">
        <f t="shared" si="87"/>
        <v>0</v>
      </c>
      <c r="U469" s="5">
        <f ca="1">COUNTIF(R$10:R469,R469)</f>
        <v>452</v>
      </c>
      <c r="V469" s="5" t="str">
        <f t="shared" ca="1" si="88"/>
        <v>0452</v>
      </c>
      <c r="W469" s="5" t="e">
        <f t="shared" ca="1" si="89"/>
        <v>#REF!</v>
      </c>
      <c r="Y469" s="5">
        <v>460</v>
      </c>
      <c r="Z469" s="5">
        <f t="shared" ca="1" si="91"/>
        <v>0</v>
      </c>
      <c r="AA469" s="5" t="str">
        <f t="shared" ca="1" si="92"/>
        <v>Guarda-móveis</v>
      </c>
      <c r="AB469" s="5">
        <f ca="1">COUNTIF(R$10:R469,R469)</f>
        <v>452</v>
      </c>
      <c r="AC469" s="5" t="str">
        <f t="shared" ca="1" si="93"/>
        <v>0452</v>
      </c>
      <c r="AD469" s="5">
        <f t="shared" ca="1" si="94"/>
        <v>0</v>
      </c>
      <c r="AE469" s="5">
        <f t="shared" ca="1" si="95"/>
        <v>0</v>
      </c>
    </row>
    <row r="470" spans="4:31" ht="15.6" thickTop="1" thickBot="1" x14ac:dyDescent="0.35">
      <c r="D470" s="57"/>
      <c r="E470" s="58"/>
      <c r="F470" s="59"/>
      <c r="G470" s="59"/>
      <c r="H470" s="59"/>
      <c r="I470" s="60"/>
      <c r="J470" s="61"/>
      <c r="K470" s="61"/>
      <c r="M470" s="9" t="str">
        <f t="shared" si="85"/>
        <v/>
      </c>
      <c r="N470" s="5" t="str">
        <f t="shared" si="84"/>
        <v/>
      </c>
      <c r="O470" s="5" t="str">
        <f t="shared" si="90"/>
        <v/>
      </c>
      <c r="R470" s="5">
        <f t="shared" ca="1" si="86"/>
        <v>0</v>
      </c>
      <c r="S470" s="5">
        <f t="shared" si="87"/>
        <v>0</v>
      </c>
      <c r="U470" s="5">
        <f ca="1">COUNTIF(R$10:R470,R470)</f>
        <v>453</v>
      </c>
      <c r="V470" s="5" t="str">
        <f t="shared" ca="1" si="88"/>
        <v>0453</v>
      </c>
      <c r="W470" s="5" t="e">
        <f t="shared" ca="1" si="89"/>
        <v>#REF!</v>
      </c>
      <c r="Y470" s="5">
        <v>461</v>
      </c>
      <c r="Z470" s="5">
        <f t="shared" ca="1" si="91"/>
        <v>0</v>
      </c>
      <c r="AA470" s="5" t="str">
        <f t="shared" ca="1" si="92"/>
        <v>Guarda-móveis</v>
      </c>
      <c r="AB470" s="5">
        <f ca="1">COUNTIF(R$10:R470,R470)</f>
        <v>453</v>
      </c>
      <c r="AC470" s="5" t="str">
        <f t="shared" ca="1" si="93"/>
        <v>0453</v>
      </c>
      <c r="AD470" s="5">
        <f t="shared" ca="1" si="94"/>
        <v>0</v>
      </c>
      <c r="AE470" s="5">
        <f t="shared" ca="1" si="95"/>
        <v>0</v>
      </c>
    </row>
    <row r="471" spans="4:31" ht="15.6" thickTop="1" thickBot="1" x14ac:dyDescent="0.35">
      <c r="D471" s="57"/>
      <c r="E471" s="58"/>
      <c r="F471" s="59"/>
      <c r="G471" s="59"/>
      <c r="H471" s="59"/>
      <c r="I471" s="60"/>
      <c r="J471" s="61"/>
      <c r="K471" s="61"/>
      <c r="M471" s="9" t="str">
        <f t="shared" si="85"/>
        <v/>
      </c>
      <c r="N471" s="5" t="str">
        <f t="shared" ref="N471:N534" si="96">IF(H471="","",H471)</f>
        <v/>
      </c>
      <c r="O471" s="5" t="str">
        <f t="shared" si="90"/>
        <v/>
      </c>
      <c r="R471" s="5">
        <f t="shared" ca="1" si="86"/>
        <v>0</v>
      </c>
      <c r="S471" s="5">
        <f t="shared" si="87"/>
        <v>0</v>
      </c>
      <c r="U471" s="5">
        <f ca="1">COUNTIF(R$10:R471,R471)</f>
        <v>454</v>
      </c>
      <c r="V471" s="5" t="str">
        <f t="shared" ca="1" si="88"/>
        <v>0454</v>
      </c>
      <c r="W471" s="5" t="e">
        <f t="shared" ca="1" si="89"/>
        <v>#REF!</v>
      </c>
      <c r="Y471" s="5">
        <v>462</v>
      </c>
      <c r="Z471" s="5">
        <f t="shared" ca="1" si="91"/>
        <v>0</v>
      </c>
      <c r="AA471" s="5" t="str">
        <f t="shared" ca="1" si="92"/>
        <v>Guarda-móveis</v>
      </c>
      <c r="AB471" s="5">
        <f ca="1">COUNTIF(R$10:R471,R471)</f>
        <v>454</v>
      </c>
      <c r="AC471" s="5" t="str">
        <f t="shared" ca="1" si="93"/>
        <v>0454</v>
      </c>
      <c r="AD471" s="5">
        <f t="shared" ca="1" si="94"/>
        <v>0</v>
      </c>
      <c r="AE471" s="5">
        <f t="shared" ca="1" si="95"/>
        <v>0</v>
      </c>
    </row>
    <row r="472" spans="4:31" ht="15.6" thickTop="1" thickBot="1" x14ac:dyDescent="0.35">
      <c r="D472" s="57"/>
      <c r="E472" s="58"/>
      <c r="F472" s="59"/>
      <c r="G472" s="59"/>
      <c r="H472" s="59"/>
      <c r="I472" s="60"/>
      <c r="J472" s="61"/>
      <c r="K472" s="61"/>
      <c r="M472" s="9" t="str">
        <f t="shared" si="85"/>
        <v/>
      </c>
      <c r="N472" s="5" t="str">
        <f t="shared" si="96"/>
        <v/>
      </c>
      <c r="O472" s="5" t="str">
        <f t="shared" si="90"/>
        <v/>
      </c>
      <c r="R472" s="5">
        <f t="shared" ca="1" si="86"/>
        <v>0</v>
      </c>
      <c r="S472" s="5">
        <f t="shared" si="87"/>
        <v>0</v>
      </c>
      <c r="U472" s="5">
        <f ca="1">COUNTIF(R$10:R472,R472)</f>
        <v>455</v>
      </c>
      <c r="V472" s="5" t="str">
        <f t="shared" ca="1" si="88"/>
        <v>0455</v>
      </c>
      <c r="W472" s="5" t="e">
        <f t="shared" ca="1" si="89"/>
        <v>#REF!</v>
      </c>
      <c r="Y472" s="5">
        <v>463</v>
      </c>
      <c r="Z472" s="5">
        <f t="shared" ca="1" si="91"/>
        <v>0</v>
      </c>
      <c r="AA472" s="5" t="str">
        <f t="shared" ca="1" si="92"/>
        <v>Guarda-móveis</v>
      </c>
      <c r="AB472" s="5">
        <f ca="1">COUNTIF(R$10:R472,R472)</f>
        <v>455</v>
      </c>
      <c r="AC472" s="5" t="str">
        <f t="shared" ca="1" si="93"/>
        <v>0455</v>
      </c>
      <c r="AD472" s="5">
        <f t="shared" ca="1" si="94"/>
        <v>0</v>
      </c>
      <c r="AE472" s="5">
        <f t="shared" ca="1" si="95"/>
        <v>0</v>
      </c>
    </row>
    <row r="473" spans="4:31" ht="15.6" thickTop="1" thickBot="1" x14ac:dyDescent="0.35">
      <c r="D473" s="57"/>
      <c r="E473" s="58"/>
      <c r="F473" s="59"/>
      <c r="G473" s="59"/>
      <c r="H473" s="59"/>
      <c r="I473" s="60"/>
      <c r="J473" s="61"/>
      <c r="K473" s="61"/>
      <c r="M473" s="9" t="str">
        <f t="shared" si="85"/>
        <v/>
      </c>
      <c r="N473" s="5" t="str">
        <f t="shared" si="96"/>
        <v/>
      </c>
      <c r="O473" s="5" t="str">
        <f t="shared" si="90"/>
        <v/>
      </c>
      <c r="R473" s="5">
        <f t="shared" ca="1" si="86"/>
        <v>0</v>
      </c>
      <c r="S473" s="5">
        <f t="shared" si="87"/>
        <v>0</v>
      </c>
      <c r="U473" s="5">
        <f ca="1">COUNTIF(R$10:R473,R473)</f>
        <v>456</v>
      </c>
      <c r="V473" s="5" t="str">
        <f t="shared" ca="1" si="88"/>
        <v>0456</v>
      </c>
      <c r="W473" s="5" t="e">
        <f t="shared" ca="1" si="89"/>
        <v>#REF!</v>
      </c>
      <c r="Y473" s="5">
        <v>464</v>
      </c>
      <c r="Z473" s="5">
        <f t="shared" ca="1" si="91"/>
        <v>0</v>
      </c>
      <c r="AA473" s="5" t="str">
        <f t="shared" ca="1" si="92"/>
        <v>Guarda-móveis</v>
      </c>
      <c r="AB473" s="5">
        <f ca="1">COUNTIF(R$10:R473,R473)</f>
        <v>456</v>
      </c>
      <c r="AC473" s="5" t="str">
        <f t="shared" ca="1" si="93"/>
        <v>0456</v>
      </c>
      <c r="AD473" s="5">
        <f t="shared" ca="1" si="94"/>
        <v>0</v>
      </c>
      <c r="AE473" s="5">
        <f t="shared" ca="1" si="95"/>
        <v>0</v>
      </c>
    </row>
    <row r="474" spans="4:31" ht="15.6" thickTop="1" thickBot="1" x14ac:dyDescent="0.35">
      <c r="D474" s="57"/>
      <c r="E474" s="58"/>
      <c r="F474" s="59"/>
      <c r="G474" s="59"/>
      <c r="H474" s="59"/>
      <c r="I474" s="60"/>
      <c r="J474" s="61"/>
      <c r="K474" s="61"/>
      <c r="M474" s="9" t="str">
        <f t="shared" si="85"/>
        <v/>
      </c>
      <c r="N474" s="5" t="str">
        <f t="shared" si="96"/>
        <v/>
      </c>
      <c r="O474" s="5" t="str">
        <f t="shared" si="90"/>
        <v/>
      </c>
      <c r="R474" s="5">
        <f t="shared" ca="1" si="86"/>
        <v>0</v>
      </c>
      <c r="S474" s="5">
        <f t="shared" si="87"/>
        <v>0</v>
      </c>
      <c r="U474" s="5">
        <f ca="1">COUNTIF(R$10:R474,R474)</f>
        <v>457</v>
      </c>
      <c r="V474" s="5" t="str">
        <f t="shared" ca="1" si="88"/>
        <v>0457</v>
      </c>
      <c r="W474" s="5" t="e">
        <f t="shared" ca="1" si="89"/>
        <v>#REF!</v>
      </c>
      <c r="Y474" s="5">
        <v>465</v>
      </c>
      <c r="Z474" s="5">
        <f t="shared" ca="1" si="91"/>
        <v>0</v>
      </c>
      <c r="AA474" s="5" t="str">
        <f t="shared" ca="1" si="92"/>
        <v>Guarda-móveis</v>
      </c>
      <c r="AB474" s="5">
        <f ca="1">COUNTIF(R$10:R474,R474)</f>
        <v>457</v>
      </c>
      <c r="AC474" s="5" t="str">
        <f t="shared" ca="1" si="93"/>
        <v>0457</v>
      </c>
      <c r="AD474" s="5">
        <f t="shared" ca="1" si="94"/>
        <v>0</v>
      </c>
      <c r="AE474" s="5">
        <f t="shared" ca="1" si="95"/>
        <v>0</v>
      </c>
    </row>
    <row r="475" spans="4:31" ht="15.6" thickTop="1" thickBot="1" x14ac:dyDescent="0.35">
      <c r="D475" s="57"/>
      <c r="E475" s="58"/>
      <c r="F475" s="59"/>
      <c r="G475" s="59"/>
      <c r="H475" s="59"/>
      <c r="I475" s="60"/>
      <c r="J475" s="61"/>
      <c r="K475" s="61"/>
      <c r="M475" s="9" t="str">
        <f t="shared" si="85"/>
        <v/>
      </c>
      <c r="N475" s="5" t="str">
        <f t="shared" si="96"/>
        <v/>
      </c>
      <c r="O475" s="5" t="str">
        <f t="shared" si="90"/>
        <v/>
      </c>
      <c r="R475" s="5">
        <f t="shared" ca="1" si="86"/>
        <v>0</v>
      </c>
      <c r="S475" s="5">
        <f t="shared" si="87"/>
        <v>0</v>
      </c>
      <c r="U475" s="5">
        <f ca="1">COUNTIF(R$10:R475,R475)</f>
        <v>458</v>
      </c>
      <c r="V475" s="5" t="str">
        <f t="shared" ca="1" si="88"/>
        <v>0458</v>
      </c>
      <c r="W475" s="5" t="e">
        <f t="shared" ca="1" si="89"/>
        <v>#REF!</v>
      </c>
      <c r="Y475" s="5">
        <v>466</v>
      </c>
      <c r="Z475" s="5">
        <f t="shared" ca="1" si="91"/>
        <v>0</v>
      </c>
      <c r="AA475" s="5" t="str">
        <f t="shared" ca="1" si="92"/>
        <v>Guarda-móveis</v>
      </c>
      <c r="AB475" s="5">
        <f ca="1">COUNTIF(R$10:R475,R475)</f>
        <v>458</v>
      </c>
      <c r="AC475" s="5" t="str">
        <f t="shared" ca="1" si="93"/>
        <v>0458</v>
      </c>
      <c r="AD475" s="5">
        <f t="shared" ca="1" si="94"/>
        <v>0</v>
      </c>
      <c r="AE475" s="5">
        <f t="shared" ca="1" si="95"/>
        <v>0</v>
      </c>
    </row>
    <row r="476" spans="4:31" ht="15.6" thickTop="1" thickBot="1" x14ac:dyDescent="0.35">
      <c r="D476" s="57"/>
      <c r="E476" s="58"/>
      <c r="F476" s="59"/>
      <c r="G476" s="59"/>
      <c r="H476" s="59"/>
      <c r="I476" s="60"/>
      <c r="J476" s="61"/>
      <c r="K476" s="61"/>
      <c r="M476" s="9" t="str">
        <f t="shared" si="85"/>
        <v/>
      </c>
      <c r="N476" s="5" t="str">
        <f t="shared" si="96"/>
        <v/>
      </c>
      <c r="O476" s="5" t="str">
        <f t="shared" si="90"/>
        <v/>
      </c>
      <c r="R476" s="5">
        <f t="shared" ca="1" si="86"/>
        <v>0</v>
      </c>
      <c r="S476" s="5">
        <f t="shared" si="87"/>
        <v>0</v>
      </c>
      <c r="U476" s="5">
        <f ca="1">COUNTIF(R$10:R476,R476)</f>
        <v>459</v>
      </c>
      <c r="V476" s="5" t="str">
        <f t="shared" ca="1" si="88"/>
        <v>0459</v>
      </c>
      <c r="W476" s="5" t="e">
        <f t="shared" ca="1" si="89"/>
        <v>#REF!</v>
      </c>
      <c r="Y476" s="5">
        <v>467</v>
      </c>
      <c r="Z476" s="5">
        <f t="shared" ca="1" si="91"/>
        <v>0</v>
      </c>
      <c r="AA476" s="5" t="str">
        <f t="shared" ca="1" si="92"/>
        <v>Guarda-móveis</v>
      </c>
      <c r="AB476" s="5">
        <f ca="1">COUNTIF(R$10:R476,R476)</f>
        <v>459</v>
      </c>
      <c r="AC476" s="5" t="str">
        <f t="shared" ca="1" si="93"/>
        <v>0459</v>
      </c>
      <c r="AD476" s="5">
        <f t="shared" ca="1" si="94"/>
        <v>0</v>
      </c>
      <c r="AE476" s="5">
        <f t="shared" ca="1" si="95"/>
        <v>0</v>
      </c>
    </row>
    <row r="477" spans="4:31" ht="15.6" thickTop="1" thickBot="1" x14ac:dyDescent="0.35">
      <c r="D477" s="57"/>
      <c r="E477" s="58"/>
      <c r="F477" s="59"/>
      <c r="G477" s="59"/>
      <c r="H477" s="59"/>
      <c r="I477" s="60"/>
      <c r="J477" s="61"/>
      <c r="K477" s="61"/>
      <c r="M477" s="9" t="str">
        <f t="shared" si="85"/>
        <v/>
      </c>
      <c r="N477" s="5" t="str">
        <f t="shared" si="96"/>
        <v/>
      </c>
      <c r="O477" s="5" t="str">
        <f t="shared" si="90"/>
        <v/>
      </c>
      <c r="R477" s="5">
        <f t="shared" ca="1" si="86"/>
        <v>0</v>
      </c>
      <c r="S477" s="5">
        <f t="shared" si="87"/>
        <v>0</v>
      </c>
      <c r="U477" s="5">
        <f ca="1">COUNTIF(R$10:R477,R477)</f>
        <v>460</v>
      </c>
      <c r="V477" s="5" t="str">
        <f t="shared" ca="1" si="88"/>
        <v>0460</v>
      </c>
      <c r="W477" s="5" t="e">
        <f t="shared" ca="1" si="89"/>
        <v>#REF!</v>
      </c>
      <c r="Y477" s="5">
        <v>468</v>
      </c>
      <c r="Z477" s="5">
        <f t="shared" ca="1" si="91"/>
        <v>0</v>
      </c>
      <c r="AA477" s="5" t="str">
        <f t="shared" ca="1" si="92"/>
        <v>Guarda-móveis</v>
      </c>
      <c r="AB477" s="5">
        <f ca="1">COUNTIF(R$10:R477,R477)</f>
        <v>460</v>
      </c>
      <c r="AC477" s="5" t="str">
        <f t="shared" ca="1" si="93"/>
        <v>0460</v>
      </c>
      <c r="AD477" s="5">
        <f t="shared" ca="1" si="94"/>
        <v>0</v>
      </c>
      <c r="AE477" s="5">
        <f t="shared" ca="1" si="95"/>
        <v>0</v>
      </c>
    </row>
    <row r="478" spans="4:31" ht="15.6" thickTop="1" thickBot="1" x14ac:dyDescent="0.35">
      <c r="D478" s="57"/>
      <c r="E478" s="58"/>
      <c r="F478" s="59"/>
      <c r="G478" s="59"/>
      <c r="H478" s="59"/>
      <c r="I478" s="60"/>
      <c r="J478" s="61"/>
      <c r="K478" s="61"/>
      <c r="M478" s="9" t="str">
        <f t="shared" si="85"/>
        <v/>
      </c>
      <c r="N478" s="5" t="str">
        <f t="shared" si="96"/>
        <v/>
      </c>
      <c r="O478" s="5" t="str">
        <f t="shared" si="90"/>
        <v/>
      </c>
      <c r="R478" s="5">
        <f t="shared" ca="1" si="86"/>
        <v>0</v>
      </c>
      <c r="S478" s="5">
        <f t="shared" si="87"/>
        <v>0</v>
      </c>
      <c r="U478" s="5">
        <f ca="1">COUNTIF(R$10:R478,R478)</f>
        <v>461</v>
      </c>
      <c r="V478" s="5" t="str">
        <f t="shared" ca="1" si="88"/>
        <v>0461</v>
      </c>
      <c r="W478" s="5" t="e">
        <f t="shared" ca="1" si="89"/>
        <v>#REF!</v>
      </c>
      <c r="Y478" s="5">
        <v>469</v>
      </c>
      <c r="Z478" s="5">
        <f t="shared" ca="1" si="91"/>
        <v>0</v>
      </c>
      <c r="AA478" s="5" t="str">
        <f t="shared" ca="1" si="92"/>
        <v>Guarda-móveis</v>
      </c>
      <c r="AB478" s="5">
        <f ca="1">COUNTIF(R$10:R478,R478)</f>
        <v>461</v>
      </c>
      <c r="AC478" s="5" t="str">
        <f t="shared" ca="1" si="93"/>
        <v>0461</v>
      </c>
      <c r="AD478" s="5">
        <f t="shared" ca="1" si="94"/>
        <v>0</v>
      </c>
      <c r="AE478" s="5">
        <f t="shared" ca="1" si="95"/>
        <v>0</v>
      </c>
    </row>
    <row r="479" spans="4:31" ht="15.6" thickTop="1" thickBot="1" x14ac:dyDescent="0.35">
      <c r="D479" s="57"/>
      <c r="E479" s="58"/>
      <c r="F479" s="59"/>
      <c r="G479" s="59"/>
      <c r="H479" s="59"/>
      <c r="I479" s="60"/>
      <c r="J479" s="61"/>
      <c r="K479" s="61"/>
      <c r="M479" s="9" t="str">
        <f t="shared" si="85"/>
        <v/>
      </c>
      <c r="N479" s="5" t="str">
        <f t="shared" si="96"/>
        <v/>
      </c>
      <c r="O479" s="5" t="str">
        <f t="shared" si="90"/>
        <v/>
      </c>
      <c r="R479" s="5">
        <f t="shared" ca="1" si="86"/>
        <v>0</v>
      </c>
      <c r="S479" s="5">
        <f t="shared" si="87"/>
        <v>0</v>
      </c>
      <c r="U479" s="5">
        <f ca="1">COUNTIF(R$10:R479,R479)</f>
        <v>462</v>
      </c>
      <c r="V479" s="5" t="str">
        <f t="shared" ca="1" si="88"/>
        <v>0462</v>
      </c>
      <c r="W479" s="5" t="e">
        <f t="shared" ca="1" si="89"/>
        <v>#REF!</v>
      </c>
      <c r="Y479" s="5">
        <v>470</v>
      </c>
      <c r="Z479" s="5">
        <f t="shared" ca="1" si="91"/>
        <v>0</v>
      </c>
      <c r="AA479" s="5" t="str">
        <f t="shared" ca="1" si="92"/>
        <v>Guarda-móveis</v>
      </c>
      <c r="AB479" s="5">
        <f ca="1">COUNTIF(R$10:R479,R479)</f>
        <v>462</v>
      </c>
      <c r="AC479" s="5" t="str">
        <f t="shared" ca="1" si="93"/>
        <v>0462</v>
      </c>
      <c r="AD479" s="5">
        <f t="shared" ca="1" si="94"/>
        <v>0</v>
      </c>
      <c r="AE479" s="5">
        <f t="shared" ca="1" si="95"/>
        <v>0</v>
      </c>
    </row>
    <row r="480" spans="4:31" ht="15.6" thickTop="1" thickBot="1" x14ac:dyDescent="0.35">
      <c r="D480" s="57"/>
      <c r="E480" s="58"/>
      <c r="F480" s="59"/>
      <c r="G480" s="59"/>
      <c r="H480" s="59"/>
      <c r="I480" s="60"/>
      <c r="J480" s="61"/>
      <c r="K480" s="61"/>
      <c r="M480" s="9" t="str">
        <f t="shared" si="85"/>
        <v/>
      </c>
      <c r="N480" s="5" t="str">
        <f t="shared" si="96"/>
        <v/>
      </c>
      <c r="O480" s="5" t="str">
        <f t="shared" si="90"/>
        <v/>
      </c>
      <c r="R480" s="5">
        <f t="shared" ca="1" si="86"/>
        <v>0</v>
      </c>
      <c r="S480" s="5">
        <f t="shared" si="87"/>
        <v>0</v>
      </c>
      <c r="U480" s="5">
        <f ca="1">COUNTIF(R$10:R480,R480)</f>
        <v>463</v>
      </c>
      <c r="V480" s="5" t="str">
        <f t="shared" ca="1" si="88"/>
        <v>0463</v>
      </c>
      <c r="W480" s="5" t="e">
        <f t="shared" ca="1" si="89"/>
        <v>#REF!</v>
      </c>
      <c r="Y480" s="5">
        <v>471</v>
      </c>
      <c r="Z480" s="5">
        <f t="shared" ca="1" si="91"/>
        <v>0</v>
      </c>
      <c r="AA480" s="5" t="str">
        <f t="shared" ca="1" si="92"/>
        <v>Guarda-móveis</v>
      </c>
      <c r="AB480" s="5">
        <f ca="1">COUNTIF(R$10:R480,R480)</f>
        <v>463</v>
      </c>
      <c r="AC480" s="5" t="str">
        <f t="shared" ca="1" si="93"/>
        <v>0463</v>
      </c>
      <c r="AD480" s="5">
        <f t="shared" ca="1" si="94"/>
        <v>0</v>
      </c>
      <c r="AE480" s="5">
        <f t="shared" ca="1" si="95"/>
        <v>0</v>
      </c>
    </row>
    <row r="481" spans="4:31" ht="15.6" thickTop="1" thickBot="1" x14ac:dyDescent="0.35">
      <c r="D481" s="57"/>
      <c r="E481" s="58"/>
      <c r="F481" s="59"/>
      <c r="G481" s="59"/>
      <c r="H481" s="59"/>
      <c r="I481" s="60"/>
      <c r="J481" s="61"/>
      <c r="K481" s="61"/>
      <c r="M481" s="9" t="str">
        <f t="shared" si="85"/>
        <v/>
      </c>
      <c r="N481" s="5" t="str">
        <f t="shared" si="96"/>
        <v/>
      </c>
      <c r="O481" s="5" t="str">
        <f t="shared" si="90"/>
        <v/>
      </c>
      <c r="R481" s="5">
        <f t="shared" ca="1" si="86"/>
        <v>0</v>
      </c>
      <c r="S481" s="5">
        <f t="shared" si="87"/>
        <v>0</v>
      </c>
      <c r="U481" s="5">
        <f ca="1">COUNTIF(R$10:R481,R481)</f>
        <v>464</v>
      </c>
      <c r="V481" s="5" t="str">
        <f t="shared" ca="1" si="88"/>
        <v>0464</v>
      </c>
      <c r="W481" s="5" t="e">
        <f t="shared" ca="1" si="89"/>
        <v>#REF!</v>
      </c>
      <c r="Y481" s="5">
        <v>472</v>
      </c>
      <c r="Z481" s="5">
        <f t="shared" ca="1" si="91"/>
        <v>0</v>
      </c>
      <c r="AA481" s="5" t="str">
        <f t="shared" ca="1" si="92"/>
        <v>Guarda-móveis</v>
      </c>
      <c r="AB481" s="5">
        <f ca="1">COUNTIF(R$10:R481,R481)</f>
        <v>464</v>
      </c>
      <c r="AC481" s="5" t="str">
        <f t="shared" ca="1" si="93"/>
        <v>0464</v>
      </c>
      <c r="AD481" s="5">
        <f t="shared" ca="1" si="94"/>
        <v>0</v>
      </c>
      <c r="AE481" s="5">
        <f t="shared" ca="1" si="95"/>
        <v>0</v>
      </c>
    </row>
    <row r="482" spans="4:31" ht="15.6" thickTop="1" thickBot="1" x14ac:dyDescent="0.35">
      <c r="D482" s="57"/>
      <c r="E482" s="58"/>
      <c r="F482" s="59"/>
      <c r="G482" s="59"/>
      <c r="H482" s="59"/>
      <c r="I482" s="60"/>
      <c r="J482" s="61"/>
      <c r="K482" s="61"/>
      <c r="M482" s="9" t="str">
        <f t="shared" si="85"/>
        <v/>
      </c>
      <c r="N482" s="5" t="str">
        <f t="shared" si="96"/>
        <v/>
      </c>
      <c r="O482" s="5" t="str">
        <f t="shared" si="90"/>
        <v/>
      </c>
      <c r="R482" s="5">
        <f t="shared" ca="1" si="86"/>
        <v>0</v>
      </c>
      <c r="S482" s="5">
        <f t="shared" si="87"/>
        <v>0</v>
      </c>
      <c r="U482" s="5">
        <f ca="1">COUNTIF(R$10:R482,R482)</f>
        <v>465</v>
      </c>
      <c r="V482" s="5" t="str">
        <f t="shared" ca="1" si="88"/>
        <v>0465</v>
      </c>
      <c r="W482" s="5" t="e">
        <f t="shared" ca="1" si="89"/>
        <v>#REF!</v>
      </c>
      <c r="Y482" s="5">
        <v>473</v>
      </c>
      <c r="Z482" s="5">
        <f t="shared" ca="1" si="91"/>
        <v>0</v>
      </c>
      <c r="AA482" s="5" t="str">
        <f t="shared" ca="1" si="92"/>
        <v>Guarda-móveis</v>
      </c>
      <c r="AB482" s="5">
        <f ca="1">COUNTIF(R$10:R482,R482)</f>
        <v>465</v>
      </c>
      <c r="AC482" s="5" t="str">
        <f t="shared" ca="1" si="93"/>
        <v>0465</v>
      </c>
      <c r="AD482" s="5">
        <f t="shared" ca="1" si="94"/>
        <v>0</v>
      </c>
      <c r="AE482" s="5">
        <f t="shared" ca="1" si="95"/>
        <v>0</v>
      </c>
    </row>
    <row r="483" spans="4:31" ht="15.6" thickTop="1" thickBot="1" x14ac:dyDescent="0.35">
      <c r="D483" s="57"/>
      <c r="E483" s="58"/>
      <c r="F483" s="59"/>
      <c r="G483" s="59"/>
      <c r="H483" s="59"/>
      <c r="I483" s="60"/>
      <c r="J483" s="61"/>
      <c r="K483" s="61"/>
      <c r="M483" s="9" t="str">
        <f t="shared" si="85"/>
        <v/>
      </c>
      <c r="N483" s="5" t="str">
        <f t="shared" si="96"/>
        <v/>
      </c>
      <c r="O483" s="5" t="str">
        <f t="shared" si="90"/>
        <v/>
      </c>
      <c r="R483" s="5">
        <f t="shared" ca="1" si="86"/>
        <v>0</v>
      </c>
      <c r="S483" s="5">
        <f t="shared" si="87"/>
        <v>0</v>
      </c>
      <c r="U483" s="5">
        <f ca="1">COUNTIF(R$10:R483,R483)</f>
        <v>466</v>
      </c>
      <c r="V483" s="5" t="str">
        <f t="shared" ca="1" si="88"/>
        <v>0466</v>
      </c>
      <c r="W483" s="5" t="e">
        <f t="shared" ca="1" si="89"/>
        <v>#REF!</v>
      </c>
      <c r="Y483" s="5">
        <v>474</v>
      </c>
      <c r="Z483" s="5">
        <f t="shared" ca="1" si="91"/>
        <v>0</v>
      </c>
      <c r="AA483" s="5" t="str">
        <f t="shared" ca="1" si="92"/>
        <v>Guarda-móveis</v>
      </c>
      <c r="AB483" s="5">
        <f ca="1">COUNTIF(R$10:R483,R483)</f>
        <v>466</v>
      </c>
      <c r="AC483" s="5" t="str">
        <f t="shared" ca="1" si="93"/>
        <v>0466</v>
      </c>
      <c r="AD483" s="5">
        <f t="shared" ca="1" si="94"/>
        <v>0</v>
      </c>
      <c r="AE483" s="5">
        <f t="shared" ca="1" si="95"/>
        <v>0</v>
      </c>
    </row>
    <row r="484" spans="4:31" ht="15.6" thickTop="1" thickBot="1" x14ac:dyDescent="0.35">
      <c r="D484" s="57"/>
      <c r="E484" s="58"/>
      <c r="F484" s="59"/>
      <c r="G484" s="59"/>
      <c r="H484" s="59"/>
      <c r="I484" s="60"/>
      <c r="J484" s="61"/>
      <c r="K484" s="61"/>
      <c r="M484" s="9" t="str">
        <f t="shared" si="85"/>
        <v/>
      </c>
      <c r="N484" s="5" t="str">
        <f t="shared" si="96"/>
        <v/>
      </c>
      <c r="O484" s="5" t="str">
        <f t="shared" si="90"/>
        <v/>
      </c>
      <c r="R484" s="5">
        <f t="shared" ca="1" si="86"/>
        <v>0</v>
      </c>
      <c r="S484" s="5">
        <f t="shared" si="87"/>
        <v>0</v>
      </c>
      <c r="U484" s="5">
        <f ca="1">COUNTIF(R$10:R484,R484)</f>
        <v>467</v>
      </c>
      <c r="V484" s="5" t="str">
        <f t="shared" ca="1" si="88"/>
        <v>0467</v>
      </c>
      <c r="W484" s="5" t="e">
        <f t="shared" ca="1" si="89"/>
        <v>#REF!</v>
      </c>
      <c r="Y484" s="5">
        <v>475</v>
      </c>
      <c r="Z484" s="5">
        <f t="shared" ca="1" si="91"/>
        <v>0</v>
      </c>
      <c r="AA484" s="5" t="str">
        <f t="shared" ca="1" si="92"/>
        <v>Guarda-móveis</v>
      </c>
      <c r="AB484" s="5">
        <f ca="1">COUNTIF(R$10:R484,R484)</f>
        <v>467</v>
      </c>
      <c r="AC484" s="5" t="str">
        <f t="shared" ca="1" si="93"/>
        <v>0467</v>
      </c>
      <c r="AD484" s="5">
        <f t="shared" ca="1" si="94"/>
        <v>0</v>
      </c>
      <c r="AE484" s="5">
        <f t="shared" ca="1" si="95"/>
        <v>0</v>
      </c>
    </row>
    <row r="485" spans="4:31" ht="15.6" thickTop="1" thickBot="1" x14ac:dyDescent="0.35">
      <c r="D485" s="57"/>
      <c r="E485" s="58"/>
      <c r="F485" s="59"/>
      <c r="G485" s="59"/>
      <c r="H485" s="59"/>
      <c r="I485" s="60"/>
      <c r="J485" s="61"/>
      <c r="K485" s="61"/>
      <c r="M485" s="9" t="str">
        <f t="shared" si="85"/>
        <v/>
      </c>
      <c r="N485" s="5" t="str">
        <f t="shared" si="96"/>
        <v/>
      </c>
      <c r="O485" s="5" t="str">
        <f t="shared" si="90"/>
        <v/>
      </c>
      <c r="R485" s="5">
        <f t="shared" ca="1" si="86"/>
        <v>0</v>
      </c>
      <c r="S485" s="5">
        <f t="shared" si="87"/>
        <v>0</v>
      </c>
      <c r="U485" s="5">
        <f ca="1">COUNTIF(R$10:R485,R485)</f>
        <v>468</v>
      </c>
      <c r="V485" s="5" t="str">
        <f t="shared" ca="1" si="88"/>
        <v>0468</v>
      </c>
      <c r="W485" s="5" t="e">
        <f t="shared" ca="1" si="89"/>
        <v>#REF!</v>
      </c>
      <c r="Y485" s="5">
        <v>476</v>
      </c>
      <c r="Z485" s="5">
        <f t="shared" ca="1" si="91"/>
        <v>0</v>
      </c>
      <c r="AA485" s="5" t="str">
        <f t="shared" ca="1" si="92"/>
        <v>Guarda-móveis</v>
      </c>
      <c r="AB485" s="5">
        <f ca="1">COUNTIF(R$10:R485,R485)</f>
        <v>468</v>
      </c>
      <c r="AC485" s="5" t="str">
        <f t="shared" ca="1" si="93"/>
        <v>0468</v>
      </c>
      <c r="AD485" s="5">
        <f t="shared" ca="1" si="94"/>
        <v>0</v>
      </c>
      <c r="AE485" s="5">
        <f t="shared" ca="1" si="95"/>
        <v>0</v>
      </c>
    </row>
    <row r="486" spans="4:31" ht="15.6" thickTop="1" thickBot="1" x14ac:dyDescent="0.35">
      <c r="D486" s="57"/>
      <c r="E486" s="58"/>
      <c r="F486" s="59"/>
      <c r="G486" s="59"/>
      <c r="H486" s="59"/>
      <c r="I486" s="60"/>
      <c r="J486" s="61"/>
      <c r="K486" s="61"/>
      <c r="M486" s="9" t="str">
        <f t="shared" si="85"/>
        <v/>
      </c>
      <c r="N486" s="5" t="str">
        <f t="shared" si="96"/>
        <v/>
      </c>
      <c r="O486" s="5" t="str">
        <f t="shared" si="90"/>
        <v/>
      </c>
      <c r="R486" s="5">
        <f t="shared" ca="1" si="86"/>
        <v>0</v>
      </c>
      <c r="S486" s="5">
        <f t="shared" si="87"/>
        <v>0</v>
      </c>
      <c r="U486" s="5">
        <f ca="1">COUNTIF(R$10:R486,R486)</f>
        <v>469</v>
      </c>
      <c r="V486" s="5" t="str">
        <f t="shared" ca="1" si="88"/>
        <v>0469</v>
      </c>
      <c r="W486" s="5" t="e">
        <f t="shared" ca="1" si="89"/>
        <v>#REF!</v>
      </c>
      <c r="Y486" s="5">
        <v>477</v>
      </c>
      <c r="Z486" s="5">
        <f t="shared" ca="1" si="91"/>
        <v>0</v>
      </c>
      <c r="AA486" s="5" t="str">
        <f t="shared" ca="1" si="92"/>
        <v>Guarda-móveis</v>
      </c>
      <c r="AB486" s="5">
        <f ca="1">COUNTIF(R$10:R486,R486)</f>
        <v>469</v>
      </c>
      <c r="AC486" s="5" t="str">
        <f t="shared" ca="1" si="93"/>
        <v>0469</v>
      </c>
      <c r="AD486" s="5">
        <f t="shared" ca="1" si="94"/>
        <v>0</v>
      </c>
      <c r="AE486" s="5">
        <f t="shared" ca="1" si="95"/>
        <v>0</v>
      </c>
    </row>
    <row r="487" spans="4:31" ht="15.6" thickTop="1" thickBot="1" x14ac:dyDescent="0.35">
      <c r="D487" s="57"/>
      <c r="E487" s="58"/>
      <c r="F487" s="59"/>
      <c r="G487" s="59"/>
      <c r="H487" s="59"/>
      <c r="I487" s="60"/>
      <c r="J487" s="61"/>
      <c r="K487" s="61"/>
      <c r="M487" s="9" t="str">
        <f t="shared" si="85"/>
        <v/>
      </c>
      <c r="N487" s="5" t="str">
        <f t="shared" si="96"/>
        <v/>
      </c>
      <c r="O487" s="5" t="str">
        <f t="shared" si="90"/>
        <v/>
      </c>
      <c r="R487" s="5">
        <f t="shared" ca="1" si="86"/>
        <v>0</v>
      </c>
      <c r="S487" s="5">
        <f t="shared" si="87"/>
        <v>0</v>
      </c>
      <c r="U487" s="5">
        <f ca="1">COUNTIF(R$10:R487,R487)</f>
        <v>470</v>
      </c>
      <c r="V487" s="5" t="str">
        <f t="shared" ca="1" si="88"/>
        <v>0470</v>
      </c>
      <c r="W487" s="5" t="e">
        <f t="shared" ca="1" si="89"/>
        <v>#REF!</v>
      </c>
      <c r="Y487" s="5">
        <v>478</v>
      </c>
      <c r="Z487" s="5">
        <f t="shared" ca="1" si="91"/>
        <v>0</v>
      </c>
      <c r="AA487" s="5" t="str">
        <f t="shared" ca="1" si="92"/>
        <v>Guarda-móveis</v>
      </c>
      <c r="AB487" s="5">
        <f ca="1">COUNTIF(R$10:R487,R487)</f>
        <v>470</v>
      </c>
      <c r="AC487" s="5" t="str">
        <f t="shared" ca="1" si="93"/>
        <v>0470</v>
      </c>
      <c r="AD487" s="5">
        <f t="shared" ca="1" si="94"/>
        <v>0</v>
      </c>
      <c r="AE487" s="5">
        <f t="shared" ca="1" si="95"/>
        <v>0</v>
      </c>
    </row>
    <row r="488" spans="4:31" ht="15.6" thickTop="1" thickBot="1" x14ac:dyDescent="0.35">
      <c r="D488" s="57"/>
      <c r="E488" s="58"/>
      <c r="F488" s="59"/>
      <c r="G488" s="59"/>
      <c r="H488" s="59"/>
      <c r="I488" s="60"/>
      <c r="J488" s="61"/>
      <c r="K488" s="61"/>
      <c r="M488" s="9" t="str">
        <f t="shared" si="85"/>
        <v/>
      </c>
      <c r="N488" s="5" t="str">
        <f t="shared" si="96"/>
        <v/>
      </c>
      <c r="O488" s="5" t="str">
        <f t="shared" si="90"/>
        <v/>
      </c>
      <c r="R488" s="5">
        <f t="shared" ca="1" si="86"/>
        <v>0</v>
      </c>
      <c r="S488" s="5">
        <f t="shared" si="87"/>
        <v>0</v>
      </c>
      <c r="U488" s="5">
        <f ca="1">COUNTIF(R$10:R488,R488)</f>
        <v>471</v>
      </c>
      <c r="V488" s="5" t="str">
        <f t="shared" ca="1" si="88"/>
        <v>0471</v>
      </c>
      <c r="W488" s="5" t="e">
        <f t="shared" ca="1" si="89"/>
        <v>#REF!</v>
      </c>
      <c r="Y488" s="5">
        <v>479</v>
      </c>
      <c r="Z488" s="5">
        <f t="shared" ca="1" si="91"/>
        <v>0</v>
      </c>
      <c r="AA488" s="5" t="str">
        <f t="shared" ca="1" si="92"/>
        <v>Guarda-móveis</v>
      </c>
      <c r="AB488" s="5">
        <f ca="1">COUNTIF(R$10:R488,R488)</f>
        <v>471</v>
      </c>
      <c r="AC488" s="5" t="str">
        <f t="shared" ca="1" si="93"/>
        <v>0471</v>
      </c>
      <c r="AD488" s="5">
        <f t="shared" ca="1" si="94"/>
        <v>0</v>
      </c>
      <c r="AE488" s="5">
        <f t="shared" ca="1" si="95"/>
        <v>0</v>
      </c>
    </row>
    <row r="489" spans="4:31" ht="15.6" thickTop="1" thickBot="1" x14ac:dyDescent="0.35">
      <c r="D489" s="57"/>
      <c r="E489" s="58"/>
      <c r="F489" s="59"/>
      <c r="G489" s="59"/>
      <c r="H489" s="59"/>
      <c r="I489" s="60"/>
      <c r="J489" s="61"/>
      <c r="K489" s="61"/>
      <c r="M489" s="9" t="str">
        <f t="shared" si="85"/>
        <v/>
      </c>
      <c r="N489" s="5" t="str">
        <f t="shared" si="96"/>
        <v/>
      </c>
      <c r="O489" s="5" t="str">
        <f t="shared" si="90"/>
        <v/>
      </c>
      <c r="R489" s="5">
        <f t="shared" ca="1" si="86"/>
        <v>0</v>
      </c>
      <c r="S489" s="5">
        <f t="shared" si="87"/>
        <v>0</v>
      </c>
      <c r="U489" s="5">
        <f ca="1">COUNTIF(R$10:R489,R489)</f>
        <v>472</v>
      </c>
      <c r="V489" s="5" t="str">
        <f t="shared" ca="1" si="88"/>
        <v>0472</v>
      </c>
      <c r="W489" s="5" t="e">
        <f t="shared" ca="1" si="89"/>
        <v>#REF!</v>
      </c>
      <c r="Y489" s="5">
        <v>480</v>
      </c>
      <c r="Z489" s="5">
        <f t="shared" ca="1" si="91"/>
        <v>0</v>
      </c>
      <c r="AA489" s="5" t="str">
        <f t="shared" ca="1" si="92"/>
        <v>Guarda-móveis</v>
      </c>
      <c r="AB489" s="5">
        <f ca="1">COUNTIF(R$10:R489,R489)</f>
        <v>472</v>
      </c>
      <c r="AC489" s="5" t="str">
        <f t="shared" ca="1" si="93"/>
        <v>0472</v>
      </c>
      <c r="AD489" s="5">
        <f t="shared" ca="1" si="94"/>
        <v>0</v>
      </c>
      <c r="AE489" s="5">
        <f t="shared" ca="1" si="95"/>
        <v>0</v>
      </c>
    </row>
    <row r="490" spans="4:31" ht="15.6" thickTop="1" thickBot="1" x14ac:dyDescent="0.35">
      <c r="D490" s="57"/>
      <c r="E490" s="58"/>
      <c r="F490" s="59"/>
      <c r="G490" s="59"/>
      <c r="H490" s="59"/>
      <c r="I490" s="60"/>
      <c r="J490" s="61"/>
      <c r="K490" s="61"/>
      <c r="M490" s="9" t="str">
        <f t="shared" si="85"/>
        <v/>
      </c>
      <c r="N490" s="5" t="str">
        <f t="shared" si="96"/>
        <v/>
      </c>
      <c r="O490" s="5" t="str">
        <f t="shared" si="90"/>
        <v/>
      </c>
      <c r="R490" s="5">
        <f t="shared" ca="1" si="86"/>
        <v>0</v>
      </c>
      <c r="S490" s="5">
        <f t="shared" si="87"/>
        <v>0</v>
      </c>
      <c r="U490" s="5">
        <f ca="1">COUNTIF(R$10:R490,R490)</f>
        <v>473</v>
      </c>
      <c r="V490" s="5" t="str">
        <f t="shared" ca="1" si="88"/>
        <v>0473</v>
      </c>
      <c r="W490" s="5" t="e">
        <f t="shared" ca="1" si="89"/>
        <v>#REF!</v>
      </c>
      <c r="Y490" s="5">
        <v>481</v>
      </c>
      <c r="Z490" s="5">
        <f t="shared" ca="1" si="91"/>
        <v>0</v>
      </c>
      <c r="AA490" s="5" t="str">
        <f t="shared" ca="1" si="92"/>
        <v>Guarda-móveis</v>
      </c>
      <c r="AB490" s="5">
        <f ca="1">COUNTIF(R$10:R490,R490)</f>
        <v>473</v>
      </c>
      <c r="AC490" s="5" t="str">
        <f t="shared" ca="1" si="93"/>
        <v>0473</v>
      </c>
      <c r="AD490" s="5">
        <f t="shared" ca="1" si="94"/>
        <v>0</v>
      </c>
      <c r="AE490" s="5">
        <f t="shared" ca="1" si="95"/>
        <v>0</v>
      </c>
    </row>
    <row r="491" spans="4:31" ht="15.6" thickTop="1" thickBot="1" x14ac:dyDescent="0.35">
      <c r="D491" s="57"/>
      <c r="E491" s="58"/>
      <c r="F491" s="59"/>
      <c r="G491" s="59"/>
      <c r="H491" s="59"/>
      <c r="I491" s="60"/>
      <c r="J491" s="61"/>
      <c r="K491" s="61"/>
      <c r="M491" s="9" t="str">
        <f t="shared" si="85"/>
        <v/>
      </c>
      <c r="N491" s="5" t="str">
        <f t="shared" si="96"/>
        <v/>
      </c>
      <c r="O491" s="5" t="str">
        <f t="shared" si="90"/>
        <v/>
      </c>
      <c r="R491" s="5">
        <f t="shared" ca="1" si="86"/>
        <v>0</v>
      </c>
      <c r="S491" s="5">
        <f t="shared" si="87"/>
        <v>0</v>
      </c>
      <c r="U491" s="5">
        <f ca="1">COUNTIF(R$10:R491,R491)</f>
        <v>474</v>
      </c>
      <c r="V491" s="5" t="str">
        <f t="shared" ca="1" si="88"/>
        <v>0474</v>
      </c>
      <c r="W491" s="5" t="e">
        <f t="shared" ca="1" si="89"/>
        <v>#REF!</v>
      </c>
      <c r="Y491" s="5">
        <v>482</v>
      </c>
      <c r="Z491" s="5">
        <f t="shared" ca="1" si="91"/>
        <v>0</v>
      </c>
      <c r="AA491" s="5" t="str">
        <f t="shared" ca="1" si="92"/>
        <v>Guarda-móveis</v>
      </c>
      <c r="AB491" s="5">
        <f ca="1">COUNTIF(R$10:R491,R491)</f>
        <v>474</v>
      </c>
      <c r="AC491" s="5" t="str">
        <f t="shared" ca="1" si="93"/>
        <v>0474</v>
      </c>
      <c r="AD491" s="5">
        <f t="shared" ca="1" si="94"/>
        <v>0</v>
      </c>
      <c r="AE491" s="5">
        <f t="shared" ca="1" si="95"/>
        <v>0</v>
      </c>
    </row>
    <row r="492" spans="4:31" ht="15.6" thickTop="1" thickBot="1" x14ac:dyDescent="0.35">
      <c r="D492" s="57"/>
      <c r="E492" s="58"/>
      <c r="F492" s="59"/>
      <c r="G492" s="59"/>
      <c r="H492" s="59"/>
      <c r="I492" s="60"/>
      <c r="J492" s="61"/>
      <c r="K492" s="61"/>
      <c r="M492" s="9" t="str">
        <f t="shared" si="85"/>
        <v/>
      </c>
      <c r="N492" s="5" t="str">
        <f t="shared" si="96"/>
        <v/>
      </c>
      <c r="O492" s="5" t="str">
        <f t="shared" si="90"/>
        <v/>
      </c>
      <c r="R492" s="5">
        <f t="shared" ca="1" si="86"/>
        <v>0</v>
      </c>
      <c r="S492" s="5">
        <f t="shared" si="87"/>
        <v>0</v>
      </c>
      <c r="U492" s="5">
        <f ca="1">COUNTIF(R$10:R492,R492)</f>
        <v>475</v>
      </c>
      <c r="V492" s="5" t="str">
        <f t="shared" ca="1" si="88"/>
        <v>0475</v>
      </c>
      <c r="W492" s="5" t="e">
        <f t="shared" ca="1" si="89"/>
        <v>#REF!</v>
      </c>
      <c r="Y492" s="5">
        <v>483</v>
      </c>
      <c r="Z492" s="5">
        <f t="shared" ca="1" si="91"/>
        <v>0</v>
      </c>
      <c r="AA492" s="5" t="str">
        <f t="shared" ca="1" si="92"/>
        <v>Guarda-móveis</v>
      </c>
      <c r="AB492" s="5">
        <f ca="1">COUNTIF(R$10:R492,R492)</f>
        <v>475</v>
      </c>
      <c r="AC492" s="5" t="str">
        <f t="shared" ca="1" si="93"/>
        <v>0475</v>
      </c>
      <c r="AD492" s="5">
        <f t="shared" ca="1" si="94"/>
        <v>0</v>
      </c>
      <c r="AE492" s="5">
        <f t="shared" ca="1" si="95"/>
        <v>0</v>
      </c>
    </row>
    <row r="493" spans="4:31" ht="15.6" thickTop="1" thickBot="1" x14ac:dyDescent="0.35">
      <c r="D493" s="57"/>
      <c r="E493" s="58"/>
      <c r="F493" s="59"/>
      <c r="G493" s="59"/>
      <c r="H493" s="59"/>
      <c r="I493" s="60"/>
      <c r="J493" s="61"/>
      <c r="K493" s="61"/>
      <c r="M493" s="9" t="str">
        <f t="shared" si="85"/>
        <v/>
      </c>
      <c r="N493" s="5" t="str">
        <f t="shared" si="96"/>
        <v/>
      </c>
      <c r="O493" s="5" t="str">
        <f t="shared" si="90"/>
        <v/>
      </c>
      <c r="R493" s="5">
        <f t="shared" ca="1" si="86"/>
        <v>0</v>
      </c>
      <c r="S493" s="5">
        <f t="shared" si="87"/>
        <v>0</v>
      </c>
      <c r="U493" s="5">
        <f ca="1">COUNTIF(R$10:R493,R493)</f>
        <v>476</v>
      </c>
      <c r="V493" s="5" t="str">
        <f t="shared" ca="1" si="88"/>
        <v>0476</v>
      </c>
      <c r="W493" s="5" t="e">
        <f t="shared" ca="1" si="89"/>
        <v>#REF!</v>
      </c>
      <c r="Y493" s="5">
        <v>484</v>
      </c>
      <c r="Z493" s="5">
        <f t="shared" ca="1" si="91"/>
        <v>0</v>
      </c>
      <c r="AA493" s="5" t="str">
        <f t="shared" ca="1" si="92"/>
        <v>Guarda-móveis</v>
      </c>
      <c r="AB493" s="5">
        <f ca="1">COUNTIF(R$10:R493,R493)</f>
        <v>476</v>
      </c>
      <c r="AC493" s="5" t="str">
        <f t="shared" ca="1" si="93"/>
        <v>0476</v>
      </c>
      <c r="AD493" s="5">
        <f t="shared" ca="1" si="94"/>
        <v>0</v>
      </c>
      <c r="AE493" s="5">
        <f t="shared" ca="1" si="95"/>
        <v>0</v>
      </c>
    </row>
    <row r="494" spans="4:31" ht="15.6" thickTop="1" thickBot="1" x14ac:dyDescent="0.35">
      <c r="D494" s="57"/>
      <c r="E494" s="58"/>
      <c r="F494" s="59"/>
      <c r="G494" s="59"/>
      <c r="H494" s="59"/>
      <c r="I494" s="60"/>
      <c r="J494" s="61"/>
      <c r="K494" s="61"/>
      <c r="M494" s="9" t="str">
        <f t="shared" si="85"/>
        <v/>
      </c>
      <c r="N494" s="5" t="str">
        <f t="shared" si="96"/>
        <v/>
      </c>
      <c r="O494" s="5" t="str">
        <f t="shared" si="90"/>
        <v/>
      </c>
      <c r="R494" s="5">
        <f t="shared" ca="1" si="86"/>
        <v>0</v>
      </c>
      <c r="S494" s="5">
        <f t="shared" si="87"/>
        <v>0</v>
      </c>
      <c r="U494" s="5">
        <f ca="1">COUNTIF(R$10:R494,R494)</f>
        <v>477</v>
      </c>
      <c r="V494" s="5" t="str">
        <f t="shared" ca="1" si="88"/>
        <v>0477</v>
      </c>
      <c r="W494" s="5" t="e">
        <f t="shared" ca="1" si="89"/>
        <v>#REF!</v>
      </c>
      <c r="Y494" s="5">
        <v>485</v>
      </c>
      <c r="Z494" s="5">
        <f t="shared" ca="1" si="91"/>
        <v>0</v>
      </c>
      <c r="AA494" s="5" t="str">
        <f t="shared" ca="1" si="92"/>
        <v>Guarda-móveis</v>
      </c>
      <c r="AB494" s="5">
        <f ca="1">COUNTIF(R$10:R494,R494)</f>
        <v>477</v>
      </c>
      <c r="AC494" s="5" t="str">
        <f t="shared" ca="1" si="93"/>
        <v>0477</v>
      </c>
      <c r="AD494" s="5">
        <f t="shared" ca="1" si="94"/>
        <v>0</v>
      </c>
      <c r="AE494" s="5">
        <f t="shared" ca="1" si="95"/>
        <v>0</v>
      </c>
    </row>
    <row r="495" spans="4:31" ht="15.6" thickTop="1" thickBot="1" x14ac:dyDescent="0.35">
      <c r="D495" s="57"/>
      <c r="E495" s="58"/>
      <c r="F495" s="59"/>
      <c r="G495" s="59"/>
      <c r="H495" s="59"/>
      <c r="I495" s="60"/>
      <c r="J495" s="61"/>
      <c r="K495" s="61"/>
      <c r="M495" s="9" t="str">
        <f t="shared" si="85"/>
        <v/>
      </c>
      <c r="N495" s="5" t="str">
        <f t="shared" si="96"/>
        <v/>
      </c>
      <c r="O495" s="5" t="str">
        <f t="shared" si="90"/>
        <v/>
      </c>
      <c r="R495" s="5">
        <f t="shared" ca="1" si="86"/>
        <v>0</v>
      </c>
      <c r="S495" s="5">
        <f t="shared" si="87"/>
        <v>0</v>
      </c>
      <c r="U495" s="5">
        <f ca="1">COUNTIF(R$10:R495,R495)</f>
        <v>478</v>
      </c>
      <c r="V495" s="5" t="str">
        <f t="shared" ca="1" si="88"/>
        <v>0478</v>
      </c>
      <c r="W495" s="5" t="e">
        <f t="shared" ca="1" si="89"/>
        <v>#REF!</v>
      </c>
      <c r="Y495" s="5">
        <v>486</v>
      </c>
      <c r="Z495" s="5">
        <f t="shared" ca="1" si="91"/>
        <v>0</v>
      </c>
      <c r="AA495" s="5" t="str">
        <f t="shared" ca="1" si="92"/>
        <v>Guarda-móveis</v>
      </c>
      <c r="AB495" s="5">
        <f ca="1">COUNTIF(R$10:R495,R495)</f>
        <v>478</v>
      </c>
      <c r="AC495" s="5" t="str">
        <f t="shared" ca="1" si="93"/>
        <v>0478</v>
      </c>
      <c r="AD495" s="5">
        <f t="shared" ca="1" si="94"/>
        <v>0</v>
      </c>
      <c r="AE495" s="5">
        <f t="shared" ca="1" si="95"/>
        <v>0</v>
      </c>
    </row>
    <row r="496" spans="4:31" ht="15.6" thickTop="1" thickBot="1" x14ac:dyDescent="0.35">
      <c r="D496" s="57"/>
      <c r="E496" s="58"/>
      <c r="F496" s="59"/>
      <c r="G496" s="59"/>
      <c r="H496" s="59"/>
      <c r="I496" s="60"/>
      <c r="J496" s="61"/>
      <c r="K496" s="61"/>
      <c r="M496" s="9" t="str">
        <f t="shared" si="85"/>
        <v/>
      </c>
      <c r="N496" s="5" t="str">
        <f t="shared" si="96"/>
        <v/>
      </c>
      <c r="O496" s="5" t="str">
        <f t="shared" si="90"/>
        <v/>
      </c>
      <c r="R496" s="5">
        <f t="shared" ca="1" si="86"/>
        <v>0</v>
      </c>
      <c r="S496" s="5">
        <f t="shared" si="87"/>
        <v>0</v>
      </c>
      <c r="U496" s="5">
        <f ca="1">COUNTIF(R$10:R496,R496)</f>
        <v>479</v>
      </c>
      <c r="V496" s="5" t="str">
        <f t="shared" ca="1" si="88"/>
        <v>0479</v>
      </c>
      <c r="W496" s="5" t="e">
        <f t="shared" ca="1" si="89"/>
        <v>#REF!</v>
      </c>
      <c r="Y496" s="5">
        <v>487</v>
      </c>
      <c r="Z496" s="5">
        <f t="shared" ca="1" si="91"/>
        <v>0</v>
      </c>
      <c r="AA496" s="5" t="str">
        <f t="shared" ca="1" si="92"/>
        <v>Guarda-móveis</v>
      </c>
      <c r="AB496" s="5">
        <f ca="1">COUNTIF(R$10:R496,R496)</f>
        <v>479</v>
      </c>
      <c r="AC496" s="5" t="str">
        <f t="shared" ca="1" si="93"/>
        <v>0479</v>
      </c>
      <c r="AD496" s="5">
        <f t="shared" ca="1" si="94"/>
        <v>0</v>
      </c>
      <c r="AE496" s="5">
        <f t="shared" ca="1" si="95"/>
        <v>0</v>
      </c>
    </row>
    <row r="497" spans="4:31" ht="15.6" thickTop="1" thickBot="1" x14ac:dyDescent="0.35">
      <c r="D497" s="57"/>
      <c r="E497" s="58"/>
      <c r="F497" s="59"/>
      <c r="G497" s="59"/>
      <c r="H497" s="59"/>
      <c r="I497" s="60"/>
      <c r="J497" s="61"/>
      <c r="K497" s="61"/>
      <c r="M497" s="9" t="str">
        <f t="shared" si="85"/>
        <v/>
      </c>
      <c r="N497" s="5" t="str">
        <f t="shared" si="96"/>
        <v/>
      </c>
      <c r="O497" s="5" t="str">
        <f t="shared" si="90"/>
        <v/>
      </c>
      <c r="R497" s="5">
        <f t="shared" ca="1" si="86"/>
        <v>0</v>
      </c>
      <c r="S497" s="5">
        <f t="shared" si="87"/>
        <v>0</v>
      </c>
      <c r="U497" s="5">
        <f ca="1">COUNTIF(R$10:R497,R497)</f>
        <v>480</v>
      </c>
      <c r="V497" s="5" t="str">
        <f t="shared" ca="1" si="88"/>
        <v>0480</v>
      </c>
      <c r="W497" s="5" t="e">
        <f t="shared" ca="1" si="89"/>
        <v>#REF!</v>
      </c>
      <c r="Y497" s="5">
        <v>488</v>
      </c>
      <c r="Z497" s="5">
        <f t="shared" ca="1" si="91"/>
        <v>0</v>
      </c>
      <c r="AA497" s="5" t="str">
        <f t="shared" ca="1" si="92"/>
        <v>Guarda-móveis</v>
      </c>
      <c r="AB497" s="5">
        <f ca="1">COUNTIF(R$10:R497,R497)</f>
        <v>480</v>
      </c>
      <c r="AC497" s="5" t="str">
        <f t="shared" ca="1" si="93"/>
        <v>0480</v>
      </c>
      <c r="AD497" s="5">
        <f t="shared" ca="1" si="94"/>
        <v>0</v>
      </c>
      <c r="AE497" s="5">
        <f t="shared" ca="1" si="95"/>
        <v>0</v>
      </c>
    </row>
    <row r="498" spans="4:31" ht="15.6" thickTop="1" thickBot="1" x14ac:dyDescent="0.35">
      <c r="D498" s="57"/>
      <c r="E498" s="58"/>
      <c r="F498" s="59"/>
      <c r="G498" s="59"/>
      <c r="H498" s="59"/>
      <c r="I498" s="60"/>
      <c r="J498" s="61"/>
      <c r="K498" s="61"/>
      <c r="M498" s="9" t="str">
        <f t="shared" si="85"/>
        <v/>
      </c>
      <c r="N498" s="5" t="str">
        <f t="shared" si="96"/>
        <v/>
      </c>
      <c r="O498" s="5" t="str">
        <f t="shared" si="90"/>
        <v/>
      </c>
      <c r="R498" s="5">
        <f t="shared" ca="1" si="86"/>
        <v>0</v>
      </c>
      <c r="S498" s="5">
        <f t="shared" si="87"/>
        <v>0</v>
      </c>
      <c r="U498" s="5">
        <f ca="1">COUNTIF(R$10:R498,R498)</f>
        <v>481</v>
      </c>
      <c r="V498" s="5" t="str">
        <f t="shared" ca="1" si="88"/>
        <v>0481</v>
      </c>
      <c r="W498" s="5" t="e">
        <f t="shared" ca="1" si="89"/>
        <v>#REF!</v>
      </c>
      <c r="Y498" s="5">
        <v>489</v>
      </c>
      <c r="Z498" s="5">
        <f t="shared" ca="1" si="91"/>
        <v>0</v>
      </c>
      <c r="AA498" s="5" t="str">
        <f t="shared" ca="1" si="92"/>
        <v>Guarda-móveis</v>
      </c>
      <c r="AB498" s="5">
        <f ca="1">COUNTIF(R$10:R498,R498)</f>
        <v>481</v>
      </c>
      <c r="AC498" s="5" t="str">
        <f t="shared" ca="1" si="93"/>
        <v>0481</v>
      </c>
      <c r="AD498" s="5">
        <f t="shared" ca="1" si="94"/>
        <v>0</v>
      </c>
      <c r="AE498" s="5">
        <f t="shared" ca="1" si="95"/>
        <v>0</v>
      </c>
    </row>
    <row r="499" spans="4:31" ht="15.6" thickTop="1" thickBot="1" x14ac:dyDescent="0.35">
      <c r="D499" s="57"/>
      <c r="E499" s="58"/>
      <c r="F499" s="59"/>
      <c r="G499" s="59"/>
      <c r="H499" s="59"/>
      <c r="I499" s="60"/>
      <c r="J499" s="61"/>
      <c r="K499" s="61"/>
      <c r="M499" s="9" t="str">
        <f t="shared" si="85"/>
        <v/>
      </c>
      <c r="N499" s="5" t="str">
        <f t="shared" si="96"/>
        <v/>
      </c>
      <c r="O499" s="5" t="str">
        <f t="shared" si="90"/>
        <v/>
      </c>
      <c r="R499" s="5">
        <f t="shared" ca="1" si="86"/>
        <v>0</v>
      </c>
      <c r="S499" s="5">
        <f t="shared" si="87"/>
        <v>0</v>
      </c>
      <c r="U499" s="5">
        <f ca="1">COUNTIF(R$10:R499,R499)</f>
        <v>482</v>
      </c>
      <c r="V499" s="5" t="str">
        <f t="shared" ca="1" si="88"/>
        <v>0482</v>
      </c>
      <c r="W499" s="5" t="e">
        <f t="shared" ca="1" si="89"/>
        <v>#REF!</v>
      </c>
      <c r="Y499" s="5">
        <v>490</v>
      </c>
      <c r="Z499" s="5">
        <f t="shared" ca="1" si="91"/>
        <v>0</v>
      </c>
      <c r="AA499" s="5" t="str">
        <f t="shared" ca="1" si="92"/>
        <v>Guarda-móveis</v>
      </c>
      <c r="AB499" s="5">
        <f ca="1">COUNTIF(R$10:R499,R499)</f>
        <v>482</v>
      </c>
      <c r="AC499" s="5" t="str">
        <f t="shared" ca="1" si="93"/>
        <v>0482</v>
      </c>
      <c r="AD499" s="5">
        <f t="shared" ca="1" si="94"/>
        <v>0</v>
      </c>
      <c r="AE499" s="5">
        <f t="shared" ca="1" si="95"/>
        <v>0</v>
      </c>
    </row>
    <row r="500" spans="4:31" ht="15.6" thickTop="1" thickBot="1" x14ac:dyDescent="0.35">
      <c r="D500" s="57"/>
      <c r="E500" s="58"/>
      <c r="F500" s="59"/>
      <c r="G500" s="59"/>
      <c r="H500" s="59"/>
      <c r="I500" s="60"/>
      <c r="J500" s="61"/>
      <c r="K500" s="61"/>
      <c r="M500" s="9" t="str">
        <f t="shared" si="85"/>
        <v/>
      </c>
      <c r="N500" s="5" t="str">
        <f t="shared" si="96"/>
        <v/>
      </c>
      <c r="O500" s="5" t="str">
        <f t="shared" si="90"/>
        <v/>
      </c>
      <c r="R500" s="5">
        <f t="shared" ca="1" si="86"/>
        <v>0</v>
      </c>
      <c r="S500" s="5">
        <f t="shared" si="87"/>
        <v>0</v>
      </c>
      <c r="U500" s="5">
        <f ca="1">COUNTIF(R$10:R500,R500)</f>
        <v>483</v>
      </c>
      <c r="V500" s="5" t="str">
        <f t="shared" ca="1" si="88"/>
        <v>0483</v>
      </c>
      <c r="W500" s="5" t="e">
        <f t="shared" ca="1" si="89"/>
        <v>#REF!</v>
      </c>
      <c r="Y500" s="5">
        <v>491</v>
      </c>
      <c r="Z500" s="5">
        <f t="shared" ca="1" si="91"/>
        <v>0</v>
      </c>
      <c r="AA500" s="5" t="str">
        <f t="shared" ca="1" si="92"/>
        <v>Guarda-móveis</v>
      </c>
      <c r="AB500" s="5">
        <f ca="1">COUNTIF(R$10:R500,R500)</f>
        <v>483</v>
      </c>
      <c r="AC500" s="5" t="str">
        <f t="shared" ca="1" si="93"/>
        <v>0483</v>
      </c>
      <c r="AD500" s="5">
        <f t="shared" ca="1" si="94"/>
        <v>0</v>
      </c>
      <c r="AE500" s="5">
        <f t="shared" ca="1" si="95"/>
        <v>0</v>
      </c>
    </row>
    <row r="501" spans="4:31" ht="15.6" thickTop="1" thickBot="1" x14ac:dyDescent="0.35">
      <c r="D501" s="57"/>
      <c r="E501" s="58"/>
      <c r="F501" s="59"/>
      <c r="G501" s="59"/>
      <c r="H501" s="59"/>
      <c r="I501" s="60"/>
      <c r="J501" s="61"/>
      <c r="K501" s="61"/>
      <c r="M501" s="9" t="str">
        <f t="shared" si="85"/>
        <v/>
      </c>
      <c r="N501" s="5" t="str">
        <f t="shared" si="96"/>
        <v/>
      </c>
      <c r="O501" s="5" t="str">
        <f t="shared" si="90"/>
        <v/>
      </c>
      <c r="R501" s="5">
        <f t="shared" ca="1" si="86"/>
        <v>0</v>
      </c>
      <c r="S501" s="5">
        <f t="shared" si="87"/>
        <v>0</v>
      </c>
      <c r="U501" s="5">
        <f ca="1">COUNTIF(R$10:R501,R501)</f>
        <v>484</v>
      </c>
      <c r="V501" s="5" t="str">
        <f t="shared" ca="1" si="88"/>
        <v>0484</v>
      </c>
      <c r="W501" s="5" t="e">
        <f t="shared" ca="1" si="89"/>
        <v>#REF!</v>
      </c>
      <c r="Y501" s="5">
        <v>492</v>
      </c>
      <c r="Z501" s="5">
        <f t="shared" ca="1" si="91"/>
        <v>0</v>
      </c>
      <c r="AA501" s="5" t="str">
        <f t="shared" ca="1" si="92"/>
        <v>Guarda-móveis</v>
      </c>
      <c r="AB501" s="5">
        <f ca="1">COUNTIF(R$10:R501,R501)</f>
        <v>484</v>
      </c>
      <c r="AC501" s="5" t="str">
        <f t="shared" ca="1" si="93"/>
        <v>0484</v>
      </c>
      <c r="AD501" s="5">
        <f t="shared" ca="1" si="94"/>
        <v>0</v>
      </c>
      <c r="AE501" s="5">
        <f t="shared" ca="1" si="95"/>
        <v>0</v>
      </c>
    </row>
    <row r="502" spans="4:31" ht="15.6" thickTop="1" thickBot="1" x14ac:dyDescent="0.35">
      <c r="D502" s="57"/>
      <c r="E502" s="58"/>
      <c r="F502" s="59"/>
      <c r="G502" s="59"/>
      <c r="H502" s="59"/>
      <c r="I502" s="60"/>
      <c r="J502" s="61"/>
      <c r="K502" s="61"/>
      <c r="M502" s="9" t="str">
        <f t="shared" si="85"/>
        <v/>
      </c>
      <c r="N502" s="5" t="str">
        <f t="shared" si="96"/>
        <v/>
      </c>
      <c r="O502" s="5" t="str">
        <f t="shared" si="90"/>
        <v/>
      </c>
      <c r="R502" s="5">
        <f t="shared" ca="1" si="86"/>
        <v>0</v>
      </c>
      <c r="S502" s="5">
        <f t="shared" si="87"/>
        <v>0</v>
      </c>
      <c r="U502" s="5">
        <f ca="1">COUNTIF(R$10:R502,R502)</f>
        <v>485</v>
      </c>
      <c r="V502" s="5" t="str">
        <f t="shared" ca="1" si="88"/>
        <v>0485</v>
      </c>
      <c r="W502" s="5" t="e">
        <f t="shared" ca="1" si="89"/>
        <v>#REF!</v>
      </c>
      <c r="Y502" s="5">
        <v>493</v>
      </c>
      <c r="Z502" s="5">
        <f t="shared" ca="1" si="91"/>
        <v>0</v>
      </c>
      <c r="AA502" s="5" t="str">
        <f t="shared" ca="1" si="92"/>
        <v>Guarda-móveis</v>
      </c>
      <c r="AB502" s="5">
        <f ca="1">COUNTIF(R$10:R502,R502)</f>
        <v>485</v>
      </c>
      <c r="AC502" s="5" t="str">
        <f t="shared" ca="1" si="93"/>
        <v>0485</v>
      </c>
      <c r="AD502" s="5">
        <f t="shared" ca="1" si="94"/>
        <v>0</v>
      </c>
      <c r="AE502" s="5">
        <f t="shared" ca="1" si="95"/>
        <v>0</v>
      </c>
    </row>
    <row r="503" spans="4:31" ht="15.6" thickTop="1" thickBot="1" x14ac:dyDescent="0.35">
      <c r="D503" s="57"/>
      <c r="E503" s="58"/>
      <c r="F503" s="59"/>
      <c r="G503" s="59"/>
      <c r="H503" s="59"/>
      <c r="I503" s="60"/>
      <c r="J503" s="61"/>
      <c r="K503" s="61"/>
      <c r="M503" s="9" t="str">
        <f t="shared" si="85"/>
        <v/>
      </c>
      <c r="N503" s="5" t="str">
        <f t="shared" si="96"/>
        <v/>
      </c>
      <c r="O503" s="5" t="str">
        <f t="shared" si="90"/>
        <v/>
      </c>
      <c r="R503" s="5">
        <f t="shared" ca="1" si="86"/>
        <v>0</v>
      </c>
      <c r="S503" s="5">
        <f t="shared" si="87"/>
        <v>0</v>
      </c>
      <c r="U503" s="5">
        <f ca="1">COUNTIF(R$10:R503,R503)</f>
        <v>486</v>
      </c>
      <c r="V503" s="5" t="str">
        <f t="shared" ca="1" si="88"/>
        <v>0486</v>
      </c>
      <c r="W503" s="5" t="e">
        <f t="shared" ca="1" si="89"/>
        <v>#REF!</v>
      </c>
      <c r="Y503" s="5">
        <v>494</v>
      </c>
      <c r="Z503" s="5">
        <f t="shared" ca="1" si="91"/>
        <v>0</v>
      </c>
      <c r="AA503" s="5" t="str">
        <f t="shared" ca="1" si="92"/>
        <v>Guarda-móveis</v>
      </c>
      <c r="AB503" s="5">
        <f ca="1">COUNTIF(R$10:R503,R503)</f>
        <v>486</v>
      </c>
      <c r="AC503" s="5" t="str">
        <f t="shared" ca="1" si="93"/>
        <v>0486</v>
      </c>
      <c r="AD503" s="5">
        <f t="shared" ca="1" si="94"/>
        <v>0</v>
      </c>
      <c r="AE503" s="5">
        <f t="shared" ca="1" si="95"/>
        <v>0</v>
      </c>
    </row>
    <row r="504" spans="4:31" ht="15.6" thickTop="1" thickBot="1" x14ac:dyDescent="0.35">
      <c r="D504" s="57"/>
      <c r="E504" s="58"/>
      <c r="F504" s="59"/>
      <c r="G504" s="59"/>
      <c r="H504" s="59"/>
      <c r="I504" s="60"/>
      <c r="J504" s="61"/>
      <c r="K504" s="61"/>
      <c r="M504" s="9" t="str">
        <f t="shared" si="85"/>
        <v/>
      </c>
      <c r="N504" s="5" t="str">
        <f t="shared" si="96"/>
        <v/>
      </c>
      <c r="O504" s="5" t="str">
        <f t="shared" si="90"/>
        <v/>
      </c>
      <c r="R504" s="5">
        <f t="shared" ca="1" si="86"/>
        <v>0</v>
      </c>
      <c r="S504" s="5">
        <f t="shared" si="87"/>
        <v>0</v>
      </c>
      <c r="U504" s="5">
        <f ca="1">COUNTIF(R$10:R504,R504)</f>
        <v>487</v>
      </c>
      <c r="V504" s="5" t="str">
        <f t="shared" ca="1" si="88"/>
        <v>0487</v>
      </c>
      <c r="W504" s="5" t="e">
        <f t="shared" ca="1" si="89"/>
        <v>#REF!</v>
      </c>
      <c r="Y504" s="5">
        <v>495</v>
      </c>
      <c r="Z504" s="5">
        <f t="shared" ca="1" si="91"/>
        <v>0</v>
      </c>
      <c r="AA504" s="5" t="str">
        <f t="shared" ca="1" si="92"/>
        <v>Guarda-móveis</v>
      </c>
      <c r="AB504" s="5">
        <f ca="1">COUNTIF(R$10:R504,R504)</f>
        <v>487</v>
      </c>
      <c r="AC504" s="5" t="str">
        <f t="shared" ca="1" si="93"/>
        <v>0487</v>
      </c>
      <c r="AD504" s="5">
        <f t="shared" ca="1" si="94"/>
        <v>0</v>
      </c>
      <c r="AE504" s="5">
        <f t="shared" ca="1" si="95"/>
        <v>0</v>
      </c>
    </row>
    <row r="505" spans="4:31" ht="15.6" thickTop="1" thickBot="1" x14ac:dyDescent="0.35">
      <c r="D505" s="57"/>
      <c r="E505" s="58"/>
      <c r="F505" s="59"/>
      <c r="G505" s="59"/>
      <c r="H505" s="59"/>
      <c r="I505" s="60"/>
      <c r="J505" s="61"/>
      <c r="K505" s="61"/>
      <c r="M505" s="9" t="str">
        <f t="shared" si="85"/>
        <v/>
      </c>
      <c r="N505" s="5" t="str">
        <f t="shared" si="96"/>
        <v/>
      </c>
      <c r="O505" s="5" t="str">
        <f t="shared" si="90"/>
        <v/>
      </c>
      <c r="R505" s="5">
        <f t="shared" ca="1" si="86"/>
        <v>0</v>
      </c>
      <c r="S505" s="5">
        <f t="shared" si="87"/>
        <v>0</v>
      </c>
      <c r="U505" s="5">
        <f ca="1">COUNTIF(R$10:R505,R505)</f>
        <v>488</v>
      </c>
      <c r="V505" s="5" t="str">
        <f t="shared" ca="1" si="88"/>
        <v>0488</v>
      </c>
      <c r="W505" s="5" t="e">
        <f t="shared" ca="1" si="89"/>
        <v>#REF!</v>
      </c>
      <c r="Y505" s="5">
        <v>496</v>
      </c>
      <c r="Z505" s="5">
        <f t="shared" ca="1" si="91"/>
        <v>0</v>
      </c>
      <c r="AA505" s="5" t="str">
        <f t="shared" ca="1" si="92"/>
        <v>Guarda-móveis</v>
      </c>
      <c r="AB505" s="5">
        <f ca="1">COUNTIF(R$10:R505,R505)</f>
        <v>488</v>
      </c>
      <c r="AC505" s="5" t="str">
        <f t="shared" ca="1" si="93"/>
        <v>0488</v>
      </c>
      <c r="AD505" s="5">
        <f t="shared" ca="1" si="94"/>
        <v>0</v>
      </c>
      <c r="AE505" s="5">
        <f t="shared" ca="1" si="95"/>
        <v>0</v>
      </c>
    </row>
    <row r="506" spans="4:31" ht="15.6" thickTop="1" thickBot="1" x14ac:dyDescent="0.35">
      <c r="D506" s="57"/>
      <c r="E506" s="58"/>
      <c r="F506" s="59"/>
      <c r="G506" s="59"/>
      <c r="H506" s="59"/>
      <c r="I506" s="60"/>
      <c r="J506" s="61"/>
      <c r="K506" s="61"/>
      <c r="M506" s="9" t="str">
        <f t="shared" si="85"/>
        <v/>
      </c>
      <c r="N506" s="5" t="str">
        <f t="shared" si="96"/>
        <v/>
      </c>
      <c r="O506" s="5" t="str">
        <f t="shared" si="90"/>
        <v/>
      </c>
      <c r="R506" s="5">
        <f t="shared" ca="1" si="86"/>
        <v>0</v>
      </c>
      <c r="S506" s="5">
        <f t="shared" si="87"/>
        <v>0</v>
      </c>
      <c r="U506" s="5">
        <f ca="1">COUNTIF(R$10:R506,R506)</f>
        <v>489</v>
      </c>
      <c r="V506" s="5" t="str">
        <f t="shared" ca="1" si="88"/>
        <v>0489</v>
      </c>
      <c r="W506" s="5" t="e">
        <f t="shared" ca="1" si="89"/>
        <v>#REF!</v>
      </c>
      <c r="Y506" s="5">
        <v>497</v>
      </c>
      <c r="Z506" s="5">
        <f t="shared" ca="1" si="91"/>
        <v>0</v>
      </c>
      <c r="AA506" s="5" t="str">
        <f t="shared" ca="1" si="92"/>
        <v>Guarda-móveis</v>
      </c>
      <c r="AB506" s="5">
        <f ca="1">COUNTIF(R$10:R506,R506)</f>
        <v>489</v>
      </c>
      <c r="AC506" s="5" t="str">
        <f t="shared" ca="1" si="93"/>
        <v>0489</v>
      </c>
      <c r="AD506" s="5">
        <f t="shared" ca="1" si="94"/>
        <v>0</v>
      </c>
      <c r="AE506" s="5">
        <f t="shared" ca="1" si="95"/>
        <v>0</v>
      </c>
    </row>
    <row r="507" spans="4:31" ht="15.6" thickTop="1" thickBot="1" x14ac:dyDescent="0.35">
      <c r="D507" s="57"/>
      <c r="E507" s="58"/>
      <c r="F507" s="59"/>
      <c r="G507" s="59"/>
      <c r="H507" s="59"/>
      <c r="I507" s="60"/>
      <c r="J507" s="61"/>
      <c r="K507" s="61"/>
      <c r="M507" s="9" t="str">
        <f t="shared" si="85"/>
        <v/>
      </c>
      <c r="N507" s="5" t="str">
        <f t="shared" si="96"/>
        <v/>
      </c>
      <c r="O507" s="5" t="str">
        <f t="shared" si="90"/>
        <v/>
      </c>
      <c r="R507" s="5">
        <f t="shared" ca="1" si="86"/>
        <v>0</v>
      </c>
      <c r="S507" s="5">
        <f t="shared" si="87"/>
        <v>0</v>
      </c>
      <c r="U507" s="5">
        <f ca="1">COUNTIF(R$10:R507,R507)</f>
        <v>490</v>
      </c>
      <c r="V507" s="5" t="str">
        <f t="shared" ca="1" si="88"/>
        <v>0490</v>
      </c>
      <c r="W507" s="5" t="e">
        <f t="shared" ca="1" si="89"/>
        <v>#REF!</v>
      </c>
      <c r="Y507" s="5">
        <v>498</v>
      </c>
      <c r="Z507" s="5">
        <f t="shared" ca="1" si="91"/>
        <v>0</v>
      </c>
      <c r="AA507" s="5" t="str">
        <f t="shared" ca="1" si="92"/>
        <v>Guarda-móveis</v>
      </c>
      <c r="AB507" s="5">
        <f ca="1">COUNTIF(R$10:R507,R507)</f>
        <v>490</v>
      </c>
      <c r="AC507" s="5" t="str">
        <f t="shared" ca="1" si="93"/>
        <v>0490</v>
      </c>
      <c r="AD507" s="5">
        <f t="shared" ca="1" si="94"/>
        <v>0</v>
      </c>
      <c r="AE507" s="5">
        <f t="shared" ca="1" si="95"/>
        <v>0</v>
      </c>
    </row>
    <row r="508" spans="4:31" ht="15.6" thickTop="1" thickBot="1" x14ac:dyDescent="0.35">
      <c r="D508" s="57"/>
      <c r="E508" s="58"/>
      <c r="F508" s="59"/>
      <c r="G508" s="59"/>
      <c r="H508" s="59"/>
      <c r="I508" s="60"/>
      <c r="J508" s="61"/>
      <c r="K508" s="61"/>
      <c r="M508" s="9" t="str">
        <f t="shared" si="85"/>
        <v/>
      </c>
      <c r="N508" s="5" t="str">
        <f t="shared" si="96"/>
        <v/>
      </c>
      <c r="O508" s="5" t="str">
        <f t="shared" si="90"/>
        <v/>
      </c>
      <c r="R508" s="5">
        <f t="shared" ca="1" si="86"/>
        <v>0</v>
      </c>
      <c r="S508" s="5">
        <f t="shared" si="87"/>
        <v>0</v>
      </c>
      <c r="U508" s="5">
        <f ca="1">COUNTIF(R$10:R508,R508)</f>
        <v>491</v>
      </c>
      <c r="V508" s="5" t="str">
        <f t="shared" ca="1" si="88"/>
        <v>0491</v>
      </c>
      <c r="W508" s="5" t="e">
        <f t="shared" ca="1" si="89"/>
        <v>#REF!</v>
      </c>
      <c r="Y508" s="5">
        <v>499</v>
      </c>
      <c r="Z508" s="5">
        <f t="shared" ca="1" si="91"/>
        <v>0</v>
      </c>
      <c r="AA508" s="5" t="str">
        <f t="shared" ca="1" si="92"/>
        <v>Guarda-móveis</v>
      </c>
      <c r="AB508" s="5">
        <f ca="1">COUNTIF(R$10:R508,R508)</f>
        <v>491</v>
      </c>
      <c r="AC508" s="5" t="str">
        <f t="shared" ca="1" si="93"/>
        <v>0491</v>
      </c>
      <c r="AD508" s="5">
        <f t="shared" ca="1" si="94"/>
        <v>0</v>
      </c>
      <c r="AE508" s="5">
        <f t="shared" ca="1" si="95"/>
        <v>0</v>
      </c>
    </row>
    <row r="509" spans="4:31" ht="15.6" thickTop="1" thickBot="1" x14ac:dyDescent="0.35">
      <c r="D509" s="57"/>
      <c r="E509" s="58"/>
      <c r="F509" s="59"/>
      <c r="G509" s="59"/>
      <c r="H509" s="59"/>
      <c r="I509" s="60"/>
      <c r="J509" s="61"/>
      <c r="K509" s="61"/>
      <c r="M509" s="9" t="str">
        <f t="shared" si="85"/>
        <v/>
      </c>
      <c r="N509" s="5" t="str">
        <f t="shared" si="96"/>
        <v/>
      </c>
      <c r="O509" s="5" t="str">
        <f t="shared" si="90"/>
        <v/>
      </c>
      <c r="R509" s="5">
        <f t="shared" ca="1" si="86"/>
        <v>0</v>
      </c>
      <c r="S509" s="5">
        <f t="shared" si="87"/>
        <v>0</v>
      </c>
      <c r="U509" s="5">
        <f ca="1">COUNTIF(R$10:R509,R509)</f>
        <v>492</v>
      </c>
      <c r="V509" s="5" t="str">
        <f t="shared" ca="1" si="88"/>
        <v>0492</v>
      </c>
      <c r="W509" s="5" t="e">
        <f t="shared" ca="1" si="89"/>
        <v>#REF!</v>
      </c>
      <c r="Y509" s="5">
        <v>500</v>
      </c>
      <c r="Z509" s="5">
        <f t="shared" ca="1" si="91"/>
        <v>0</v>
      </c>
      <c r="AA509" s="5" t="str">
        <f t="shared" ca="1" si="92"/>
        <v>Guarda-móveis</v>
      </c>
      <c r="AB509" s="5">
        <f ca="1">COUNTIF(R$10:R509,R509)</f>
        <v>492</v>
      </c>
      <c r="AC509" s="5" t="str">
        <f t="shared" ca="1" si="93"/>
        <v>0492</v>
      </c>
      <c r="AD509" s="5">
        <f t="shared" ca="1" si="94"/>
        <v>0</v>
      </c>
      <c r="AE509" s="5">
        <f t="shared" ca="1" si="95"/>
        <v>0</v>
      </c>
    </row>
    <row r="510" spans="4:31" ht="15.6" thickTop="1" thickBot="1" x14ac:dyDescent="0.35">
      <c r="D510" s="57"/>
      <c r="E510" s="58"/>
      <c r="F510" s="59"/>
      <c r="G510" s="59"/>
      <c r="H510" s="59"/>
      <c r="I510" s="60"/>
      <c r="J510" s="61"/>
      <c r="K510" s="61"/>
      <c r="M510" s="9" t="str">
        <f t="shared" si="85"/>
        <v/>
      </c>
      <c r="N510" s="5" t="str">
        <f t="shared" si="96"/>
        <v/>
      </c>
      <c r="O510" s="5" t="str">
        <f t="shared" si="90"/>
        <v/>
      </c>
      <c r="R510" s="5">
        <f t="shared" ca="1" si="86"/>
        <v>0</v>
      </c>
      <c r="S510" s="5">
        <f t="shared" si="87"/>
        <v>0</v>
      </c>
      <c r="U510" s="5">
        <f ca="1">COUNTIF(R$10:R510,R510)</f>
        <v>493</v>
      </c>
      <c r="V510" s="5" t="str">
        <f t="shared" ca="1" si="88"/>
        <v>0493</v>
      </c>
      <c r="W510" s="5" t="e">
        <f t="shared" ca="1" si="89"/>
        <v>#REF!</v>
      </c>
      <c r="Y510" s="5">
        <v>501</v>
      </c>
      <c r="Z510" s="5">
        <f t="shared" ca="1" si="91"/>
        <v>0</v>
      </c>
      <c r="AA510" s="5" t="str">
        <f t="shared" ca="1" si="92"/>
        <v>Guarda-móveis</v>
      </c>
      <c r="AB510" s="5">
        <f ca="1">COUNTIF(R$10:R510,R510)</f>
        <v>493</v>
      </c>
      <c r="AC510" s="5" t="str">
        <f t="shared" ca="1" si="93"/>
        <v>0493</v>
      </c>
      <c r="AD510" s="5">
        <f t="shared" ca="1" si="94"/>
        <v>0</v>
      </c>
      <c r="AE510" s="5">
        <f t="shared" ca="1" si="95"/>
        <v>0</v>
      </c>
    </row>
    <row r="511" spans="4:31" ht="15.6" thickTop="1" thickBot="1" x14ac:dyDescent="0.35">
      <c r="D511" s="57"/>
      <c r="E511" s="58"/>
      <c r="F511" s="59"/>
      <c r="G511" s="59"/>
      <c r="H511" s="59"/>
      <c r="I511" s="60"/>
      <c r="J511" s="61"/>
      <c r="K511" s="61"/>
      <c r="M511" s="9" t="str">
        <f t="shared" si="85"/>
        <v/>
      </c>
      <c r="N511" s="5" t="str">
        <f t="shared" si="96"/>
        <v/>
      </c>
      <c r="O511" s="5" t="str">
        <f t="shared" si="90"/>
        <v/>
      </c>
      <c r="R511" s="5">
        <f t="shared" ca="1" si="86"/>
        <v>0</v>
      </c>
      <c r="S511" s="5">
        <f t="shared" si="87"/>
        <v>0</v>
      </c>
      <c r="U511" s="5">
        <f ca="1">COUNTIF(R$10:R511,R511)</f>
        <v>494</v>
      </c>
      <c r="V511" s="5" t="str">
        <f t="shared" ca="1" si="88"/>
        <v>0494</v>
      </c>
      <c r="W511" s="5" t="e">
        <f t="shared" ca="1" si="89"/>
        <v>#REF!</v>
      </c>
      <c r="Y511" s="5">
        <v>502</v>
      </c>
      <c r="Z511" s="5">
        <f t="shared" ca="1" si="91"/>
        <v>0</v>
      </c>
      <c r="AA511" s="5" t="str">
        <f t="shared" ca="1" si="92"/>
        <v>Guarda-móveis</v>
      </c>
      <c r="AB511" s="5">
        <f ca="1">COUNTIF(R$10:R511,R511)</f>
        <v>494</v>
      </c>
      <c r="AC511" s="5" t="str">
        <f t="shared" ca="1" si="93"/>
        <v>0494</v>
      </c>
      <c r="AD511" s="5">
        <f t="shared" ca="1" si="94"/>
        <v>0</v>
      </c>
      <c r="AE511" s="5">
        <f t="shared" ca="1" si="95"/>
        <v>0</v>
      </c>
    </row>
    <row r="512" spans="4:31" ht="15.6" thickTop="1" thickBot="1" x14ac:dyDescent="0.35">
      <c r="D512" s="57"/>
      <c r="E512" s="58"/>
      <c r="F512" s="59"/>
      <c r="G512" s="59"/>
      <c r="H512" s="59"/>
      <c r="I512" s="60"/>
      <c r="J512" s="61"/>
      <c r="K512" s="61"/>
      <c r="M512" s="9" t="str">
        <f t="shared" si="85"/>
        <v/>
      </c>
      <c r="N512" s="5" t="str">
        <f t="shared" si="96"/>
        <v/>
      </c>
      <c r="O512" s="5" t="str">
        <f t="shared" si="90"/>
        <v/>
      </c>
      <c r="R512" s="5">
        <f t="shared" ca="1" si="86"/>
        <v>0</v>
      </c>
      <c r="S512" s="5">
        <f t="shared" si="87"/>
        <v>0</v>
      </c>
      <c r="U512" s="5">
        <f ca="1">COUNTIF(R$10:R512,R512)</f>
        <v>495</v>
      </c>
      <c r="V512" s="5" t="str">
        <f t="shared" ca="1" si="88"/>
        <v>0495</v>
      </c>
      <c r="W512" s="5" t="e">
        <f t="shared" ca="1" si="89"/>
        <v>#REF!</v>
      </c>
      <c r="Y512" s="5">
        <v>503</v>
      </c>
      <c r="Z512" s="5">
        <f t="shared" ca="1" si="91"/>
        <v>0</v>
      </c>
      <c r="AA512" s="5" t="str">
        <f t="shared" ca="1" si="92"/>
        <v>Guarda-móveis</v>
      </c>
      <c r="AB512" s="5">
        <f ca="1">COUNTIF(R$10:R512,R512)</f>
        <v>495</v>
      </c>
      <c r="AC512" s="5" t="str">
        <f t="shared" ca="1" si="93"/>
        <v>0495</v>
      </c>
      <c r="AD512" s="5">
        <f t="shared" ca="1" si="94"/>
        <v>0</v>
      </c>
      <c r="AE512" s="5">
        <f t="shared" ca="1" si="95"/>
        <v>0</v>
      </c>
    </row>
    <row r="513" spans="4:31" ht="15.6" thickTop="1" thickBot="1" x14ac:dyDescent="0.35">
      <c r="D513" s="57"/>
      <c r="E513" s="58"/>
      <c r="F513" s="59"/>
      <c r="G513" s="59"/>
      <c r="H513" s="59"/>
      <c r="I513" s="60"/>
      <c r="J513" s="61"/>
      <c r="K513" s="61"/>
      <c r="M513" s="9" t="str">
        <f t="shared" si="85"/>
        <v/>
      </c>
      <c r="N513" s="5" t="str">
        <f t="shared" si="96"/>
        <v/>
      </c>
      <c r="O513" s="5" t="str">
        <f t="shared" si="90"/>
        <v/>
      </c>
      <c r="R513" s="5">
        <f t="shared" ca="1" si="86"/>
        <v>0</v>
      </c>
      <c r="S513" s="5">
        <f t="shared" si="87"/>
        <v>0</v>
      </c>
      <c r="U513" s="5">
        <f ca="1">COUNTIF(R$10:R513,R513)</f>
        <v>496</v>
      </c>
      <c r="V513" s="5" t="str">
        <f t="shared" ca="1" si="88"/>
        <v>0496</v>
      </c>
      <c r="W513" s="5" t="e">
        <f t="shared" ca="1" si="89"/>
        <v>#REF!</v>
      </c>
      <c r="Y513" s="5">
        <v>504</v>
      </c>
      <c r="Z513" s="5">
        <f t="shared" ca="1" si="91"/>
        <v>0</v>
      </c>
      <c r="AA513" s="5" t="str">
        <f t="shared" ca="1" si="92"/>
        <v>Guarda-móveis</v>
      </c>
      <c r="AB513" s="5">
        <f ca="1">COUNTIF(R$10:R513,R513)</f>
        <v>496</v>
      </c>
      <c r="AC513" s="5" t="str">
        <f t="shared" ca="1" si="93"/>
        <v>0496</v>
      </c>
      <c r="AD513" s="5">
        <f t="shared" ca="1" si="94"/>
        <v>0</v>
      </c>
      <c r="AE513" s="5">
        <f t="shared" ca="1" si="95"/>
        <v>0</v>
      </c>
    </row>
    <row r="514" spans="4:31" ht="15.6" thickTop="1" thickBot="1" x14ac:dyDescent="0.35">
      <c r="D514" s="57"/>
      <c r="E514" s="58"/>
      <c r="F514" s="59"/>
      <c r="G514" s="59"/>
      <c r="H514" s="59"/>
      <c r="I514" s="60"/>
      <c r="J514" s="61"/>
      <c r="K514" s="61"/>
      <c r="M514" s="9" t="str">
        <f t="shared" si="85"/>
        <v/>
      </c>
      <c r="N514" s="5" t="str">
        <f t="shared" si="96"/>
        <v/>
      </c>
      <c r="O514" s="5" t="str">
        <f t="shared" si="90"/>
        <v/>
      </c>
      <c r="R514" s="5">
        <f t="shared" ca="1" si="86"/>
        <v>0</v>
      </c>
      <c r="S514" s="5">
        <f t="shared" si="87"/>
        <v>0</v>
      </c>
      <c r="U514" s="5">
        <f ca="1">COUNTIF(R$10:R514,R514)</f>
        <v>497</v>
      </c>
      <c r="V514" s="5" t="str">
        <f t="shared" ca="1" si="88"/>
        <v>0497</v>
      </c>
      <c r="W514" s="5" t="e">
        <f t="shared" ca="1" si="89"/>
        <v>#REF!</v>
      </c>
      <c r="Y514" s="5">
        <v>505</v>
      </c>
      <c r="Z514" s="5">
        <f t="shared" ca="1" si="91"/>
        <v>0</v>
      </c>
      <c r="AA514" s="5" t="str">
        <f t="shared" ca="1" si="92"/>
        <v>Guarda-móveis</v>
      </c>
      <c r="AB514" s="5">
        <f ca="1">COUNTIF(R$10:R514,R514)</f>
        <v>497</v>
      </c>
      <c r="AC514" s="5" t="str">
        <f t="shared" ca="1" si="93"/>
        <v>0497</v>
      </c>
      <c r="AD514" s="5">
        <f t="shared" ca="1" si="94"/>
        <v>0</v>
      </c>
      <c r="AE514" s="5">
        <f t="shared" ca="1" si="95"/>
        <v>0</v>
      </c>
    </row>
    <row r="515" spans="4:31" ht="15.6" thickTop="1" thickBot="1" x14ac:dyDescent="0.35">
      <c r="D515" s="57"/>
      <c r="E515" s="58"/>
      <c r="F515" s="59"/>
      <c r="G515" s="59"/>
      <c r="H515" s="59"/>
      <c r="I515" s="60"/>
      <c r="J515" s="61"/>
      <c r="K515" s="61"/>
      <c r="M515" s="9" t="str">
        <f t="shared" si="85"/>
        <v/>
      </c>
      <c r="N515" s="5" t="str">
        <f t="shared" si="96"/>
        <v/>
      </c>
      <c r="O515" s="5" t="str">
        <f t="shared" si="90"/>
        <v/>
      </c>
      <c r="R515" s="5">
        <f t="shared" ca="1" si="86"/>
        <v>0</v>
      </c>
      <c r="S515" s="5">
        <f t="shared" si="87"/>
        <v>0</v>
      </c>
      <c r="U515" s="5">
        <f ca="1">COUNTIF(R$10:R515,R515)</f>
        <v>498</v>
      </c>
      <c r="V515" s="5" t="str">
        <f t="shared" ca="1" si="88"/>
        <v>0498</v>
      </c>
      <c r="W515" s="5" t="e">
        <f t="shared" ca="1" si="89"/>
        <v>#REF!</v>
      </c>
      <c r="Y515" s="5">
        <v>506</v>
      </c>
      <c r="Z515" s="5">
        <f t="shared" ca="1" si="91"/>
        <v>0</v>
      </c>
      <c r="AA515" s="5" t="str">
        <f t="shared" ca="1" si="92"/>
        <v>Guarda-móveis</v>
      </c>
      <c r="AB515" s="5">
        <f ca="1">COUNTIF(R$10:R515,R515)</f>
        <v>498</v>
      </c>
      <c r="AC515" s="5" t="str">
        <f t="shared" ca="1" si="93"/>
        <v>0498</v>
      </c>
      <c r="AD515" s="5">
        <f t="shared" ca="1" si="94"/>
        <v>0</v>
      </c>
      <c r="AE515" s="5">
        <f t="shared" ca="1" si="95"/>
        <v>0</v>
      </c>
    </row>
    <row r="516" spans="4:31" ht="15.6" thickTop="1" thickBot="1" x14ac:dyDescent="0.35">
      <c r="D516" s="57"/>
      <c r="E516" s="58"/>
      <c r="F516" s="59"/>
      <c r="G516" s="59"/>
      <c r="H516" s="59"/>
      <c r="I516" s="60"/>
      <c r="J516" s="61"/>
      <c r="K516" s="61"/>
      <c r="M516" s="9" t="str">
        <f t="shared" si="85"/>
        <v/>
      </c>
      <c r="N516" s="5" t="str">
        <f t="shared" si="96"/>
        <v/>
      </c>
      <c r="O516" s="5" t="str">
        <f t="shared" si="90"/>
        <v/>
      </c>
      <c r="R516" s="5">
        <f t="shared" ca="1" si="86"/>
        <v>0</v>
      </c>
      <c r="S516" s="5">
        <f t="shared" si="87"/>
        <v>0</v>
      </c>
      <c r="U516" s="5">
        <f ca="1">COUNTIF(R$10:R516,R516)</f>
        <v>499</v>
      </c>
      <c r="V516" s="5" t="str">
        <f t="shared" ca="1" si="88"/>
        <v>0499</v>
      </c>
      <c r="W516" s="5" t="e">
        <f t="shared" ca="1" si="89"/>
        <v>#REF!</v>
      </c>
      <c r="Y516" s="5">
        <v>507</v>
      </c>
      <c r="Z516" s="5">
        <f t="shared" ca="1" si="91"/>
        <v>0</v>
      </c>
      <c r="AA516" s="5" t="str">
        <f t="shared" ca="1" si="92"/>
        <v>Guarda-móveis</v>
      </c>
      <c r="AB516" s="5">
        <f ca="1">COUNTIF(R$10:R516,R516)</f>
        <v>499</v>
      </c>
      <c r="AC516" s="5" t="str">
        <f t="shared" ca="1" si="93"/>
        <v>0499</v>
      </c>
      <c r="AD516" s="5">
        <f t="shared" ca="1" si="94"/>
        <v>0</v>
      </c>
      <c r="AE516" s="5">
        <f t="shared" ca="1" si="95"/>
        <v>0</v>
      </c>
    </row>
    <row r="517" spans="4:31" ht="15.6" thickTop="1" thickBot="1" x14ac:dyDescent="0.35">
      <c r="D517" s="57"/>
      <c r="E517" s="58"/>
      <c r="F517" s="59"/>
      <c r="G517" s="59"/>
      <c r="H517" s="59"/>
      <c r="I517" s="60"/>
      <c r="J517" s="61"/>
      <c r="K517" s="61"/>
      <c r="M517" s="9" t="str">
        <f t="shared" si="85"/>
        <v/>
      </c>
      <c r="N517" s="5" t="str">
        <f t="shared" si="96"/>
        <v/>
      </c>
      <c r="O517" s="5" t="str">
        <f t="shared" si="90"/>
        <v/>
      </c>
      <c r="R517" s="5">
        <f t="shared" ca="1" si="86"/>
        <v>0</v>
      </c>
      <c r="S517" s="5">
        <f t="shared" si="87"/>
        <v>0</v>
      </c>
      <c r="U517" s="5">
        <f ca="1">COUNTIF(R$10:R517,R517)</f>
        <v>500</v>
      </c>
      <c r="V517" s="5" t="str">
        <f t="shared" ca="1" si="88"/>
        <v>0500</v>
      </c>
      <c r="W517" s="5" t="e">
        <f t="shared" ca="1" si="89"/>
        <v>#REF!</v>
      </c>
      <c r="Y517" s="5">
        <v>508</v>
      </c>
      <c r="Z517" s="5">
        <f t="shared" ca="1" si="91"/>
        <v>0</v>
      </c>
      <c r="AA517" s="5" t="str">
        <f t="shared" ca="1" si="92"/>
        <v>Guarda-móveis</v>
      </c>
      <c r="AB517" s="5">
        <f ca="1">COUNTIF(R$10:R517,R517)</f>
        <v>500</v>
      </c>
      <c r="AC517" s="5" t="str">
        <f t="shared" ca="1" si="93"/>
        <v>0500</v>
      </c>
      <c r="AD517" s="5">
        <f t="shared" ca="1" si="94"/>
        <v>0</v>
      </c>
      <c r="AE517" s="5">
        <f t="shared" ca="1" si="95"/>
        <v>0</v>
      </c>
    </row>
    <row r="518" spans="4:31" ht="15.6" thickTop="1" thickBot="1" x14ac:dyDescent="0.35">
      <c r="D518" s="57"/>
      <c r="E518" s="58"/>
      <c r="F518" s="59"/>
      <c r="G518" s="59"/>
      <c r="H518" s="59"/>
      <c r="I518" s="60"/>
      <c r="J518" s="61"/>
      <c r="K518" s="61"/>
      <c r="M518" s="9" t="str">
        <f t="shared" si="85"/>
        <v/>
      </c>
      <c r="N518" s="5" t="str">
        <f t="shared" si="96"/>
        <v/>
      </c>
      <c r="O518" s="5" t="str">
        <f t="shared" si="90"/>
        <v/>
      </c>
      <c r="R518" s="5">
        <f t="shared" ca="1" si="86"/>
        <v>0</v>
      </c>
      <c r="S518" s="5">
        <f t="shared" si="87"/>
        <v>0</v>
      </c>
      <c r="U518" s="5">
        <f ca="1">COUNTIF(R$10:R518,R518)</f>
        <v>501</v>
      </c>
      <c r="V518" s="5" t="str">
        <f t="shared" ca="1" si="88"/>
        <v>0501</v>
      </c>
      <c r="W518" s="5" t="e">
        <f t="shared" ca="1" si="89"/>
        <v>#REF!</v>
      </c>
      <c r="Y518" s="5">
        <v>509</v>
      </c>
      <c r="Z518" s="5">
        <f t="shared" ca="1" si="91"/>
        <v>0</v>
      </c>
      <c r="AA518" s="5" t="str">
        <f t="shared" ca="1" si="92"/>
        <v>Guarda-móveis</v>
      </c>
      <c r="AB518" s="5">
        <f ca="1">COUNTIF(R$10:R518,R518)</f>
        <v>501</v>
      </c>
      <c r="AC518" s="5" t="str">
        <f t="shared" ca="1" si="93"/>
        <v>0501</v>
      </c>
      <c r="AD518" s="5">
        <f t="shared" ca="1" si="94"/>
        <v>0</v>
      </c>
      <c r="AE518" s="5">
        <f t="shared" ca="1" si="95"/>
        <v>0</v>
      </c>
    </row>
    <row r="519" spans="4:31" ht="15.6" thickTop="1" thickBot="1" x14ac:dyDescent="0.35">
      <c r="D519" s="57"/>
      <c r="E519" s="58"/>
      <c r="F519" s="59"/>
      <c r="G519" s="59"/>
      <c r="H519" s="59"/>
      <c r="I519" s="60"/>
      <c r="J519" s="61"/>
      <c r="K519" s="61"/>
      <c r="M519" s="9" t="str">
        <f t="shared" si="85"/>
        <v/>
      </c>
      <c r="N519" s="5" t="str">
        <f t="shared" si="96"/>
        <v/>
      </c>
      <c r="O519" s="5" t="str">
        <f t="shared" si="90"/>
        <v/>
      </c>
      <c r="R519" s="5">
        <f t="shared" ca="1" si="86"/>
        <v>0</v>
      </c>
      <c r="S519" s="5">
        <f t="shared" si="87"/>
        <v>0</v>
      </c>
      <c r="U519" s="5">
        <f ca="1">COUNTIF(R$10:R519,R519)</f>
        <v>502</v>
      </c>
      <c r="V519" s="5" t="str">
        <f t="shared" ca="1" si="88"/>
        <v>0502</v>
      </c>
      <c r="W519" s="5" t="e">
        <f t="shared" ca="1" si="89"/>
        <v>#REF!</v>
      </c>
      <c r="Y519" s="5">
        <v>510</v>
      </c>
      <c r="Z519" s="5">
        <f t="shared" ca="1" si="91"/>
        <v>0</v>
      </c>
      <c r="AA519" s="5" t="str">
        <f t="shared" ca="1" si="92"/>
        <v>Guarda-móveis</v>
      </c>
      <c r="AB519" s="5">
        <f ca="1">COUNTIF(R$10:R519,R519)</f>
        <v>502</v>
      </c>
      <c r="AC519" s="5" t="str">
        <f t="shared" ca="1" si="93"/>
        <v>0502</v>
      </c>
      <c r="AD519" s="5">
        <f t="shared" ca="1" si="94"/>
        <v>0</v>
      </c>
      <c r="AE519" s="5">
        <f t="shared" ca="1" si="95"/>
        <v>0</v>
      </c>
    </row>
    <row r="520" spans="4:31" ht="15.6" thickTop="1" thickBot="1" x14ac:dyDescent="0.35">
      <c r="D520" s="57"/>
      <c r="E520" s="58"/>
      <c r="F520" s="59"/>
      <c r="G520" s="59"/>
      <c r="H520" s="59"/>
      <c r="I520" s="60"/>
      <c r="J520" s="61"/>
      <c r="K520" s="61"/>
      <c r="M520" s="9" t="str">
        <f t="shared" si="85"/>
        <v/>
      </c>
      <c r="N520" s="5" t="str">
        <f t="shared" si="96"/>
        <v/>
      </c>
      <c r="O520" s="5" t="str">
        <f t="shared" si="90"/>
        <v/>
      </c>
      <c r="R520" s="5">
        <f t="shared" ca="1" si="86"/>
        <v>0</v>
      </c>
      <c r="S520" s="5">
        <f t="shared" si="87"/>
        <v>0</v>
      </c>
      <c r="U520" s="5">
        <f ca="1">COUNTIF(R$10:R520,R520)</f>
        <v>503</v>
      </c>
      <c r="V520" s="5" t="str">
        <f t="shared" ca="1" si="88"/>
        <v>0503</v>
      </c>
      <c r="W520" s="5" t="e">
        <f t="shared" ca="1" si="89"/>
        <v>#REF!</v>
      </c>
      <c r="Y520" s="5">
        <v>511</v>
      </c>
      <c r="Z520" s="5">
        <f t="shared" ca="1" si="91"/>
        <v>0</v>
      </c>
      <c r="AA520" s="5" t="str">
        <f t="shared" ca="1" si="92"/>
        <v>Guarda-móveis</v>
      </c>
      <c r="AB520" s="5">
        <f ca="1">COUNTIF(R$10:R520,R520)</f>
        <v>503</v>
      </c>
      <c r="AC520" s="5" t="str">
        <f t="shared" ca="1" si="93"/>
        <v>0503</v>
      </c>
      <c r="AD520" s="5">
        <f t="shared" ca="1" si="94"/>
        <v>0</v>
      </c>
      <c r="AE520" s="5">
        <f t="shared" ca="1" si="95"/>
        <v>0</v>
      </c>
    </row>
    <row r="521" spans="4:31" ht="15.6" thickTop="1" thickBot="1" x14ac:dyDescent="0.35">
      <c r="D521" s="57"/>
      <c r="E521" s="58"/>
      <c r="F521" s="59"/>
      <c r="G521" s="59"/>
      <c r="H521" s="59"/>
      <c r="I521" s="60"/>
      <c r="J521" s="61"/>
      <c r="K521" s="61"/>
      <c r="M521" s="9" t="str">
        <f t="shared" si="85"/>
        <v/>
      </c>
      <c r="N521" s="5" t="str">
        <f t="shared" si="96"/>
        <v/>
      </c>
      <c r="O521" s="5" t="str">
        <f t="shared" si="90"/>
        <v/>
      </c>
      <c r="R521" s="5">
        <f t="shared" ca="1" si="86"/>
        <v>0</v>
      </c>
      <c r="S521" s="5">
        <f t="shared" si="87"/>
        <v>0</v>
      </c>
      <c r="U521" s="5">
        <f ca="1">COUNTIF(R$10:R521,R521)</f>
        <v>504</v>
      </c>
      <c r="V521" s="5" t="str">
        <f t="shared" ca="1" si="88"/>
        <v>0504</v>
      </c>
      <c r="W521" s="5" t="e">
        <f t="shared" ca="1" si="89"/>
        <v>#REF!</v>
      </c>
      <c r="Y521" s="5">
        <v>512</v>
      </c>
      <c r="Z521" s="5">
        <f t="shared" ca="1" si="91"/>
        <v>0</v>
      </c>
      <c r="AA521" s="5" t="str">
        <f t="shared" ca="1" si="92"/>
        <v>Guarda-móveis</v>
      </c>
      <c r="AB521" s="5">
        <f ca="1">COUNTIF(R$10:R521,R521)</f>
        <v>504</v>
      </c>
      <c r="AC521" s="5" t="str">
        <f t="shared" ca="1" si="93"/>
        <v>0504</v>
      </c>
      <c r="AD521" s="5">
        <f t="shared" ca="1" si="94"/>
        <v>0</v>
      </c>
      <c r="AE521" s="5">
        <f t="shared" ca="1" si="95"/>
        <v>0</v>
      </c>
    </row>
    <row r="522" spans="4:31" ht="15.6" thickTop="1" thickBot="1" x14ac:dyDescent="0.35">
      <c r="D522" s="57"/>
      <c r="E522" s="58"/>
      <c r="F522" s="59"/>
      <c r="G522" s="59"/>
      <c r="H522" s="59"/>
      <c r="I522" s="60"/>
      <c r="J522" s="61"/>
      <c r="K522" s="61"/>
      <c r="M522" s="9" t="str">
        <f t="shared" ref="M522:M549" si="97">IF(ISBLANK(D522), "", IFERROR(PROPER(TEXT(D522,"mmmm")),""))</f>
        <v/>
      </c>
      <c r="N522" s="5" t="str">
        <f t="shared" si="96"/>
        <v/>
      </c>
      <c r="O522" s="5" t="str">
        <f t="shared" si="90"/>
        <v/>
      </c>
      <c r="R522" s="5">
        <f t="shared" ref="R522:R550" ca="1" si="98">COUNTIF($O:$O,Q522)</f>
        <v>0</v>
      </c>
      <c r="S522" s="5">
        <f t="shared" ref="S522:S550" si="99">Q522</f>
        <v>0</v>
      </c>
      <c r="U522" s="5">
        <f ca="1">COUNTIF(R$10:R522,R522)</f>
        <v>505</v>
      </c>
      <c r="V522" s="5" t="str">
        <f t="shared" ref="V522:V550" ca="1" si="100">R522&amp;U522</f>
        <v>0505</v>
      </c>
      <c r="W522" s="5" t="e">
        <f t="shared" ref="W522:W550" ca="1" si="101">INDEX($S$10:$S$401, MATCH(V522,$V$10:$V$1048576, 0))</f>
        <v>#REF!</v>
      </c>
      <c r="Y522" s="5">
        <v>513</v>
      </c>
      <c r="Z522" s="5">
        <f t="shared" ca="1" si="91"/>
        <v>0</v>
      </c>
      <c r="AA522" s="5" t="str">
        <f t="shared" ca="1" si="92"/>
        <v>Guarda-móveis</v>
      </c>
      <c r="AB522" s="5">
        <f ca="1">COUNTIF(R$10:R522,R522)</f>
        <v>505</v>
      </c>
      <c r="AC522" s="5" t="str">
        <f t="shared" ca="1" si="93"/>
        <v>0505</v>
      </c>
      <c r="AD522" s="5">
        <f t="shared" ca="1" si="94"/>
        <v>0</v>
      </c>
      <c r="AE522" s="5">
        <f t="shared" ca="1" si="95"/>
        <v>0</v>
      </c>
    </row>
    <row r="523" spans="4:31" ht="15.6" thickTop="1" thickBot="1" x14ac:dyDescent="0.35">
      <c r="D523" s="57"/>
      <c r="E523" s="58"/>
      <c r="F523" s="59"/>
      <c r="G523" s="59"/>
      <c r="H523" s="59"/>
      <c r="I523" s="60"/>
      <c r="J523" s="61"/>
      <c r="K523" s="61"/>
      <c r="M523" s="9" t="str">
        <f t="shared" si="97"/>
        <v/>
      </c>
      <c r="N523" s="5" t="str">
        <f t="shared" si="96"/>
        <v/>
      </c>
      <c r="O523" s="5" t="str">
        <f t="shared" ref="O523:O550" si="102">IFERROR(RIGHT(N523,LEN(N523)-SEARCH("- ",N523)-1),"")</f>
        <v/>
      </c>
      <c r="R523" s="5">
        <f t="shared" ca="1" si="98"/>
        <v>0</v>
      </c>
      <c r="S523" s="5">
        <f t="shared" si="99"/>
        <v>0</v>
      </c>
      <c r="U523" s="5">
        <f ca="1">COUNTIF(R$10:R523,R523)</f>
        <v>506</v>
      </c>
      <c r="V523" s="5" t="str">
        <f t="shared" ca="1" si="100"/>
        <v>0506</v>
      </c>
      <c r="W523" s="5" t="e">
        <f t="shared" ca="1" si="101"/>
        <v>#REF!</v>
      </c>
      <c r="Y523" s="5">
        <v>514</v>
      </c>
      <c r="Z523" s="5">
        <f t="shared" ref="Z523:Z550" ca="1" si="103">LARGE($R$10:$R$1048576,Y523)</f>
        <v>0</v>
      </c>
      <c r="AA523" s="5" t="str">
        <f t="shared" ref="AA523:AA550" ca="1" si="104">INDEX(S$10:S$1000, MATCH(R523, R$10:R$1000, 0))</f>
        <v>Guarda-móveis</v>
      </c>
      <c r="AB523" s="5">
        <f ca="1">COUNTIF(R$10:R523,R523)</f>
        <v>506</v>
      </c>
      <c r="AC523" s="5" t="str">
        <f t="shared" ref="AC523:AC551" ca="1" si="105">R523&amp;U523</f>
        <v>0506</v>
      </c>
      <c r="AD523" s="5">
        <f t="shared" ref="AD523:AD550" ca="1" si="106">INDEX($S$10:$S$1048576, MATCH(AC523, $V$10:$V$1048576, 0))</f>
        <v>0</v>
      </c>
      <c r="AE523" s="5">
        <f t="shared" ref="AE523:AE551" ca="1" si="107">Z523</f>
        <v>0</v>
      </c>
    </row>
    <row r="524" spans="4:31" ht="15.6" thickTop="1" thickBot="1" x14ac:dyDescent="0.35">
      <c r="D524" s="57"/>
      <c r="E524" s="58"/>
      <c r="F524" s="59"/>
      <c r="G524" s="59"/>
      <c r="H524" s="59"/>
      <c r="I524" s="60"/>
      <c r="J524" s="61"/>
      <c r="K524" s="61"/>
      <c r="M524" s="9" t="str">
        <f t="shared" si="97"/>
        <v/>
      </c>
      <c r="N524" s="5" t="str">
        <f t="shared" si="96"/>
        <v/>
      </c>
      <c r="O524" s="5" t="str">
        <f t="shared" si="102"/>
        <v/>
      </c>
      <c r="R524" s="5">
        <f t="shared" ca="1" si="98"/>
        <v>0</v>
      </c>
      <c r="S524" s="5">
        <f t="shared" si="99"/>
        <v>0</v>
      </c>
      <c r="U524" s="5">
        <f ca="1">COUNTIF(R$10:R524,R524)</f>
        <v>507</v>
      </c>
      <c r="V524" s="5" t="str">
        <f t="shared" ca="1" si="100"/>
        <v>0507</v>
      </c>
      <c r="W524" s="5" t="e">
        <f t="shared" ca="1" si="101"/>
        <v>#REF!</v>
      </c>
      <c r="Y524" s="5">
        <v>515</v>
      </c>
      <c r="Z524" s="5">
        <f t="shared" ca="1" si="103"/>
        <v>0</v>
      </c>
      <c r="AA524" s="5" t="str">
        <f t="shared" ca="1" si="104"/>
        <v>Guarda-móveis</v>
      </c>
      <c r="AB524" s="5">
        <f ca="1">COUNTIF(R$10:R524,R524)</f>
        <v>507</v>
      </c>
      <c r="AC524" s="5" t="str">
        <f t="shared" ca="1" si="105"/>
        <v>0507</v>
      </c>
      <c r="AD524" s="5">
        <f t="shared" ca="1" si="106"/>
        <v>0</v>
      </c>
      <c r="AE524" s="5">
        <f t="shared" ca="1" si="107"/>
        <v>0</v>
      </c>
    </row>
    <row r="525" spans="4:31" ht="15.6" thickTop="1" thickBot="1" x14ac:dyDescent="0.35">
      <c r="D525" s="57"/>
      <c r="E525" s="58"/>
      <c r="F525" s="59"/>
      <c r="G525" s="59"/>
      <c r="H525" s="59"/>
      <c r="I525" s="60"/>
      <c r="J525" s="61"/>
      <c r="K525" s="61"/>
      <c r="M525" s="9" t="str">
        <f t="shared" si="97"/>
        <v/>
      </c>
      <c r="N525" s="5" t="str">
        <f t="shared" si="96"/>
        <v/>
      </c>
      <c r="O525" s="5" t="str">
        <f t="shared" si="102"/>
        <v/>
      </c>
      <c r="R525" s="5">
        <f t="shared" ca="1" si="98"/>
        <v>0</v>
      </c>
      <c r="S525" s="5">
        <f t="shared" si="99"/>
        <v>0</v>
      </c>
      <c r="U525" s="5">
        <f ca="1">COUNTIF(R$10:R525,R525)</f>
        <v>508</v>
      </c>
      <c r="V525" s="5" t="str">
        <f t="shared" ca="1" si="100"/>
        <v>0508</v>
      </c>
      <c r="W525" s="5" t="e">
        <f t="shared" ca="1" si="101"/>
        <v>#REF!</v>
      </c>
      <c r="Y525" s="5">
        <v>516</v>
      </c>
      <c r="Z525" s="5">
        <f t="shared" ca="1" si="103"/>
        <v>0</v>
      </c>
      <c r="AA525" s="5" t="str">
        <f t="shared" ca="1" si="104"/>
        <v>Guarda-móveis</v>
      </c>
      <c r="AB525" s="5">
        <f ca="1">COUNTIF(R$10:R525,R525)</f>
        <v>508</v>
      </c>
      <c r="AC525" s="5" t="str">
        <f t="shared" ca="1" si="105"/>
        <v>0508</v>
      </c>
      <c r="AD525" s="5">
        <f t="shared" ca="1" si="106"/>
        <v>0</v>
      </c>
      <c r="AE525" s="5">
        <f t="shared" ca="1" si="107"/>
        <v>0</v>
      </c>
    </row>
    <row r="526" spans="4:31" ht="15.6" thickTop="1" thickBot="1" x14ac:dyDescent="0.35">
      <c r="D526" s="57"/>
      <c r="E526" s="58"/>
      <c r="F526" s="59"/>
      <c r="G526" s="59"/>
      <c r="H526" s="59"/>
      <c r="I526" s="60"/>
      <c r="J526" s="61"/>
      <c r="K526" s="61"/>
      <c r="M526" s="9" t="str">
        <f t="shared" si="97"/>
        <v/>
      </c>
      <c r="N526" s="5" t="str">
        <f t="shared" si="96"/>
        <v/>
      </c>
      <c r="O526" s="5" t="str">
        <f t="shared" si="102"/>
        <v/>
      </c>
      <c r="R526" s="5">
        <f t="shared" ca="1" si="98"/>
        <v>0</v>
      </c>
      <c r="S526" s="5">
        <f t="shared" si="99"/>
        <v>0</v>
      </c>
      <c r="U526" s="5">
        <f ca="1">COUNTIF(R$10:R526,R526)</f>
        <v>509</v>
      </c>
      <c r="V526" s="5" t="str">
        <f t="shared" ca="1" si="100"/>
        <v>0509</v>
      </c>
      <c r="W526" s="5" t="e">
        <f t="shared" ca="1" si="101"/>
        <v>#REF!</v>
      </c>
      <c r="Y526" s="5">
        <v>517</v>
      </c>
      <c r="Z526" s="5">
        <f t="shared" ca="1" si="103"/>
        <v>0</v>
      </c>
      <c r="AA526" s="5" t="str">
        <f t="shared" ca="1" si="104"/>
        <v>Guarda-móveis</v>
      </c>
      <c r="AB526" s="5">
        <f ca="1">COUNTIF(R$10:R526,R526)</f>
        <v>509</v>
      </c>
      <c r="AC526" s="5" t="str">
        <f t="shared" ca="1" si="105"/>
        <v>0509</v>
      </c>
      <c r="AD526" s="5">
        <f t="shared" ca="1" si="106"/>
        <v>0</v>
      </c>
      <c r="AE526" s="5">
        <f t="shared" ca="1" si="107"/>
        <v>0</v>
      </c>
    </row>
    <row r="527" spans="4:31" ht="15.6" thickTop="1" thickBot="1" x14ac:dyDescent="0.35">
      <c r="D527" s="57"/>
      <c r="E527" s="58"/>
      <c r="F527" s="59"/>
      <c r="G527" s="59"/>
      <c r="H527" s="59"/>
      <c r="I527" s="60"/>
      <c r="J527" s="61"/>
      <c r="K527" s="61"/>
      <c r="M527" s="9" t="str">
        <f t="shared" si="97"/>
        <v/>
      </c>
      <c r="N527" s="5" t="str">
        <f t="shared" si="96"/>
        <v/>
      </c>
      <c r="O527" s="5" t="str">
        <f t="shared" si="102"/>
        <v/>
      </c>
      <c r="R527" s="5">
        <f t="shared" ca="1" si="98"/>
        <v>0</v>
      </c>
      <c r="S527" s="5">
        <f t="shared" si="99"/>
        <v>0</v>
      </c>
      <c r="U527" s="5">
        <f ca="1">COUNTIF(R$10:R527,R527)</f>
        <v>510</v>
      </c>
      <c r="V527" s="5" t="str">
        <f t="shared" ca="1" si="100"/>
        <v>0510</v>
      </c>
      <c r="W527" s="5" t="e">
        <f t="shared" ca="1" si="101"/>
        <v>#REF!</v>
      </c>
      <c r="Y527" s="5">
        <v>518</v>
      </c>
      <c r="Z527" s="5">
        <f t="shared" ca="1" si="103"/>
        <v>0</v>
      </c>
      <c r="AA527" s="5" t="str">
        <f t="shared" ca="1" si="104"/>
        <v>Guarda-móveis</v>
      </c>
      <c r="AB527" s="5">
        <f ca="1">COUNTIF(R$10:R527,R527)</f>
        <v>510</v>
      </c>
      <c r="AC527" s="5" t="str">
        <f t="shared" ca="1" si="105"/>
        <v>0510</v>
      </c>
      <c r="AD527" s="5">
        <f t="shared" ca="1" si="106"/>
        <v>0</v>
      </c>
      <c r="AE527" s="5">
        <f t="shared" ca="1" si="107"/>
        <v>0</v>
      </c>
    </row>
    <row r="528" spans="4:31" ht="15.6" thickTop="1" thickBot="1" x14ac:dyDescent="0.35">
      <c r="D528" s="57"/>
      <c r="E528" s="58"/>
      <c r="F528" s="59"/>
      <c r="G528" s="59"/>
      <c r="H528" s="59"/>
      <c r="I528" s="60"/>
      <c r="J528" s="61"/>
      <c r="K528" s="61"/>
      <c r="M528" s="9" t="str">
        <f t="shared" si="97"/>
        <v/>
      </c>
      <c r="N528" s="5" t="str">
        <f t="shared" si="96"/>
        <v/>
      </c>
      <c r="O528" s="5" t="str">
        <f t="shared" si="102"/>
        <v/>
      </c>
      <c r="R528" s="5">
        <f t="shared" ca="1" si="98"/>
        <v>0</v>
      </c>
      <c r="S528" s="5">
        <f t="shared" si="99"/>
        <v>0</v>
      </c>
      <c r="U528" s="5">
        <f ca="1">COUNTIF(R$10:R528,R528)</f>
        <v>511</v>
      </c>
      <c r="V528" s="5" t="str">
        <f t="shared" ca="1" si="100"/>
        <v>0511</v>
      </c>
      <c r="W528" s="5" t="e">
        <f t="shared" ca="1" si="101"/>
        <v>#REF!</v>
      </c>
      <c r="Y528" s="5">
        <v>519</v>
      </c>
      <c r="Z528" s="5">
        <f t="shared" ca="1" si="103"/>
        <v>0</v>
      </c>
      <c r="AA528" s="5" t="str">
        <f t="shared" ca="1" si="104"/>
        <v>Guarda-móveis</v>
      </c>
      <c r="AB528" s="5">
        <f ca="1">COUNTIF(R$10:R528,R528)</f>
        <v>511</v>
      </c>
      <c r="AC528" s="5" t="str">
        <f t="shared" ca="1" si="105"/>
        <v>0511</v>
      </c>
      <c r="AD528" s="5">
        <f t="shared" ca="1" si="106"/>
        <v>0</v>
      </c>
      <c r="AE528" s="5">
        <f t="shared" ca="1" si="107"/>
        <v>0</v>
      </c>
    </row>
    <row r="529" spans="4:31" ht="15.6" thickTop="1" thickBot="1" x14ac:dyDescent="0.35">
      <c r="D529" s="57"/>
      <c r="E529" s="58"/>
      <c r="F529" s="59"/>
      <c r="G529" s="59"/>
      <c r="H529" s="59"/>
      <c r="I529" s="60"/>
      <c r="J529" s="61"/>
      <c r="K529" s="61"/>
      <c r="M529" s="9" t="str">
        <f t="shared" si="97"/>
        <v/>
      </c>
      <c r="N529" s="5" t="str">
        <f t="shared" si="96"/>
        <v/>
      </c>
      <c r="O529" s="5" t="str">
        <f t="shared" si="102"/>
        <v/>
      </c>
      <c r="R529" s="5">
        <f t="shared" ca="1" si="98"/>
        <v>0</v>
      </c>
      <c r="S529" s="5">
        <f t="shared" si="99"/>
        <v>0</v>
      </c>
      <c r="U529" s="5">
        <f ca="1">COUNTIF(R$10:R529,R529)</f>
        <v>512</v>
      </c>
      <c r="V529" s="5" t="str">
        <f t="shared" ca="1" si="100"/>
        <v>0512</v>
      </c>
      <c r="W529" s="5" t="e">
        <f t="shared" ca="1" si="101"/>
        <v>#REF!</v>
      </c>
      <c r="Y529" s="5">
        <v>520</v>
      </c>
      <c r="Z529" s="5">
        <f t="shared" ca="1" si="103"/>
        <v>0</v>
      </c>
      <c r="AA529" s="5" t="str">
        <f t="shared" ca="1" si="104"/>
        <v>Guarda-móveis</v>
      </c>
      <c r="AB529" s="5">
        <f ca="1">COUNTIF(R$10:R529,R529)</f>
        <v>512</v>
      </c>
      <c r="AC529" s="5" t="str">
        <f t="shared" ca="1" si="105"/>
        <v>0512</v>
      </c>
      <c r="AD529" s="5">
        <f t="shared" ca="1" si="106"/>
        <v>0</v>
      </c>
      <c r="AE529" s="5">
        <f t="shared" ca="1" si="107"/>
        <v>0</v>
      </c>
    </row>
    <row r="530" spans="4:31" ht="15.6" thickTop="1" thickBot="1" x14ac:dyDescent="0.35">
      <c r="D530" s="57"/>
      <c r="E530" s="58"/>
      <c r="F530" s="59"/>
      <c r="G530" s="59"/>
      <c r="H530" s="59"/>
      <c r="I530" s="60"/>
      <c r="J530" s="61"/>
      <c r="K530" s="61"/>
      <c r="M530" s="9" t="str">
        <f t="shared" si="97"/>
        <v/>
      </c>
      <c r="N530" s="5" t="str">
        <f t="shared" si="96"/>
        <v/>
      </c>
      <c r="O530" s="5" t="str">
        <f t="shared" si="102"/>
        <v/>
      </c>
      <c r="R530" s="5">
        <f t="shared" ca="1" si="98"/>
        <v>0</v>
      </c>
      <c r="S530" s="5">
        <f t="shared" si="99"/>
        <v>0</v>
      </c>
      <c r="U530" s="5">
        <f ca="1">COUNTIF(R$10:R530,R530)</f>
        <v>513</v>
      </c>
      <c r="V530" s="5" t="str">
        <f t="shared" ca="1" si="100"/>
        <v>0513</v>
      </c>
      <c r="W530" s="5" t="e">
        <f t="shared" ca="1" si="101"/>
        <v>#REF!</v>
      </c>
      <c r="Y530" s="5">
        <v>521</v>
      </c>
      <c r="Z530" s="5">
        <f t="shared" ca="1" si="103"/>
        <v>0</v>
      </c>
      <c r="AA530" s="5" t="str">
        <f t="shared" ca="1" si="104"/>
        <v>Guarda-móveis</v>
      </c>
      <c r="AB530" s="5">
        <f ca="1">COUNTIF(R$10:R530,R530)</f>
        <v>513</v>
      </c>
      <c r="AC530" s="5" t="str">
        <f t="shared" ca="1" si="105"/>
        <v>0513</v>
      </c>
      <c r="AD530" s="5">
        <f t="shared" ca="1" si="106"/>
        <v>0</v>
      </c>
      <c r="AE530" s="5">
        <f t="shared" ca="1" si="107"/>
        <v>0</v>
      </c>
    </row>
    <row r="531" spans="4:31" ht="15.6" thickTop="1" thickBot="1" x14ac:dyDescent="0.35">
      <c r="D531" s="57"/>
      <c r="E531" s="58"/>
      <c r="F531" s="59"/>
      <c r="G531" s="59"/>
      <c r="H531" s="59"/>
      <c r="I531" s="60"/>
      <c r="J531" s="61"/>
      <c r="K531" s="61"/>
      <c r="M531" s="9" t="str">
        <f t="shared" si="97"/>
        <v/>
      </c>
      <c r="N531" s="5" t="str">
        <f t="shared" si="96"/>
        <v/>
      </c>
      <c r="O531" s="5" t="str">
        <f t="shared" si="102"/>
        <v/>
      </c>
      <c r="R531" s="5">
        <f t="shared" ca="1" si="98"/>
        <v>0</v>
      </c>
      <c r="S531" s="5">
        <f t="shared" si="99"/>
        <v>0</v>
      </c>
      <c r="U531" s="5">
        <f ca="1">COUNTIF(R$10:R531,R531)</f>
        <v>514</v>
      </c>
      <c r="V531" s="5" t="str">
        <f t="shared" ca="1" si="100"/>
        <v>0514</v>
      </c>
      <c r="W531" s="5" t="e">
        <f t="shared" ca="1" si="101"/>
        <v>#REF!</v>
      </c>
      <c r="Y531" s="5">
        <v>522</v>
      </c>
      <c r="Z531" s="5">
        <f t="shared" ca="1" si="103"/>
        <v>0</v>
      </c>
      <c r="AA531" s="5" t="str">
        <f t="shared" ca="1" si="104"/>
        <v>Guarda-móveis</v>
      </c>
      <c r="AB531" s="5">
        <f ca="1">COUNTIF(R$10:R531,R531)</f>
        <v>514</v>
      </c>
      <c r="AC531" s="5" t="str">
        <f t="shared" ca="1" si="105"/>
        <v>0514</v>
      </c>
      <c r="AD531" s="5">
        <f t="shared" ca="1" si="106"/>
        <v>0</v>
      </c>
      <c r="AE531" s="5">
        <f t="shared" ca="1" si="107"/>
        <v>0</v>
      </c>
    </row>
    <row r="532" spans="4:31" ht="15.6" thickTop="1" thickBot="1" x14ac:dyDescent="0.35">
      <c r="D532" s="57"/>
      <c r="E532" s="58"/>
      <c r="F532" s="59"/>
      <c r="G532" s="59"/>
      <c r="H532" s="59"/>
      <c r="I532" s="60"/>
      <c r="J532" s="61"/>
      <c r="K532" s="61"/>
      <c r="M532" s="9" t="str">
        <f t="shared" si="97"/>
        <v/>
      </c>
      <c r="N532" s="5" t="str">
        <f t="shared" si="96"/>
        <v/>
      </c>
      <c r="O532" s="5" t="str">
        <f t="shared" si="102"/>
        <v/>
      </c>
      <c r="R532" s="5">
        <f t="shared" ca="1" si="98"/>
        <v>0</v>
      </c>
      <c r="S532" s="5">
        <f t="shared" si="99"/>
        <v>0</v>
      </c>
      <c r="U532" s="5">
        <f ca="1">COUNTIF(R$10:R532,R532)</f>
        <v>515</v>
      </c>
      <c r="V532" s="5" t="str">
        <f t="shared" ca="1" si="100"/>
        <v>0515</v>
      </c>
      <c r="W532" s="5" t="e">
        <f t="shared" ca="1" si="101"/>
        <v>#REF!</v>
      </c>
      <c r="Y532" s="5">
        <v>523</v>
      </c>
      <c r="Z532" s="5">
        <f t="shared" ca="1" si="103"/>
        <v>0</v>
      </c>
      <c r="AA532" s="5" t="str">
        <f t="shared" ca="1" si="104"/>
        <v>Guarda-móveis</v>
      </c>
      <c r="AB532" s="5">
        <f ca="1">COUNTIF(R$10:R532,R532)</f>
        <v>515</v>
      </c>
      <c r="AC532" s="5" t="str">
        <f t="shared" ca="1" si="105"/>
        <v>0515</v>
      </c>
      <c r="AD532" s="5">
        <f t="shared" ca="1" si="106"/>
        <v>0</v>
      </c>
      <c r="AE532" s="5">
        <f t="shared" ca="1" si="107"/>
        <v>0</v>
      </c>
    </row>
    <row r="533" spans="4:31" ht="15.6" thickTop="1" thickBot="1" x14ac:dyDescent="0.35">
      <c r="D533" s="57"/>
      <c r="E533" s="58"/>
      <c r="F533" s="59"/>
      <c r="G533" s="59"/>
      <c r="H533" s="59"/>
      <c r="I533" s="60"/>
      <c r="J533" s="61"/>
      <c r="K533" s="61"/>
      <c r="M533" s="9" t="str">
        <f t="shared" si="97"/>
        <v/>
      </c>
      <c r="N533" s="5" t="str">
        <f t="shared" si="96"/>
        <v/>
      </c>
      <c r="O533" s="5" t="str">
        <f t="shared" si="102"/>
        <v/>
      </c>
      <c r="R533" s="5">
        <f t="shared" ca="1" si="98"/>
        <v>0</v>
      </c>
      <c r="S533" s="5">
        <f t="shared" si="99"/>
        <v>0</v>
      </c>
      <c r="U533" s="5">
        <f ca="1">COUNTIF(R$10:R533,R533)</f>
        <v>516</v>
      </c>
      <c r="V533" s="5" t="str">
        <f t="shared" ca="1" si="100"/>
        <v>0516</v>
      </c>
      <c r="W533" s="5" t="e">
        <f t="shared" ca="1" si="101"/>
        <v>#REF!</v>
      </c>
      <c r="Y533" s="5">
        <v>524</v>
      </c>
      <c r="Z533" s="5">
        <f t="shared" ca="1" si="103"/>
        <v>0</v>
      </c>
      <c r="AA533" s="5" t="str">
        <f t="shared" ca="1" si="104"/>
        <v>Guarda-móveis</v>
      </c>
      <c r="AB533" s="5">
        <f ca="1">COUNTIF(R$10:R533,R533)</f>
        <v>516</v>
      </c>
      <c r="AC533" s="5" t="str">
        <f t="shared" ca="1" si="105"/>
        <v>0516</v>
      </c>
      <c r="AD533" s="5">
        <f t="shared" ca="1" si="106"/>
        <v>0</v>
      </c>
      <c r="AE533" s="5">
        <f t="shared" ca="1" si="107"/>
        <v>0</v>
      </c>
    </row>
    <row r="534" spans="4:31" ht="15.6" thickTop="1" thickBot="1" x14ac:dyDescent="0.35">
      <c r="D534" s="57"/>
      <c r="E534" s="58"/>
      <c r="F534" s="59"/>
      <c r="G534" s="59"/>
      <c r="H534" s="59"/>
      <c r="I534" s="60"/>
      <c r="J534" s="61"/>
      <c r="K534" s="61"/>
      <c r="M534" s="9" t="str">
        <f t="shared" si="97"/>
        <v/>
      </c>
      <c r="N534" s="5" t="str">
        <f t="shared" si="96"/>
        <v/>
      </c>
      <c r="O534" s="5" t="str">
        <f t="shared" si="102"/>
        <v/>
      </c>
      <c r="R534" s="5">
        <f t="shared" ca="1" si="98"/>
        <v>0</v>
      </c>
      <c r="S534" s="5">
        <f t="shared" si="99"/>
        <v>0</v>
      </c>
      <c r="U534" s="5">
        <f ca="1">COUNTIF(R$10:R534,R534)</f>
        <v>517</v>
      </c>
      <c r="V534" s="5" t="str">
        <f t="shared" ca="1" si="100"/>
        <v>0517</v>
      </c>
      <c r="W534" s="5" t="e">
        <f t="shared" ca="1" si="101"/>
        <v>#REF!</v>
      </c>
      <c r="Y534" s="5">
        <v>525</v>
      </c>
      <c r="Z534" s="5">
        <f t="shared" ca="1" si="103"/>
        <v>0</v>
      </c>
      <c r="AA534" s="5" t="str">
        <f t="shared" ca="1" si="104"/>
        <v>Guarda-móveis</v>
      </c>
      <c r="AB534" s="5">
        <f ca="1">COUNTIF(R$10:R534,R534)</f>
        <v>517</v>
      </c>
      <c r="AC534" s="5" t="str">
        <f t="shared" ca="1" si="105"/>
        <v>0517</v>
      </c>
      <c r="AD534" s="5">
        <f t="shared" ca="1" si="106"/>
        <v>0</v>
      </c>
      <c r="AE534" s="5">
        <f t="shared" ca="1" si="107"/>
        <v>0</v>
      </c>
    </row>
    <row r="535" spans="4:31" ht="15.6" thickTop="1" thickBot="1" x14ac:dyDescent="0.35">
      <c r="D535" s="57"/>
      <c r="E535" s="58"/>
      <c r="F535" s="59"/>
      <c r="G535" s="59"/>
      <c r="H535" s="59"/>
      <c r="I535" s="60"/>
      <c r="J535" s="61"/>
      <c r="K535" s="61"/>
      <c r="M535" s="9" t="str">
        <f t="shared" si="97"/>
        <v/>
      </c>
      <c r="N535" s="5" t="str">
        <f t="shared" ref="N535:N550" si="108">IF(H535="","",H535)</f>
        <v/>
      </c>
      <c r="O535" s="5" t="str">
        <f t="shared" si="102"/>
        <v/>
      </c>
      <c r="R535" s="5">
        <f t="shared" ca="1" si="98"/>
        <v>0</v>
      </c>
      <c r="S535" s="5">
        <f t="shared" si="99"/>
        <v>0</v>
      </c>
      <c r="U535" s="5">
        <f ca="1">COUNTIF(R$10:R535,R535)</f>
        <v>518</v>
      </c>
      <c r="V535" s="5" t="str">
        <f t="shared" ca="1" si="100"/>
        <v>0518</v>
      </c>
      <c r="W535" s="5" t="e">
        <f t="shared" ca="1" si="101"/>
        <v>#REF!</v>
      </c>
      <c r="Y535" s="5">
        <v>526</v>
      </c>
      <c r="Z535" s="5">
        <f t="shared" ca="1" si="103"/>
        <v>0</v>
      </c>
      <c r="AA535" s="5" t="str">
        <f t="shared" ca="1" si="104"/>
        <v>Guarda-móveis</v>
      </c>
      <c r="AB535" s="5">
        <f ca="1">COUNTIF(R$10:R535,R535)</f>
        <v>518</v>
      </c>
      <c r="AC535" s="5" t="str">
        <f t="shared" ca="1" si="105"/>
        <v>0518</v>
      </c>
      <c r="AD535" s="5">
        <f t="shared" ca="1" si="106"/>
        <v>0</v>
      </c>
      <c r="AE535" s="5">
        <f t="shared" ca="1" si="107"/>
        <v>0</v>
      </c>
    </row>
    <row r="536" spans="4:31" ht="15.6" thickTop="1" thickBot="1" x14ac:dyDescent="0.35">
      <c r="D536" s="57"/>
      <c r="E536" s="58"/>
      <c r="F536" s="59"/>
      <c r="G536" s="59"/>
      <c r="H536" s="59"/>
      <c r="I536" s="60"/>
      <c r="J536" s="61"/>
      <c r="K536" s="61"/>
      <c r="M536" s="9" t="str">
        <f t="shared" si="97"/>
        <v/>
      </c>
      <c r="N536" s="5" t="str">
        <f t="shared" si="108"/>
        <v/>
      </c>
      <c r="O536" s="5" t="str">
        <f t="shared" si="102"/>
        <v/>
      </c>
      <c r="R536" s="5">
        <f t="shared" ca="1" si="98"/>
        <v>0</v>
      </c>
      <c r="S536" s="5">
        <f t="shared" si="99"/>
        <v>0</v>
      </c>
      <c r="U536" s="5">
        <f ca="1">COUNTIF(R$10:R536,R536)</f>
        <v>519</v>
      </c>
      <c r="V536" s="5" t="str">
        <f t="shared" ca="1" si="100"/>
        <v>0519</v>
      </c>
      <c r="W536" s="5" t="e">
        <f t="shared" ca="1" si="101"/>
        <v>#REF!</v>
      </c>
      <c r="Y536" s="5">
        <v>527</v>
      </c>
      <c r="Z536" s="5">
        <f t="shared" ca="1" si="103"/>
        <v>0</v>
      </c>
      <c r="AA536" s="5" t="str">
        <f t="shared" ca="1" si="104"/>
        <v>Guarda-móveis</v>
      </c>
      <c r="AB536" s="5">
        <f ca="1">COUNTIF(R$10:R536,R536)</f>
        <v>519</v>
      </c>
      <c r="AC536" s="5" t="str">
        <f t="shared" ca="1" si="105"/>
        <v>0519</v>
      </c>
      <c r="AD536" s="5">
        <f t="shared" ca="1" si="106"/>
        <v>0</v>
      </c>
      <c r="AE536" s="5">
        <f t="shared" ca="1" si="107"/>
        <v>0</v>
      </c>
    </row>
    <row r="537" spans="4:31" ht="15.6" thickTop="1" thickBot="1" x14ac:dyDescent="0.35">
      <c r="D537" s="57"/>
      <c r="E537" s="58"/>
      <c r="F537" s="59"/>
      <c r="G537" s="59"/>
      <c r="H537" s="59"/>
      <c r="I537" s="60"/>
      <c r="J537" s="61"/>
      <c r="K537" s="61"/>
      <c r="M537" s="9" t="str">
        <f t="shared" si="97"/>
        <v/>
      </c>
      <c r="N537" s="5" t="str">
        <f t="shared" si="108"/>
        <v/>
      </c>
      <c r="O537" s="5" t="str">
        <f t="shared" si="102"/>
        <v/>
      </c>
      <c r="R537" s="5">
        <f t="shared" ca="1" si="98"/>
        <v>0</v>
      </c>
      <c r="S537" s="5">
        <f t="shared" si="99"/>
        <v>0</v>
      </c>
      <c r="U537" s="5">
        <f ca="1">COUNTIF(R$10:R537,R537)</f>
        <v>520</v>
      </c>
      <c r="V537" s="5" t="str">
        <f t="shared" ca="1" si="100"/>
        <v>0520</v>
      </c>
      <c r="W537" s="5" t="e">
        <f t="shared" ca="1" si="101"/>
        <v>#REF!</v>
      </c>
      <c r="Y537" s="5">
        <v>528</v>
      </c>
      <c r="Z537" s="5">
        <f t="shared" ca="1" si="103"/>
        <v>0</v>
      </c>
      <c r="AA537" s="5" t="str">
        <f t="shared" ca="1" si="104"/>
        <v>Guarda-móveis</v>
      </c>
      <c r="AB537" s="5">
        <f ca="1">COUNTIF(R$10:R537,R537)</f>
        <v>520</v>
      </c>
      <c r="AC537" s="5" t="str">
        <f t="shared" ca="1" si="105"/>
        <v>0520</v>
      </c>
      <c r="AD537" s="5">
        <f t="shared" ca="1" si="106"/>
        <v>0</v>
      </c>
      <c r="AE537" s="5">
        <f t="shared" ca="1" si="107"/>
        <v>0</v>
      </c>
    </row>
    <row r="538" spans="4:31" ht="15.6" thickTop="1" thickBot="1" x14ac:dyDescent="0.35">
      <c r="D538" s="57"/>
      <c r="E538" s="58"/>
      <c r="F538" s="59"/>
      <c r="G538" s="59"/>
      <c r="H538" s="59"/>
      <c r="I538" s="60"/>
      <c r="J538" s="61"/>
      <c r="K538" s="61"/>
      <c r="M538" s="9" t="str">
        <f t="shared" si="97"/>
        <v/>
      </c>
      <c r="N538" s="5" t="str">
        <f t="shared" si="108"/>
        <v/>
      </c>
      <c r="O538" s="5" t="str">
        <f t="shared" si="102"/>
        <v/>
      </c>
      <c r="R538" s="5">
        <f t="shared" ca="1" si="98"/>
        <v>0</v>
      </c>
      <c r="S538" s="5">
        <f t="shared" si="99"/>
        <v>0</v>
      </c>
      <c r="U538" s="5">
        <f ca="1">COUNTIF(R$10:R538,R538)</f>
        <v>521</v>
      </c>
      <c r="V538" s="5" t="str">
        <f t="shared" ca="1" si="100"/>
        <v>0521</v>
      </c>
      <c r="W538" s="5" t="e">
        <f t="shared" ca="1" si="101"/>
        <v>#REF!</v>
      </c>
      <c r="Y538" s="5">
        <v>529</v>
      </c>
      <c r="Z538" s="5">
        <f t="shared" ca="1" si="103"/>
        <v>0</v>
      </c>
      <c r="AA538" s="5" t="str">
        <f t="shared" ca="1" si="104"/>
        <v>Guarda-móveis</v>
      </c>
      <c r="AB538" s="5">
        <f ca="1">COUNTIF(R$10:R538,R538)</f>
        <v>521</v>
      </c>
      <c r="AC538" s="5" t="str">
        <f t="shared" ca="1" si="105"/>
        <v>0521</v>
      </c>
      <c r="AD538" s="5">
        <f t="shared" ca="1" si="106"/>
        <v>0</v>
      </c>
      <c r="AE538" s="5">
        <f t="shared" ca="1" si="107"/>
        <v>0</v>
      </c>
    </row>
    <row r="539" spans="4:31" ht="15.6" thickTop="1" thickBot="1" x14ac:dyDescent="0.35">
      <c r="D539" s="57"/>
      <c r="E539" s="58"/>
      <c r="F539" s="59"/>
      <c r="G539" s="59"/>
      <c r="H539" s="59"/>
      <c r="I539" s="60"/>
      <c r="J539" s="61"/>
      <c r="K539" s="61"/>
      <c r="M539" s="9" t="str">
        <f t="shared" si="97"/>
        <v/>
      </c>
      <c r="N539" s="5" t="str">
        <f t="shared" si="108"/>
        <v/>
      </c>
      <c r="O539" s="5" t="str">
        <f t="shared" si="102"/>
        <v/>
      </c>
      <c r="R539" s="5">
        <f t="shared" ca="1" si="98"/>
        <v>0</v>
      </c>
      <c r="S539" s="5">
        <f t="shared" si="99"/>
        <v>0</v>
      </c>
      <c r="U539" s="5">
        <f ca="1">COUNTIF(R$10:R539,R539)</f>
        <v>522</v>
      </c>
      <c r="V539" s="5" t="str">
        <f t="shared" ca="1" si="100"/>
        <v>0522</v>
      </c>
      <c r="W539" s="5" t="e">
        <f t="shared" ca="1" si="101"/>
        <v>#REF!</v>
      </c>
      <c r="Y539" s="5">
        <v>530</v>
      </c>
      <c r="Z539" s="5">
        <f t="shared" ca="1" si="103"/>
        <v>0</v>
      </c>
      <c r="AA539" s="5" t="str">
        <f t="shared" ca="1" si="104"/>
        <v>Guarda-móveis</v>
      </c>
      <c r="AB539" s="5">
        <f ca="1">COUNTIF(R$10:R539,R539)</f>
        <v>522</v>
      </c>
      <c r="AC539" s="5" t="str">
        <f t="shared" ca="1" si="105"/>
        <v>0522</v>
      </c>
      <c r="AD539" s="5">
        <f t="shared" ca="1" si="106"/>
        <v>0</v>
      </c>
      <c r="AE539" s="5">
        <f t="shared" ca="1" si="107"/>
        <v>0</v>
      </c>
    </row>
    <row r="540" spans="4:31" ht="15.6" thickTop="1" thickBot="1" x14ac:dyDescent="0.35">
      <c r="D540" s="57"/>
      <c r="E540" s="58"/>
      <c r="F540" s="59"/>
      <c r="G540" s="59"/>
      <c r="H540" s="59"/>
      <c r="I540" s="60"/>
      <c r="J540" s="61"/>
      <c r="K540" s="61"/>
      <c r="M540" s="9" t="str">
        <f t="shared" si="97"/>
        <v/>
      </c>
      <c r="N540" s="5" t="str">
        <f t="shared" si="108"/>
        <v/>
      </c>
      <c r="O540" s="5" t="str">
        <f t="shared" si="102"/>
        <v/>
      </c>
      <c r="R540" s="5">
        <f t="shared" ca="1" si="98"/>
        <v>0</v>
      </c>
      <c r="S540" s="5">
        <f t="shared" si="99"/>
        <v>0</v>
      </c>
      <c r="U540" s="5">
        <f ca="1">COUNTIF(R$10:R540,R540)</f>
        <v>523</v>
      </c>
      <c r="V540" s="5" t="str">
        <f t="shared" ca="1" si="100"/>
        <v>0523</v>
      </c>
      <c r="W540" s="5" t="e">
        <f t="shared" ca="1" si="101"/>
        <v>#REF!</v>
      </c>
      <c r="Y540" s="5">
        <v>531</v>
      </c>
      <c r="Z540" s="5">
        <f t="shared" ca="1" si="103"/>
        <v>0</v>
      </c>
      <c r="AA540" s="5" t="str">
        <f t="shared" ca="1" si="104"/>
        <v>Guarda-móveis</v>
      </c>
      <c r="AB540" s="5">
        <f ca="1">COUNTIF(R$10:R540,R540)</f>
        <v>523</v>
      </c>
      <c r="AC540" s="5" t="str">
        <f t="shared" ca="1" si="105"/>
        <v>0523</v>
      </c>
      <c r="AD540" s="5">
        <f t="shared" ca="1" si="106"/>
        <v>0</v>
      </c>
      <c r="AE540" s="5">
        <f t="shared" ca="1" si="107"/>
        <v>0</v>
      </c>
    </row>
    <row r="541" spans="4:31" ht="15.6" thickTop="1" thickBot="1" x14ac:dyDescent="0.35">
      <c r="D541" s="57"/>
      <c r="E541" s="58"/>
      <c r="F541" s="59"/>
      <c r="G541" s="59"/>
      <c r="H541" s="59"/>
      <c r="I541" s="60"/>
      <c r="J541" s="61"/>
      <c r="K541" s="61"/>
      <c r="M541" s="9" t="str">
        <f t="shared" si="97"/>
        <v/>
      </c>
      <c r="N541" s="5" t="str">
        <f t="shared" si="108"/>
        <v/>
      </c>
      <c r="O541" s="5" t="str">
        <f t="shared" si="102"/>
        <v/>
      </c>
      <c r="R541" s="5">
        <f t="shared" ca="1" si="98"/>
        <v>0</v>
      </c>
      <c r="S541" s="5">
        <f t="shared" si="99"/>
        <v>0</v>
      </c>
      <c r="U541" s="5">
        <f ca="1">COUNTIF(R$10:R541,R541)</f>
        <v>524</v>
      </c>
      <c r="V541" s="5" t="str">
        <f t="shared" ca="1" si="100"/>
        <v>0524</v>
      </c>
      <c r="W541" s="5" t="e">
        <f t="shared" ca="1" si="101"/>
        <v>#REF!</v>
      </c>
      <c r="Y541" s="5">
        <v>532</v>
      </c>
      <c r="Z541" s="5">
        <f t="shared" ca="1" si="103"/>
        <v>0</v>
      </c>
      <c r="AA541" s="5" t="str">
        <f t="shared" ca="1" si="104"/>
        <v>Guarda-móveis</v>
      </c>
      <c r="AB541" s="5">
        <f ca="1">COUNTIF(R$10:R541,R541)</f>
        <v>524</v>
      </c>
      <c r="AC541" s="5" t="str">
        <f t="shared" ca="1" si="105"/>
        <v>0524</v>
      </c>
      <c r="AD541" s="5">
        <f t="shared" ca="1" si="106"/>
        <v>0</v>
      </c>
      <c r="AE541" s="5">
        <f t="shared" ca="1" si="107"/>
        <v>0</v>
      </c>
    </row>
    <row r="542" spans="4:31" ht="15.6" thickTop="1" thickBot="1" x14ac:dyDescent="0.35">
      <c r="D542" s="57"/>
      <c r="E542" s="58"/>
      <c r="F542" s="59"/>
      <c r="G542" s="59"/>
      <c r="H542" s="59"/>
      <c r="I542" s="60"/>
      <c r="J542" s="61"/>
      <c r="K542" s="61"/>
      <c r="M542" s="9" t="str">
        <f t="shared" si="97"/>
        <v/>
      </c>
      <c r="N542" s="5" t="str">
        <f t="shared" si="108"/>
        <v/>
      </c>
      <c r="O542" s="5" t="str">
        <f t="shared" si="102"/>
        <v/>
      </c>
      <c r="R542" s="5">
        <f t="shared" ca="1" si="98"/>
        <v>0</v>
      </c>
      <c r="S542" s="5">
        <f t="shared" si="99"/>
        <v>0</v>
      </c>
      <c r="U542" s="5">
        <f ca="1">COUNTIF(R$10:R542,R542)</f>
        <v>525</v>
      </c>
      <c r="V542" s="5" t="str">
        <f t="shared" ca="1" si="100"/>
        <v>0525</v>
      </c>
      <c r="W542" s="5" t="e">
        <f t="shared" ca="1" si="101"/>
        <v>#REF!</v>
      </c>
      <c r="Y542" s="5">
        <v>533</v>
      </c>
      <c r="Z542" s="5">
        <f t="shared" ca="1" si="103"/>
        <v>0</v>
      </c>
      <c r="AA542" s="5" t="str">
        <f t="shared" ca="1" si="104"/>
        <v>Guarda-móveis</v>
      </c>
      <c r="AB542" s="5">
        <f ca="1">COUNTIF(R$10:R542,R542)</f>
        <v>525</v>
      </c>
      <c r="AC542" s="5" t="str">
        <f t="shared" ca="1" si="105"/>
        <v>0525</v>
      </c>
      <c r="AD542" s="5">
        <f t="shared" ca="1" si="106"/>
        <v>0</v>
      </c>
      <c r="AE542" s="5">
        <f t="shared" ca="1" si="107"/>
        <v>0</v>
      </c>
    </row>
    <row r="543" spans="4:31" ht="15.6" thickTop="1" thickBot="1" x14ac:dyDescent="0.35">
      <c r="D543" s="57"/>
      <c r="E543" s="58"/>
      <c r="F543" s="59"/>
      <c r="G543" s="59"/>
      <c r="H543" s="59"/>
      <c r="I543" s="60"/>
      <c r="J543" s="61"/>
      <c r="K543" s="61"/>
      <c r="M543" s="9" t="str">
        <f t="shared" si="97"/>
        <v/>
      </c>
      <c r="N543" s="5" t="str">
        <f t="shared" si="108"/>
        <v/>
      </c>
      <c r="O543" s="5" t="str">
        <f t="shared" si="102"/>
        <v/>
      </c>
      <c r="R543" s="5">
        <f t="shared" ca="1" si="98"/>
        <v>0</v>
      </c>
      <c r="S543" s="5">
        <f t="shared" si="99"/>
        <v>0</v>
      </c>
      <c r="U543" s="5">
        <f ca="1">COUNTIF(R$10:R543,R543)</f>
        <v>526</v>
      </c>
      <c r="V543" s="5" t="str">
        <f t="shared" ca="1" si="100"/>
        <v>0526</v>
      </c>
      <c r="W543" s="5" t="e">
        <f t="shared" ca="1" si="101"/>
        <v>#REF!</v>
      </c>
      <c r="Y543" s="5">
        <v>534</v>
      </c>
      <c r="Z543" s="5">
        <f t="shared" ca="1" si="103"/>
        <v>0</v>
      </c>
      <c r="AA543" s="5" t="str">
        <f t="shared" ca="1" si="104"/>
        <v>Guarda-móveis</v>
      </c>
      <c r="AB543" s="5">
        <f ca="1">COUNTIF(R$10:R543,R543)</f>
        <v>526</v>
      </c>
      <c r="AC543" s="5" t="str">
        <f t="shared" ca="1" si="105"/>
        <v>0526</v>
      </c>
      <c r="AD543" s="5">
        <f t="shared" ca="1" si="106"/>
        <v>0</v>
      </c>
      <c r="AE543" s="5">
        <f t="shared" ca="1" si="107"/>
        <v>0</v>
      </c>
    </row>
    <row r="544" spans="4:31" ht="15.6" thickTop="1" thickBot="1" x14ac:dyDescent="0.35">
      <c r="D544" s="57"/>
      <c r="E544" s="58"/>
      <c r="F544" s="59"/>
      <c r="G544" s="59"/>
      <c r="H544" s="59"/>
      <c r="I544" s="60"/>
      <c r="J544" s="61"/>
      <c r="K544" s="61"/>
      <c r="M544" s="9" t="str">
        <f t="shared" si="97"/>
        <v/>
      </c>
      <c r="N544" s="5" t="str">
        <f t="shared" si="108"/>
        <v/>
      </c>
      <c r="O544" s="5" t="str">
        <f t="shared" si="102"/>
        <v/>
      </c>
      <c r="R544" s="5">
        <f t="shared" ca="1" si="98"/>
        <v>0</v>
      </c>
      <c r="S544" s="5">
        <f t="shared" si="99"/>
        <v>0</v>
      </c>
      <c r="U544" s="5">
        <f ca="1">COUNTIF(R$10:R544,R544)</f>
        <v>527</v>
      </c>
      <c r="V544" s="5" t="str">
        <f t="shared" ca="1" si="100"/>
        <v>0527</v>
      </c>
      <c r="W544" s="5" t="e">
        <f t="shared" ca="1" si="101"/>
        <v>#REF!</v>
      </c>
      <c r="Y544" s="5">
        <v>535</v>
      </c>
      <c r="Z544" s="5">
        <f t="shared" ca="1" si="103"/>
        <v>0</v>
      </c>
      <c r="AA544" s="5" t="str">
        <f t="shared" ca="1" si="104"/>
        <v>Guarda-móveis</v>
      </c>
      <c r="AB544" s="5">
        <f ca="1">COUNTIF(R$10:R544,R544)</f>
        <v>527</v>
      </c>
      <c r="AC544" s="5" t="str">
        <f t="shared" ca="1" si="105"/>
        <v>0527</v>
      </c>
      <c r="AD544" s="5">
        <f t="shared" ca="1" si="106"/>
        <v>0</v>
      </c>
      <c r="AE544" s="5">
        <f t="shared" ca="1" si="107"/>
        <v>0</v>
      </c>
    </row>
    <row r="545" spans="4:31" ht="15.6" thickTop="1" thickBot="1" x14ac:dyDescent="0.35">
      <c r="D545" s="57"/>
      <c r="E545" s="58"/>
      <c r="F545" s="59"/>
      <c r="G545" s="59"/>
      <c r="H545" s="59"/>
      <c r="I545" s="60"/>
      <c r="J545" s="61"/>
      <c r="K545" s="61"/>
      <c r="M545" s="9" t="str">
        <f t="shared" si="97"/>
        <v/>
      </c>
      <c r="N545" s="5" t="str">
        <f t="shared" si="108"/>
        <v/>
      </c>
      <c r="O545" s="5" t="str">
        <f t="shared" si="102"/>
        <v/>
      </c>
      <c r="R545" s="5">
        <f t="shared" ca="1" si="98"/>
        <v>0</v>
      </c>
      <c r="S545" s="5">
        <f t="shared" si="99"/>
        <v>0</v>
      </c>
      <c r="U545" s="5">
        <f ca="1">COUNTIF(R$10:R545,R545)</f>
        <v>528</v>
      </c>
      <c r="V545" s="5" t="str">
        <f t="shared" ca="1" si="100"/>
        <v>0528</v>
      </c>
      <c r="W545" s="5" t="e">
        <f t="shared" ca="1" si="101"/>
        <v>#REF!</v>
      </c>
      <c r="Y545" s="5">
        <v>536</v>
      </c>
      <c r="Z545" s="5">
        <f t="shared" ca="1" si="103"/>
        <v>0</v>
      </c>
      <c r="AA545" s="5" t="str">
        <f t="shared" ca="1" si="104"/>
        <v>Guarda-móveis</v>
      </c>
      <c r="AB545" s="5">
        <f ca="1">COUNTIF(R$10:R545,R545)</f>
        <v>528</v>
      </c>
      <c r="AC545" s="5" t="str">
        <f t="shared" ca="1" si="105"/>
        <v>0528</v>
      </c>
      <c r="AD545" s="5">
        <f t="shared" ca="1" si="106"/>
        <v>0</v>
      </c>
      <c r="AE545" s="5">
        <f t="shared" ca="1" si="107"/>
        <v>0</v>
      </c>
    </row>
    <row r="546" spans="4:31" ht="15.6" thickTop="1" thickBot="1" x14ac:dyDescent="0.35">
      <c r="D546" s="57"/>
      <c r="E546" s="58"/>
      <c r="F546" s="59"/>
      <c r="G546" s="59"/>
      <c r="H546" s="59"/>
      <c r="I546" s="60"/>
      <c r="J546" s="61"/>
      <c r="K546" s="61"/>
      <c r="M546" s="9" t="str">
        <f t="shared" si="97"/>
        <v/>
      </c>
      <c r="N546" s="5" t="str">
        <f t="shared" si="108"/>
        <v/>
      </c>
      <c r="O546" s="5" t="str">
        <f t="shared" si="102"/>
        <v/>
      </c>
      <c r="R546" s="5">
        <f t="shared" ca="1" si="98"/>
        <v>0</v>
      </c>
      <c r="S546" s="5">
        <f t="shared" si="99"/>
        <v>0</v>
      </c>
      <c r="U546" s="5">
        <f ca="1">COUNTIF(R$10:R546,R546)</f>
        <v>529</v>
      </c>
      <c r="V546" s="5" t="str">
        <f t="shared" ca="1" si="100"/>
        <v>0529</v>
      </c>
      <c r="W546" s="5" t="e">
        <f t="shared" ca="1" si="101"/>
        <v>#REF!</v>
      </c>
      <c r="Y546" s="5">
        <v>537</v>
      </c>
      <c r="Z546" s="5">
        <f t="shared" ca="1" si="103"/>
        <v>0</v>
      </c>
      <c r="AA546" s="5" t="str">
        <f t="shared" ca="1" si="104"/>
        <v>Guarda-móveis</v>
      </c>
      <c r="AB546" s="5">
        <f ca="1">COUNTIF(R$10:R546,R546)</f>
        <v>529</v>
      </c>
      <c r="AC546" s="5" t="str">
        <f t="shared" ca="1" si="105"/>
        <v>0529</v>
      </c>
      <c r="AD546" s="5">
        <f t="shared" ca="1" si="106"/>
        <v>0</v>
      </c>
      <c r="AE546" s="5">
        <f t="shared" ca="1" si="107"/>
        <v>0</v>
      </c>
    </row>
    <row r="547" spans="4:31" ht="15.6" thickTop="1" thickBot="1" x14ac:dyDescent="0.35">
      <c r="D547" s="57"/>
      <c r="E547" s="58"/>
      <c r="F547" s="59"/>
      <c r="G547" s="59"/>
      <c r="H547" s="59"/>
      <c r="I547" s="60"/>
      <c r="J547" s="61"/>
      <c r="K547" s="61"/>
      <c r="M547" s="9" t="str">
        <f t="shared" si="97"/>
        <v/>
      </c>
      <c r="N547" s="5" t="str">
        <f t="shared" si="108"/>
        <v/>
      </c>
      <c r="O547" s="5" t="str">
        <f t="shared" si="102"/>
        <v/>
      </c>
      <c r="R547" s="5">
        <f t="shared" ca="1" si="98"/>
        <v>0</v>
      </c>
      <c r="S547" s="5">
        <f t="shared" si="99"/>
        <v>0</v>
      </c>
      <c r="U547" s="5">
        <f ca="1">COUNTIF(R$10:R547,R547)</f>
        <v>530</v>
      </c>
      <c r="V547" s="5" t="str">
        <f t="shared" ca="1" si="100"/>
        <v>0530</v>
      </c>
      <c r="W547" s="5" t="e">
        <f t="shared" ca="1" si="101"/>
        <v>#REF!</v>
      </c>
      <c r="Y547" s="5">
        <v>538</v>
      </c>
      <c r="Z547" s="5">
        <f t="shared" ca="1" si="103"/>
        <v>0</v>
      </c>
      <c r="AA547" s="5" t="str">
        <f t="shared" ca="1" si="104"/>
        <v>Guarda-móveis</v>
      </c>
      <c r="AB547" s="5">
        <f ca="1">COUNTIF(R$10:R547,R547)</f>
        <v>530</v>
      </c>
      <c r="AC547" s="5" t="str">
        <f t="shared" ca="1" si="105"/>
        <v>0530</v>
      </c>
      <c r="AD547" s="5">
        <f t="shared" ca="1" si="106"/>
        <v>0</v>
      </c>
      <c r="AE547" s="5">
        <f t="shared" ca="1" si="107"/>
        <v>0</v>
      </c>
    </row>
    <row r="548" spans="4:31" ht="15.6" thickTop="1" thickBot="1" x14ac:dyDescent="0.35">
      <c r="D548" s="57"/>
      <c r="E548" s="58"/>
      <c r="F548" s="59"/>
      <c r="G548" s="59"/>
      <c r="H548" s="59"/>
      <c r="I548" s="60"/>
      <c r="J548" s="61"/>
      <c r="K548" s="61"/>
      <c r="M548" s="9" t="str">
        <f t="shared" si="97"/>
        <v/>
      </c>
      <c r="N548" s="5" t="str">
        <f t="shared" si="108"/>
        <v/>
      </c>
      <c r="O548" s="5" t="str">
        <f t="shared" si="102"/>
        <v/>
      </c>
      <c r="R548" s="5">
        <f t="shared" ca="1" si="98"/>
        <v>0</v>
      </c>
      <c r="S548" s="5">
        <f t="shared" si="99"/>
        <v>0</v>
      </c>
      <c r="U548" s="5">
        <f ca="1">COUNTIF(R$10:R548,R548)</f>
        <v>531</v>
      </c>
      <c r="V548" s="5" t="str">
        <f t="shared" ca="1" si="100"/>
        <v>0531</v>
      </c>
      <c r="W548" s="5" t="e">
        <f t="shared" ca="1" si="101"/>
        <v>#REF!</v>
      </c>
      <c r="Y548" s="5">
        <v>539</v>
      </c>
      <c r="Z548" s="5">
        <f t="shared" ca="1" si="103"/>
        <v>0</v>
      </c>
      <c r="AA548" s="5" t="str">
        <f t="shared" ca="1" si="104"/>
        <v>Guarda-móveis</v>
      </c>
      <c r="AB548" s="5">
        <f ca="1">COUNTIF(R$10:R548,R548)</f>
        <v>531</v>
      </c>
      <c r="AC548" s="5" t="str">
        <f t="shared" ca="1" si="105"/>
        <v>0531</v>
      </c>
      <c r="AD548" s="5">
        <f t="shared" ca="1" si="106"/>
        <v>0</v>
      </c>
      <c r="AE548" s="5">
        <f t="shared" ca="1" si="107"/>
        <v>0</v>
      </c>
    </row>
    <row r="549" spans="4:31" ht="15.6" thickTop="1" thickBot="1" x14ac:dyDescent="0.35">
      <c r="D549" s="57"/>
      <c r="E549" s="58"/>
      <c r="F549" s="59"/>
      <c r="G549" s="59"/>
      <c r="H549" s="59"/>
      <c r="I549" s="60"/>
      <c r="J549" s="61"/>
      <c r="K549" s="61"/>
      <c r="M549" s="9" t="str">
        <f t="shared" si="97"/>
        <v/>
      </c>
      <c r="N549" s="5" t="str">
        <f t="shared" si="108"/>
        <v/>
      </c>
      <c r="O549" s="5" t="str">
        <f t="shared" si="102"/>
        <v/>
      </c>
      <c r="R549" s="5">
        <f t="shared" ca="1" si="98"/>
        <v>0</v>
      </c>
      <c r="S549" s="5">
        <f t="shared" si="99"/>
        <v>0</v>
      </c>
      <c r="U549" s="5">
        <f ca="1">COUNTIF(R$10:R549,R549)</f>
        <v>532</v>
      </c>
      <c r="V549" s="5" t="str">
        <f t="shared" ca="1" si="100"/>
        <v>0532</v>
      </c>
      <c r="W549" s="5" t="e">
        <f t="shared" ca="1" si="101"/>
        <v>#REF!</v>
      </c>
      <c r="Y549" s="5">
        <v>540</v>
      </c>
      <c r="Z549" s="5">
        <f t="shared" ca="1" si="103"/>
        <v>0</v>
      </c>
      <c r="AA549" s="5" t="str">
        <f t="shared" ca="1" si="104"/>
        <v>Guarda-móveis</v>
      </c>
      <c r="AB549" s="5">
        <f ca="1">COUNTIF(R$10:R549,R549)</f>
        <v>532</v>
      </c>
      <c r="AC549" s="5" t="str">
        <f t="shared" ca="1" si="105"/>
        <v>0532</v>
      </c>
      <c r="AD549" s="5">
        <f t="shared" ca="1" si="106"/>
        <v>0</v>
      </c>
      <c r="AE549" s="5">
        <f t="shared" ca="1" si="107"/>
        <v>0</v>
      </c>
    </row>
    <row r="550" spans="4:31" ht="15.6" thickTop="1" thickBot="1" x14ac:dyDescent="0.35">
      <c r="D550" s="57"/>
      <c r="E550" s="58"/>
      <c r="F550" s="59"/>
      <c r="G550" s="59"/>
      <c r="H550" s="59"/>
      <c r="I550" s="60"/>
      <c r="J550" s="61"/>
      <c r="K550" s="61"/>
      <c r="M550" s="9" t="str">
        <f t="shared" ref="M550" si="109">IF(ISBLANK(D550), "", IFERROR(PROPER(TEXT(D550,"mmmm")),""))</f>
        <v/>
      </c>
      <c r="N550" s="5" t="str">
        <f t="shared" si="108"/>
        <v/>
      </c>
      <c r="O550" s="5" t="str">
        <f t="shared" si="102"/>
        <v/>
      </c>
      <c r="R550" s="5">
        <f t="shared" ca="1" si="98"/>
        <v>0</v>
      </c>
      <c r="S550" s="5">
        <f t="shared" si="99"/>
        <v>0</v>
      </c>
      <c r="U550" s="5">
        <f ca="1">COUNTIF(R$10:R550,R550)</f>
        <v>533</v>
      </c>
      <c r="V550" s="5" t="str">
        <f t="shared" ca="1" si="100"/>
        <v>0533</v>
      </c>
      <c r="W550" s="5" t="e">
        <f t="shared" ca="1" si="101"/>
        <v>#REF!</v>
      </c>
      <c r="Y550" s="5">
        <v>541</v>
      </c>
      <c r="Z550" s="5">
        <f t="shared" ca="1" si="103"/>
        <v>0</v>
      </c>
      <c r="AA550" s="5" t="str">
        <f t="shared" ca="1" si="104"/>
        <v>Guarda-móveis</v>
      </c>
      <c r="AB550" s="5">
        <f ca="1">COUNTIF(R$10:R550,R550)</f>
        <v>533</v>
      </c>
      <c r="AC550" s="5" t="str">
        <f t="shared" ca="1" si="105"/>
        <v>0533</v>
      </c>
      <c r="AD550" s="5">
        <f t="shared" ca="1" si="106"/>
        <v>0</v>
      </c>
      <c r="AE550" s="5">
        <f t="shared" ca="1" si="107"/>
        <v>0</v>
      </c>
    </row>
    <row r="551" spans="4:31" ht="15" thickTop="1" x14ac:dyDescent="0.3">
      <c r="AC551" s="5" t="str">
        <f t="shared" si="105"/>
        <v/>
      </c>
      <c r="AE551" s="5">
        <f t="shared" si="107"/>
        <v>0</v>
      </c>
    </row>
  </sheetData>
  <autoFilter ref="D9:K9" xr:uid="{E5219EA7-96DF-43E9-A319-DA544665AF03}"/>
  <mergeCells count="2">
    <mergeCell ref="D5:D6"/>
    <mergeCell ref="A1:W1"/>
  </mergeCells>
  <phoneticPr fontId="4" type="noConversion"/>
  <conditionalFormatting sqref="R2:R1048576">
    <cfRule type="duplicateValues" dxfId="22" priority="1"/>
  </conditionalFormatting>
  <dataValidations count="2">
    <dataValidation type="list" allowBlank="1" showInputMessage="1" showErrorMessage="1" sqref="G23:G550" xr:uid="{6C7CF135-F1FE-4046-A82F-845B38BEB860}">
      <formula1>"MEI (Microempreendedor Individual), ME (Microempresa), EPP (Empresa de Pequeno Porte),LTDA (Sociedade Limitada),S/A (Sociedade Anônima)Sociedade Anônima, PF (Pessoa Física)"</formula1>
    </dataValidation>
    <dataValidation type="list" allowBlank="1" showInputMessage="1" showErrorMessage="1" sqref="G10:G22" xr:uid="{35C31C39-611C-41BA-B95A-E3EB48B70EA5}">
      <formula1>"MEI (Microempreendedor Individual), ME (Microempresa), EPP (Empresa de Pequeno Porte),LTDA (Sociedade Limitada),S/A (Sociedade Anônima), PF (Pessoa Física)"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1" operator="containsText" id="{5F71B4D7-4EFB-414D-A5F9-0C7ECBD4DA74}">
            <xm:f>NOT(ISERROR(SEARCH(TAB.AUXILIAR!$B$20,K10)))</xm:f>
            <xm:f>TAB.AUXILIAR!$B$20</xm:f>
            <x14:dxf>
              <fill>
                <patternFill>
                  <bgColor rgb="FFF5D861"/>
                </patternFill>
              </fill>
            </x14:dxf>
          </x14:cfRule>
          <x14:cfRule type="containsText" priority="42" operator="containsText" id="{DADC2AD2-ED66-4F2D-B5C4-FDCEC6FECC76}">
            <xm:f>NOT(ISERROR(SEARCH(TAB.AUXILIAR!$B$19,K10)))</xm:f>
            <xm:f>TAB.AUXILIAR!$B$19</xm:f>
            <x14:dxf>
              <fill>
                <patternFill>
                  <bgColor rgb="FFFF5349"/>
                </patternFill>
              </fill>
            </x14:dxf>
          </x14:cfRule>
          <x14:cfRule type="containsText" priority="43" operator="containsText" id="{A51E6696-E37A-4F38-A4DB-93035DC2AF75}">
            <xm:f>NOT(ISERROR(SEARCH(TAB.AUXILIAR!$B$18,K10)))</xm:f>
            <xm:f>TAB.AUXILIAR!$B$18</xm:f>
            <x14:dxf>
              <fill>
                <patternFill>
                  <bgColor rgb="FF22822E"/>
                </patternFill>
              </fill>
            </x14:dxf>
          </x14:cfRule>
          <xm:sqref>K10:K550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4D6CC8-3F6A-4601-A5F5-98CBAD925D2F}">
          <x14:formula1>
            <xm:f>'CNAE_Cód.Atividade Econômica'!$C$2:$C$404</xm:f>
          </x14:formula1>
          <xm:sqref>H10:H550</xm:sqref>
        </x14:dataValidation>
        <x14:dataValidation type="list" allowBlank="1" showInputMessage="1" showErrorMessage="1" xr:uid="{1B7FF99F-6CC7-44DC-855D-AB98AA9FB6A3}">
          <x14:formula1>
            <xm:f>TAB.AUXILIAR!$B$18:$B$20</xm:f>
          </x14:formula1>
          <xm:sqref>K10:K550</xm:sqref>
        </x14:dataValidation>
        <x14:dataValidation type="list" allowBlank="1" showInputMessage="1" showErrorMessage="1" xr:uid="{72429953-50CF-44D0-9969-986317D1BC1C}">
          <x14:formula1>
            <xm:f>TAB.AUXILIAR!$B$6:$B$10</xm:f>
          </x14:formula1>
          <xm:sqref>I10:I550</xm:sqref>
        </x14:dataValidation>
        <x14:dataValidation type="list" allowBlank="1" showInputMessage="1" showErrorMessage="1" xr:uid="{C3352C2F-5523-487C-BEB1-9A89D77AE3F4}">
          <x14:formula1>
            <xm:f>TAB.AUXILIAR!$B$23:$B$28</xm:f>
          </x14:formula1>
          <xm:sqref>J10:J550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BCF9-7CAE-4FDC-8684-82A30B2B0F40}">
  <sheetPr codeName="Planilha3"/>
  <dimension ref="A1:XFC76"/>
  <sheetViews>
    <sheetView showGridLines="0" showRowColHeaders="0" zoomScale="70" zoomScaleNormal="70" workbookViewId="0">
      <selection activeCell="C5" sqref="C5"/>
    </sheetView>
  </sheetViews>
  <sheetFormatPr defaultColWidth="0" defaultRowHeight="14.4" zeroHeight="1" x14ac:dyDescent="0.3"/>
  <cols>
    <col min="1" max="1" width="8.88671875" customWidth="1"/>
    <col min="2" max="2" width="56.5546875" style="11" bestFit="1" customWidth="1"/>
    <col min="3" max="3" width="70.77734375" style="11" bestFit="1" customWidth="1"/>
    <col min="4" max="4" width="10.5546875" style="11" customWidth="1"/>
    <col min="5" max="5" width="11.88671875" style="81" hidden="1" customWidth="1"/>
    <col min="6" max="6" width="9" style="96" hidden="1"/>
    <col min="7" max="7" width="15.21875" hidden="1"/>
    <col min="8" max="16383" width="8.88671875" hidden="1"/>
    <col min="16384" max="16384" width="15.21875" hidden="1"/>
  </cols>
  <sheetData>
    <row r="1" spans="1:6" ht="30" customHeight="1" x14ac:dyDescent="0.3">
      <c r="A1" s="103" t="s">
        <v>1135</v>
      </c>
      <c r="B1" s="103"/>
      <c r="C1" s="103"/>
      <c r="D1" s="103"/>
    </row>
    <row r="3" spans="1:6" hidden="1" x14ac:dyDescent="0.3">
      <c r="E3" s="82"/>
    </row>
    <row r="4" spans="1:6" x14ac:dyDescent="0.3"/>
    <row r="5" spans="1:6" s="28" customFormat="1" ht="30" customHeight="1" x14ac:dyDescent="0.3">
      <c r="B5" s="39" t="s">
        <v>659</v>
      </c>
      <c r="C5" s="99" t="str">
        <f ca="1">_xlfn.IFS(B25="REPROVADO","REPROVADO",B44="REPROVADO","REPROVADO",B53="REPROVADO","REPROVADO",B34="REPROVADO","REPROVADO",B58="REPROVADO","REPROVADO",B68="RISCO ALTO","REPROVADO",B68="RISCO MÉDIO","ANÁLISE DA DIRETORIA",B68="BAIXO RISCO","APROVADO")</f>
        <v>REPROVADO</v>
      </c>
      <c r="D5" s="36"/>
      <c r="E5" s="83"/>
      <c r="F5" s="87"/>
    </row>
    <row r="6" spans="1:6" s="28" customFormat="1" x14ac:dyDescent="0.3">
      <c r="B6" s="30"/>
      <c r="C6" s="30"/>
      <c r="D6" s="30"/>
      <c r="E6" s="84"/>
      <c r="F6" s="87"/>
    </row>
    <row r="7" spans="1:6" s="28" customFormat="1" x14ac:dyDescent="0.3">
      <c r="B7" s="39" t="s">
        <v>1144</v>
      </c>
      <c r="C7" s="47" t="s">
        <v>1132</v>
      </c>
      <c r="D7" s="36"/>
      <c r="E7" s="83"/>
      <c r="F7" s="87"/>
    </row>
    <row r="8" spans="1:6" s="28" customFormat="1" x14ac:dyDescent="0.3">
      <c r="B8" s="30"/>
      <c r="C8" s="30"/>
      <c r="D8" s="30"/>
      <c r="E8" s="84"/>
      <c r="F8" s="87"/>
    </row>
    <row r="9" spans="1:6" s="31" customFormat="1" x14ac:dyDescent="0.3">
      <c r="B9" s="103" t="s">
        <v>0</v>
      </c>
      <c r="C9" s="103"/>
      <c r="D9" s="50"/>
      <c r="E9" s="85"/>
      <c r="F9" s="97"/>
    </row>
    <row r="10" spans="1:6" s="28" customFormat="1" x14ac:dyDescent="0.3">
      <c r="B10" s="30"/>
      <c r="C10" s="30"/>
      <c r="D10" s="30"/>
      <c r="E10" s="84"/>
      <c r="F10" s="87"/>
    </row>
    <row r="11" spans="1:6" s="28" customFormat="1" x14ac:dyDescent="0.3">
      <c r="B11" s="39" t="s">
        <v>1202</v>
      </c>
      <c r="C11" s="69">
        <f ca="1">TODAY()</f>
        <v>45738</v>
      </c>
      <c r="D11" s="48"/>
      <c r="E11" s="86"/>
      <c r="F11" s="87"/>
    </row>
    <row r="12" spans="1:6" s="28" customFormat="1" x14ac:dyDescent="0.3">
      <c r="B12" s="39" t="s">
        <v>1142</v>
      </c>
      <c r="C12" s="33" t="s">
        <v>1133</v>
      </c>
      <c r="D12" s="10"/>
      <c r="E12" s="87"/>
      <c r="F12" s="87"/>
    </row>
    <row r="13" spans="1:6" s="28" customFormat="1" x14ac:dyDescent="0.3">
      <c r="B13" s="39" t="s">
        <v>1143</v>
      </c>
      <c r="C13" s="53" t="s">
        <v>1134</v>
      </c>
      <c r="E13" s="87"/>
      <c r="F13" s="87"/>
    </row>
    <row r="14" spans="1:6" s="28" customFormat="1" x14ac:dyDescent="0.3">
      <c r="B14" s="30"/>
      <c r="C14" s="30"/>
      <c r="D14" s="30"/>
      <c r="E14" s="84" t="s">
        <v>661</v>
      </c>
      <c r="F14" s="87"/>
    </row>
    <row r="15" spans="1:6" s="28" customFormat="1" x14ac:dyDescent="0.3">
      <c r="B15" s="103" t="s">
        <v>1136</v>
      </c>
      <c r="C15" s="103"/>
      <c r="D15" s="50"/>
      <c r="F15" s="87"/>
    </row>
    <row r="16" spans="1:6" s="28" customFormat="1" x14ac:dyDescent="0.3">
      <c r="B16" s="104"/>
      <c r="C16" s="104"/>
      <c r="D16" s="30"/>
      <c r="F16" s="87"/>
    </row>
    <row r="17" spans="2:6" s="28" customFormat="1" x14ac:dyDescent="0.3">
      <c r="B17" s="39" t="s">
        <v>660</v>
      </c>
      <c r="C17" s="40" t="s">
        <v>243</v>
      </c>
      <c r="D17" s="11"/>
      <c r="E17" s="88" t="s">
        <v>662</v>
      </c>
      <c r="F17" s="87"/>
    </row>
    <row r="18" spans="2:6" s="28" customFormat="1" x14ac:dyDescent="0.3">
      <c r="B18" s="39" t="s">
        <v>1</v>
      </c>
      <c r="C18" s="45">
        <v>43831</v>
      </c>
      <c r="D18" s="29"/>
      <c r="E18" s="88" t="str">
        <f ca="1">IF(ISBLANK(C18),"",IF(TODAY()-C18&gt;=5*365,"APROVADO","REPROVADO"))</f>
        <v>APROVADO</v>
      </c>
      <c r="F18" s="87"/>
    </row>
    <row r="19" spans="2:6" s="28" customFormat="1" x14ac:dyDescent="0.3">
      <c r="B19" s="39" t="s">
        <v>2</v>
      </c>
      <c r="C19" s="40" t="s">
        <v>1147</v>
      </c>
      <c r="D19" s="11"/>
      <c r="E19" s="88" t="s">
        <v>662</v>
      </c>
      <c r="F19" s="87"/>
    </row>
    <row r="20" spans="2:6" s="28" customFormat="1" x14ac:dyDescent="0.3">
      <c r="B20" s="39" t="s">
        <v>3</v>
      </c>
      <c r="C20" s="40" t="s">
        <v>1205</v>
      </c>
      <c r="D20" s="11"/>
      <c r="E20" s="88" t="s">
        <v>662</v>
      </c>
      <c r="F20" s="87"/>
    </row>
    <row r="21" spans="2:6" s="28" customFormat="1" x14ac:dyDescent="0.3">
      <c r="B21" s="39" t="s">
        <v>4</v>
      </c>
      <c r="C21" s="40" t="s">
        <v>160</v>
      </c>
      <c r="D21" s="11"/>
      <c r="E21" s="88" t="str">
        <f>IF(VLOOKUP(C21,'Tabela de Natureza Jurídica '!A:C,3,0)="Entidades empresariais","APROVADO","REPROVADO")</f>
        <v>APROVADO</v>
      </c>
      <c r="F21" s="87"/>
    </row>
    <row r="22" spans="2:6" s="28" customFormat="1" x14ac:dyDescent="0.3">
      <c r="B22" s="39" t="s">
        <v>6</v>
      </c>
      <c r="C22" s="46" t="s">
        <v>663</v>
      </c>
      <c r="D22" s="35"/>
      <c r="E22" s="88" t="str">
        <f>IF(ISBLANK(C22),"","APROVADO")</f>
        <v>APROVADO</v>
      </c>
      <c r="F22" s="87"/>
    </row>
    <row r="23" spans="2:6" s="28" customFormat="1" x14ac:dyDescent="0.3">
      <c r="B23" s="39" t="s">
        <v>7</v>
      </c>
      <c r="C23" s="40" t="s">
        <v>1130</v>
      </c>
      <c r="D23" s="11"/>
      <c r="E23" s="88" t="str">
        <f>IF(C23="SIM","APROVADO",IF(C23="NÃO","REPROVADO",""))</f>
        <v>APROVADO</v>
      </c>
      <c r="F23" s="87"/>
    </row>
    <row r="24" spans="2:6" s="28" customFormat="1" x14ac:dyDescent="0.3">
      <c r="B24" s="39" t="s">
        <v>8</v>
      </c>
      <c r="C24" s="40" t="s">
        <v>1141</v>
      </c>
      <c r="D24" s="11"/>
      <c r="E24" s="88" t="str">
        <f>IF(C24="ATIVA","APROVADO",IF(C23="NÃO","REPROVADO",""))</f>
        <v>APROVADO</v>
      </c>
      <c r="F24" s="87"/>
    </row>
    <row r="25" spans="2:6" x14ac:dyDescent="0.3">
      <c r="B25" s="105" t="str">
        <f ca="1">IF(OR(E18="",E21="",E22="",E23="",E24=""),"",IF(OR(E18="REPROVADO",E21="REPROVADO",E22="REPROVADO",E23="REPROVADO",E24="REPROVADO"),"REPROVADO","ANALISAR SERASA"))</f>
        <v>ANALISAR SERASA</v>
      </c>
      <c r="C25" s="106"/>
      <c r="D25" s="36"/>
      <c r="E25" s="89" t="s">
        <v>662</v>
      </c>
    </row>
    <row r="26" spans="2:6" x14ac:dyDescent="0.3">
      <c r="B26" s="30"/>
      <c r="C26" s="30"/>
      <c r="D26" s="30"/>
    </row>
    <row r="27" spans="2:6" s="32" customFormat="1" x14ac:dyDescent="0.3">
      <c r="B27" s="103" t="s">
        <v>1145</v>
      </c>
      <c r="C27" s="103"/>
      <c r="D27" s="50"/>
      <c r="E27" s="85"/>
      <c r="F27" s="98"/>
    </row>
    <row r="28" spans="2:6" x14ac:dyDescent="0.3">
      <c r="B28" s="104"/>
      <c r="C28" s="104"/>
      <c r="D28" s="30"/>
    </row>
    <row r="29" spans="2:6" x14ac:dyDescent="0.3">
      <c r="B29" s="39" t="s">
        <v>1203</v>
      </c>
      <c r="C29" s="40" t="s">
        <v>1130</v>
      </c>
      <c r="D29" s="30"/>
      <c r="E29" s="90" t="s">
        <v>662</v>
      </c>
    </row>
    <row r="30" spans="2:6" x14ac:dyDescent="0.3">
      <c r="B30" s="39" t="s">
        <v>1137</v>
      </c>
      <c r="C30" s="49" t="s">
        <v>1131</v>
      </c>
      <c r="D30" s="30"/>
      <c r="E30" s="90" t="str">
        <f>IF(C30="SIM","REPROVADO",IF(C30="NÃO","APROVADO",""))</f>
        <v>APROVADO</v>
      </c>
    </row>
    <row r="31" spans="2:6" x14ac:dyDescent="0.3">
      <c r="B31" s="39" t="s">
        <v>1138</v>
      </c>
      <c r="C31" s="34">
        <v>0</v>
      </c>
      <c r="D31" s="37"/>
      <c r="E31" s="90" t="str">
        <f>IF(C31=0,"APROVADO",IF(C31&gt;1000,"REPROVADO","ANALISAR PENDÊNCIA"))</f>
        <v>APROVADO</v>
      </c>
    </row>
    <row r="32" spans="2:6" ht="15" x14ac:dyDescent="0.3">
      <c r="B32" s="39" t="s">
        <v>1139</v>
      </c>
      <c r="C32" s="33">
        <v>0</v>
      </c>
      <c r="D32" s="70" t="str">
        <f>IF(C32=1, "Venceu! Faz 1 dia, atenção leve",
   IF(C32=2, "Venceu!Faz 2 dias, atenção moderada",
   IF(C32=3, "Venceu! Faz 3 dias, atenção urgente",
   IF(C32&gt;3, "Venceu! Faz "&amp;C32&amp;" dias, por gentileza verificar!", "Em dia!!!"))))</f>
        <v>Em dia!!!</v>
      </c>
      <c r="E32" s="90" t="str">
        <f>IF(C32&gt;0,"REPROVADO",IF(C32=0,"APROVADO"))</f>
        <v>APROVADO</v>
      </c>
    </row>
    <row r="33" spans="2:5" ht="15" x14ac:dyDescent="0.3">
      <c r="B33" s="39" t="s">
        <v>1140</v>
      </c>
      <c r="C33" s="33">
        <v>0</v>
      </c>
      <c r="D33" s="70" t="str">
        <f>IF(C33&gt;30, "Atenção Imediata, Elegibilidade para Negativação:", "Dentro do prazo!!!")</f>
        <v>Dentro do prazo!!!</v>
      </c>
      <c r="E33" s="90" t="str">
        <f>IF(C33=0, "APROVADO", "REPROVADO")</f>
        <v>APROVADO</v>
      </c>
    </row>
    <row r="34" spans="2:5" x14ac:dyDescent="0.3">
      <c r="B34" s="105" t="str">
        <f>IF(OR(E30="REPROVADO",E31="REPROVADO",E32="REPROVADO",E33="REPROVADO"),"REPROVADO","APROVADO")</f>
        <v>APROVADO</v>
      </c>
      <c r="C34" s="106"/>
      <c r="D34" s="36"/>
      <c r="E34" s="91" t="s">
        <v>662</v>
      </c>
    </row>
    <row r="35" spans="2:5" x14ac:dyDescent="0.3">
      <c r="B35" s="30"/>
      <c r="C35" s="30"/>
      <c r="D35" s="30"/>
    </row>
    <row r="36" spans="2:5" x14ac:dyDescent="0.3">
      <c r="B36" s="103" t="s">
        <v>9</v>
      </c>
      <c r="C36" s="103"/>
      <c r="D36" s="50"/>
      <c r="E36" s="85"/>
    </row>
    <row r="37" spans="2:5" x14ac:dyDescent="0.3">
      <c r="B37" s="30"/>
      <c r="C37" s="30"/>
      <c r="D37" s="30"/>
    </row>
    <row r="38" spans="2:5" x14ac:dyDescent="0.3">
      <c r="B38" s="39" t="s">
        <v>1146</v>
      </c>
      <c r="C38" s="40" t="s">
        <v>1131</v>
      </c>
      <c r="E38" s="88" t="str">
        <f t="shared" ref="E38:E43" si="0">IF(ISBLANK(C38),"",IF(C38="NÃO","LIBERADO","REPROVADO"))</f>
        <v>LIBERADO</v>
      </c>
    </row>
    <row r="39" spans="2:5" x14ac:dyDescent="0.3">
      <c r="B39" s="39" t="s">
        <v>10</v>
      </c>
      <c r="C39" s="40" t="s">
        <v>1131</v>
      </c>
      <c r="E39" s="88" t="str">
        <f t="shared" si="0"/>
        <v>LIBERADO</v>
      </c>
    </row>
    <row r="40" spans="2:5" x14ac:dyDescent="0.3">
      <c r="B40" s="39" t="s">
        <v>11</v>
      </c>
      <c r="C40" s="40" t="s">
        <v>1131</v>
      </c>
      <c r="E40" s="88" t="str">
        <f t="shared" si="0"/>
        <v>LIBERADO</v>
      </c>
    </row>
    <row r="41" spans="2:5" x14ac:dyDescent="0.3">
      <c r="B41" s="39" t="s">
        <v>12</v>
      </c>
      <c r="C41" s="40" t="s">
        <v>1131</v>
      </c>
      <c r="E41" s="88" t="str">
        <f t="shared" si="0"/>
        <v>LIBERADO</v>
      </c>
    </row>
    <row r="42" spans="2:5" x14ac:dyDescent="0.3">
      <c r="B42" s="39" t="s">
        <v>13</v>
      </c>
      <c r="C42" s="40" t="s">
        <v>1131</v>
      </c>
      <c r="E42" s="88" t="str">
        <f t="shared" si="0"/>
        <v>LIBERADO</v>
      </c>
    </row>
    <row r="43" spans="2:5" x14ac:dyDescent="0.3">
      <c r="B43" s="39" t="s">
        <v>14</v>
      </c>
      <c r="C43" s="40" t="s">
        <v>1131</v>
      </c>
      <c r="E43" s="88" t="str">
        <f t="shared" si="0"/>
        <v>LIBERADO</v>
      </c>
    </row>
    <row r="44" spans="2:5" x14ac:dyDescent="0.3">
      <c r="B44" s="105" t="str">
        <f>IF(SUMPRODUCT((E38:E43="REPROVADO")*1)&gt;0,"ANALISAR PENDÊNCIA",IF(SUMPRODUCT((E38:E43="LIBERADO")*1)&gt;0,"ANALISAR RISCO",""))</f>
        <v>ANALISAR RISCO</v>
      </c>
      <c r="C44" s="107"/>
      <c r="D44" s="36"/>
      <c r="E44" s="89" t="s">
        <v>662</v>
      </c>
    </row>
    <row r="45" spans="2:5" x14ac:dyDescent="0.3">
      <c r="B45" s="30"/>
      <c r="C45" s="30"/>
      <c r="D45" s="30"/>
    </row>
    <row r="46" spans="2:5" x14ac:dyDescent="0.3">
      <c r="B46" s="109" t="s">
        <v>15</v>
      </c>
      <c r="C46" s="109"/>
      <c r="D46" s="51"/>
      <c r="E46" s="92"/>
    </row>
    <row r="47" spans="2:5" x14ac:dyDescent="0.3">
      <c r="B47" s="104"/>
      <c r="C47" s="104"/>
      <c r="D47" s="30"/>
    </row>
    <row r="48" spans="2:5" x14ac:dyDescent="0.3">
      <c r="B48" s="39" t="s">
        <v>16</v>
      </c>
      <c r="C48" s="40">
        <v>0</v>
      </c>
      <c r="E48" s="88" t="str">
        <f>IF((C48/C67)&lt;1%,"LIBERADO","REPROVADO")</f>
        <v>LIBERADO</v>
      </c>
    </row>
    <row r="49" spans="2:5" x14ac:dyDescent="0.3">
      <c r="B49" s="39" t="s">
        <v>17</v>
      </c>
      <c r="C49" s="40">
        <v>0</v>
      </c>
      <c r="E49" s="88" t="str">
        <f>IF(C49&lt;=3,"LIBERADO","REPROVADO")</f>
        <v>LIBERADO</v>
      </c>
    </row>
    <row r="50" spans="2:5" x14ac:dyDescent="0.3">
      <c r="B50" s="39" t="s">
        <v>18</v>
      </c>
      <c r="C50" s="40">
        <v>0</v>
      </c>
      <c r="E50" s="88" t="s">
        <v>662</v>
      </c>
    </row>
    <row r="51" spans="2:5" x14ac:dyDescent="0.3">
      <c r="B51" s="39" t="s">
        <v>19</v>
      </c>
      <c r="C51" s="40" t="s">
        <v>665</v>
      </c>
      <c r="E51" s="88" t="str">
        <f>IF(C51="LOJA","REPROVADO","LIBERADO")</f>
        <v>LIBERADO</v>
      </c>
    </row>
    <row r="52" spans="2:5" x14ac:dyDescent="0.3">
      <c r="B52" s="39" t="s">
        <v>20</v>
      </c>
      <c r="C52" s="40"/>
      <c r="E52" s="88" t="s">
        <v>662</v>
      </c>
    </row>
    <row r="53" spans="2:5" x14ac:dyDescent="0.3">
      <c r="B53" s="105" t="str">
        <f>IF(OR(E48="REPROVADO",E49="REPROVADO",E51="REPROVADO"),"REPROVADO","ANALISAR RISCO")</f>
        <v>ANALISAR RISCO</v>
      </c>
      <c r="C53" s="106"/>
      <c r="D53" s="36"/>
      <c r="E53" s="89" t="s">
        <v>662</v>
      </c>
    </row>
    <row r="54" spans="2:5" x14ac:dyDescent="0.3">
      <c r="B54" s="30"/>
      <c r="C54" s="30"/>
      <c r="D54" s="30"/>
      <c r="E54" s="84"/>
    </row>
    <row r="55" spans="2:5" x14ac:dyDescent="0.3">
      <c r="B55" s="103" t="s">
        <v>21</v>
      </c>
      <c r="C55" s="103"/>
      <c r="D55" s="50"/>
      <c r="E55" s="85"/>
    </row>
    <row r="56" spans="2:5" x14ac:dyDescent="0.3">
      <c r="B56" s="30"/>
      <c r="C56" s="30"/>
      <c r="D56" s="30"/>
      <c r="E56" s="84"/>
    </row>
    <row r="57" spans="2:5" x14ac:dyDescent="0.3">
      <c r="B57" s="42" t="s">
        <v>22</v>
      </c>
      <c r="C57" s="40">
        <f>100+800/2</f>
        <v>500</v>
      </c>
      <c r="E57" s="93" t="str">
        <f>IF(C57&lt;&gt;0,"LIBERADO","REPROVADO")</f>
        <v>LIBERADO</v>
      </c>
    </row>
    <row r="58" spans="2:5" x14ac:dyDescent="0.3">
      <c r="B58" s="108" t="str">
        <f>IF(E57="REPROVADO","REPROVADO",IF(E57="Liberado","ANALISAR RISCO",""))</f>
        <v>ANALISAR RISCO</v>
      </c>
      <c r="C58" s="108"/>
      <c r="D58" s="36"/>
      <c r="E58" s="89" t="s">
        <v>662</v>
      </c>
    </row>
    <row r="59" spans="2:5" x14ac:dyDescent="0.3"/>
    <row r="60" spans="2:5" x14ac:dyDescent="0.3">
      <c r="B60" s="103" t="s">
        <v>23</v>
      </c>
      <c r="C60" s="103"/>
      <c r="D60" s="50"/>
      <c r="E60" s="85"/>
    </row>
    <row r="61" spans="2:5" x14ac:dyDescent="0.3">
      <c r="B61" s="30"/>
      <c r="C61" s="30"/>
      <c r="D61" s="30"/>
    </row>
    <row r="62" spans="2:5" x14ac:dyDescent="0.3">
      <c r="B62" s="39" t="s">
        <v>24</v>
      </c>
      <c r="C62" s="40">
        <v>500</v>
      </c>
      <c r="E62" s="88">
        <f>C62*20/1000</f>
        <v>10</v>
      </c>
    </row>
    <row r="63" spans="2:5" x14ac:dyDescent="0.3">
      <c r="B63" s="39" t="s">
        <v>25</v>
      </c>
      <c r="C63" s="52">
        <v>1.6199999999999999E-2</v>
      </c>
      <c r="E63" s="88" t="s">
        <v>662</v>
      </c>
    </row>
    <row r="64" spans="2:5" x14ac:dyDescent="0.3">
      <c r="B64" s="39" t="s">
        <v>26</v>
      </c>
      <c r="C64" s="40" t="s">
        <v>667</v>
      </c>
      <c r="E64" s="88" t="str">
        <f>_xlfn.IFS(C64="Mínimo","40",C64="Baixo","30",C64="Médio","20",C64="Relevante","10",C64="Iminente","0")</f>
        <v>20</v>
      </c>
    </row>
    <row r="65" spans="2:6" x14ac:dyDescent="0.3">
      <c r="B65" s="39" t="s">
        <v>28</v>
      </c>
      <c r="C65" s="52">
        <v>0</v>
      </c>
      <c r="E65" s="88" t="s">
        <v>662</v>
      </c>
    </row>
    <row r="66" spans="2:6" x14ac:dyDescent="0.3">
      <c r="B66" s="39" t="s">
        <v>29</v>
      </c>
      <c r="C66" s="40" t="s">
        <v>1204</v>
      </c>
      <c r="E66" s="88" t="str">
        <f>_xlfn.IFS(C66="Alta","40",C66="Média","30",C66="Baixa","15",C66="Miníma","0",C66="Sem Cadastro","0")</f>
        <v>15</v>
      </c>
    </row>
    <row r="67" spans="2:6" x14ac:dyDescent="0.3">
      <c r="B67" s="43" t="s">
        <v>30</v>
      </c>
      <c r="C67" s="44">
        <f>2000000/12</f>
        <v>166666.66666666666</v>
      </c>
      <c r="D67" s="38"/>
      <c r="E67" s="94">
        <f>(E62+E64+E66)/100</f>
        <v>0.45</v>
      </c>
    </row>
    <row r="68" spans="2:6" x14ac:dyDescent="0.3">
      <c r="B68" s="108" t="str">
        <f>IF(E67&gt;80%,"BAIXO RISCO",IF(E67&lt;50%,"RISCO ALTO","RISCO MÉDIO"))</f>
        <v>RISCO ALTO</v>
      </c>
      <c r="C68" s="108"/>
      <c r="D68" s="36"/>
      <c r="E68" s="95"/>
    </row>
    <row r="69" spans="2:6" x14ac:dyDescent="0.3"/>
    <row r="70" spans="2:6" s="32" customFormat="1" x14ac:dyDescent="0.3">
      <c r="B70" s="103" t="s">
        <v>31</v>
      </c>
      <c r="C70" s="103"/>
      <c r="D70" s="50"/>
      <c r="E70" s="85"/>
      <c r="F70" s="98"/>
    </row>
    <row r="71" spans="2:6" x14ac:dyDescent="0.3">
      <c r="B71" s="104"/>
      <c r="C71" s="104"/>
      <c r="D71" s="30"/>
    </row>
    <row r="72" spans="2:6" x14ac:dyDescent="0.3">
      <c r="B72" s="39" t="s">
        <v>32</v>
      </c>
      <c r="C72" s="40" t="s">
        <v>33</v>
      </c>
    </row>
    <row r="73" spans="2:6" x14ac:dyDescent="0.3">
      <c r="B73" s="39" t="s">
        <v>34</v>
      </c>
      <c r="C73" s="40">
        <v>0</v>
      </c>
    </row>
    <row r="74" spans="2:6" x14ac:dyDescent="0.3">
      <c r="B74" s="39" t="s">
        <v>35</v>
      </c>
      <c r="C74" s="41">
        <f>C67*1%</f>
        <v>1666.6666666666665</v>
      </c>
      <c r="D74" s="38"/>
    </row>
    <row r="75" spans="2:6" x14ac:dyDescent="0.3">
      <c r="B75" s="39" t="s">
        <v>36</v>
      </c>
      <c r="C75" s="40"/>
    </row>
    <row r="76" spans="2:6" x14ac:dyDescent="0.3"/>
  </sheetData>
  <sheetProtection algorithmName="SHA-512" hashValue="8Dajmik+QUZpEvha5LH0G5xVys6GkObIskSxipK+hVtyujM/7wTE35a7IYG7egNVY5oVhyaOZx6U3U153MtHEg==" saltValue="2dhrXJ3sFmgcNT6JKPgz0A==" spinCount="100000" sheet="1" objects="1" scenarios="1"/>
  <protectedRanges>
    <protectedRange sqref="B5:C75" name="Serasa"/>
  </protectedRanges>
  <mergeCells count="19">
    <mergeCell ref="A1:D1"/>
    <mergeCell ref="B71:C71"/>
    <mergeCell ref="B28:C28"/>
    <mergeCell ref="B25:C25"/>
    <mergeCell ref="B34:C34"/>
    <mergeCell ref="B44:C44"/>
    <mergeCell ref="B53:C53"/>
    <mergeCell ref="B58:C58"/>
    <mergeCell ref="B46:C46"/>
    <mergeCell ref="B36:C36"/>
    <mergeCell ref="B27:C27"/>
    <mergeCell ref="B68:C68"/>
    <mergeCell ref="B70:C70"/>
    <mergeCell ref="B60:C60"/>
    <mergeCell ref="B55:C55"/>
    <mergeCell ref="B47:C47"/>
    <mergeCell ref="B15:C15"/>
    <mergeCell ref="B9:C9"/>
    <mergeCell ref="B16:C16"/>
  </mergeCells>
  <conditionalFormatting sqref="B25 D25:E25">
    <cfRule type="containsText" dxfId="21" priority="27" operator="containsText" text="ANALISAR SERASA">
      <formula>NOT(ISERROR(SEARCH("ANALISAR SERASA",B25)))</formula>
    </cfRule>
    <cfRule type="containsText" dxfId="20" priority="28" operator="containsText" text="ANALISAR PENDÊCIA">
      <formula>NOT(ISERROR(SEARCH("ANALISAR PENDÊCIA",B25)))</formula>
    </cfRule>
    <cfRule type="containsText" dxfId="19" priority="29" operator="containsText" text="REPROVADO">
      <formula>NOT(ISERROR(SEARCH("REPROVADO",B25)))</formula>
    </cfRule>
    <cfRule type="containsText" dxfId="18" priority="30" operator="containsText" text="APROVADO">
      <formula>NOT(ISERROR(SEARCH("APROVADO",B25)))</formula>
    </cfRule>
  </conditionalFormatting>
  <conditionalFormatting sqref="B34 D34:E34">
    <cfRule type="containsText" dxfId="17" priority="25" operator="containsText" text="REPROVADO">
      <formula>NOT(ISERROR(SEARCH("REPROVADO",B34)))</formula>
    </cfRule>
    <cfRule type="containsText" dxfId="16" priority="26" operator="containsText" text="APROVADO">
      <formula>NOT(ISERROR(SEARCH("APROVADO",B34)))</formula>
    </cfRule>
  </conditionalFormatting>
  <conditionalFormatting sqref="B44 D44:E44">
    <cfRule type="containsText" dxfId="15" priority="2" operator="containsText" text="ANALISAR PENDÊNCIA">
      <formula>NOT(ISERROR(SEARCH("ANALISAR PENDÊNCIA",B44)))</formula>
    </cfRule>
    <cfRule type="containsText" dxfId="14" priority="14" operator="containsText" text="ANALISAR RISCO">
      <formula>NOT(ISERROR(SEARCH("ANALISAR RISCO",B44)))</formula>
    </cfRule>
  </conditionalFormatting>
  <conditionalFormatting sqref="B53 D53:E53">
    <cfRule type="containsText" dxfId="13" priority="8" operator="containsText" text="ANALISAR RISCO">
      <formula>NOT(ISERROR(SEARCH("ANALISAR RISCO",B53)))</formula>
    </cfRule>
    <cfRule type="containsText" dxfId="12" priority="9" operator="containsText" text="REPROVADO">
      <formula>NOT(ISERROR(SEARCH("REPROVADO",B53)))</formula>
    </cfRule>
  </conditionalFormatting>
  <conditionalFormatting sqref="B58 D58:E58">
    <cfRule type="containsText" dxfId="11" priority="6" operator="containsText" text="REPROVADO">
      <formula>NOT(ISERROR(SEARCH("REPROVADO",B58)))</formula>
    </cfRule>
    <cfRule type="containsText" dxfId="10" priority="7" operator="containsText" text="ANALISAR RISCO">
      <formula>NOT(ISERROR(SEARCH("ANALISAR RISCO",B58)))</formula>
    </cfRule>
  </conditionalFormatting>
  <conditionalFormatting sqref="B68 D68:E68">
    <cfRule type="containsText" dxfId="9" priority="3" operator="containsText" text="RISCO ALTO">
      <formula>NOT(ISERROR(SEARCH("RISCO ALTO",B68)))</formula>
    </cfRule>
    <cfRule type="containsText" dxfId="8" priority="4" operator="containsText" text="RISCO MÉDIO">
      <formula>NOT(ISERROR(SEARCH("RISCO MÉDIO",B68)))</formula>
    </cfRule>
    <cfRule type="containsText" dxfId="7" priority="5" operator="containsText" text="RISCO BAIXO">
      <formula>NOT(ISERROR(SEARCH("RISCO BAIXO",B68)))</formula>
    </cfRule>
  </conditionalFormatting>
  <conditionalFormatting sqref="C5">
    <cfRule type="containsText" dxfId="6" priority="1" operator="containsText" text="ANÁLISE DA DIRETORIA">
      <formula>NOT(ISERROR(SEARCH("ANÁLISE DA DIRETORIA",C5)))</formula>
    </cfRule>
  </conditionalFormatting>
  <conditionalFormatting sqref="C5:C6">
    <cfRule type="containsText" dxfId="5" priority="35" operator="containsText" text="REPROVADO">
      <formula>NOT(ISERROR(SEARCH("REPROVADO",C5)))</formula>
    </cfRule>
  </conditionalFormatting>
  <conditionalFormatting sqref="C5:C8 C10:C14">
    <cfRule type="containsText" dxfId="4" priority="33" operator="containsText" text="APROVADO">
      <formula>NOT(ISERROR(SEARCH("APROVADO",C5)))</formula>
    </cfRule>
  </conditionalFormatting>
  <conditionalFormatting sqref="C7:C8 C10:C14">
    <cfRule type="containsText" dxfId="3" priority="31" operator="containsText" text="EM ANÁLISE">
      <formula>NOT(ISERROR(SEARCH("EM ANÁLISE",C7)))</formula>
    </cfRule>
    <cfRule type="containsText" dxfId="2" priority="32" operator="containsText" text="REPROVADO">
      <formula>NOT(ISERROR(SEARCH("REPROVADO",C7)))</formula>
    </cfRule>
  </conditionalFormatting>
  <conditionalFormatting sqref="C38:C43">
    <cfRule type="containsText" dxfId="1" priority="13" operator="containsText" text="ANALISAR PENDÊNCIA">
      <formula>NOT(ISERROR(SEARCH("ANALISAR PENDÊNCIA",C38)))</formula>
    </cfRule>
    <cfRule type="containsText" dxfId="0" priority="17" operator="containsText" text="ANALISAR RISCO">
      <formula>NOT(ISERROR(SEARCH("ANALISAR RISCO",C38)))</formula>
    </cfRule>
  </conditionalFormatting>
  <dataValidations count="6">
    <dataValidation type="list" allowBlank="1" showInputMessage="1" showErrorMessage="1" sqref="C64:D64" xr:uid="{ACE976EB-F98B-4BB2-8703-206B09A8CDC9}">
      <formula1>"Mínimo, Baixo, Médio, Relevante, Iminente,"</formula1>
    </dataValidation>
    <dataValidation type="list" allowBlank="1" showInputMessage="1" showErrorMessage="1" sqref="C66:D66" xr:uid="{99347E41-8186-4A02-8064-F5220A8E30EA}">
      <formula1>"Alta,Média,Baixa,Miníma,Sem Cadastro"</formula1>
    </dataValidation>
    <dataValidation type="list" allowBlank="1" showInputMessage="1" showErrorMessage="1" sqref="C29:D29 C23 C38:C43" xr:uid="{A90A4F77-9EE7-4728-8410-FE72D9B34992}">
      <formula1>"Sim,Não"</formula1>
    </dataValidation>
    <dataValidation type="list" allowBlank="1" showInputMessage="1" showErrorMessage="1" sqref="C30:D30" xr:uid="{2217377F-B008-44F2-9C64-9588CC4F4A57}">
      <formula1>"Sim, Não"</formula1>
    </dataValidation>
    <dataValidation type="list" allowBlank="1" showInputMessage="1" showErrorMessage="1" sqref="C7" xr:uid="{005BB8D7-DA85-468D-BAD9-BC9945B85EF7}">
      <formula1>"APROVADO,REPROVADO,EM ANÁLISE"</formula1>
    </dataValidation>
    <dataValidation type="list" allowBlank="1" showInputMessage="1" showErrorMessage="1" sqref="C12" xr:uid="{3F91ED18-55C2-4F9A-84DE-F51CF793F477}">
      <formula1>"Departamento de Crédito/Análise de Crédito,Departamento de Cobrança,Financeiro (Contas a Receber),Jurídico,Direção,Vendas"</formula1>
    </dataValidation>
  </dataValidations>
  <hyperlinks>
    <hyperlink ref="C22" r:id="rId1" xr:uid="{5666B8FD-EF88-42C4-9787-32CF4A8A559F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08CF2E-9547-4733-A062-282E63C699E8}">
          <x14:formula1>
            <xm:f>'Tabela de Natureza Jurídica '!$A$2:$A$83</xm:f>
          </x14:formula1>
          <xm:sqref>C21</xm:sqref>
        </x14:dataValidation>
        <x14:dataValidation type="list" allowBlank="1" showInputMessage="1" showErrorMessage="1" xr:uid="{5C4AF3D1-9BAB-43AD-9D83-61EAD0BB7A84}">
          <x14:formula1>
            <xm:f>'CNAE_Cód.Atividade Econômica'!$C$2:$C$404</xm:f>
          </x14:formula1>
          <xm:sqref>C20</xm:sqref>
        </x14:dataValidation>
        <x14:dataValidation type="list" allowBlank="1" showInputMessage="1" showErrorMessage="1" xr:uid="{C7C4F4F0-AA6B-43C3-9547-1C87A2605633}">
          <x14:formula1>
            <xm:f>TAB.AUXILIAR!$B$13:$B$15</xm:f>
          </x14:formula1>
          <xm:sqref>C51:D51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2E9D-DD8D-4E1C-9E51-E9A102D835EB}">
  <sheetPr codeName="Planilha6"/>
  <dimension ref="A1:AQ21"/>
  <sheetViews>
    <sheetView showGridLines="0" showRowColHeaders="0" zoomScale="85" zoomScaleNormal="85" workbookViewId="0">
      <selection activeCell="L29" sqref="L29"/>
    </sheetView>
  </sheetViews>
  <sheetFormatPr defaultColWidth="0" defaultRowHeight="14.4" x14ac:dyDescent="0.3"/>
  <cols>
    <col min="1" max="1" width="2.21875" customWidth="1"/>
    <col min="2" max="2" width="43.109375" bestFit="1" customWidth="1"/>
    <col min="3" max="3" width="10" bestFit="1" customWidth="1"/>
    <col min="4" max="4" width="17.21875" style="1" bestFit="1" customWidth="1"/>
    <col min="5" max="5" width="8.44140625" style="2" bestFit="1" customWidth="1"/>
    <col min="6" max="6" width="6.77734375" style="2" bestFit="1" customWidth="1"/>
    <col min="7" max="7" width="7" style="2" bestFit="1" customWidth="1"/>
    <col min="8" max="8" width="8.5546875" style="2" bestFit="1" customWidth="1"/>
    <col min="9" max="9" width="7.77734375" bestFit="1" customWidth="1"/>
    <col min="10" max="10" width="9.5546875" style="3" bestFit="1" customWidth="1"/>
    <col min="11" max="11" width="12.44140625" bestFit="1" customWidth="1"/>
    <col min="12" max="12" width="10.77734375" bestFit="1" customWidth="1"/>
    <col min="13" max="14" width="12.88671875" bestFit="1" customWidth="1"/>
    <col min="15" max="15" width="9.44140625" customWidth="1"/>
    <col min="16" max="16" width="2.77734375" customWidth="1"/>
    <col min="17" max="17" width="24.5546875" hidden="1" customWidth="1"/>
    <col min="18" max="43" width="0" hidden="1" customWidth="1"/>
    <col min="44" max="16384" width="8.6640625" hidden="1"/>
  </cols>
  <sheetData>
    <row r="1" spans="1:18" ht="30" customHeight="1" x14ac:dyDescent="0.3">
      <c r="A1" s="102" t="s">
        <v>1156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8" s="10" customFormat="1" hidden="1" x14ac:dyDescent="0.3"/>
    <row r="3" spans="1:18" s="10" customFormat="1" hidden="1" x14ac:dyDescent="0.3"/>
    <row r="4" spans="1:18" ht="15" thickBot="1" x14ac:dyDescent="0.35">
      <c r="D4"/>
    </row>
    <row r="5" spans="1:18" ht="24.75" customHeight="1" thickTop="1" thickBot="1" x14ac:dyDescent="0.35">
      <c r="C5" s="67" t="s">
        <v>699</v>
      </c>
      <c r="D5" s="67" t="s">
        <v>700</v>
      </c>
      <c r="E5" s="67" t="s">
        <v>701</v>
      </c>
      <c r="F5" s="67" t="s">
        <v>702</v>
      </c>
      <c r="G5" s="67" t="s">
        <v>703</v>
      </c>
      <c r="H5" s="67" t="s">
        <v>704</v>
      </c>
      <c r="I5" s="67" t="s">
        <v>705</v>
      </c>
      <c r="J5" s="67" t="s">
        <v>706</v>
      </c>
      <c r="K5" s="67" t="s">
        <v>707</v>
      </c>
      <c r="L5" s="67" t="s">
        <v>708</v>
      </c>
      <c r="M5" s="67" t="s">
        <v>709</v>
      </c>
      <c r="N5" s="67" t="s">
        <v>710</v>
      </c>
      <c r="O5" s="67" t="s">
        <v>716</v>
      </c>
      <c r="Q5" s="16" t="s">
        <v>1108</v>
      </c>
      <c r="R5" s="16"/>
    </row>
    <row r="6" spans="1:18" ht="24.75" customHeight="1" thickTop="1" thickBot="1" x14ac:dyDescent="0.35">
      <c r="B6" s="65" t="s">
        <v>668</v>
      </c>
      <c r="C6" s="60">
        <f>COUNTIFS('CONTROLE DIÁRIO DE CONSULTAS'!$G$10:$G$1048576,$B$6,'CONTROLE DIÁRIO DE CONSULTAS'!$M$10:$M$1048576, C5)</f>
        <v>1</v>
      </c>
      <c r="D6" s="60">
        <f>COUNTIFS('CONTROLE DIÁRIO DE CONSULTAS'!$G$10:$G$1048576,'RELATÓRIO DE CONSULTAS - SERASA'!$B$6,'CONTROLE DIÁRIO DE CONSULTAS'!$M$10:$M$1048576, D5)</f>
        <v>0</v>
      </c>
      <c r="E6" s="60">
        <f>COUNTIFS('CONTROLE DIÁRIO DE CONSULTAS'!$G$10:$G$1048576,'RELATÓRIO DE CONSULTAS - SERASA'!$B$6,'CONTROLE DIÁRIO DE CONSULTAS'!$M$10:$M$1048576, E5)</f>
        <v>0</v>
      </c>
      <c r="F6" s="60">
        <f>COUNTIFS('CONTROLE DIÁRIO DE CONSULTAS'!$G$10:$G$1048576,'RELATÓRIO DE CONSULTAS - SERASA'!$B$6,'CONTROLE DIÁRIO DE CONSULTAS'!$M$10:$M$1048576, F5)</f>
        <v>0</v>
      </c>
      <c r="G6" s="60">
        <f>COUNTIFS('CONTROLE DIÁRIO DE CONSULTAS'!$G$10:$G$1048576,'RELATÓRIO DE CONSULTAS - SERASA'!$B$6,'CONTROLE DIÁRIO DE CONSULTAS'!$M$10:$M$1048576, G5)</f>
        <v>0</v>
      </c>
      <c r="H6" s="60">
        <f>COUNTIFS('CONTROLE DIÁRIO DE CONSULTAS'!$G$10:$G$1048576,'RELATÓRIO DE CONSULTAS - SERASA'!$B$6,'CONTROLE DIÁRIO DE CONSULTAS'!$M$10:$M$1048576, H5)</f>
        <v>0</v>
      </c>
      <c r="I6" s="60">
        <f>COUNTIFS('CONTROLE DIÁRIO DE CONSULTAS'!$G$10:$G$1048576,'RELATÓRIO DE CONSULTAS - SERASA'!$B$6,'CONTROLE DIÁRIO DE CONSULTAS'!$M$10:$M$1048576, I5)</f>
        <v>0</v>
      </c>
      <c r="J6" s="60">
        <f>COUNTIFS('CONTROLE DIÁRIO DE CONSULTAS'!$G$10:$G$1048576,'RELATÓRIO DE CONSULTAS - SERASA'!$B$6,'CONTROLE DIÁRIO DE CONSULTAS'!$M$10:$M$1048576, J5)</f>
        <v>0</v>
      </c>
      <c r="K6" s="60">
        <f>COUNTIFS('CONTROLE DIÁRIO DE CONSULTAS'!$G$10:$G$1048576,'RELATÓRIO DE CONSULTAS - SERASA'!$B$6,'CONTROLE DIÁRIO DE CONSULTAS'!$M$10:$M$1048576, K5)</f>
        <v>0</v>
      </c>
      <c r="L6" s="60">
        <f>COUNTIFS('CONTROLE DIÁRIO DE CONSULTAS'!$G$10:$G$1048576,'RELATÓRIO DE CONSULTAS - SERASA'!$B$6,'CONTROLE DIÁRIO DE CONSULTAS'!$M$10:$M$1048576, L5)</f>
        <v>0</v>
      </c>
      <c r="M6" s="60">
        <f>COUNTIFS('CONTROLE DIÁRIO DE CONSULTAS'!$G$10:$G$1048576,'RELATÓRIO DE CONSULTAS - SERASA'!$B$6,'CONTROLE DIÁRIO DE CONSULTAS'!$M$10:$M$1048576, M5)</f>
        <v>0</v>
      </c>
      <c r="N6" s="60">
        <f>COUNTIFS('CONTROLE DIÁRIO DE CONSULTAS'!$G$10:$G$1048576,'RELATÓRIO DE CONSULTAS - SERASA'!$B$6,'CONTROLE DIÁRIO DE CONSULTAS'!$M$10:$M$1048576, N5)</f>
        <v>0</v>
      </c>
      <c r="O6" s="68">
        <f>SUM($C$6:$N$6)</f>
        <v>1</v>
      </c>
      <c r="Q6" s="17">
        <f>AVERAGE($O$13/12)</f>
        <v>2.1666666666666665</v>
      </c>
      <c r="R6" s="17"/>
    </row>
    <row r="7" spans="1:18" ht="24.75" customHeight="1" thickTop="1" thickBot="1" x14ac:dyDescent="0.35">
      <c r="B7" s="65" t="s">
        <v>670</v>
      </c>
      <c r="C7" s="60">
        <f>COUNTIFS('CONTROLE DIÁRIO DE CONSULTAS'!$G$10:$G$1048576,$B$7,'CONTROLE DIÁRIO DE CONSULTAS'!$M$10:$M$1048576, C5)</f>
        <v>0</v>
      </c>
      <c r="D7" s="60">
        <f>COUNTIFS('CONTROLE DIÁRIO DE CONSULTAS'!$G$10:$G$1048576,$B$7,'CONTROLE DIÁRIO DE CONSULTAS'!$M$10:$M$1048576, D5)</f>
        <v>5</v>
      </c>
      <c r="E7" s="60">
        <f>COUNTIFS('CONTROLE DIÁRIO DE CONSULTAS'!$G$10:$G$1048576,$B$7,'CONTROLE DIÁRIO DE CONSULTAS'!$M$10:$M$1048576, E5)</f>
        <v>0</v>
      </c>
      <c r="F7" s="60">
        <f>COUNTIFS('CONTROLE DIÁRIO DE CONSULTAS'!$G$10:$G$1048576,$B$7,'CONTROLE DIÁRIO DE CONSULTAS'!$M$10:$M$1048576, F5)</f>
        <v>0</v>
      </c>
      <c r="G7" s="60">
        <f>COUNTIFS('CONTROLE DIÁRIO DE CONSULTAS'!$G$10:$G$1048576,$B$7,'CONTROLE DIÁRIO DE CONSULTAS'!$M$10:$M$1048576, G5)</f>
        <v>0</v>
      </c>
      <c r="H7" s="60">
        <f>COUNTIFS('CONTROLE DIÁRIO DE CONSULTAS'!$G$10:$G$1048576,$B$7,'CONTROLE DIÁRIO DE CONSULTAS'!$M$10:$M$1048576, H5)</f>
        <v>0</v>
      </c>
      <c r="I7" s="60">
        <f>COUNTIFS('CONTROLE DIÁRIO DE CONSULTAS'!$G$10:$G$1048576,$B$7,'CONTROLE DIÁRIO DE CONSULTAS'!$M$10:$M$1048576, I5)</f>
        <v>0</v>
      </c>
      <c r="J7" s="60">
        <f>COUNTIFS('CONTROLE DIÁRIO DE CONSULTAS'!$G$10:$G$1048576,$B$7,'CONTROLE DIÁRIO DE CONSULTAS'!$M$10:$M$1048576, J5)</f>
        <v>0</v>
      </c>
      <c r="K7" s="60">
        <f>COUNTIFS('CONTROLE DIÁRIO DE CONSULTAS'!$G$10:$G$1048576,$B$7,'CONTROLE DIÁRIO DE CONSULTAS'!$M$10:$M$1048576, K5)</f>
        <v>0</v>
      </c>
      <c r="L7" s="60">
        <f>COUNTIFS('CONTROLE DIÁRIO DE CONSULTAS'!$G$10:$G$1048576,$B$7,'CONTROLE DIÁRIO DE CONSULTAS'!$M$10:$M$1048576, L5)</f>
        <v>0</v>
      </c>
      <c r="M7" s="60">
        <f>COUNTIFS('CONTROLE DIÁRIO DE CONSULTAS'!$G$10:$G$1048576,$B$7,'CONTROLE DIÁRIO DE CONSULTAS'!$M$10:$M$1048576, M5)</f>
        <v>0</v>
      </c>
      <c r="N7" s="60">
        <f>COUNTIFS('CONTROLE DIÁRIO DE CONSULTAS'!$G$10:$G$1048576,$B$7,'CONTROLE DIÁRIO DE CONSULTAS'!$M$10:$M$1048576, N5)</f>
        <v>0</v>
      </c>
      <c r="O7" s="68">
        <f>SUM($C$7:$N$7)</f>
        <v>5</v>
      </c>
      <c r="Q7" s="17">
        <f t="shared" ref="Q7:Q17" si="0">AVERAGE($O$13/12)</f>
        <v>2.1666666666666665</v>
      </c>
      <c r="R7" s="17"/>
    </row>
    <row r="8" spans="1:18" ht="24.75" customHeight="1" thickTop="1" thickBot="1" x14ac:dyDescent="0.35">
      <c r="B8" s="65" t="s">
        <v>669</v>
      </c>
      <c r="C8" s="60">
        <f>COUNTIFS('CONTROLE DIÁRIO DE CONSULTAS'!$G$10:$G$1048576,$B$8,'CONTROLE DIÁRIO DE CONSULTAS'!$M$10:$M$1048576, C5)</f>
        <v>1</v>
      </c>
      <c r="D8" s="60">
        <f>COUNTIFS('CONTROLE DIÁRIO DE CONSULTAS'!$G$10:$G$1048576,$B$8,'CONTROLE DIÁRIO DE CONSULTAS'!$M$10:$M$1048576, D5)</f>
        <v>0</v>
      </c>
      <c r="E8" s="60">
        <f>COUNTIFS('CONTROLE DIÁRIO DE CONSULTAS'!$G$10:$G$1048576,$B$8,'CONTROLE DIÁRIO DE CONSULTAS'!$M$10:$M$1048576, E5)</f>
        <v>2</v>
      </c>
      <c r="F8" s="60">
        <f>COUNTIFS('CONTROLE DIÁRIO DE CONSULTAS'!$G$10:$G$1048576,$B$8,'CONTROLE DIÁRIO DE CONSULTAS'!$M$10:$M$1048576, F5)</f>
        <v>2</v>
      </c>
      <c r="G8" s="60">
        <f>COUNTIFS('CONTROLE DIÁRIO DE CONSULTAS'!$G$10:$G$1048576,$B$8,'CONTROLE DIÁRIO DE CONSULTAS'!$M$10:$M$1048576, G5)</f>
        <v>0</v>
      </c>
      <c r="H8" s="60">
        <f>COUNTIFS('CONTROLE DIÁRIO DE CONSULTAS'!$G$10:$G$1048576,$B$8,'CONTROLE DIÁRIO DE CONSULTAS'!$M$10:$M$1048576, H5)</f>
        <v>2</v>
      </c>
      <c r="I8" s="60">
        <f>COUNTIFS('CONTROLE DIÁRIO DE CONSULTAS'!$G$10:$G$1048576,$B$8,'CONTROLE DIÁRIO DE CONSULTAS'!$M$10:$M$1048576, I5)</f>
        <v>2</v>
      </c>
      <c r="J8" s="60">
        <f>COUNTIFS('CONTROLE DIÁRIO DE CONSULTAS'!$G$10:$G$1048576,$B$8,'CONTROLE DIÁRIO DE CONSULTAS'!$M$10:$M$1048576, J5)</f>
        <v>0</v>
      </c>
      <c r="K8" s="60">
        <f>COUNTIFS('CONTROLE DIÁRIO DE CONSULTAS'!$G$10:$G$1048576,$B$8,'CONTROLE DIÁRIO DE CONSULTAS'!$M$10:$M$1048576, K5)</f>
        <v>0</v>
      </c>
      <c r="L8" s="60">
        <f>COUNTIFS('CONTROLE DIÁRIO DE CONSULTAS'!$G$10:$G$1048576,$B$8,'CONTROLE DIÁRIO DE CONSULTAS'!$M$10:$M$1048576, L5)</f>
        <v>0</v>
      </c>
      <c r="M8" s="60">
        <f>COUNTIFS('CONTROLE DIÁRIO DE CONSULTAS'!$G$10:$G$1048576,$B$8,'CONTROLE DIÁRIO DE CONSULTAS'!$M$10:$M$1048576, M5)</f>
        <v>0</v>
      </c>
      <c r="N8" s="60">
        <f>COUNTIFS('CONTROLE DIÁRIO DE CONSULTAS'!$G$10:$G$1048576,$B$8,'CONTROLE DIÁRIO DE CONSULTAS'!$M$10:$M$1048576, N5)</f>
        <v>0</v>
      </c>
      <c r="O8" s="68">
        <f t="shared" ref="O8:O13" si="1">SUM(C8:N8)</f>
        <v>9</v>
      </c>
      <c r="Q8" s="17">
        <f t="shared" si="0"/>
        <v>2.1666666666666665</v>
      </c>
      <c r="R8" s="17"/>
    </row>
    <row r="9" spans="1:18" ht="24.75" customHeight="1" thickTop="1" thickBot="1" x14ac:dyDescent="0.35">
      <c r="B9" s="65" t="s">
        <v>712</v>
      </c>
      <c r="C9" s="60">
        <f>COUNTIFS('CONTROLE DIÁRIO DE CONSULTAS'!$G$10:$G$1048576,$B$9,'CONTROLE DIÁRIO DE CONSULTAS'!$M$10:$M$1048576, C5)</f>
        <v>0</v>
      </c>
      <c r="D9" s="60">
        <f>COUNTIFS('CONTROLE DIÁRIO DE CONSULTAS'!$G$10:$G$1048576,$B$9,'CONTROLE DIÁRIO DE CONSULTAS'!$M$10:$M$1048576, D5)</f>
        <v>0</v>
      </c>
      <c r="E9" s="60">
        <f>COUNTIFS('CONTROLE DIÁRIO DE CONSULTAS'!$G$10:$G$1048576,$B$9,'CONTROLE DIÁRIO DE CONSULTAS'!$M$10:$M$1048576, E5)</f>
        <v>0</v>
      </c>
      <c r="F9" s="60">
        <f>COUNTIFS('CONTROLE DIÁRIO DE CONSULTAS'!$G$10:$G$1048576,$B$9,'CONTROLE DIÁRIO DE CONSULTAS'!$M$10:$M$1048576, F5)</f>
        <v>0</v>
      </c>
      <c r="G9" s="60">
        <f>COUNTIFS('CONTROLE DIÁRIO DE CONSULTAS'!$G$10:$G$1048576,$B$9,'CONTROLE DIÁRIO DE CONSULTAS'!$M$10:$M$1048576, G5)</f>
        <v>4</v>
      </c>
      <c r="H9" s="60">
        <f>COUNTIFS('CONTROLE DIÁRIO DE CONSULTAS'!$G$10:$G$1048576,$B$9,'CONTROLE DIÁRIO DE CONSULTAS'!$M$10:$M$1048576, H5)</f>
        <v>0</v>
      </c>
      <c r="I9" s="60">
        <f>COUNTIFS('CONTROLE DIÁRIO DE CONSULTAS'!$G$10:$G$1048576,$B$9,'CONTROLE DIÁRIO DE CONSULTAS'!$M$10:$M$1048576, I5)</f>
        <v>0</v>
      </c>
      <c r="J9" s="60">
        <f>COUNTIFS('CONTROLE DIÁRIO DE CONSULTAS'!$G$10:$G$1048576,$B$9,'CONTROLE DIÁRIO DE CONSULTAS'!$M$10:$M$1048576, J5)</f>
        <v>0</v>
      </c>
      <c r="K9" s="60">
        <f>COUNTIFS('CONTROLE DIÁRIO DE CONSULTAS'!$G$10:$G$1048576,$B$9,'CONTROLE DIÁRIO DE CONSULTAS'!$M$10:$M$1048576, K5)</f>
        <v>1</v>
      </c>
      <c r="L9" s="60">
        <f>COUNTIFS('CONTROLE DIÁRIO DE CONSULTAS'!$G$10:$G$1048576,$B$9,'CONTROLE DIÁRIO DE CONSULTAS'!$M$10:$M$1048576, L5)</f>
        <v>0</v>
      </c>
      <c r="M9" s="60">
        <f>COUNTIFS('CONTROLE DIÁRIO DE CONSULTAS'!$G$10:$G$1048576,$B$9,'CONTROLE DIÁRIO DE CONSULTAS'!$M$10:$M$1048576, M5)</f>
        <v>0</v>
      </c>
      <c r="N9" s="60">
        <f>COUNTIFS('CONTROLE DIÁRIO DE CONSULTAS'!$G$10:$G$1048576,$B$9,'CONTROLE DIÁRIO DE CONSULTAS'!$M$10:$M$1048576, N5)</f>
        <v>0</v>
      </c>
      <c r="O9" s="68">
        <f t="shared" si="1"/>
        <v>5</v>
      </c>
      <c r="Q9" s="17">
        <f t="shared" si="0"/>
        <v>2.1666666666666665</v>
      </c>
      <c r="R9" s="17"/>
    </row>
    <row r="10" spans="1:18" ht="24.75" customHeight="1" thickTop="1" thickBot="1" x14ac:dyDescent="0.35">
      <c r="B10" s="65" t="s">
        <v>713</v>
      </c>
      <c r="C10" s="60">
        <f>COUNTIFS('CONTROLE DIÁRIO DE CONSULTAS'!G10:G1048576,$B$10,'CONTROLE DIÁRIO DE CONSULTAS'!$M$10:$M$1048576, C5)</f>
        <v>2</v>
      </c>
      <c r="D10" s="60">
        <f>COUNTIFS('CONTROLE DIÁRIO DE CONSULTAS'!$G$10:$G$1048576,$B$10,'CONTROLE DIÁRIO DE CONSULTAS'!$M$10:$M$1048576, D5)</f>
        <v>0</v>
      </c>
      <c r="E10" s="60">
        <f>COUNTIFS('CONTROLE DIÁRIO DE CONSULTAS'!$G$10:$G$1048576,$B$10,'CONTROLE DIÁRIO DE CONSULTAS'!$M$10:$M$1048576, E5)</f>
        <v>0</v>
      </c>
      <c r="F10" s="60">
        <f>COUNTIFS('CONTROLE DIÁRIO DE CONSULTAS'!$G$10:$G$1048576,$B$10,'CONTROLE DIÁRIO DE CONSULTAS'!$M$10:$M$1048576, F5)</f>
        <v>0</v>
      </c>
      <c r="G10" s="60">
        <f>COUNTIFS('CONTROLE DIÁRIO DE CONSULTAS'!$G$10:$G$1048576,$B$10,'CONTROLE DIÁRIO DE CONSULTAS'!$M$10:$M$1048576, G5)</f>
        <v>0</v>
      </c>
      <c r="H10" s="60">
        <f>COUNTIFS('CONTROLE DIÁRIO DE CONSULTAS'!$G$10:$G$1048576,$B$10,'CONTROLE DIÁRIO DE CONSULTAS'!$M$10:$M$1048576, H5)</f>
        <v>0</v>
      </c>
      <c r="I10" s="60">
        <f>COUNTIFS('CONTROLE DIÁRIO DE CONSULTAS'!$G$10:$G$1048576,$B$10,'CONTROLE DIÁRIO DE CONSULTAS'!$M$10:$M$1048576, I5)</f>
        <v>0</v>
      </c>
      <c r="J10" s="60">
        <f>COUNTIFS('CONTROLE DIÁRIO DE CONSULTAS'!$G$10:$G$1048576,$B$10,'CONTROLE DIÁRIO DE CONSULTAS'!$M$10:$M$1048576, J5)</f>
        <v>0</v>
      </c>
      <c r="K10" s="60">
        <f>COUNTIFS('CONTROLE DIÁRIO DE CONSULTAS'!$G$10:$G$1048576,$B$10,'CONTROLE DIÁRIO DE CONSULTAS'!$M$10:$M$1048576, K5)</f>
        <v>0</v>
      </c>
      <c r="L10" s="60">
        <f>COUNTIFS('CONTROLE DIÁRIO DE CONSULTAS'!$G$10:$G$1048576,$B$10,'CONTROLE DIÁRIO DE CONSULTAS'!$M$10:$M$1048576, L5)</f>
        <v>0</v>
      </c>
      <c r="M10" s="60">
        <f>COUNTIFS('CONTROLE DIÁRIO DE CONSULTAS'!$G$10:$G$1048576,$B$10,'CONTROLE DIÁRIO DE CONSULTAS'!$M$10:$M$1048576, M5)</f>
        <v>0</v>
      </c>
      <c r="N10" s="60">
        <f>COUNTIFS('CONTROLE DIÁRIO DE CONSULTAS'!$G$10:$G$1048576,$B$10,'CONTROLE DIÁRIO DE CONSULTAS'!$M$10:$M$1048576, N5)</f>
        <v>0</v>
      </c>
      <c r="O10" s="68">
        <f t="shared" si="1"/>
        <v>2</v>
      </c>
      <c r="Q10" s="17">
        <f t="shared" si="0"/>
        <v>2.1666666666666665</v>
      </c>
      <c r="R10" s="17"/>
    </row>
    <row r="11" spans="1:18" ht="24.75" customHeight="1" thickTop="1" thickBot="1" x14ac:dyDescent="0.35">
      <c r="B11" s="65" t="s">
        <v>714</v>
      </c>
      <c r="C11" s="60">
        <f>COUNTIFS('CONTROLE DIÁRIO DE CONSULTAS'!$G$10:$G$1048576,$B$11,'CONTROLE DIÁRIO DE CONSULTAS'!$M$10:$M$1048576, C5)</f>
        <v>0</v>
      </c>
      <c r="D11" s="60">
        <f>COUNTIFS('CONTROLE DIÁRIO DE CONSULTAS'!$G$10:$G$1048576,$B$11,'CONTROLE DIÁRIO DE CONSULTAS'!$M$10:$M$1048576, D5)</f>
        <v>0</v>
      </c>
      <c r="E11" s="60">
        <f>COUNTIFS('CONTROLE DIÁRIO DE CONSULTAS'!$G$10:$G$1048576,$B$11,'CONTROLE DIÁRIO DE CONSULTAS'!$M$10:$M$1048576, E5)</f>
        <v>0</v>
      </c>
      <c r="F11" s="60">
        <f>COUNTIFS('CONTROLE DIÁRIO DE CONSULTAS'!$G$10:$G$1048576,$B$11,'CONTROLE DIÁRIO DE CONSULTAS'!$M$10:$M$1048576, F5)</f>
        <v>0</v>
      </c>
      <c r="G11" s="60">
        <f>COUNTIFS('CONTROLE DIÁRIO DE CONSULTAS'!$G$10:$G$1048576,$B$11,'CONTROLE DIÁRIO DE CONSULTAS'!$M$10:$M$1048576, G5)</f>
        <v>0</v>
      </c>
      <c r="H11" s="60">
        <f>COUNTIFS('CONTROLE DIÁRIO DE CONSULTAS'!$G$10:$G$1048576,$B$11,'CONTROLE DIÁRIO DE CONSULTAS'!$M$10:$M$1048576, H5)</f>
        <v>0</v>
      </c>
      <c r="I11" s="60">
        <f>COUNTIFS('CONTROLE DIÁRIO DE CONSULTAS'!$G$10:$G$1048576,$B$11,'CONTROLE DIÁRIO DE CONSULTAS'!$M$10:$M$1048576, I5)</f>
        <v>0</v>
      </c>
      <c r="J11" s="60">
        <f>COUNTIFS('CONTROLE DIÁRIO DE CONSULTAS'!$G$10:$G$1048576,$B$11,'CONTROLE DIÁRIO DE CONSULTAS'!$M$10:$M$1048576, J5)</f>
        <v>0</v>
      </c>
      <c r="K11" s="60">
        <f>COUNTIFS('CONTROLE DIÁRIO DE CONSULTAS'!$G$10:$G$1048576,$B$11,'CONTROLE DIÁRIO DE CONSULTAS'!$M$10:$M$1048576, K5)</f>
        <v>0</v>
      </c>
      <c r="L11" s="60">
        <f>COUNTIFS('CONTROLE DIÁRIO DE CONSULTAS'!$G$10:$G$1048576,$B$11,'CONTROLE DIÁRIO DE CONSULTAS'!$M$10:$M$1048576, L5)</f>
        <v>0</v>
      </c>
      <c r="M11" s="60">
        <f>COUNTIFS('CONTROLE DIÁRIO DE CONSULTAS'!$G$10:$G$1048576,$B$11,'CONTROLE DIÁRIO DE CONSULTAS'!$M$10:$M$1048576, M5)</f>
        <v>0</v>
      </c>
      <c r="N11" s="60">
        <f>COUNTIFS('CONTROLE DIÁRIO DE CONSULTAS'!$G$10:$G$1048576,$B$11,'CONTROLE DIÁRIO DE CONSULTAS'!$M$10:$M$1048576, N5)</f>
        <v>0</v>
      </c>
      <c r="O11" s="68">
        <f t="shared" si="1"/>
        <v>0</v>
      </c>
      <c r="Q11" s="17">
        <f t="shared" si="0"/>
        <v>2.1666666666666665</v>
      </c>
      <c r="R11" s="17"/>
    </row>
    <row r="12" spans="1:18" ht="24.75" customHeight="1" thickTop="1" thickBot="1" x14ac:dyDescent="0.35">
      <c r="B12" s="65" t="s">
        <v>715</v>
      </c>
      <c r="C12" s="60">
        <f>COUNTIFS('CONTROLE DIÁRIO DE CONSULTAS'!$G$10:$G$1048576,$B$12,'CONTROLE DIÁRIO DE CONSULTAS'!$M$10:$M$1048576, C5)</f>
        <v>0</v>
      </c>
      <c r="D12" s="60">
        <f>COUNTIFS('CONTROLE DIÁRIO DE CONSULTAS'!$G$10:$G$1048576,$B$12,'CONTROLE DIÁRIO DE CONSULTAS'!$M$10:$M$1048576, D5)</f>
        <v>0</v>
      </c>
      <c r="E12" s="60">
        <f>COUNTIFS('CONTROLE DIÁRIO DE CONSULTAS'!$G$10:$G$1048576,$B$12,'CONTROLE DIÁRIO DE CONSULTAS'!$M$10:$M$1048576, E5)</f>
        <v>0</v>
      </c>
      <c r="F12" s="60">
        <f>COUNTIFS('CONTROLE DIÁRIO DE CONSULTAS'!$G$10:$G$1048576,$B$12,'CONTROLE DIÁRIO DE CONSULTAS'!$M$10:$M$1048576, F5)</f>
        <v>0</v>
      </c>
      <c r="G12" s="60">
        <f>COUNTIFS('CONTROLE DIÁRIO DE CONSULTAS'!$G$10:$G$1048576,$B$12,'CONTROLE DIÁRIO DE CONSULTAS'!$M$10:$M$1048576, G5)</f>
        <v>0</v>
      </c>
      <c r="H12" s="60">
        <f>COUNTIFS('CONTROLE DIÁRIO DE CONSULTAS'!$G$10:$G$1048576,$B$12,'CONTROLE DIÁRIO DE CONSULTAS'!$M$10:$M$1048576, H5)</f>
        <v>0</v>
      </c>
      <c r="I12" s="60">
        <f>COUNTIFS('CONTROLE DIÁRIO DE CONSULTAS'!$G$10:$G$1048576,$B$12,'CONTROLE DIÁRIO DE CONSULTAS'!$M$10:$M$1048576, I5)</f>
        <v>0</v>
      </c>
      <c r="J12" s="60">
        <f>COUNTIFS('CONTROLE DIÁRIO DE CONSULTAS'!$G$10:$G$1048576,$B$12,'CONTROLE DIÁRIO DE CONSULTAS'!$M$10:$M$1048576, J5)</f>
        <v>0</v>
      </c>
      <c r="K12" s="60">
        <f>COUNTIFS('CONTROLE DIÁRIO DE CONSULTAS'!$G$10:$G$1048576,$B$12,'CONTROLE DIÁRIO DE CONSULTAS'!$M$10:$M$1048576, K5)</f>
        <v>0</v>
      </c>
      <c r="L12" s="60">
        <f>COUNTIFS('CONTROLE DIÁRIO DE CONSULTAS'!$G$10:$G$1048576,$B$12,'CONTROLE DIÁRIO DE CONSULTAS'!$M$10:$M$1048576, L5)</f>
        <v>0</v>
      </c>
      <c r="M12" s="60">
        <f>COUNTIFS('CONTROLE DIÁRIO DE CONSULTAS'!$G$10:$G$1048576,$B$12,'CONTROLE DIÁRIO DE CONSULTAS'!$M$10:$M$1048576, M5)</f>
        <v>0</v>
      </c>
      <c r="N12" s="60">
        <f>COUNTIFS('CONTROLE DIÁRIO DE CONSULTAS'!$G$10:$G$1048576,$B$12,'CONTROLE DIÁRIO DE CONSULTAS'!$M$10:$M$1048576, N5)</f>
        <v>0</v>
      </c>
      <c r="O12" s="68">
        <f t="shared" si="1"/>
        <v>0</v>
      </c>
      <c r="Q12" s="17">
        <f t="shared" si="0"/>
        <v>2.1666666666666665</v>
      </c>
      <c r="R12" s="17"/>
    </row>
    <row r="13" spans="1:18" ht="28.35" customHeight="1" thickTop="1" thickBot="1" x14ac:dyDescent="0.35">
      <c r="B13" s="66" t="s">
        <v>711</v>
      </c>
      <c r="C13" s="7">
        <f>COUNTIF('CONTROLE DIÁRIO DE CONSULTAS'!$M$10:$M$40,C5)</f>
        <v>4</v>
      </c>
      <c r="D13" s="7">
        <f>COUNTIF('CONTROLE DIÁRIO DE CONSULTAS'!$M$10:$M$40,D5)</f>
        <v>5</v>
      </c>
      <c r="E13" s="7">
        <f>COUNTIF('CONTROLE DIÁRIO DE CONSULTAS'!$M$10:$M$40,E5)</f>
        <v>2</v>
      </c>
      <c r="F13" s="7">
        <f>COUNTIF('CONTROLE DIÁRIO DE CONSULTAS'!$M$10:$M$40,F5)</f>
        <v>2</v>
      </c>
      <c r="G13" s="7">
        <f>COUNTIF('CONTROLE DIÁRIO DE CONSULTAS'!$M$10:$M$40,G5)</f>
        <v>4</v>
      </c>
      <c r="H13" s="7">
        <f>COUNTIF('CONTROLE DIÁRIO DE CONSULTAS'!$M$10:$M$40,H5)</f>
        <v>2</v>
      </c>
      <c r="I13" s="7">
        <f>COUNTIF('CONTROLE DIÁRIO DE CONSULTAS'!$M$10:$M$40,I5)</f>
        <v>2</v>
      </c>
      <c r="J13" s="7">
        <f>COUNTIF('CONTROLE DIÁRIO DE CONSULTAS'!$M$10:$M$40,J5)</f>
        <v>2</v>
      </c>
      <c r="K13" s="7">
        <f>COUNTIF('CONTROLE DIÁRIO DE CONSULTAS'!$M$10:$M$40,K5)</f>
        <v>3</v>
      </c>
      <c r="L13" s="7">
        <f>COUNTIF('CONTROLE DIÁRIO DE CONSULTAS'!$M$10:$M$40,L5)</f>
        <v>0</v>
      </c>
      <c r="M13" s="7">
        <f>COUNTIF('CONTROLE DIÁRIO DE CONSULTAS'!$M$10:$M$40,M5)</f>
        <v>0</v>
      </c>
      <c r="N13" s="7">
        <f>COUNTIF('CONTROLE DIÁRIO DE CONSULTAS'!$M$10:$M$40,N5)</f>
        <v>0</v>
      </c>
      <c r="O13" s="7">
        <f t="shared" si="1"/>
        <v>26</v>
      </c>
      <c r="Q13" s="17">
        <f>AVERAGE($O$13/12)</f>
        <v>2.1666666666666665</v>
      </c>
    </row>
    <row r="14" spans="1:18" ht="15" thickTop="1" x14ac:dyDescent="0.3">
      <c r="D14"/>
      <c r="Q14" s="17">
        <f t="shared" si="0"/>
        <v>2.1666666666666665</v>
      </c>
    </row>
    <row r="15" spans="1:18" x14ac:dyDescent="0.3">
      <c r="D15" s="18"/>
      <c r="Q15" s="17">
        <f t="shared" si="0"/>
        <v>2.1666666666666665</v>
      </c>
    </row>
    <row r="16" spans="1:18" x14ac:dyDescent="0.3">
      <c r="D16" s="18"/>
      <c r="Q16" s="17">
        <f t="shared" si="0"/>
        <v>2.1666666666666665</v>
      </c>
    </row>
    <row r="17" spans="4:17" x14ac:dyDescent="0.3">
      <c r="D17" s="18"/>
      <c r="Q17" s="17">
        <f t="shared" si="0"/>
        <v>2.1666666666666665</v>
      </c>
    </row>
    <row r="18" spans="4:17" x14ac:dyDescent="0.3">
      <c r="D18" s="18"/>
    </row>
    <row r="19" spans="4:17" x14ac:dyDescent="0.3">
      <c r="D19" s="18"/>
    </row>
    <row r="20" spans="4:17" x14ac:dyDescent="0.3">
      <c r="D20" s="18"/>
    </row>
    <row r="21" spans="4:17" x14ac:dyDescent="0.3">
      <c r="D21" s="18"/>
    </row>
  </sheetData>
  <mergeCells count="1">
    <mergeCell ref="A1:O1"/>
  </mergeCells>
  <phoneticPr fontId="4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88233E9-0DF7-40D9-A135-7BD4C2A46130}">
          <x14:formula1>
            <xm:f>TAB.AUXILIAR!$B$6:$B$1048576</xm:f>
          </x14:formula1>
          <xm:sqref>I33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E913-909B-43D9-86EB-706B88EB28B9}">
  <sheetPr codeName="Planilha7"/>
  <dimension ref="A1:AS80"/>
  <sheetViews>
    <sheetView showGridLines="0" showRowColHeaders="0" topLeftCell="C4" zoomScale="45" zoomScaleNormal="45" workbookViewId="0">
      <selection activeCell="AS74" sqref="AS74"/>
    </sheetView>
  </sheetViews>
  <sheetFormatPr defaultColWidth="0" defaultRowHeight="14.4" zeroHeight="1" x14ac:dyDescent="0.3"/>
  <cols>
    <col min="1" max="2" width="2.21875" style="72" customWidth="1"/>
    <col min="3" max="3" width="8.88671875" style="72" customWidth="1"/>
    <col min="4" max="4" width="31.33203125" style="72" bestFit="1" customWidth="1"/>
    <col min="5" max="5" width="17.21875" style="72" bestFit="1" customWidth="1"/>
    <col min="6" max="8" width="8.88671875" style="72" customWidth="1"/>
    <col min="9" max="9" width="33" style="72" bestFit="1" customWidth="1"/>
    <col min="10" max="13" width="8.88671875" style="72" customWidth="1"/>
    <col min="14" max="14" width="2.21875" style="72" customWidth="1"/>
    <col min="15" max="15" width="40.109375" style="72" bestFit="1" customWidth="1"/>
    <col min="16" max="18" width="2.21875" style="72" customWidth="1"/>
    <col min="19" max="19" width="8.88671875" style="72" customWidth="1"/>
    <col min="20" max="20" width="2.21875" style="72" customWidth="1"/>
    <col min="21" max="25" width="8.88671875" style="72" customWidth="1"/>
    <col min="26" max="26" width="2.21875" style="72" customWidth="1"/>
    <col min="27" max="27" width="8.88671875" style="72" customWidth="1"/>
    <col min="28" max="29" width="2.21875" style="72" customWidth="1"/>
    <col min="30" max="45" width="8.88671875" style="72" customWidth="1"/>
    <col min="46" max="16384" width="8.88671875" style="72" hidden="1"/>
  </cols>
  <sheetData>
    <row r="1" s="72" customFormat="1" ht="14.4" hidden="1" customHeight="1" x14ac:dyDescent="0.3"/>
    <row r="2" s="72" customFormat="1" ht="14.4" hidden="1" customHeight="1" x14ac:dyDescent="0.3"/>
    <row r="3" s="72" customFormat="1" ht="14.4" hidden="1" customHeight="1" x14ac:dyDescent="0.3"/>
    <row r="4" s="72" customFormat="1" ht="14.4" customHeight="1" x14ac:dyDescent="0.3"/>
    <row r="5" s="72" customFormat="1" x14ac:dyDescent="0.3"/>
    <row r="6" s="72" customFormat="1" x14ac:dyDescent="0.3"/>
    <row r="7" s="72" customFormat="1" x14ac:dyDescent="0.3"/>
    <row r="8" s="72" customFormat="1" x14ac:dyDescent="0.3"/>
    <row r="9" s="72" customFormat="1" x14ac:dyDescent="0.3"/>
    <row r="10" s="72" customFormat="1" x14ac:dyDescent="0.3"/>
    <row r="11" s="72" customFormat="1" x14ac:dyDescent="0.3"/>
    <row r="12" s="72" customFormat="1" x14ac:dyDescent="0.3"/>
    <row r="13" s="72" customFormat="1" x14ac:dyDescent="0.3"/>
    <row r="14" s="72" customFormat="1" x14ac:dyDescent="0.3"/>
    <row r="15" s="72" customFormat="1" x14ac:dyDescent="0.3"/>
    <row r="16" s="72" customFormat="1" x14ac:dyDescent="0.3"/>
    <row r="17" spans="6:6" x14ac:dyDescent="0.3"/>
    <row r="18" spans="6:6" x14ac:dyDescent="0.3"/>
    <row r="19" spans="6:6" x14ac:dyDescent="0.3"/>
    <row r="20" spans="6:6" x14ac:dyDescent="0.3"/>
    <row r="21" spans="6:6" x14ac:dyDescent="0.3"/>
    <row r="22" spans="6:6" x14ac:dyDescent="0.3"/>
    <row r="23" spans="6:6" x14ac:dyDescent="0.3"/>
    <row r="24" spans="6:6" x14ac:dyDescent="0.3"/>
    <row r="25" spans="6:6" x14ac:dyDescent="0.3">
      <c r="F25" s="73"/>
    </row>
    <row r="26" spans="6:6" x14ac:dyDescent="0.3">
      <c r="F26" s="73"/>
    </row>
    <row r="27" spans="6:6" x14ac:dyDescent="0.3">
      <c r="F27" s="73"/>
    </row>
    <row r="28" spans="6:6" x14ac:dyDescent="0.3">
      <c r="F28" s="73"/>
    </row>
    <row r="29" spans="6:6" x14ac:dyDescent="0.3">
      <c r="F29" s="73"/>
    </row>
    <row r="30" spans="6:6" x14ac:dyDescent="0.3">
      <c r="F30" s="73"/>
    </row>
    <row r="31" spans="6:6" x14ac:dyDescent="0.3">
      <c r="F31" s="73"/>
    </row>
    <row r="32" spans="6:6" x14ac:dyDescent="0.3"/>
    <row r="33" s="72" customFormat="1" x14ac:dyDescent="0.3"/>
    <row r="34" s="72" customFormat="1" x14ac:dyDescent="0.3"/>
    <row r="35" s="72" customFormat="1" x14ac:dyDescent="0.3"/>
    <row r="36" s="72" customFormat="1" x14ac:dyDescent="0.3"/>
    <row r="37" s="72" customFormat="1" x14ac:dyDescent="0.3"/>
    <row r="38" s="72" customFormat="1" x14ac:dyDescent="0.3"/>
    <row r="39" s="72" customFormat="1" x14ac:dyDescent="0.3"/>
    <row r="40" s="72" customFormat="1" x14ac:dyDescent="0.3"/>
    <row r="41" s="72" customFormat="1" x14ac:dyDescent="0.3"/>
    <row r="42" s="72" customFormat="1" x14ac:dyDescent="0.3"/>
    <row r="43" s="72" customFormat="1" x14ac:dyDescent="0.3"/>
    <row r="44" s="72" customFormat="1" x14ac:dyDescent="0.3"/>
    <row r="45" s="72" customFormat="1" x14ac:dyDescent="0.3"/>
    <row r="46" s="72" customFormat="1" x14ac:dyDescent="0.3"/>
    <row r="47" s="72" customFormat="1" x14ac:dyDescent="0.3"/>
    <row r="48" s="72" customFormat="1" x14ac:dyDescent="0.3"/>
    <row r="49" s="72" customFormat="1" x14ac:dyDescent="0.3"/>
    <row r="50" s="72" customFormat="1" x14ac:dyDescent="0.3"/>
    <row r="51" s="72" customFormat="1" x14ac:dyDescent="0.3"/>
    <row r="52" s="72" customFormat="1" x14ac:dyDescent="0.3"/>
    <row r="53" s="72" customFormat="1" x14ac:dyDescent="0.3"/>
    <row r="54" s="72" customFormat="1" x14ac:dyDescent="0.3"/>
    <row r="55" s="72" customFormat="1" x14ac:dyDescent="0.3"/>
    <row r="56" s="72" customFormat="1" x14ac:dyDescent="0.3"/>
    <row r="57" s="72" customFormat="1" x14ac:dyDescent="0.3"/>
    <row r="58" s="72" customFormat="1" x14ac:dyDescent="0.3"/>
    <row r="59" s="72" customFormat="1" x14ac:dyDescent="0.3"/>
    <row r="60" s="72" customFormat="1" x14ac:dyDescent="0.3"/>
    <row r="61" s="72" customFormat="1" x14ac:dyDescent="0.3"/>
    <row r="62" s="72" customFormat="1" x14ac:dyDescent="0.3"/>
    <row r="63" s="72" customFormat="1" x14ac:dyDescent="0.3"/>
    <row r="64" s="72" customFormat="1" x14ac:dyDescent="0.3"/>
    <row r="65" s="72" customFormat="1" x14ac:dyDescent="0.3"/>
    <row r="66" s="72" customFormat="1" x14ac:dyDescent="0.3"/>
    <row r="67" s="72" customFormat="1" x14ac:dyDescent="0.3"/>
    <row r="68" s="72" customFormat="1" x14ac:dyDescent="0.3"/>
    <row r="69" s="72" customFormat="1" x14ac:dyDescent="0.3"/>
    <row r="70" s="72" customFormat="1" x14ac:dyDescent="0.3"/>
    <row r="71" s="72" customFormat="1" x14ac:dyDescent="0.3"/>
    <row r="72" s="72" customFormat="1" x14ac:dyDescent="0.3"/>
    <row r="73" s="72" customFormat="1" x14ac:dyDescent="0.3"/>
    <row r="74" s="72" customFormat="1" x14ac:dyDescent="0.3"/>
    <row r="75" s="72" customFormat="1" hidden="1" x14ac:dyDescent="0.3"/>
    <row r="76" s="72" customFormat="1" hidden="1" x14ac:dyDescent="0.3"/>
    <row r="77" s="72" customFormat="1" hidden="1" x14ac:dyDescent="0.3"/>
    <row r="78" s="72" customFormat="1" hidden="1" x14ac:dyDescent="0.3"/>
    <row r="79" s="72" customFormat="1" hidden="1" x14ac:dyDescent="0.3"/>
    <row r="80" s="72" customFormat="1" hidden="1" x14ac:dyDescent="0.3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97FF1-9164-450F-AA68-2719FE3F3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 de Natureza Jurídica </vt:lpstr>
      <vt:lpstr>CNAE_Cód.Atividade Econômica</vt:lpstr>
      <vt:lpstr>TAB.AUXILIAR</vt:lpstr>
      <vt:lpstr>CONTROLE DIÁRIO DE CONSULTAS</vt:lpstr>
      <vt:lpstr>ANÁLISE SERASA</vt:lpstr>
      <vt:lpstr>RELATÓRIO DE CONSULTAS - SERASA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dcterms:created xsi:type="dcterms:W3CDTF">2025-03-17T00:23:11Z</dcterms:created>
  <dcterms:modified xsi:type="dcterms:W3CDTF">2025-03-22T21:21:42Z</dcterms:modified>
</cp:coreProperties>
</file>