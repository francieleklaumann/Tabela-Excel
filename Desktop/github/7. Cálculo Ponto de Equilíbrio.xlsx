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github\"/>
    </mc:Choice>
  </mc:AlternateContent>
  <xr:revisionPtr revIDLastSave="0" documentId="13_ncr:1_{8E764915-8B84-4805-9ACD-A855828D0906}" xr6:coauthVersionLast="47" xr6:coauthVersionMax="47" xr10:uidLastSave="{00000000-0000-0000-0000-000000000000}"/>
  <bookViews>
    <workbookView xWindow="-108" yWindow="-108" windowWidth="23256" windowHeight="12456" tabRatio="765" firstSheet="4" activeTab="4" xr2:uid="{088E0EAF-CBF4-4A16-8C76-106A8A61EF71}"/>
  </bookViews>
  <sheets>
    <sheet name="PRODUTOS" sheetId="1" state="hidden" r:id="rId1"/>
    <sheet name="CUSTOS DIRETOS x CUSTOS FIXOS" sheetId="2" state="hidden" r:id="rId2"/>
    <sheet name="RELATÓRIO" sheetId="4" state="hidden" r:id="rId3"/>
    <sheet name="PONTO DE EQUILÍBRIO" sheetId="7" state="hidden" r:id="rId4"/>
    <sheet name="GRÁFICOS" sheetId="9" r:id="rId5"/>
  </sheets>
  <definedNames>
    <definedName name="_xlnm._FilterDatabase" localSheetId="1" hidden="1">'CUSTOS DIRETOS x CUSTOS FIXOS'!$B$18:$C$18</definedName>
    <definedName name="_xlnm._FilterDatabase" localSheetId="2" hidden="1">RELATÓRIO!$L$5:$N$5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2" l="1"/>
  <c r="V7" i="2" s="1"/>
  <c r="U8" i="2"/>
  <c r="V8" i="2" s="1"/>
  <c r="U9" i="2"/>
  <c r="U10" i="2"/>
  <c r="U11" i="2"/>
  <c r="U12" i="2"/>
  <c r="U13" i="2"/>
  <c r="V13" i="2" s="1"/>
  <c r="U14" i="2"/>
  <c r="U15" i="2"/>
  <c r="V15" i="2" s="1"/>
  <c r="U6" i="2"/>
  <c r="V6" i="2" s="1"/>
  <c r="V9" i="2"/>
  <c r="V10" i="2"/>
  <c r="V11" i="2"/>
  <c r="V12" i="2"/>
  <c r="V14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F17" i="1"/>
  <c r="G7" i="4"/>
  <c r="I7" i="4" s="1"/>
  <c r="G8" i="4"/>
  <c r="I8" i="4" s="1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I19" i="4" s="1"/>
  <c r="G20" i="4"/>
  <c r="I20" i="4" s="1"/>
  <c r="G21" i="4"/>
  <c r="I21" i="4" s="1"/>
  <c r="G22" i="4"/>
  <c r="I22" i="4" s="1"/>
  <c r="G23" i="4"/>
  <c r="I23" i="4" s="1"/>
  <c r="G24" i="4"/>
  <c r="I24" i="4" s="1"/>
  <c r="F7" i="7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E7" i="4" l="1"/>
  <c r="E8" i="4"/>
  <c r="E9" i="4"/>
  <c r="E6" i="4"/>
  <c r="D9" i="4"/>
  <c r="AJ41" i="9"/>
  <c r="AL41" i="9" s="1"/>
  <c r="AJ42" i="9"/>
  <c r="AL42" i="9" s="1"/>
  <c r="AJ43" i="9"/>
  <c r="AL43" i="9" s="1"/>
  <c r="AJ44" i="9"/>
  <c r="AL44" i="9" s="1"/>
  <c r="AJ45" i="9"/>
  <c r="AL45" i="9" s="1"/>
  <c r="AJ46" i="9"/>
  <c r="AL46" i="9" s="1"/>
  <c r="AJ47" i="9"/>
  <c r="AL47" i="9" s="1"/>
  <c r="AJ48" i="9"/>
  <c r="AL48" i="9" s="1"/>
  <c r="AJ49" i="9"/>
  <c r="AL49" i="9" s="1"/>
  <c r="AJ50" i="9"/>
  <c r="AL50" i="9" s="1"/>
  <c r="AK42" i="9"/>
  <c r="AK43" i="9"/>
  <c r="AK44" i="9"/>
  <c r="AK45" i="9"/>
  <c r="AK46" i="9"/>
  <c r="AK47" i="9"/>
  <c r="AK48" i="9"/>
  <c r="AK49" i="9"/>
  <c r="AK50" i="9"/>
  <c r="AK41" i="9"/>
  <c r="E13" i="1"/>
  <c r="E14" i="1"/>
  <c r="E15" i="1"/>
  <c r="G7" i="2"/>
  <c r="K7" i="2" s="1"/>
  <c r="G8" i="2"/>
  <c r="K8" i="2" s="1"/>
  <c r="G9" i="2"/>
  <c r="K9" i="2" s="1"/>
  <c r="G10" i="2"/>
  <c r="K10" i="2" s="1"/>
  <c r="G11" i="2"/>
  <c r="K11" i="2" s="1"/>
  <c r="G12" i="2"/>
  <c r="K12" i="2" s="1"/>
  <c r="G6" i="2"/>
  <c r="K6" i="2" s="1"/>
  <c r="H7" i="7" l="1"/>
  <c r="N16" i="4" l="1"/>
  <c r="N18" i="4"/>
  <c r="N19" i="4"/>
  <c r="N20" i="4"/>
  <c r="N24" i="4"/>
  <c r="L10" i="4"/>
  <c r="L11" i="4"/>
  <c r="L14" i="4"/>
  <c r="L8" i="4"/>
  <c r="L15" i="4"/>
  <c r="L7" i="4"/>
  <c r="L13" i="4"/>
  <c r="L6" i="4"/>
  <c r="L12" i="4"/>
  <c r="L9" i="4"/>
  <c r="G6" i="4"/>
  <c r="I6" i="4" s="1"/>
  <c r="C7" i="7"/>
  <c r="Q9" i="4" l="1"/>
  <c r="Q11" i="4"/>
  <c r="Q7" i="4"/>
  <c r="Q15" i="4"/>
  <c r="Q10" i="4"/>
  <c r="Q8" i="4"/>
  <c r="Q6" i="4"/>
  <c r="Q14" i="4"/>
  <c r="Q12" i="4"/>
  <c r="Q13" i="4"/>
  <c r="N17" i="4"/>
  <c r="N23" i="4"/>
  <c r="I25" i="4"/>
  <c r="N25" i="4"/>
  <c r="N21" i="4"/>
  <c r="N22" i="4"/>
  <c r="P6" i="2"/>
  <c r="P7" i="2"/>
  <c r="P8" i="2"/>
  <c r="P9" i="2"/>
  <c r="P10" i="2"/>
  <c r="P11" i="2"/>
  <c r="P12" i="2"/>
  <c r="P13" i="2"/>
  <c r="P14" i="2"/>
  <c r="P15" i="2"/>
  <c r="O7" i="2"/>
  <c r="O8" i="2"/>
  <c r="O9" i="2"/>
  <c r="O10" i="2"/>
  <c r="O11" i="2"/>
  <c r="O12" i="2"/>
  <c r="O13" i="2"/>
  <c r="O14" i="2"/>
  <c r="O15" i="2"/>
  <c r="O6" i="2"/>
  <c r="D6" i="4" l="1"/>
  <c r="L7" i="2"/>
  <c r="L8" i="2"/>
  <c r="L9" i="2"/>
  <c r="L10" i="2"/>
  <c r="L11" i="2"/>
  <c r="L12" i="2"/>
  <c r="G13" i="2"/>
  <c r="G14" i="2"/>
  <c r="K14" i="2" s="1"/>
  <c r="L14" i="2" s="1"/>
  <c r="G15" i="2"/>
  <c r="K15" i="2" s="1"/>
  <c r="L6" i="2"/>
  <c r="E7" i="1"/>
  <c r="J7" i="2" s="1"/>
  <c r="E8" i="1"/>
  <c r="I8" i="2" s="1"/>
  <c r="E9" i="1"/>
  <c r="J9" i="2" s="1"/>
  <c r="E10" i="1"/>
  <c r="E11" i="1"/>
  <c r="E12" i="1"/>
  <c r="I13" i="2"/>
  <c r="J14" i="2"/>
  <c r="I15" i="2"/>
  <c r="E6" i="1"/>
  <c r="I11" i="2" l="1"/>
  <c r="E17" i="1"/>
  <c r="F11" i="1" s="1"/>
  <c r="I12" i="2"/>
  <c r="L15" i="2"/>
  <c r="I10" i="7"/>
  <c r="K13" i="2"/>
  <c r="L13" i="2" s="1"/>
  <c r="C9" i="7"/>
  <c r="I7" i="2"/>
  <c r="I14" i="2"/>
  <c r="I6" i="2"/>
  <c r="J6" i="2"/>
  <c r="J15" i="2"/>
  <c r="I10" i="2"/>
  <c r="J12" i="2"/>
  <c r="J10" i="2"/>
  <c r="J8" i="2"/>
  <c r="J13" i="2"/>
  <c r="I9" i="2"/>
  <c r="J11" i="2"/>
  <c r="F12" i="1" l="1"/>
  <c r="F8" i="1"/>
  <c r="F6" i="1"/>
  <c r="F9" i="1"/>
  <c r="F10" i="1"/>
  <c r="F7" i="1"/>
  <c r="F14" i="1"/>
  <c r="F13" i="1"/>
  <c r="F15" i="1"/>
  <c r="AK29" i="9"/>
  <c r="AJ33" i="9"/>
  <c r="AL33" i="9" s="1"/>
  <c r="AK33" i="9"/>
  <c r="AJ30" i="9"/>
  <c r="AL30" i="9" s="1"/>
  <c r="AK32" i="9"/>
  <c r="AJ34" i="9"/>
  <c r="AL34" i="9" s="1"/>
  <c r="AK35" i="9"/>
  <c r="AJ27" i="9"/>
  <c r="AL27" i="9" s="1"/>
  <c r="AJ28" i="9"/>
  <c r="AL28" i="9" s="1"/>
  <c r="AJ32" i="9"/>
  <c r="AL32" i="9" s="1"/>
  <c r="AJ35" i="9"/>
  <c r="AL35" i="9" s="1"/>
  <c r="AJ36" i="9"/>
  <c r="AL36" i="9" s="1"/>
  <c r="AK34" i="9"/>
  <c r="AK31" i="9"/>
  <c r="AK30" i="9"/>
  <c r="D7" i="4"/>
  <c r="AJ29" i="9"/>
  <c r="AL29" i="9" s="1"/>
  <c r="AK27" i="9"/>
  <c r="D8" i="4"/>
  <c r="AK28" i="9"/>
  <c r="AK36" i="9"/>
  <c r="AJ31" i="9"/>
  <c r="AL31" i="9" s="1"/>
  <c r="C8" i="7"/>
  <c r="F8" i="7" s="1"/>
  <c r="F9" i="7" s="1"/>
  <c r="AJ56" i="9" l="1"/>
  <c r="AL56" i="9" s="1"/>
  <c r="AJ61" i="9"/>
  <c r="AK61" i="9" s="1"/>
  <c r="AJ57" i="9"/>
  <c r="AJ60" i="9"/>
  <c r="AK60" i="9" s="1"/>
  <c r="AJ62" i="9"/>
  <c r="AK62" i="9" s="1"/>
  <c r="AJ58" i="9"/>
  <c r="AK58" i="9" s="1"/>
  <c r="AJ54" i="9"/>
  <c r="AL54" i="9" s="1"/>
  <c r="AJ55" i="9"/>
  <c r="AL55" i="9" s="1"/>
  <c r="AJ59" i="9"/>
  <c r="AL59" i="9" s="1"/>
  <c r="AJ63" i="9"/>
  <c r="AK63" i="9" s="1"/>
  <c r="AL57" i="9"/>
  <c r="AK57" i="9"/>
  <c r="I11" i="7"/>
  <c r="D25" i="4"/>
  <c r="N7" i="2"/>
  <c r="M10" i="4" s="1"/>
  <c r="AK56" i="9" l="1"/>
  <c r="AL60" i="9"/>
  <c r="AK55" i="9"/>
  <c r="AL58" i="9"/>
  <c r="AK54" i="9"/>
  <c r="AK59" i="9"/>
  <c r="R10" i="4"/>
  <c r="M7" i="2"/>
  <c r="N10" i="4" s="1"/>
  <c r="N12" i="2"/>
  <c r="M7" i="4" s="1"/>
  <c r="N6" i="2"/>
  <c r="M9" i="4" s="1"/>
  <c r="N10" i="2"/>
  <c r="M8" i="4" s="1"/>
  <c r="N13" i="2"/>
  <c r="N15" i="2"/>
  <c r="N14" i="2"/>
  <c r="N11" i="2"/>
  <c r="M15" i="4" s="1"/>
  <c r="N9" i="2"/>
  <c r="M14" i="4" s="1"/>
  <c r="N8" i="2"/>
  <c r="M11" i="4" s="1"/>
  <c r="M6" i="4" l="1"/>
  <c r="R6" i="4" s="1"/>
  <c r="M12" i="4"/>
  <c r="R12" i="4" s="1"/>
  <c r="M13" i="4"/>
  <c r="R13" i="4" s="1"/>
  <c r="I8" i="7"/>
  <c r="R8" i="4"/>
  <c r="M10" i="2"/>
  <c r="N8" i="4" s="1"/>
  <c r="R7" i="4"/>
  <c r="M12" i="2"/>
  <c r="N7" i="4" s="1"/>
  <c r="R9" i="4"/>
  <c r="M6" i="2"/>
  <c r="N9" i="4" s="1"/>
  <c r="R11" i="4"/>
  <c r="M8" i="2"/>
  <c r="N11" i="4" s="1"/>
  <c r="R14" i="4"/>
  <c r="M9" i="2"/>
  <c r="N14" i="4" s="1"/>
  <c r="R15" i="4"/>
  <c r="M11" i="2"/>
  <c r="N15" i="4" s="1"/>
  <c r="M15" i="2"/>
  <c r="N12" i="4" s="1"/>
  <c r="M14" i="2"/>
  <c r="N6" i="4" s="1"/>
  <c r="M13" i="2"/>
  <c r="N13" i="4" s="1"/>
  <c r="S15" i="4" l="1"/>
  <c r="S7" i="4"/>
  <c r="S14" i="4"/>
  <c r="S8" i="4"/>
  <c r="S13" i="4"/>
  <c r="S12" i="4"/>
  <c r="S9" i="4"/>
  <c r="U9" i="4" s="1"/>
  <c r="S6" i="4"/>
  <c r="U6" i="4" s="1"/>
  <c r="S11" i="4"/>
  <c r="U11" i="4" s="1"/>
  <c r="S10" i="4"/>
  <c r="U7" i="4"/>
  <c r="AK14" i="9"/>
  <c r="AJ14" i="9"/>
  <c r="U10" i="4"/>
  <c r="AJ15" i="9"/>
  <c r="AK22" i="9"/>
  <c r="AK19" i="9"/>
  <c r="AJ19" i="9"/>
  <c r="AK23" i="9"/>
  <c r="AK20" i="9"/>
  <c r="AJ16" i="9"/>
  <c r="AJ21" i="9"/>
  <c r="AK16" i="9"/>
  <c r="AJ20" i="9"/>
  <c r="AJ18" i="9"/>
  <c r="AJ17" i="9"/>
  <c r="AK21" i="9"/>
  <c r="AK18" i="9"/>
  <c r="U15" i="4"/>
  <c r="U14" i="4"/>
  <c r="U8" i="4"/>
  <c r="AK17" i="9"/>
  <c r="AK15" i="9"/>
  <c r="U13" i="4"/>
  <c r="AJ23" i="9"/>
  <c r="AJ22" i="9"/>
  <c r="U12" i="4"/>
  <c r="I7" i="7"/>
  <c r="I9" i="7"/>
  <c r="AL16" i="9" l="1"/>
  <c r="AM16" i="9" s="1"/>
  <c r="AN16" i="9" s="1"/>
  <c r="AO16" i="9"/>
  <c r="AO23" i="9"/>
  <c r="AL23" i="9"/>
  <c r="AM23" i="9" s="1"/>
  <c r="AN23" i="9" s="1"/>
  <c r="AO17" i="9"/>
  <c r="AL17" i="9"/>
  <c r="AM17" i="9" s="1"/>
  <c r="AN17" i="9" s="1"/>
  <c r="AO18" i="9"/>
  <c r="AL18" i="9"/>
  <c r="AM18" i="9" s="1"/>
  <c r="AN18" i="9" s="1"/>
  <c r="AL14" i="9"/>
  <c r="AO14" i="9"/>
  <c r="AL20" i="9"/>
  <c r="AM20" i="9" s="1"/>
  <c r="AN20" i="9" s="1"/>
  <c r="AO20" i="9"/>
  <c r="AO19" i="9"/>
  <c r="AL19" i="9"/>
  <c r="AM19" i="9" s="1"/>
  <c r="AN19" i="9" s="1"/>
  <c r="AL22" i="9"/>
  <c r="AM22" i="9" s="1"/>
  <c r="AN22" i="9" s="1"/>
  <c r="AO22" i="9"/>
  <c r="AL21" i="9"/>
  <c r="AM21" i="9" s="1"/>
  <c r="AN21" i="9" s="1"/>
  <c r="AO21" i="9"/>
  <c r="AO15" i="9"/>
  <c r="AL15" i="9"/>
  <c r="AM15" i="9" s="1"/>
  <c r="AN15" i="9" s="1"/>
  <c r="AK7" i="9"/>
  <c r="AJ9" i="9"/>
  <c r="AL9" i="9" s="1"/>
  <c r="AJ8" i="9"/>
  <c r="AL8" i="9" s="1"/>
  <c r="AK10" i="9"/>
  <c r="AJ7" i="9"/>
  <c r="AL7" i="9" s="1"/>
  <c r="AK9" i="9"/>
  <c r="AK6" i="9"/>
  <c r="AK8" i="9"/>
  <c r="AJ6" i="9"/>
  <c r="AL6" i="9" s="1"/>
  <c r="AJ10" i="9"/>
  <c r="AL10" i="9" s="1"/>
  <c r="AM14" i="9" l="1"/>
  <c r="AN1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Franciele Klaumann</author>
  </authors>
  <commentList>
    <comment ref="B5" authorId="0" shapeId="0" xr:uid="{A1DBC34A-CD28-4508-8FA9-8592186440F5}">
      <text>
        <r>
          <rPr>
            <b/>
            <sz val="9"/>
            <color indexed="81"/>
            <rFont val="Segoe UI"/>
            <family val="2"/>
          </rPr>
          <t>Franciele Klaumann:</t>
        </r>
        <r>
          <rPr>
            <sz val="9"/>
            <color indexed="81"/>
            <rFont val="Segoe UI"/>
            <family val="2"/>
          </rPr>
          <t xml:space="preserve">
A Margem de Contribuição é a receita líquida que sobra após descontar os custos variáveis, usada para cobrir os custos fixos e gerar lucro.</t>
        </r>
      </text>
    </comment>
    <comment ref="E5" authorId="0" shapeId="0" xr:uid="{A690CE40-BBDE-4F17-9C23-CA4B650905D4}">
      <text>
        <r>
          <rPr>
            <b/>
            <sz val="9"/>
            <color indexed="81"/>
            <rFont val="Segoe UI"/>
            <family val="2"/>
          </rPr>
          <t>Franciele Klaumann:</t>
        </r>
        <r>
          <rPr>
            <sz val="9"/>
            <color indexed="81"/>
            <rFont val="Segoe UI"/>
            <family val="2"/>
          </rPr>
          <t xml:space="preserve">
O Ponto de Equilíbrio é o volume de vendas necessário para cobrir todos os custos do negócio, sem lucro nem prejuízo. Ele serve para identificar o mínimo que a empresa precisa vender para não operar no vermelho.</t>
        </r>
      </text>
    </comment>
  </commentList>
</comments>
</file>

<file path=xl/sharedStrings.xml><?xml version="1.0" encoding="utf-8"?>
<sst xmlns="http://schemas.openxmlformats.org/spreadsheetml/2006/main" count="108" uniqueCount="74">
  <si>
    <t>Produto</t>
  </si>
  <si>
    <t>Quantidade Vendida/Mês</t>
  </si>
  <si>
    <t>Receita bruta Mensal</t>
  </si>
  <si>
    <t>% de Participação</t>
  </si>
  <si>
    <t>Custo com Matéria Prima</t>
  </si>
  <si>
    <t>Outros Gastos</t>
  </si>
  <si>
    <t>Comissões %</t>
  </si>
  <si>
    <t>Impostos %</t>
  </si>
  <si>
    <t>Margem de Contribuição (U.N)</t>
  </si>
  <si>
    <t>IMC%</t>
  </si>
  <si>
    <t>Receita no ponto de Equilíbrio</t>
  </si>
  <si>
    <t>Quantidade a ser vendida</t>
  </si>
  <si>
    <t>Matéria Prima</t>
  </si>
  <si>
    <t>DESCRIÇÃO</t>
  </si>
  <si>
    <t>VALOR</t>
  </si>
  <si>
    <t>Preço de venda médio de produtos</t>
  </si>
  <si>
    <t>Margem de contribuição média de produtos</t>
  </si>
  <si>
    <t>Custos diretos totais</t>
  </si>
  <si>
    <t>Valor</t>
  </si>
  <si>
    <t>Custos Fixos</t>
  </si>
  <si>
    <t>Unidades</t>
  </si>
  <si>
    <t>Total de despesas diretas</t>
  </si>
  <si>
    <t>MC unitária</t>
  </si>
  <si>
    <t>MC ponderada</t>
  </si>
  <si>
    <t>Total</t>
  </si>
  <si>
    <t>Produtos</t>
  </si>
  <si>
    <t>Receita Gerada</t>
  </si>
  <si>
    <t>Preço de Venda</t>
  </si>
  <si>
    <t>MARGEM DE CONTRIBUÇÃO</t>
  </si>
  <si>
    <t>PONTO DE EQUILÍBRIO</t>
  </si>
  <si>
    <t>Valor total de CUSTOS FIXOS</t>
  </si>
  <si>
    <t>Faturamento para não ter prejuízo</t>
  </si>
  <si>
    <t>Quantidade produtos devem ser vendidos para não ter prejuízo?</t>
  </si>
  <si>
    <t>Custos Diretos</t>
  </si>
  <si>
    <t>Salários e Benefícios</t>
  </si>
  <si>
    <t>Contas de Energia Elétrica</t>
  </si>
  <si>
    <t>Água e Saneamento</t>
  </si>
  <si>
    <t>Licenças e Taxas Governamentais</t>
  </si>
  <si>
    <t>Seguros</t>
  </si>
  <si>
    <t>Depreciação de Equipamentos</t>
  </si>
  <si>
    <t>Manutenção de Equipamentos</t>
  </si>
  <si>
    <t>Software e Licenças de Sistemas</t>
  </si>
  <si>
    <t>Marketing e Publicidade de Longo Prazo</t>
  </si>
  <si>
    <t>Sofá de Couro Italiano</t>
  </si>
  <si>
    <t>Máquina de Café Expresso</t>
  </si>
  <si>
    <t>Luminária de Cristal (1,5m)</t>
  </si>
  <si>
    <t>Conjunto de Talheres de Prata</t>
  </si>
  <si>
    <t>Tapete Persa (3x4m)</t>
  </si>
  <si>
    <t>Cama King Size de Madeira</t>
  </si>
  <si>
    <t>Frigobar de Inox</t>
  </si>
  <si>
    <t>Ventilador de Design Moderno</t>
  </si>
  <si>
    <t>Jogo de Cama de Seda (Queen)</t>
  </si>
  <si>
    <t>Impostos%</t>
  </si>
  <si>
    <t>Comissões%</t>
  </si>
  <si>
    <t>TV LED 100</t>
  </si>
  <si>
    <t>Ranking</t>
  </si>
  <si>
    <t>Quantidade</t>
  </si>
  <si>
    <t>IMC</t>
  </si>
  <si>
    <t>auxiliar01</t>
  </si>
  <si>
    <t>AUXILIAR01</t>
  </si>
  <si>
    <t>AUXILIAR02</t>
  </si>
  <si>
    <t>auxiliar02</t>
  </si>
  <si>
    <t>Auxiliar01</t>
  </si>
  <si>
    <t>Auxiliar02</t>
  </si>
  <si>
    <t>Receita</t>
  </si>
  <si>
    <t>%</t>
  </si>
  <si>
    <t>Custo</t>
  </si>
  <si>
    <t>Custos</t>
  </si>
  <si>
    <t>Aluguel de Móveis</t>
  </si>
  <si>
    <t>TOTAL</t>
  </si>
  <si>
    <t>Selecione o Produto:</t>
  </si>
  <si>
    <t>Total Custo direrto/ Por produto</t>
  </si>
  <si>
    <r>
      <t xml:space="preserve">Ponto de Equilíbrio por </t>
    </r>
    <r>
      <rPr>
        <b/>
        <u/>
        <sz val="11"/>
        <color theme="0"/>
        <rFont val="Calibri"/>
        <family val="2"/>
        <scheme val="minor"/>
      </rPr>
      <t>CUSTOS FIXOS</t>
    </r>
  </si>
  <si>
    <r>
      <t xml:space="preserve">Ponto de equilíbrio por </t>
    </r>
    <r>
      <rPr>
        <b/>
        <u/>
        <sz val="11"/>
        <color theme="0"/>
        <rFont val="Calibri"/>
        <family val="2"/>
        <scheme val="minor"/>
      </rPr>
      <t>PRODUTO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</si>
</sst>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0_-;\-&quot;R$&quot;\ * #,##0.0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Calibri"/>
      <family val="2"/>
      <scheme val="minor"/>
    </font>
    <font>
      <b/>
      <i/>
      <u/>
      <sz val="11"/>
      <color rgb="FFFF5349"/>
      <name val="Calibri"/>
      <family val="2"/>
      <scheme val="minor"/>
    </font>
    <font>
      <b/>
      <sz val="11"/>
      <color rgb="FFFF5349"/>
      <name val="Calibri"/>
      <family val="2"/>
      <scheme val="minor"/>
    </font>
    <font>
      <sz val="11"/>
      <color rgb="FFFF5349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6425A"/>
        <bgColor indexed="64"/>
      </patternFill>
    </fill>
    <fill>
      <patternFill patternType="solid">
        <fgColor rgb="FF86A8C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/>
      <right style="hair">
        <color rgb="FFFF0000"/>
      </right>
      <top style="hair">
        <color rgb="FFFF0000"/>
      </top>
      <bottom style="hair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44" fontId="0" fillId="5" borderId="1" xfId="0" applyNumberFormat="1" applyFill="1" applyBorder="1" applyAlignment="1">
      <alignment vertical="center"/>
    </xf>
    <xf numFmtId="9" fontId="0" fillId="5" borderId="1" xfId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1" fontId="2" fillId="7" borderId="3" xfId="0" applyNumberFormat="1" applyFont="1" applyFill="1" applyBorder="1" applyAlignment="1">
      <alignment horizontal="left" vertical="center"/>
    </xf>
    <xf numFmtId="44" fontId="2" fillId="7" borderId="3" xfId="0" applyNumberFormat="1" applyFon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44" fontId="2" fillId="6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4" fontId="2" fillId="4" borderId="2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44" fontId="0" fillId="8" borderId="3" xfId="0" applyNumberForma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44" fontId="5" fillId="8" borderId="3" xfId="0" applyNumberFormat="1" applyFont="1" applyFill="1" applyBorder="1" applyAlignment="1">
      <alignment horizontal="left" vertical="center"/>
    </xf>
    <xf numFmtId="1" fontId="5" fillId="8" borderId="3" xfId="0" applyNumberFormat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5" borderId="1" xfId="0" applyNumberForma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4" fontId="5" fillId="0" borderId="0" xfId="0" applyNumberFormat="1" applyFont="1" applyAlignment="1">
      <alignment horizontal="left" vertical="center"/>
    </xf>
    <xf numFmtId="44" fontId="2" fillId="0" borderId="0" xfId="0" applyNumberFormat="1" applyFont="1" applyAlignment="1">
      <alignment horizontal="left" vertical="center"/>
    </xf>
    <xf numFmtId="49" fontId="2" fillId="7" borderId="5" xfId="0" applyNumberFormat="1" applyFont="1" applyFill="1" applyBorder="1" applyAlignment="1">
      <alignment horizontal="center" vertical="center"/>
    </xf>
    <xf numFmtId="44" fontId="2" fillId="7" borderId="5" xfId="0" applyNumberFormat="1" applyFont="1" applyFill="1" applyBorder="1" applyAlignment="1">
      <alignment horizontal="center" vertical="center"/>
    </xf>
    <xf numFmtId="49" fontId="0" fillId="8" borderId="3" xfId="0" applyNumberFormat="1" applyFill="1" applyBorder="1" applyAlignment="1">
      <alignment vertical="center"/>
    </xf>
    <xf numFmtId="44" fontId="0" fillId="8" borderId="3" xfId="0" applyNumberForma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1" applyFont="1" applyFill="1" applyAlignment="1">
      <alignment horizontal="center"/>
    </xf>
    <xf numFmtId="4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4" fontId="3" fillId="0" borderId="0" xfId="0" applyNumberFormat="1" applyFont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 vertical="center"/>
    </xf>
    <xf numFmtId="44" fontId="2" fillId="4" borderId="3" xfId="0" applyNumberFormat="1" applyFont="1" applyFill="1" applyBorder="1" applyAlignment="1">
      <alignment horizontal="left" vertical="center"/>
    </xf>
    <xf numFmtId="0" fontId="0" fillId="5" borderId="3" xfId="0" applyFill="1" applyBorder="1"/>
    <xf numFmtId="1" fontId="0" fillId="5" borderId="3" xfId="0" applyNumberFormat="1" applyFill="1" applyBorder="1" applyAlignment="1">
      <alignment horizontal="left" vertical="center"/>
    </xf>
    <xf numFmtId="44" fontId="0" fillId="5" borderId="6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1" fontId="0" fillId="5" borderId="8" xfId="0" applyNumberFormat="1" applyFill="1" applyBorder="1" applyAlignment="1">
      <alignment horizontal="left" vertical="center"/>
    </xf>
    <xf numFmtId="44" fontId="0" fillId="5" borderId="3" xfId="0" applyNumberForma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9" fontId="0" fillId="0" borderId="0" xfId="1" applyFont="1" applyFill="1" applyAlignment="1">
      <alignment vertical="center"/>
    </xf>
    <xf numFmtId="9" fontId="0" fillId="0" borderId="0" xfId="1" applyFont="1" applyFill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44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9" borderId="0" xfId="0" applyFont="1" applyFill="1" applyAlignment="1">
      <alignment horizontal="center" vertical="center"/>
    </xf>
    <xf numFmtId="44" fontId="2" fillId="9" borderId="0" xfId="0" applyNumberFormat="1" applyFont="1" applyFill="1" applyAlignment="1">
      <alignment horizontal="left" vertical="center"/>
    </xf>
    <xf numFmtId="9" fontId="8" fillId="9" borderId="0" xfId="0" applyNumberFormat="1" applyFont="1" applyFill="1" applyAlignment="1">
      <alignment horizontal="left" vertical="center"/>
    </xf>
    <xf numFmtId="44" fontId="8" fillId="9" borderId="0" xfId="0" applyNumberFormat="1" applyFont="1" applyFill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0" xfId="0" applyFont="1"/>
    <xf numFmtId="9" fontId="3" fillId="0" borderId="0" xfId="1" applyFont="1" applyFill="1" applyAlignment="1">
      <alignment horizontal="center"/>
    </xf>
    <xf numFmtId="0" fontId="11" fillId="0" borderId="0" xfId="0" applyFont="1" applyAlignment="1">
      <alignment horizontal="right"/>
    </xf>
    <xf numFmtId="0" fontId="11" fillId="0" borderId="9" xfId="0" applyFont="1" applyBorder="1"/>
    <xf numFmtId="9" fontId="11" fillId="0" borderId="9" xfId="0" applyNumberFormat="1" applyFont="1" applyBorder="1"/>
    <xf numFmtId="0" fontId="11" fillId="0" borderId="9" xfId="0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44" fontId="11" fillId="0" borderId="9" xfId="0" applyNumberFormat="1" applyFont="1" applyBorder="1"/>
    <xf numFmtId="1" fontId="11" fillId="0" borderId="9" xfId="0" applyNumberFormat="1" applyFont="1" applyBorder="1"/>
    <xf numFmtId="2" fontId="11" fillId="0" borderId="9" xfId="0" applyNumberFormat="1" applyFont="1" applyBorder="1"/>
    <xf numFmtId="1" fontId="11" fillId="0" borderId="0" xfId="0" applyNumberFormat="1" applyFont="1"/>
    <xf numFmtId="2" fontId="11" fillId="0" borderId="0" xfId="0" applyNumberFormat="1" applyFont="1"/>
    <xf numFmtId="9" fontId="11" fillId="0" borderId="9" xfId="1" applyFont="1" applyFill="1" applyBorder="1"/>
    <xf numFmtId="0" fontId="0" fillId="0" borderId="0" xfId="0" applyAlignment="1">
      <alignment wrapText="1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1" fillId="0" borderId="14" xfId="0" applyFont="1" applyBorder="1"/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BCB9"/>
      <color rgb="FF15CDCA"/>
      <color rgb="FF4F80E2"/>
      <color rgb="FFFF5349"/>
      <color rgb="FF26425A"/>
      <color rgb="FF86A8CF"/>
      <color rgb="FF011C40"/>
      <color rgb="FF662549"/>
      <color rgb="FFDEEBF7"/>
      <color rgb="FF209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TOP 3 Produtos - Receita Gerada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6747248716067499"/>
          <c:y val="0.15744733265375468"/>
          <c:w val="0.3174194994701231"/>
          <c:h val="0.66153329935440031"/>
        </c:manualLayout>
      </c:layout>
      <c:pieChart>
        <c:varyColors val="1"/>
        <c:ser>
          <c:idx val="0"/>
          <c:order val="0"/>
          <c:tx>
            <c:v>TOP 3 PRODUTOS - RECEITA GERADA</c:v>
          </c:tx>
          <c:spPr>
            <a:solidFill>
              <a:srgbClr val="54ACBF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5349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F-49C4-B985-6998E71A0A96}"/>
              </c:ext>
            </c:extLst>
          </c:dPt>
          <c:dPt>
            <c:idx val="1"/>
            <c:bubble3D val="0"/>
            <c:spPr>
              <a:solidFill>
                <a:srgbClr val="4F80E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F-49C4-B985-6998E71A0A96}"/>
              </c:ext>
            </c:extLst>
          </c:dPt>
          <c:dPt>
            <c:idx val="2"/>
            <c:bubble3D val="0"/>
            <c:spPr>
              <a:solidFill>
                <a:srgbClr val="15CDCA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F-49C4-B985-6998E71A0A96}"/>
              </c:ext>
            </c:extLst>
          </c:dPt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b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GRÁFICOS!$AK$6:$AK$8</c:f>
              <c:strCache>
                <c:ptCount val="3"/>
                <c:pt idx="0">
                  <c:v>Sofá de Couro Italiano</c:v>
                </c:pt>
                <c:pt idx="1">
                  <c:v>TV LED 100</c:v>
                </c:pt>
                <c:pt idx="2">
                  <c:v>Cama King Size de Madeira</c:v>
                </c:pt>
              </c:strCache>
            </c:strRef>
          </c:cat>
          <c:val>
            <c:numRef>
              <c:f>GRÁFICOS!$AL$6:$AL$8</c:f>
              <c:numCache>
                <c:formatCode>_("R$"* #,##0.00_);_("R$"* \(#,##0.00\);_("R$"* "-"??_);_(@_)</c:formatCode>
                <c:ptCount val="3"/>
                <c:pt idx="0">
                  <c:v>44468.520126642565</c:v>
                </c:pt>
                <c:pt idx="1">
                  <c:v>40838.436850998281</c:v>
                </c:pt>
                <c:pt idx="2">
                  <c:v>28360.025590971025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8-4FB5-97DC-AE8C4381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TOP 3 Produtos -  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/>
        </a:solidFill>
        <a:ln>
          <a:noFill/>
        </a:ln>
        <a:effectLst/>
        <a:sp3d/>
      </c:spPr>
    </c:sideWall>
    <c:backWall>
      <c:thickness val="0"/>
      <c:spPr>
        <a:solidFill>
          <a:schemeClr val="bg1"/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463768115942032E-2"/>
          <c:y val="0.22950904392764856"/>
          <c:w val="0.86714975845410625"/>
          <c:h val="0.48029257970660644"/>
        </c:manualLayout>
      </c:layout>
      <c:pie3DChart>
        <c:varyColors val="1"/>
        <c:ser>
          <c:idx val="0"/>
          <c:order val="0"/>
          <c:tx>
            <c:v>TOP 3 PRODUTOS - QUANTIDADE</c:v>
          </c:tx>
          <c:spPr>
            <a:solidFill>
              <a:srgbClr val="002063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33546D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63-4A8D-972D-EFB4D0380C6E}"/>
              </c:ext>
            </c:extLst>
          </c:dPt>
          <c:dPt>
            <c:idx val="1"/>
            <c:bubble3D val="0"/>
            <c:spPr>
              <a:solidFill>
                <a:srgbClr val="F1485B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63-4A8D-972D-EFB4D0380C6E}"/>
              </c:ext>
            </c:extLst>
          </c:dPt>
          <c:dPt>
            <c:idx val="2"/>
            <c:bubble3D val="0"/>
            <c:spPr>
              <a:solidFill>
                <a:srgbClr val="F7EFED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63-4A8D-972D-EFB4D0380C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GRÁFICOS!$AN$14:$AN$16</c:f>
              <c:strCache>
                <c:ptCount val="3"/>
                <c:pt idx="0">
                  <c:v>Jogo de Cama de Seda (Queen)</c:v>
                </c:pt>
                <c:pt idx="1">
                  <c:v>Frigobar de Inox</c:v>
                </c:pt>
                <c:pt idx="2">
                  <c:v>Ventilador de Design Moderno</c:v>
                </c:pt>
              </c:strCache>
            </c:strRef>
          </c:cat>
          <c:val>
            <c:numRef>
              <c:f>GRÁFICOS!$AO$14:$AO$16</c:f>
              <c:numCache>
                <c:formatCode>0</c:formatCode>
                <c:ptCount val="3"/>
                <c:pt idx="0">
                  <c:v>18.150416378221454</c:v>
                </c:pt>
                <c:pt idx="1">
                  <c:v>16.33537474039931</c:v>
                </c:pt>
                <c:pt idx="2">
                  <c:v>13.612812283666093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2-4B18-ADAB-48D89EB4A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</a:rPr>
              <a:t>Gráfico - Índice de Margem de Contribuição (%)</a:t>
            </a:r>
            <a:endParaRPr lang="pt-BR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50919127856458213"/>
          <c:y val="2.793437543771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18606206647377"/>
          <c:y val="0"/>
          <c:w val="0.73781393793352623"/>
          <c:h val="0.53639320924107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GRÁFICOS!$AK$27</c:f>
              <c:strCache>
                <c:ptCount val="1"/>
                <c:pt idx="0">
                  <c:v>Tapete Persa (3x4m)</c:v>
                </c:pt>
              </c:strCache>
            </c:strRef>
          </c:tx>
          <c:spPr>
            <a:solidFill>
              <a:srgbClr val="001219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GRÁFICOS!$AL$27</c:f>
              <c:numCache>
                <c:formatCode>0%</c:formatCode>
                <c:ptCount val="1"/>
                <c:pt idx="0">
                  <c:v>0.495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A-4AB5-A89E-2C690244553D}"/>
            </c:ext>
          </c:extLst>
        </c:ser>
        <c:ser>
          <c:idx val="1"/>
          <c:order val="1"/>
          <c:tx>
            <c:strRef>
              <c:f>GRÁFICOS!$AK$28</c:f>
              <c:strCache>
                <c:ptCount val="1"/>
                <c:pt idx="0">
                  <c:v>Jogo de Cama de Seda (Queen)</c:v>
                </c:pt>
              </c:strCache>
            </c:strRef>
          </c:tx>
          <c:spPr>
            <a:solidFill>
              <a:srgbClr val="005F7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GRÁFICOS!$AL$28</c:f>
              <c:numCache>
                <c:formatCode>0%</c:formatCode>
                <c:ptCount val="1"/>
                <c:pt idx="0">
                  <c:v>0.32887500000000003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582A-4901-9A06-47AE5FC97FA3}"/>
            </c:ext>
          </c:extLst>
        </c:ser>
        <c:ser>
          <c:idx val="2"/>
          <c:order val="2"/>
          <c:tx>
            <c:strRef>
              <c:f>GRÁFICOS!$AK$29</c:f>
              <c:strCache>
                <c:ptCount val="1"/>
                <c:pt idx="0">
                  <c:v>Frigobar de Inox</c:v>
                </c:pt>
              </c:strCache>
            </c:strRef>
          </c:tx>
          <c:spPr>
            <a:solidFill>
              <a:srgbClr val="0A939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GRÁFICOS!$AL$29</c:f>
              <c:numCache>
                <c:formatCode>0%</c:formatCode>
                <c:ptCount val="1"/>
                <c:pt idx="0">
                  <c:v>0.30777777777777776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82A-4901-9A06-47AE5FC97FA3}"/>
            </c:ext>
          </c:extLst>
        </c:ser>
        <c:ser>
          <c:idx val="3"/>
          <c:order val="3"/>
          <c:tx>
            <c:strRef>
              <c:f>GRÁFICOS!$AK$30</c:f>
              <c:strCache>
                <c:ptCount val="1"/>
                <c:pt idx="0">
                  <c:v>TV LED 100</c:v>
                </c:pt>
              </c:strCache>
            </c:strRef>
          </c:tx>
          <c:spPr>
            <a:solidFill>
              <a:srgbClr val="94D2BD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GRÁFICOS!$AL$30</c:f>
              <c:numCache>
                <c:formatCode>0%</c:formatCode>
                <c:ptCount val="1"/>
                <c:pt idx="0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82A-4901-9A06-47AE5FC97FA3}"/>
            </c:ext>
          </c:extLst>
        </c:ser>
        <c:ser>
          <c:idx val="4"/>
          <c:order val="4"/>
          <c:tx>
            <c:strRef>
              <c:f>GRÁFICOS!$AK$31</c:f>
              <c:strCache>
                <c:ptCount val="1"/>
                <c:pt idx="0">
                  <c:v>Cama King Size de Madeira</c:v>
                </c:pt>
              </c:strCache>
            </c:strRef>
          </c:tx>
          <c:spPr>
            <a:solidFill>
              <a:srgbClr val="E9D8A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GRÁFICOS!$AL$31</c:f>
              <c:numCache>
                <c:formatCode>0%</c:formatCode>
                <c:ptCount val="1"/>
                <c:pt idx="0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82A-4901-9A06-47AE5FC97FA3}"/>
            </c:ext>
          </c:extLst>
        </c:ser>
        <c:ser>
          <c:idx val="5"/>
          <c:order val="5"/>
          <c:tx>
            <c:strRef>
              <c:f>GRÁFICOS!$AK$32</c:f>
              <c:strCache>
                <c:ptCount val="1"/>
                <c:pt idx="0">
                  <c:v>Sofá de Couro Italiano</c:v>
                </c:pt>
              </c:strCache>
            </c:strRef>
          </c:tx>
          <c:spPr>
            <a:solidFill>
              <a:srgbClr val="EE9B00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GRÁFICOS!$AL$32</c:f>
              <c:numCache>
                <c:formatCode>0%</c:formatCode>
                <c:ptCount val="1"/>
                <c:pt idx="0">
                  <c:v>0.12714285714285714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82A-4901-9A06-47AE5FC97FA3}"/>
            </c:ext>
          </c:extLst>
        </c:ser>
        <c:ser>
          <c:idx val="6"/>
          <c:order val="6"/>
          <c:tx>
            <c:strRef>
              <c:f>GRÁFICOS!$AK$33</c:f>
              <c:strCache>
                <c:ptCount val="1"/>
                <c:pt idx="0">
                  <c:v>Luminária de Cristal (1,5m)</c:v>
                </c:pt>
              </c:strCache>
            </c:strRef>
          </c:tx>
          <c:spPr>
            <a:solidFill>
              <a:srgbClr val="CA670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GRÁFICOS!$AL$33</c:f>
              <c:numCache>
                <c:formatCode>0%</c:formatCode>
                <c:ptCount val="1"/>
                <c:pt idx="0">
                  <c:v>0.12294117647058823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82A-4901-9A06-47AE5FC97FA3}"/>
            </c:ext>
          </c:extLst>
        </c:ser>
        <c:ser>
          <c:idx val="7"/>
          <c:order val="7"/>
          <c:tx>
            <c:strRef>
              <c:f>GRÁFICOS!$AK$34</c:f>
              <c:strCache>
                <c:ptCount val="1"/>
                <c:pt idx="0">
                  <c:v>Ventilador de Design Moderno</c:v>
                </c:pt>
              </c:strCache>
            </c:strRef>
          </c:tx>
          <c:spPr>
            <a:solidFill>
              <a:srgbClr val="BB3E0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GRÁFICOS!$AL$34</c:f>
              <c:numCache>
                <c:formatCode>0%</c:formatCode>
                <c:ptCount val="1"/>
                <c:pt idx="0">
                  <c:v>6.4166666666666664E-2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82A-4901-9A06-47AE5FC97FA3}"/>
            </c:ext>
          </c:extLst>
        </c:ser>
        <c:ser>
          <c:idx val="8"/>
          <c:order val="8"/>
          <c:tx>
            <c:strRef>
              <c:f>GRÁFICOS!$AK$35</c:f>
              <c:strCache>
                <c:ptCount val="1"/>
                <c:pt idx="0">
                  <c:v>Máquina de Café Expresso</c:v>
                </c:pt>
              </c:strCache>
            </c:strRef>
          </c:tx>
          <c:spPr>
            <a:solidFill>
              <a:srgbClr val="AE201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GRÁFICOS!$AL$35</c:f>
              <c:numCache>
                <c:formatCode>0%</c:formatCode>
                <c:ptCount val="1"/>
                <c:pt idx="0">
                  <c:v>1.1666666666666667E-2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82A-4901-9A06-47AE5FC97FA3}"/>
            </c:ext>
          </c:extLst>
        </c:ser>
        <c:ser>
          <c:idx val="9"/>
          <c:order val="9"/>
          <c:tx>
            <c:strRef>
              <c:f>GRÁFICOS!$AK$36</c:f>
              <c:strCache>
                <c:ptCount val="1"/>
                <c:pt idx="0">
                  <c:v>Conjunto de Talheres de Prata</c:v>
                </c:pt>
              </c:strCache>
            </c:strRef>
          </c:tx>
          <c:spPr>
            <a:solidFill>
              <a:srgbClr val="98222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GRÁFICOS!$AL$36</c:f>
              <c:numCache>
                <c:formatCode>0%</c:formatCode>
                <c:ptCount val="1"/>
                <c:pt idx="0">
                  <c:v>-0.84111111111111114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582A-4901-9A06-47AE5FC9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3924959"/>
        <c:axId val="1923915359"/>
      </c:barChart>
      <c:catAx>
        <c:axId val="192392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3915359"/>
        <c:crosses val="autoZero"/>
        <c:auto val="1"/>
        <c:lblAlgn val="ctr"/>
        <c:lblOffset val="100"/>
        <c:noMultiLvlLbl val="0"/>
      </c:catAx>
      <c:valAx>
        <c:axId val="1923915359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3924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Custos Fixos</a:t>
            </a:r>
          </a:p>
        </c:rich>
      </c:tx>
      <c:layout>
        <c:manualLayout>
          <c:xMode val="edge"/>
          <c:yMode val="edge"/>
          <c:x val="0.62868834873901636"/>
          <c:y val="0.106194690265486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19057400433641E-2"/>
          <c:y val="0.14787308666062757"/>
          <c:w val="0.3516414469930389"/>
          <c:h val="0.71573037883538893"/>
        </c:manualLayout>
      </c:layout>
      <c:pieChart>
        <c:varyColors val="1"/>
        <c:ser>
          <c:idx val="1"/>
          <c:order val="0"/>
          <c:tx>
            <c:v>TOP 3 CUSTOS FIXOS</c:v>
          </c:tx>
          <c:spPr>
            <a:solidFill>
              <a:srgbClr val="0070C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0CEE3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A42-4844-AAC7-2FEB0CE7C7C5}"/>
              </c:ext>
            </c:extLst>
          </c:dPt>
          <c:dPt>
            <c:idx val="1"/>
            <c:bubble3D val="0"/>
            <c:spPr>
              <a:solidFill>
                <a:srgbClr val="1D2D5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6A42-4844-AAC7-2FEB0CE7C7C5}"/>
              </c:ext>
            </c:extLst>
          </c:dPt>
          <c:dPt>
            <c:idx val="2"/>
            <c:bubble3D val="0"/>
            <c:spPr>
              <a:solidFill>
                <a:srgbClr val="FFBC47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6A42-4844-AAC7-2FEB0CE7C7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GRÁFICOS!$AK$41:$AK$43</c:f>
              <c:strCache>
                <c:ptCount val="3"/>
                <c:pt idx="0">
                  <c:v>Software e Licenças de Sistemas</c:v>
                </c:pt>
                <c:pt idx="1">
                  <c:v>Marketing e Publicidade de Longo Prazo</c:v>
                </c:pt>
                <c:pt idx="2">
                  <c:v>Aluguel de Móveis</c:v>
                </c:pt>
              </c:strCache>
            </c:strRef>
          </c:cat>
          <c:val>
            <c:numRef>
              <c:f>GRÁFICOS!$AL$41:$AL$43</c:f>
              <c:numCache>
                <c:formatCode>_("R$"* #,##0.00_);_("R$"* \(#,##0.00\);_("R$"* "-"??_);_(@_)</c:formatCode>
                <c:ptCount val="3"/>
                <c:pt idx="0">
                  <c:v>12000</c:v>
                </c:pt>
                <c:pt idx="1">
                  <c:v>10000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42-4844-AAC7-2FEB0CE7C7C5}"/>
            </c:ext>
          </c:extLst>
        </c:ser>
        <c:ser>
          <c:idx val="0"/>
          <c:order val="1"/>
          <c:tx>
            <c:v>TOP 3 CUSTOS FIXOS</c:v>
          </c:tx>
          <c:spPr>
            <a:solidFill>
              <a:srgbClr val="0070C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0CEE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A42-4844-AAC7-2FEB0CE7C7C5}"/>
              </c:ext>
            </c:extLst>
          </c:dPt>
          <c:dPt>
            <c:idx val="1"/>
            <c:bubble3D val="0"/>
            <c:spPr>
              <a:solidFill>
                <a:srgbClr val="1D2D5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A42-4844-AAC7-2FEB0CE7C7C5}"/>
              </c:ext>
            </c:extLst>
          </c:dPt>
          <c:dPt>
            <c:idx val="2"/>
            <c:bubble3D val="0"/>
            <c:spPr>
              <a:solidFill>
                <a:srgbClr val="FFBC47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A42-4844-AAC7-2FEB0CE7C7C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GRÁFICOS!$AK$41:$AK$43</c:f>
              <c:strCache>
                <c:ptCount val="3"/>
                <c:pt idx="0">
                  <c:v>Software e Licenças de Sistemas</c:v>
                </c:pt>
                <c:pt idx="1">
                  <c:v>Marketing e Publicidade de Longo Prazo</c:v>
                </c:pt>
                <c:pt idx="2">
                  <c:v>Aluguel de Móveis</c:v>
                </c:pt>
              </c:strCache>
            </c:strRef>
          </c:cat>
          <c:val>
            <c:numRef>
              <c:f>GRÁFICOS!$AL$41:$AL$43</c:f>
              <c:numCache>
                <c:formatCode>_("R$"* #,##0.00_);_("R$"* \(#,##0.00\);_("R$"* "-"??_);_(@_)</c:formatCode>
                <c:ptCount val="3"/>
                <c:pt idx="0">
                  <c:v>12000</c:v>
                </c:pt>
                <c:pt idx="1">
                  <c:v>10000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A42-4844-AAC7-2FEB0CE7C7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1403705062362435"/>
          <c:y val="0.33138410795995632"/>
          <c:w val="0.36857157414200703"/>
          <c:h val="0.49115462337119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3 Custos Diretos</a:t>
            </a:r>
          </a:p>
        </c:rich>
      </c:tx>
      <c:layout>
        <c:manualLayout>
          <c:xMode val="edge"/>
          <c:yMode val="edge"/>
          <c:x val="0.62060202168419332"/>
          <c:y val="0.11243855218855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954137984524815E-2"/>
          <c:y val="0.12634791689771174"/>
          <c:w val="0.40627076890673181"/>
          <c:h val="0.79149245868914264"/>
        </c:manualLayout>
      </c:layout>
      <c:pieChart>
        <c:varyColors val="1"/>
        <c:ser>
          <c:idx val="0"/>
          <c:order val="0"/>
          <c:tx>
            <c:v>TOP 3 - CUSTOS DIRETOS</c:v>
          </c:tx>
          <c:dPt>
            <c:idx val="0"/>
            <c:bubble3D val="0"/>
            <c:spPr>
              <a:solidFill>
                <a:srgbClr val="FC8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05-48CD-894B-544E33601243}"/>
              </c:ext>
            </c:extLst>
          </c:dPt>
          <c:dPt>
            <c:idx val="1"/>
            <c:bubble3D val="0"/>
            <c:spPr>
              <a:solidFill>
                <a:srgbClr val="FFB7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1B-48E1-B8FA-C661E2B30DEE}"/>
              </c:ext>
            </c:extLst>
          </c:dPt>
          <c:dPt>
            <c:idx val="2"/>
            <c:bubble3D val="0"/>
            <c:spPr>
              <a:solidFill>
                <a:srgbClr val="209EB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05-48CD-894B-544E33601243}"/>
              </c:ext>
            </c:extLst>
          </c:dPt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GRÁFICOS!$AK$54:$AK$56</c:f>
              <c:strCache>
                <c:ptCount val="3"/>
                <c:pt idx="0">
                  <c:v>Matéria Prima</c:v>
                </c:pt>
                <c:pt idx="1">
                  <c:v>Impostos %</c:v>
                </c:pt>
                <c:pt idx="2">
                  <c:v>Comissões %</c:v>
                </c:pt>
              </c:strCache>
            </c:strRef>
          </c:cat>
          <c:val>
            <c:numRef>
              <c:f>GRÁFICOS!$AL$54:$AL$56</c:f>
              <c:numCache>
                <c:formatCode>_("R$"* #,##0.00_);_("R$"* \(#,##0.00\);_("R$"* "-"??_);_(@_)</c:formatCode>
                <c:ptCount val="3"/>
                <c:pt idx="0">
                  <c:v>476500</c:v>
                </c:pt>
                <c:pt idx="1">
                  <c:v>411930</c:v>
                </c:pt>
                <c:pt idx="2">
                  <c:v>114425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B-48E1-B8FA-C661E2B3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53766202005368"/>
          <c:y val="0.30614478114478111"/>
          <c:w val="0.32687393005624849"/>
          <c:h val="0.2705984848484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861060</xdr:colOff>
      <xdr:row>4</xdr:row>
      <xdr:rowOff>45904</xdr:rowOff>
    </xdr:from>
    <xdr:to>
      <xdr:col>8</xdr:col>
      <xdr:colOff>1074144</xdr:colOff>
      <xdr:row>4</xdr:row>
      <xdr:rowOff>339687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6FF025A-52EF-31BB-E465-B9C9D254C6C8}"/>
            </a:ext>
          </a:extLst>
        </xdr:cNvPr>
        <xdr:cNvSpPr/>
      </xdr:nvSpPr>
      <xdr:spPr>
        <a:xfrm>
          <a:off x="15586940" y="238699"/>
          <a:ext cx="213084" cy="293783"/>
        </a:xfrm>
        <a:prstGeom prst="downArrow">
          <a:avLst/>
        </a:prstGeom>
        <a:solidFill>
          <a:srgbClr val="FF534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4</xdr:row>
      <xdr:rowOff>3809</xdr:rowOff>
    </xdr:from>
    <xdr:to>
      <xdr:col>31</xdr:col>
      <xdr:colOff>1425</xdr:colOff>
      <xdr:row>17</xdr:row>
      <xdr:rowOff>5534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CEADEE-C7D6-5879-CA18-263FDD22E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22</xdr:col>
      <xdr:colOff>30480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129CC57-A209-1F2D-11B3-275C2E83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</xdr:row>
      <xdr:rowOff>22860</xdr:rowOff>
    </xdr:from>
    <xdr:to>
      <xdr:col>13</xdr:col>
      <xdr:colOff>9525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AAA64E-F330-E51C-3360-1769E333E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22860</xdr:colOff>
      <xdr:row>18</xdr:row>
      <xdr:rowOff>3809</xdr:rowOff>
    </xdr:from>
    <xdr:to>
      <xdr:col>22</xdr:col>
      <xdr:colOff>52860</xdr:colOff>
      <xdr:row>31</xdr:row>
      <xdr:rowOff>5534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1A682-D46A-7EFD-4660-643D6F76E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5442</xdr:colOff>
      <xdr:row>18</xdr:row>
      <xdr:rowOff>0</xdr:rowOff>
    </xdr:from>
    <xdr:to>
      <xdr:col>31</xdr:col>
      <xdr:colOff>35442</xdr:colOff>
      <xdr:row>30</xdr:row>
      <xdr:rowOff>181440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08B5BC-9CE8-CF79-55C9-0ED21B5D2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3C6F-AE5F-4962-AA41-B127DF64730A}">
  <dimension ref="A1:G20"/>
  <sheetViews>
    <sheetView showGridLines="0" showRowColHeaders="0" topLeftCell="A4" zoomScaleNormal="100" workbookViewId="0">
      <selection activeCell="A20" sqref="A20"/>
    </sheetView>
  </sheetViews>
  <sheetFormatPr defaultColWidth="0" defaultRowHeight="14.4" zeroHeight="1" x14ac:dyDescent="0.3"/>
  <cols>
    <col min="1" max="1" width="8.88671875" customWidth="1"/>
    <col min="2" max="2" width="26.44140625" style="40" bestFit="1" customWidth="1"/>
    <col min="3" max="3" width="15.6640625" style="41" bestFit="1" customWidth="1"/>
    <col min="4" max="4" width="31" style="42" bestFit="1" customWidth="1"/>
    <col min="5" max="5" width="20.21875" style="41" bestFit="1" customWidth="1"/>
    <col min="6" max="6" width="15.88671875" style="43" bestFit="1" customWidth="1"/>
    <col min="7" max="7" width="8.88671875" customWidth="1"/>
    <col min="8" max="16384" width="8.88671875" hidden="1"/>
  </cols>
  <sheetData>
    <row r="1" spans="1:7" s="39" customFormat="1" ht="15.6" hidden="1" thickTop="1" thickBot="1" x14ac:dyDescent="0.35">
      <c r="A1" s="38"/>
      <c r="B1" s="38"/>
      <c r="C1" s="38"/>
      <c r="D1" s="38"/>
      <c r="E1" s="38"/>
      <c r="F1" s="38"/>
      <c r="G1" s="38"/>
    </row>
    <row r="2" spans="1:7" s="39" customFormat="1" ht="15.6" hidden="1" thickTop="1" thickBot="1" x14ac:dyDescent="0.35">
      <c r="A2" s="38"/>
      <c r="B2" s="38"/>
      <c r="C2" s="38"/>
      <c r="D2" s="38"/>
      <c r="E2" s="38"/>
      <c r="F2" s="38"/>
      <c r="G2" s="38"/>
    </row>
    <row r="3" spans="1:7" s="39" customFormat="1" ht="15.6" hidden="1" thickTop="1" thickBot="1" x14ac:dyDescent="0.35">
      <c r="A3" s="38"/>
      <c r="B3" s="38"/>
      <c r="C3" s="38"/>
      <c r="D3" s="38"/>
      <c r="E3" s="38"/>
      <c r="F3" s="38"/>
      <c r="G3" s="38"/>
    </row>
    <row r="4" spans="1:7" ht="15" thickBot="1" x14ac:dyDescent="0.35"/>
    <row r="5" spans="1:7" ht="30" customHeight="1" thickTop="1" thickBot="1" x14ac:dyDescent="0.35">
      <c r="B5" s="2" t="s">
        <v>0</v>
      </c>
      <c r="C5" s="2" t="s">
        <v>27</v>
      </c>
      <c r="D5" s="2" t="s">
        <v>1</v>
      </c>
      <c r="E5" s="3" t="s">
        <v>2</v>
      </c>
      <c r="F5" s="4" t="s">
        <v>3</v>
      </c>
    </row>
    <row r="6" spans="1:7" ht="30" customHeight="1" thickTop="1" thickBot="1" x14ac:dyDescent="0.35">
      <c r="B6" s="7" t="s">
        <v>43</v>
      </c>
      <c r="C6" s="6">
        <v>3500</v>
      </c>
      <c r="D6" s="11">
        <v>80</v>
      </c>
      <c r="E6" s="6">
        <f>VLOOKUP(B6,B6:D15,2,FALSE)*VLOOKUP(B6,B6:D15,3,FALSE)</f>
        <v>280000</v>
      </c>
      <c r="F6" s="9">
        <f>E6/$E$17</f>
        <v>0.122350884859078</v>
      </c>
    </row>
    <row r="7" spans="1:7" ht="30" customHeight="1" thickTop="1" thickBot="1" x14ac:dyDescent="0.35">
      <c r="B7" s="5" t="s">
        <v>44</v>
      </c>
      <c r="C7" s="6">
        <v>1200</v>
      </c>
      <c r="D7" s="11">
        <v>100</v>
      </c>
      <c r="E7" s="6">
        <f>VLOOKUP(B7,B7:D15,2,FALSE)*VLOOKUP(B7,B7:D15,3,FALSE)</f>
        <v>120000</v>
      </c>
      <c r="F7" s="9">
        <f t="shared" ref="F7:F15" si="0">E7/$E$17</f>
        <v>5.2436093511033427E-2</v>
      </c>
    </row>
    <row r="8" spans="1:7" ht="30" customHeight="1" thickTop="1" thickBot="1" x14ac:dyDescent="0.35">
      <c r="B8" s="5" t="s">
        <v>45</v>
      </c>
      <c r="C8" s="6">
        <v>850</v>
      </c>
      <c r="D8" s="11">
        <v>50</v>
      </c>
      <c r="E8" s="6">
        <f>VLOOKUP(B8,B8:D15,2,FALSE)*VLOOKUP(B8,B8:D15,3,FALSE)</f>
        <v>42500</v>
      </c>
      <c r="F8" s="9">
        <f t="shared" si="0"/>
        <v>1.857111645182434E-2</v>
      </c>
    </row>
    <row r="9" spans="1:7" ht="30" customHeight="1" thickTop="1" thickBot="1" x14ac:dyDescent="0.35">
      <c r="B9" s="5" t="s">
        <v>46</v>
      </c>
      <c r="C9" s="6">
        <v>450</v>
      </c>
      <c r="D9" s="11">
        <v>80</v>
      </c>
      <c r="E9" s="6">
        <f t="shared" ref="E9:E15" si="1">VLOOKUP(B9,B9:D15,2,FALSE)*VLOOKUP(B9,B9:D15,3,FALSE)</f>
        <v>36000</v>
      </c>
      <c r="F9" s="9">
        <f t="shared" si="0"/>
        <v>1.5730828053310029E-2</v>
      </c>
    </row>
    <row r="10" spans="1:7" ht="30" customHeight="1" thickTop="1" thickBot="1" x14ac:dyDescent="0.35">
      <c r="B10" s="5" t="s">
        <v>47</v>
      </c>
      <c r="C10" s="6">
        <v>2000</v>
      </c>
      <c r="D10" s="11">
        <v>100</v>
      </c>
      <c r="E10" s="6">
        <f t="shared" si="1"/>
        <v>200000</v>
      </c>
      <c r="F10" s="9">
        <f t="shared" si="0"/>
        <v>8.7393489185055712E-2</v>
      </c>
    </row>
    <row r="11" spans="1:7" ht="30" customHeight="1" thickTop="1" thickBot="1" x14ac:dyDescent="0.35">
      <c r="B11" s="5" t="s">
        <v>48</v>
      </c>
      <c r="C11" s="6">
        <v>2500</v>
      </c>
      <c r="D11" s="11">
        <v>100</v>
      </c>
      <c r="E11" s="6">
        <f t="shared" si="1"/>
        <v>250000</v>
      </c>
      <c r="F11" s="9">
        <f t="shared" si="0"/>
        <v>0.10924186148131965</v>
      </c>
    </row>
    <row r="12" spans="1:7" ht="30" customHeight="1" thickTop="1" thickBot="1" x14ac:dyDescent="0.35">
      <c r="B12" s="5" t="s">
        <v>54</v>
      </c>
      <c r="C12" s="6">
        <v>3000</v>
      </c>
      <c r="D12" s="11">
        <v>100</v>
      </c>
      <c r="E12" s="6">
        <f t="shared" si="1"/>
        <v>300000</v>
      </c>
      <c r="F12" s="9">
        <f t="shared" si="0"/>
        <v>0.13109023377758358</v>
      </c>
    </row>
    <row r="13" spans="1:7" ht="30" customHeight="1" thickTop="1" thickBot="1" x14ac:dyDescent="0.35">
      <c r="B13" s="5" t="s">
        <v>49</v>
      </c>
      <c r="C13" s="6">
        <v>900</v>
      </c>
      <c r="D13" s="11">
        <v>400</v>
      </c>
      <c r="E13" s="6">
        <f t="shared" si="1"/>
        <v>360000</v>
      </c>
      <c r="F13" s="9">
        <f t="shared" si="0"/>
        <v>0.15730828053310028</v>
      </c>
    </row>
    <row r="14" spans="1:7" ht="30" customHeight="1" thickTop="1" thickBot="1" x14ac:dyDescent="0.35">
      <c r="B14" s="5" t="s">
        <v>50</v>
      </c>
      <c r="C14" s="6">
        <v>600</v>
      </c>
      <c r="D14" s="11">
        <v>500</v>
      </c>
      <c r="E14" s="6">
        <f t="shared" si="1"/>
        <v>300000</v>
      </c>
      <c r="F14" s="9">
        <f t="shared" si="0"/>
        <v>0.13109023377758358</v>
      </c>
    </row>
    <row r="15" spans="1:7" ht="30" customHeight="1" thickTop="1" thickBot="1" x14ac:dyDescent="0.35">
      <c r="B15" s="5" t="s">
        <v>51</v>
      </c>
      <c r="C15" s="6">
        <v>800</v>
      </c>
      <c r="D15" s="11">
        <v>500</v>
      </c>
      <c r="E15" s="6">
        <f t="shared" si="1"/>
        <v>400000</v>
      </c>
      <c r="F15" s="9">
        <f t="shared" si="0"/>
        <v>0.17478697837011142</v>
      </c>
    </row>
    <row r="16" spans="1:7" ht="15" thickTop="1" x14ac:dyDescent="0.3">
      <c r="E16" s="42"/>
    </row>
    <row r="17" spans="4:6" x14ac:dyDescent="0.3">
      <c r="D17" s="57" t="s">
        <v>69</v>
      </c>
      <c r="E17" s="46">
        <f>SUM(E6:E15)</f>
        <v>2288500</v>
      </c>
      <c r="F17" s="85">
        <f>SUM(F6:F15)</f>
        <v>1</v>
      </c>
    </row>
    <row r="18" spans="4:6" x14ac:dyDescent="0.3"/>
    <row r="19" spans="4:6" x14ac:dyDescent="0.3"/>
    <row r="20" spans="4:6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FA32-808F-4B22-8022-80761EED7BA1}">
  <dimension ref="A1:Z32"/>
  <sheetViews>
    <sheetView showGridLines="0" showRowColHeaders="0" topLeftCell="A4" zoomScale="72" zoomScaleNormal="72" workbookViewId="0">
      <selection activeCell="B5" sqref="B5"/>
    </sheetView>
  </sheetViews>
  <sheetFormatPr defaultColWidth="0" defaultRowHeight="14.4" zeroHeight="1" x14ac:dyDescent="0.3"/>
  <cols>
    <col min="1" max="1" width="8.88671875" customWidth="1"/>
    <col min="2" max="2" width="31" style="63" bestFit="1" customWidth="1"/>
    <col min="3" max="3" width="23.88671875" style="64" bestFit="1" customWidth="1"/>
    <col min="4" max="4" width="11.6640625" style="65" bestFit="1" customWidth="1"/>
    <col min="5" max="5" width="10.44140625" style="66" bestFit="1" customWidth="1"/>
    <col min="6" max="6" width="14.109375" style="64" customWidth="1"/>
    <col min="7" max="7" width="29.33203125" style="64" bestFit="1" customWidth="1"/>
    <col min="8" max="8" width="2.21875" style="67" customWidth="1"/>
    <col min="9" max="9" width="16.5546875" style="41" bestFit="1" customWidth="1"/>
    <col min="10" max="10" width="16.5546875" style="41" customWidth="1"/>
    <col min="11" max="11" width="28.6640625" style="41" bestFit="1" customWidth="1"/>
    <col min="12" max="12" width="8.109375" style="42" bestFit="1" customWidth="1"/>
    <col min="13" max="13" width="28" style="40" bestFit="1" customWidth="1"/>
    <col min="14" max="14" width="22.77734375" style="42" bestFit="1" customWidth="1"/>
    <col min="15" max="15" width="16.5546875" style="40" bestFit="1" customWidth="1"/>
    <col min="16" max="16" width="16.5546875" style="41" bestFit="1" customWidth="1"/>
    <col min="17" max="17" width="8.88671875" customWidth="1"/>
    <col min="18" max="18" width="9" customWidth="1"/>
    <col min="19" max="19" width="25.77734375" hidden="1"/>
    <col min="20" max="20" width="9" hidden="1"/>
    <col min="21" max="21" width="10.21875" hidden="1"/>
    <col min="22" max="22" width="21.88671875" hidden="1"/>
    <col min="23" max="24" width="9" hidden="1"/>
    <col min="25" max="25" width="9.5546875" hidden="1"/>
    <col min="26" max="26" width="15.5546875" style="68" hidden="1"/>
    <col min="27" max="16384" width="9" hidden="1"/>
  </cols>
  <sheetData>
    <row r="1" spans="1:26" s="59" customFormat="1" ht="15.6" hidden="1" thickTop="1" thickBot="1" x14ac:dyDescent="0.35">
      <c r="A1" s="5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s="59" customFormat="1" ht="15" hidden="1" thickTop="1" x14ac:dyDescent="0.3">
      <c r="A2" s="5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4" spans="1:26" ht="15" thickBot="1" x14ac:dyDescent="0.35"/>
    <row r="5" spans="1:26" ht="30" customHeight="1" thickTop="1" thickBot="1" x14ac:dyDescent="0.35">
      <c r="B5" s="2" t="s">
        <v>0</v>
      </c>
      <c r="C5" s="3" t="s">
        <v>4</v>
      </c>
      <c r="D5" s="4" t="s">
        <v>53</v>
      </c>
      <c r="E5" s="4" t="s">
        <v>52</v>
      </c>
      <c r="F5" s="3" t="s">
        <v>5</v>
      </c>
      <c r="G5" s="3" t="s">
        <v>71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2" t="s">
        <v>11</v>
      </c>
      <c r="O5" s="2" t="s">
        <v>5</v>
      </c>
      <c r="P5" s="3" t="s">
        <v>12</v>
      </c>
      <c r="S5" s="84"/>
      <c r="T5" s="84"/>
      <c r="U5" s="84" t="s">
        <v>62</v>
      </c>
      <c r="V5" s="86" t="s">
        <v>63</v>
      </c>
    </row>
    <row r="6" spans="1:26" ht="30" customHeight="1" thickTop="1" thickBot="1" x14ac:dyDescent="0.35">
      <c r="B6" s="7" t="s">
        <v>43</v>
      </c>
      <c r="C6" s="8">
        <v>1750</v>
      </c>
      <c r="D6" s="10">
        <v>0.05</v>
      </c>
      <c r="E6" s="10">
        <v>0.18</v>
      </c>
      <c r="F6" s="8">
        <v>500</v>
      </c>
      <c r="G6" s="8">
        <f>'CUSTOS DIRETOS x CUSTOS FIXOS'!C6+PRODUTOS!C6*('CUSTOS DIRETOS x CUSTOS FIXOS'!D6+'CUSTOS DIRETOS x CUSTOS FIXOS'!E6)+'CUSTOS DIRETOS x CUSTOS FIXOS'!F6</f>
        <v>3055</v>
      </c>
      <c r="I6" s="6">
        <f>IF(ISERROR(PRODUTOS!E6*'CUSTOS DIRETOS x CUSTOS FIXOS'!D6),"",(PRODUTOS!E6*'CUSTOS DIRETOS x CUSTOS FIXOS'!D6))</f>
        <v>14000</v>
      </c>
      <c r="J6" s="6">
        <f>IF(ISERROR(PRODUTOS!E6*'CUSTOS DIRETOS x CUSTOS FIXOS'!E6),"",(PRODUTOS!E6*'CUSTOS DIRETOS x CUSTOS FIXOS'!E6))</f>
        <v>50400</v>
      </c>
      <c r="K6" s="6">
        <f>IF(ISERROR(PRODUTOS!C6:C12-'CUSTOS DIRETOS x CUSTOS FIXOS'!G6:G12),"",PRODUTOS!C6:C12-'CUSTOS DIRETOS x CUSTOS FIXOS'!G6:G12)</f>
        <v>445</v>
      </c>
      <c r="L6" s="10">
        <f>IF(ISERROR(K6/PRODUTOS!C6),"",('CUSTOS DIRETOS x CUSTOS FIXOS'!K6/PRODUTOS!C6))</f>
        <v>0.12714285714285714</v>
      </c>
      <c r="M6" s="6">
        <f>IF(ISERROR(
(N6*PRODUTOS!C6)),"",('CUSTOS DIRETOS x CUSTOS FIXOS'!N6*PRODUTOS!C6))</f>
        <v>44468.520126642565</v>
      </c>
      <c r="N6" s="16">
        <f>IF(ISERROR('PONTO DE EQUILÍBRIO'!$F$9*PRODUTOS!F6),"",'PONTO DE EQUILÍBRIO'!$F$9*PRODUTOS!F6)</f>
        <v>12.705291464755019</v>
      </c>
      <c r="O6" s="6">
        <f>IF(ISERROR(PRODUTOS!D6*'CUSTOS DIRETOS x CUSTOS FIXOS'!F6),"",PRODUTOS!D6*'CUSTOS DIRETOS x CUSTOS FIXOS'!F6)</f>
        <v>40000</v>
      </c>
      <c r="P6" s="6">
        <f>IF(ISERROR(PRODUTOS!D6*'CUSTOS DIRETOS x CUSTOS FIXOS'!C6),"",PRODUTOS!D6*'CUSTOS DIRETOS x CUSTOS FIXOS'!C6)</f>
        <v>140000</v>
      </c>
      <c r="S6" s="87" t="str">
        <f>B6</f>
        <v>Sofá de Couro Italiano</v>
      </c>
      <c r="T6" s="88">
        <f>L6</f>
        <v>0.12714285714285714</v>
      </c>
      <c r="U6" s="87">
        <f>COUNTIF(T6:T$6,T6)</f>
        <v>1</v>
      </c>
      <c r="V6" s="89" t="str">
        <f t="shared" ref="V6:V15" si="0">T6&amp;U6</f>
        <v>0,1271428571428571</v>
      </c>
    </row>
    <row r="7" spans="1:26" ht="30" customHeight="1" thickTop="1" thickBot="1" x14ac:dyDescent="0.35">
      <c r="B7" s="7" t="s">
        <v>44</v>
      </c>
      <c r="C7" s="8">
        <v>310</v>
      </c>
      <c r="D7" s="10">
        <v>0.05</v>
      </c>
      <c r="E7" s="10">
        <v>0.18</v>
      </c>
      <c r="F7" s="8">
        <v>600</v>
      </c>
      <c r="G7" s="8">
        <f>'CUSTOS DIRETOS x CUSTOS FIXOS'!C7+PRODUTOS!C7*('CUSTOS DIRETOS x CUSTOS FIXOS'!D7+'CUSTOS DIRETOS x CUSTOS FIXOS'!E7)+'CUSTOS DIRETOS x CUSTOS FIXOS'!F7</f>
        <v>1186</v>
      </c>
      <c r="I7" s="6">
        <f>IF(ISERROR(PRODUTOS!E7*'CUSTOS DIRETOS x CUSTOS FIXOS'!D7),"",(PRODUTOS!E7*'CUSTOS DIRETOS x CUSTOS FIXOS'!D7))</f>
        <v>6000</v>
      </c>
      <c r="J7" s="6">
        <f>IF(ISERROR(PRODUTOS!E7*'CUSTOS DIRETOS x CUSTOS FIXOS'!E7),"",(PRODUTOS!E7*'CUSTOS DIRETOS x CUSTOS FIXOS'!E7))</f>
        <v>21600</v>
      </c>
      <c r="K7" s="6">
        <f>IF(ISERROR(PRODUTOS!C7:C13-'CUSTOS DIRETOS x CUSTOS FIXOS'!G7:G13),"",PRODUTOS!C7:C13-'CUSTOS DIRETOS x CUSTOS FIXOS'!G7:G13)</f>
        <v>14</v>
      </c>
      <c r="L7" s="10">
        <f>IF(ISERROR(K7/PRODUTOS!C7),"",('CUSTOS DIRETOS x CUSTOS FIXOS'!K7/PRODUTOS!C7))</f>
        <v>1.1666666666666667E-2</v>
      </c>
      <c r="M7" s="6">
        <f>IF(ISERROR(
(N7*PRODUTOS!C7)),"",('CUSTOS DIRETOS x CUSTOS FIXOS'!N7*PRODUTOS!C7))</f>
        <v>6534.1498961597235</v>
      </c>
      <c r="N7" s="16">
        <f>IF(ISERROR('PONTO DE EQUILÍBRIO'!$F$9*PRODUTOS!F7),"",'PONTO DE EQUILÍBRIO'!$F$9*PRODUTOS!F7)</f>
        <v>5.4451249134664366</v>
      </c>
      <c r="O7" s="6">
        <f>IF(ISERROR(PRODUTOS!D7*'CUSTOS DIRETOS x CUSTOS FIXOS'!F7),"",PRODUTOS!D7*'CUSTOS DIRETOS x CUSTOS FIXOS'!F7)</f>
        <v>60000</v>
      </c>
      <c r="P7" s="6">
        <f>IF(ISERROR(PRODUTOS!D7*'CUSTOS DIRETOS x CUSTOS FIXOS'!C7),"",PRODUTOS!D7*'CUSTOS DIRETOS x CUSTOS FIXOS'!C7)</f>
        <v>31000</v>
      </c>
      <c r="S7" s="87" t="str">
        <f t="shared" ref="S7:S15" si="1">B7</f>
        <v>Máquina de Café Expresso</v>
      </c>
      <c r="T7" s="88">
        <f t="shared" ref="T7:T15" si="2">L7</f>
        <v>1.1666666666666667E-2</v>
      </c>
      <c r="U7" s="87">
        <f>COUNTIF(T$6:T7,T7)</f>
        <v>1</v>
      </c>
      <c r="V7" s="89" t="str">
        <f t="shared" si="0"/>
        <v>0,01166666666666671</v>
      </c>
    </row>
    <row r="8" spans="1:26" ht="30" customHeight="1" thickTop="1" thickBot="1" x14ac:dyDescent="0.35">
      <c r="B8" s="7" t="s">
        <v>45</v>
      </c>
      <c r="C8" s="8">
        <v>50</v>
      </c>
      <c r="D8" s="10">
        <v>0.05</v>
      </c>
      <c r="E8" s="10">
        <v>0.18</v>
      </c>
      <c r="F8" s="8">
        <v>500</v>
      </c>
      <c r="G8" s="8">
        <f>'CUSTOS DIRETOS x CUSTOS FIXOS'!C8+PRODUTOS!C8*('CUSTOS DIRETOS x CUSTOS FIXOS'!D8+'CUSTOS DIRETOS x CUSTOS FIXOS'!E8)+'CUSTOS DIRETOS x CUSTOS FIXOS'!F8</f>
        <v>745.5</v>
      </c>
      <c r="I8" s="6">
        <f>IF(ISERROR(PRODUTOS!E8*'CUSTOS DIRETOS x CUSTOS FIXOS'!D8),"",(PRODUTOS!E8*'CUSTOS DIRETOS x CUSTOS FIXOS'!D8))</f>
        <v>2125</v>
      </c>
      <c r="J8" s="6">
        <f>IF(ISERROR(PRODUTOS!E8*'CUSTOS DIRETOS x CUSTOS FIXOS'!E8),"",(PRODUTOS!E8*'CUSTOS DIRETOS x CUSTOS FIXOS'!E8))</f>
        <v>7650</v>
      </c>
      <c r="K8" s="6">
        <f>IF(ISERROR(PRODUTOS!C8:C14-'CUSTOS DIRETOS x CUSTOS FIXOS'!G8:G14),"",PRODUTOS!C8:C14-'CUSTOS DIRETOS x CUSTOS FIXOS'!G8:G14)</f>
        <v>104.5</v>
      </c>
      <c r="L8" s="10">
        <f>IF(ISERROR(K8/PRODUTOS!C8),"",('CUSTOS DIRETOS x CUSTOS FIXOS'!K8/PRODUTOS!C8))</f>
        <v>0.12294117647058823</v>
      </c>
      <c r="M8" s="6">
        <f>IF(ISERROR(
(N8*PRODUTOS!C8)),"",('CUSTOS DIRETOS x CUSTOS FIXOS'!N8*PRODUTOS!C8))</f>
        <v>1639.2094791581253</v>
      </c>
      <c r="N8" s="16">
        <f>IF(ISERROR('PONTO DE EQUILÍBRIO'!$F$9*PRODUTOS!F8),"",'PONTO DE EQUILÍBRIO'!$F$9*PRODUTOS!F8)</f>
        <v>1.9284817401860297</v>
      </c>
      <c r="O8" s="6">
        <f>IF(ISERROR(PRODUTOS!D8*'CUSTOS DIRETOS x CUSTOS FIXOS'!F8),"",PRODUTOS!D8*'CUSTOS DIRETOS x CUSTOS FIXOS'!F8)</f>
        <v>25000</v>
      </c>
      <c r="P8" s="6">
        <f>IF(ISERROR(PRODUTOS!D8*'CUSTOS DIRETOS x CUSTOS FIXOS'!C8),"",PRODUTOS!D8*'CUSTOS DIRETOS x CUSTOS FIXOS'!C8)</f>
        <v>2500</v>
      </c>
      <c r="S8" s="87" t="str">
        <f t="shared" si="1"/>
        <v>Luminária de Cristal (1,5m)</v>
      </c>
      <c r="T8" s="88">
        <f t="shared" si="2"/>
        <v>0.12294117647058823</v>
      </c>
      <c r="U8" s="87">
        <f>COUNTIF(T$6:T8,T8)</f>
        <v>1</v>
      </c>
      <c r="V8" s="89" t="str">
        <f t="shared" si="0"/>
        <v>0,1229411764705881</v>
      </c>
    </row>
    <row r="9" spans="1:26" ht="30" customHeight="1" thickTop="1" thickBot="1" x14ac:dyDescent="0.35">
      <c r="B9" s="7" t="s">
        <v>46</v>
      </c>
      <c r="C9" s="8">
        <v>225</v>
      </c>
      <c r="D9" s="10">
        <v>0.05</v>
      </c>
      <c r="E9" s="10">
        <v>0.18</v>
      </c>
      <c r="F9" s="8">
        <v>500</v>
      </c>
      <c r="G9" s="8">
        <f>'CUSTOS DIRETOS x CUSTOS FIXOS'!C9+PRODUTOS!C9*('CUSTOS DIRETOS x CUSTOS FIXOS'!D9+'CUSTOS DIRETOS x CUSTOS FIXOS'!E9)+'CUSTOS DIRETOS x CUSTOS FIXOS'!F9</f>
        <v>828.5</v>
      </c>
      <c r="I9" s="6">
        <f>IF(ISERROR(PRODUTOS!E9*'CUSTOS DIRETOS x CUSTOS FIXOS'!D9),"",(PRODUTOS!E9*'CUSTOS DIRETOS x CUSTOS FIXOS'!D9))</f>
        <v>1800</v>
      </c>
      <c r="J9" s="6">
        <f>IF(ISERROR(PRODUTOS!E9*'CUSTOS DIRETOS x CUSTOS FIXOS'!E9),"",(PRODUTOS!E9*'CUSTOS DIRETOS x CUSTOS FIXOS'!E9))</f>
        <v>6480</v>
      </c>
      <c r="K9" s="6">
        <f>IF(ISERROR(PRODUTOS!C9:C15-'CUSTOS DIRETOS x CUSTOS FIXOS'!G9:G15),"",PRODUTOS!C9:C15-'CUSTOS DIRETOS x CUSTOS FIXOS'!G9:G15)</f>
        <v>-378.5</v>
      </c>
      <c r="L9" s="10">
        <f>IF(ISERROR(K9/PRODUTOS!C9),"",('CUSTOS DIRETOS x CUSTOS FIXOS'!K9/PRODUTOS!C9))</f>
        <v>-0.84111111111111114</v>
      </c>
      <c r="M9" s="6">
        <f>IF(ISERROR(
(N9*PRODUTOS!C9)),"",('CUSTOS DIRETOS x CUSTOS FIXOS'!N9*PRODUTOS!C9))</f>
        <v>735.091863317969</v>
      </c>
      <c r="N9" s="16">
        <f>IF(ISERROR('PONTO DE EQUILÍBRIO'!$F$9*PRODUTOS!F9),"",'PONTO DE EQUILÍBRIO'!$F$9*PRODUTOS!F9)</f>
        <v>1.6335374740399311</v>
      </c>
      <c r="O9" s="6">
        <f>IF(ISERROR(PRODUTOS!D9*'CUSTOS DIRETOS x CUSTOS FIXOS'!F9),"",PRODUTOS!D9*'CUSTOS DIRETOS x CUSTOS FIXOS'!F9)</f>
        <v>40000</v>
      </c>
      <c r="P9" s="6">
        <f>IF(ISERROR(PRODUTOS!D9*'CUSTOS DIRETOS x CUSTOS FIXOS'!C9),"",PRODUTOS!D9*'CUSTOS DIRETOS x CUSTOS FIXOS'!C9)</f>
        <v>18000</v>
      </c>
      <c r="S9" s="87" t="str">
        <f t="shared" si="1"/>
        <v>Conjunto de Talheres de Prata</v>
      </c>
      <c r="T9" s="88">
        <f t="shared" si="2"/>
        <v>-0.84111111111111114</v>
      </c>
      <c r="U9" s="87">
        <f>COUNTIF(T$6:T9,T9)</f>
        <v>1</v>
      </c>
      <c r="V9" s="89" t="str">
        <f t="shared" si="0"/>
        <v>-0,8411111111111111</v>
      </c>
    </row>
    <row r="10" spans="1:26" ht="30" customHeight="1" thickTop="1" thickBot="1" x14ac:dyDescent="0.35">
      <c r="B10" s="7" t="s">
        <v>47</v>
      </c>
      <c r="C10" s="8">
        <v>50</v>
      </c>
      <c r="D10" s="10">
        <v>0.05</v>
      </c>
      <c r="E10" s="10">
        <v>0.18</v>
      </c>
      <c r="F10" s="8">
        <v>500</v>
      </c>
      <c r="G10" s="8">
        <f>'CUSTOS DIRETOS x CUSTOS FIXOS'!C10+PRODUTOS!C10*('CUSTOS DIRETOS x CUSTOS FIXOS'!D10+'CUSTOS DIRETOS x CUSTOS FIXOS'!E10)+'CUSTOS DIRETOS x CUSTOS FIXOS'!F10</f>
        <v>1010</v>
      </c>
      <c r="I10" s="6">
        <f>IF(ISERROR(PRODUTOS!E10*'CUSTOS DIRETOS x CUSTOS FIXOS'!D10),"",(PRODUTOS!E10*'CUSTOS DIRETOS x CUSTOS FIXOS'!D10))</f>
        <v>10000</v>
      </c>
      <c r="J10" s="6">
        <f>IF(ISERROR(PRODUTOS!E10*'CUSTOS DIRETOS x CUSTOS FIXOS'!E10),"",(PRODUTOS!E10*'CUSTOS DIRETOS x CUSTOS FIXOS'!E10))</f>
        <v>36000</v>
      </c>
      <c r="K10" s="6">
        <f>IF(ISERROR(PRODUTOS!C10:C15-'CUSTOS DIRETOS x CUSTOS FIXOS'!G10:G16),"",PRODUTOS!C10:C15-'CUSTOS DIRETOS x CUSTOS FIXOS'!G10:G16)</f>
        <v>990</v>
      </c>
      <c r="L10" s="10">
        <f>IF(ISERROR(K10/PRODUTOS!C10),"",('CUSTOS DIRETOS x CUSTOS FIXOS'!K10/PRODUTOS!C10))</f>
        <v>0.495</v>
      </c>
      <c r="M10" s="6">
        <f>IF(ISERROR(
(N10*PRODUTOS!C10)),"",('CUSTOS DIRETOS x CUSTOS FIXOS'!N10*PRODUTOS!C10))</f>
        <v>18150.416378221453</v>
      </c>
      <c r="N10" s="16">
        <f>IF(ISERROR('PONTO DE EQUILÍBRIO'!$F$9*PRODUTOS!F10),"",'PONTO DE EQUILÍBRIO'!$F$9*PRODUTOS!F10)</f>
        <v>9.075208189110727</v>
      </c>
      <c r="O10" s="6">
        <f>IF(ISERROR(PRODUTOS!D10*'CUSTOS DIRETOS x CUSTOS FIXOS'!F10),"",PRODUTOS!D10*'CUSTOS DIRETOS x CUSTOS FIXOS'!F10)</f>
        <v>50000</v>
      </c>
      <c r="P10" s="6">
        <f>IF(ISERROR(PRODUTOS!D10*'CUSTOS DIRETOS x CUSTOS FIXOS'!C10),"",PRODUTOS!D10*'CUSTOS DIRETOS x CUSTOS FIXOS'!C10)</f>
        <v>5000</v>
      </c>
      <c r="S10" s="87" t="str">
        <f t="shared" si="1"/>
        <v>Tapete Persa (3x4m)</v>
      </c>
      <c r="T10" s="88">
        <f t="shared" si="2"/>
        <v>0.495</v>
      </c>
      <c r="U10" s="87">
        <f>COUNTIF(T$6:T10,T10)</f>
        <v>1</v>
      </c>
      <c r="V10" s="89" t="str">
        <f t="shared" si="0"/>
        <v>0,4951</v>
      </c>
    </row>
    <row r="11" spans="1:26" ht="30" customHeight="1" thickTop="1" thickBot="1" x14ac:dyDescent="0.35">
      <c r="B11" s="7" t="s">
        <v>48</v>
      </c>
      <c r="C11" s="8">
        <v>1000</v>
      </c>
      <c r="D11" s="10">
        <v>0.05</v>
      </c>
      <c r="E11" s="10">
        <v>0.18</v>
      </c>
      <c r="F11" s="8">
        <v>500</v>
      </c>
      <c r="G11" s="8">
        <f>'CUSTOS DIRETOS x CUSTOS FIXOS'!C11+PRODUTOS!C11*('CUSTOS DIRETOS x CUSTOS FIXOS'!D11+'CUSTOS DIRETOS x CUSTOS FIXOS'!E11)+'CUSTOS DIRETOS x CUSTOS FIXOS'!F11</f>
        <v>2075</v>
      </c>
      <c r="I11" s="6">
        <f>IF(ISERROR(PRODUTOS!E11*'CUSTOS DIRETOS x CUSTOS FIXOS'!D11),"",(PRODUTOS!E11*'CUSTOS DIRETOS x CUSTOS FIXOS'!D11))</f>
        <v>12500</v>
      </c>
      <c r="J11" s="6">
        <f>IF(ISERROR(PRODUTOS!E11*'CUSTOS DIRETOS x CUSTOS FIXOS'!E11),"",(PRODUTOS!E11*'CUSTOS DIRETOS x CUSTOS FIXOS'!E11))</f>
        <v>45000</v>
      </c>
      <c r="K11" s="6">
        <f>IF(ISERROR(PRODUTOS!C11:C15-'CUSTOS DIRETOS x CUSTOS FIXOS'!G11:G16),"",PRODUTOS!C11:C15-'CUSTOS DIRETOS x CUSTOS FIXOS'!G11:G16)</f>
        <v>425</v>
      </c>
      <c r="L11" s="10">
        <f>IF(ISERROR(K11/PRODUTOS!C11),"",('CUSTOS DIRETOS x CUSTOS FIXOS'!K11/PRODUTOS!C11))</f>
        <v>0.17</v>
      </c>
      <c r="M11" s="6">
        <f>IF(ISERROR(
(N11*PRODUTOS!C11)),"",('CUSTOS DIRETOS x CUSTOS FIXOS'!N11*PRODUTOS!C11))</f>
        <v>28360.025590971025</v>
      </c>
      <c r="N11" s="16">
        <f>IF(ISERROR('PONTO DE EQUILÍBRIO'!$F$9*PRODUTOS!F11),"",'PONTO DE EQUILÍBRIO'!$F$9*PRODUTOS!F11)</f>
        <v>11.34401023638841</v>
      </c>
      <c r="O11" s="6">
        <f>IF(ISERROR(PRODUTOS!D11*'CUSTOS DIRETOS x CUSTOS FIXOS'!F11),"",PRODUTOS!D11*'CUSTOS DIRETOS x CUSTOS FIXOS'!F11)</f>
        <v>50000</v>
      </c>
      <c r="P11" s="6">
        <f>IF(ISERROR(PRODUTOS!D11*'CUSTOS DIRETOS x CUSTOS FIXOS'!C11),"",PRODUTOS!D11*'CUSTOS DIRETOS x CUSTOS FIXOS'!C11)</f>
        <v>100000</v>
      </c>
      <c r="S11" s="87" t="str">
        <f t="shared" si="1"/>
        <v>Cama King Size de Madeira</v>
      </c>
      <c r="T11" s="88">
        <f t="shared" si="2"/>
        <v>0.17</v>
      </c>
      <c r="U11" s="87">
        <f>COUNTIF(T$6:T11,T11)</f>
        <v>1</v>
      </c>
      <c r="V11" s="89" t="str">
        <f t="shared" si="0"/>
        <v>0,171</v>
      </c>
    </row>
    <row r="12" spans="1:26" ht="30" customHeight="1" thickTop="1" thickBot="1" x14ac:dyDescent="0.35">
      <c r="B12" s="7" t="s">
        <v>54</v>
      </c>
      <c r="C12" s="8">
        <v>1000</v>
      </c>
      <c r="D12" s="10">
        <v>0.05</v>
      </c>
      <c r="E12" s="10">
        <v>0.18</v>
      </c>
      <c r="F12" s="8">
        <v>500</v>
      </c>
      <c r="G12" s="8">
        <f>'CUSTOS DIRETOS x CUSTOS FIXOS'!C12+PRODUTOS!C12*('CUSTOS DIRETOS x CUSTOS FIXOS'!D12+'CUSTOS DIRETOS x CUSTOS FIXOS'!E12)+'CUSTOS DIRETOS x CUSTOS FIXOS'!F12</f>
        <v>2190</v>
      </c>
      <c r="I12" s="6">
        <f>IF(ISERROR(PRODUTOS!E12*'CUSTOS DIRETOS x CUSTOS FIXOS'!D12),"",(PRODUTOS!E12*'CUSTOS DIRETOS x CUSTOS FIXOS'!D12))</f>
        <v>15000</v>
      </c>
      <c r="J12" s="6">
        <f>IF(ISERROR(PRODUTOS!E12*'CUSTOS DIRETOS x CUSTOS FIXOS'!E12),"",(PRODUTOS!E12*'CUSTOS DIRETOS x CUSTOS FIXOS'!E12))</f>
        <v>54000</v>
      </c>
      <c r="K12" s="6">
        <f>IF(ISERROR(PRODUTOS!C12:C15-'CUSTOS DIRETOS x CUSTOS FIXOS'!G12:G16),"",PRODUTOS!C12:C15-'CUSTOS DIRETOS x CUSTOS FIXOS'!G12:G16)</f>
        <v>810</v>
      </c>
      <c r="L12" s="10">
        <f>IF(ISERROR(K12/PRODUTOS!C12),"",('CUSTOS DIRETOS x CUSTOS FIXOS'!K12/PRODUTOS!C12))</f>
        <v>0.27</v>
      </c>
      <c r="M12" s="6">
        <f>IF(ISERROR(
(N12*PRODUTOS!C12)),"",('CUSTOS DIRETOS x CUSTOS FIXOS'!N12*PRODUTOS!C12))</f>
        <v>40838.436850998281</v>
      </c>
      <c r="N12" s="16">
        <f>IF(ISERROR('PONTO DE EQUILÍBRIO'!$F$9*PRODUTOS!F12),"",'PONTO DE EQUILÍBRIO'!$F$9*PRODUTOS!F12)</f>
        <v>13.612812283666093</v>
      </c>
      <c r="O12" s="6">
        <f>IF(ISERROR(PRODUTOS!D12*'CUSTOS DIRETOS x CUSTOS FIXOS'!F12),"",PRODUTOS!D12*'CUSTOS DIRETOS x CUSTOS FIXOS'!F12)</f>
        <v>50000</v>
      </c>
      <c r="P12" s="6">
        <f>IF(ISERROR(PRODUTOS!D12*'CUSTOS DIRETOS x CUSTOS FIXOS'!C12),"",PRODUTOS!D12*'CUSTOS DIRETOS x CUSTOS FIXOS'!C12)</f>
        <v>100000</v>
      </c>
      <c r="S12" s="87" t="str">
        <f t="shared" si="1"/>
        <v>TV LED 100</v>
      </c>
      <c r="T12" s="88">
        <f t="shared" si="2"/>
        <v>0.27</v>
      </c>
      <c r="U12" s="87">
        <f>COUNTIF(T$6:T12,T12)</f>
        <v>1</v>
      </c>
      <c r="V12" s="89" t="str">
        <f t="shared" si="0"/>
        <v>0,271</v>
      </c>
    </row>
    <row r="13" spans="1:26" ht="30" customHeight="1" thickTop="1" thickBot="1" x14ac:dyDescent="0.35">
      <c r="B13" s="7" t="s">
        <v>49</v>
      </c>
      <c r="C13" s="8">
        <v>100</v>
      </c>
      <c r="D13" s="10">
        <v>0.05</v>
      </c>
      <c r="E13" s="10">
        <v>0.18</v>
      </c>
      <c r="F13" s="8">
        <v>500</v>
      </c>
      <c r="G13" s="8">
        <f>C13+'CUSTOS DIRETOS x CUSTOS FIXOS'!C13*('CUSTOS DIRETOS x CUSTOS FIXOS'!D13+'CUSTOS DIRETOS x CUSTOS FIXOS'!E13)+'CUSTOS DIRETOS x CUSTOS FIXOS'!F13</f>
        <v>623</v>
      </c>
      <c r="I13" s="6">
        <f>IF(ISERROR(PRODUTOS!E13*'CUSTOS DIRETOS x CUSTOS FIXOS'!D13),"",(PRODUTOS!E13*'CUSTOS DIRETOS x CUSTOS FIXOS'!D13))</f>
        <v>18000</v>
      </c>
      <c r="J13" s="6">
        <f>IF(ISERROR(PRODUTOS!E13*'CUSTOS DIRETOS x CUSTOS FIXOS'!E13),"",(PRODUTOS!E13*'CUSTOS DIRETOS x CUSTOS FIXOS'!E13))</f>
        <v>64800</v>
      </c>
      <c r="K13" s="6">
        <f>IF(ISERROR(PRODUTOS!C13-'CUSTOS DIRETOS x CUSTOS FIXOS'!G13),"",(PRODUTOS!C13-'CUSTOS DIRETOS x CUSTOS FIXOS'!G13))</f>
        <v>277</v>
      </c>
      <c r="L13" s="10">
        <f>IF(ISERROR(K13/PRODUTOS!C13),"",('CUSTOS DIRETOS x CUSTOS FIXOS'!K13/PRODUTOS!C13))</f>
        <v>0.30777777777777776</v>
      </c>
      <c r="M13" s="6">
        <f>IF(ISERROR((N13*PRODUTOS!C13)),"",('CUSTOS DIRETOS x CUSTOS FIXOS'!N13*PRODUTOS!C13))</f>
        <v>14701.837266359378</v>
      </c>
      <c r="N13" s="16">
        <f>IF(ISERROR('PONTO DE EQUILÍBRIO'!$F$9*PRODUTOS!F13),"",'PONTO DE EQUILÍBRIO'!$F$9*PRODUTOS!F13)</f>
        <v>16.33537474039931</v>
      </c>
      <c r="O13" s="6">
        <f>IF(ISERROR(PRODUTOS!D13*'CUSTOS DIRETOS x CUSTOS FIXOS'!F13),"",PRODUTOS!D13*'CUSTOS DIRETOS x CUSTOS FIXOS'!F13)</f>
        <v>200000</v>
      </c>
      <c r="P13" s="6">
        <f>IF(ISERROR(PRODUTOS!D13*'CUSTOS DIRETOS x CUSTOS FIXOS'!C13),"",PRODUTOS!D13*'CUSTOS DIRETOS x CUSTOS FIXOS'!C13)</f>
        <v>40000</v>
      </c>
      <c r="S13" s="87" t="str">
        <f t="shared" si="1"/>
        <v>Frigobar de Inox</v>
      </c>
      <c r="T13" s="88">
        <f t="shared" si="2"/>
        <v>0.30777777777777776</v>
      </c>
      <c r="U13" s="87">
        <f>COUNTIF(T$6:T13,T13)</f>
        <v>1</v>
      </c>
      <c r="V13" s="89" t="str">
        <f t="shared" si="0"/>
        <v>0,3077777777777781</v>
      </c>
    </row>
    <row r="14" spans="1:26" ht="30" customHeight="1" thickTop="1" thickBot="1" x14ac:dyDescent="0.35">
      <c r="B14" s="7" t="s">
        <v>50</v>
      </c>
      <c r="C14" s="8">
        <v>50</v>
      </c>
      <c r="D14" s="10">
        <v>0.05</v>
      </c>
      <c r="E14" s="10">
        <v>0.18</v>
      </c>
      <c r="F14" s="8">
        <v>500</v>
      </c>
      <c r="G14" s="8">
        <f>C14+'CUSTOS DIRETOS x CUSTOS FIXOS'!C14*('CUSTOS DIRETOS x CUSTOS FIXOS'!D14+'CUSTOS DIRETOS x CUSTOS FIXOS'!E14)+'CUSTOS DIRETOS x CUSTOS FIXOS'!F14</f>
        <v>561.5</v>
      </c>
      <c r="I14" s="6">
        <f>IF(ISERROR(PRODUTOS!E14*'CUSTOS DIRETOS x CUSTOS FIXOS'!D14),"",(PRODUTOS!E14*'CUSTOS DIRETOS x CUSTOS FIXOS'!D14))</f>
        <v>15000</v>
      </c>
      <c r="J14" s="6">
        <f>IF(ISERROR(PRODUTOS!E14*'CUSTOS DIRETOS x CUSTOS FIXOS'!E14),"",(PRODUTOS!E14*'CUSTOS DIRETOS x CUSTOS FIXOS'!E14))</f>
        <v>54000</v>
      </c>
      <c r="K14" s="6">
        <f>IF(ISERROR(PRODUTOS!C14-'CUSTOS DIRETOS x CUSTOS FIXOS'!G14),"",(PRODUTOS!C14-'CUSTOS DIRETOS x CUSTOS FIXOS'!G14))</f>
        <v>38.5</v>
      </c>
      <c r="L14" s="10">
        <f>IF(ISERROR(K14/PRODUTOS!C14),"",('CUSTOS DIRETOS x CUSTOS FIXOS'!K14/PRODUTOS!C14))</f>
        <v>6.4166666666666664E-2</v>
      </c>
      <c r="M14" s="6">
        <f>IF(ISERROR((N14*PRODUTOS!C14)),"",('CUSTOS DIRETOS x CUSTOS FIXOS'!N14*PRODUTOS!C14))</f>
        <v>8167.6873701996556</v>
      </c>
      <c r="N14" s="16">
        <f>IF(ISERROR('PONTO DE EQUILÍBRIO'!$F$9*PRODUTOS!F14),"",'PONTO DE EQUILÍBRIO'!$F$9*PRODUTOS!F14)</f>
        <v>13.612812283666093</v>
      </c>
      <c r="O14" s="6">
        <f>IF(ISERROR(PRODUTOS!D14*'CUSTOS DIRETOS x CUSTOS FIXOS'!F14),"",PRODUTOS!D14*'CUSTOS DIRETOS x CUSTOS FIXOS'!F14)</f>
        <v>250000</v>
      </c>
      <c r="P14" s="6">
        <f>IF(ISERROR(PRODUTOS!D14*'CUSTOS DIRETOS x CUSTOS FIXOS'!C14),"",PRODUTOS!D14*'CUSTOS DIRETOS x CUSTOS FIXOS'!C14)</f>
        <v>25000</v>
      </c>
      <c r="S14" s="87" t="str">
        <f t="shared" si="1"/>
        <v>Ventilador de Design Moderno</v>
      </c>
      <c r="T14" s="88">
        <f t="shared" si="2"/>
        <v>6.4166666666666664E-2</v>
      </c>
      <c r="U14" s="87">
        <f>COUNTIF(T$6:T14,T14)</f>
        <v>1</v>
      </c>
      <c r="V14" s="89" t="str">
        <f t="shared" si="0"/>
        <v>0,06416666666666671</v>
      </c>
    </row>
    <row r="15" spans="1:26" ht="31.8" customHeight="1" thickTop="1" thickBot="1" x14ac:dyDescent="0.35">
      <c r="B15" s="7" t="s">
        <v>51</v>
      </c>
      <c r="C15" s="8">
        <v>30</v>
      </c>
      <c r="D15" s="10">
        <v>0.05</v>
      </c>
      <c r="E15" s="10">
        <v>0.18</v>
      </c>
      <c r="F15" s="8">
        <v>500</v>
      </c>
      <c r="G15" s="8">
        <f>C15+'CUSTOS DIRETOS x CUSTOS FIXOS'!C15*('CUSTOS DIRETOS x CUSTOS FIXOS'!D15+'CUSTOS DIRETOS x CUSTOS FIXOS'!E15)+'CUSTOS DIRETOS x CUSTOS FIXOS'!F15</f>
        <v>536.9</v>
      </c>
      <c r="I15" s="6">
        <f>IF(ISERROR(PRODUTOS!E15*'CUSTOS DIRETOS x CUSTOS FIXOS'!D15),"",(PRODUTOS!E15*'CUSTOS DIRETOS x CUSTOS FIXOS'!D15))</f>
        <v>20000</v>
      </c>
      <c r="J15" s="6">
        <f>IF(ISERROR(PRODUTOS!E15*'CUSTOS DIRETOS x CUSTOS FIXOS'!E15),"",(PRODUTOS!E15*'CUSTOS DIRETOS x CUSTOS FIXOS'!E15))</f>
        <v>72000</v>
      </c>
      <c r="K15" s="6">
        <f>IF(ISERROR(PRODUTOS!C15-'CUSTOS DIRETOS x CUSTOS FIXOS'!G15),"",(PRODUTOS!C15-'CUSTOS DIRETOS x CUSTOS FIXOS'!G15))</f>
        <v>263.10000000000002</v>
      </c>
      <c r="L15" s="10">
        <f>IF(ISERROR(K15/PRODUTOS!C15),"",('CUSTOS DIRETOS x CUSTOS FIXOS'!K15/PRODUTOS!C15))</f>
        <v>0.32887500000000003</v>
      </c>
      <c r="M15" s="6">
        <f>IF(ISERROR((N15*PRODUTOS!C15)),"",('CUSTOS DIRETOS x CUSTOS FIXOS'!N15*PRODUTOS!C15))</f>
        <v>14520.333102577164</v>
      </c>
      <c r="N15" s="16">
        <f>IF(ISERROR('PONTO DE EQUILÍBRIO'!$F$9*PRODUTOS!F15),"",'PONTO DE EQUILÍBRIO'!$F$9*PRODUTOS!F15)</f>
        <v>18.150416378221454</v>
      </c>
      <c r="O15" s="6">
        <f>IF(ISERROR(PRODUTOS!D15*'CUSTOS DIRETOS x CUSTOS FIXOS'!F15),"",PRODUTOS!D15*'CUSTOS DIRETOS x CUSTOS FIXOS'!F15)</f>
        <v>250000</v>
      </c>
      <c r="P15" s="6">
        <f>IF(ISERROR(PRODUTOS!D15*'CUSTOS DIRETOS x CUSTOS FIXOS'!C15),"",PRODUTOS!D15*'CUSTOS DIRETOS x CUSTOS FIXOS'!C15)</f>
        <v>15000</v>
      </c>
      <c r="S15" s="87" t="str">
        <f t="shared" si="1"/>
        <v>Jogo de Cama de Seda (Queen)</v>
      </c>
      <c r="T15" s="88">
        <f t="shared" si="2"/>
        <v>0.32887500000000003</v>
      </c>
      <c r="U15" s="87">
        <f>COUNTIF(T$6:T15,T15)</f>
        <v>1</v>
      </c>
      <c r="V15" s="89" t="str">
        <f t="shared" si="0"/>
        <v>0,3288751</v>
      </c>
    </row>
    <row r="16" spans="1:26" ht="15" customHeight="1" thickTop="1" x14ac:dyDescent="0.3"/>
    <row r="17" spans="2:3" ht="15" customHeight="1" x14ac:dyDescent="0.3"/>
    <row r="18" spans="2:3" ht="30" hidden="1" customHeight="1" thickTop="1" x14ac:dyDescent="0.3">
      <c r="B18" s="33" t="s">
        <v>19</v>
      </c>
      <c r="C18" s="34" t="s">
        <v>18</v>
      </c>
    </row>
    <row r="19" spans="2:3" ht="30" hidden="1" customHeight="1" x14ac:dyDescent="0.3">
      <c r="B19" s="35" t="s">
        <v>41</v>
      </c>
      <c r="C19" s="36">
        <v>12000</v>
      </c>
    </row>
    <row r="20" spans="2:3" ht="30" hidden="1" customHeight="1" x14ac:dyDescent="0.3">
      <c r="B20" s="35" t="s">
        <v>42</v>
      </c>
      <c r="C20" s="36">
        <v>10000</v>
      </c>
    </row>
    <row r="21" spans="2:3" ht="30" hidden="1" customHeight="1" x14ac:dyDescent="0.3">
      <c r="B21" s="35" t="s">
        <v>68</v>
      </c>
      <c r="C21" s="36">
        <v>6500</v>
      </c>
    </row>
    <row r="22" spans="2:3" ht="30" hidden="1" customHeight="1" x14ac:dyDescent="0.3">
      <c r="B22" s="35" t="s">
        <v>36</v>
      </c>
      <c r="C22" s="36">
        <v>2300</v>
      </c>
    </row>
    <row r="23" spans="2:3" ht="30" hidden="1" customHeight="1" x14ac:dyDescent="0.3">
      <c r="B23" s="35" t="s">
        <v>37</v>
      </c>
      <c r="C23" s="36">
        <v>2000</v>
      </c>
    </row>
    <row r="24" spans="2:3" ht="30" hidden="1" customHeight="1" x14ac:dyDescent="0.3">
      <c r="B24" s="35" t="s">
        <v>40</v>
      </c>
      <c r="C24" s="36">
        <v>1900</v>
      </c>
    </row>
    <row r="25" spans="2:3" ht="30" hidden="1" customHeight="1" x14ac:dyDescent="0.3">
      <c r="B25" s="35" t="s">
        <v>38</v>
      </c>
      <c r="C25" s="36">
        <v>1350</v>
      </c>
    </row>
    <row r="26" spans="2:3" ht="30" hidden="1" customHeight="1" x14ac:dyDescent="0.3">
      <c r="B26" s="35" t="s">
        <v>35</v>
      </c>
      <c r="C26" s="36">
        <v>1220</v>
      </c>
    </row>
    <row r="27" spans="2:3" ht="30" hidden="1" customHeight="1" x14ac:dyDescent="0.3">
      <c r="B27" s="35" t="s">
        <v>39</v>
      </c>
      <c r="C27" s="36">
        <v>980</v>
      </c>
    </row>
    <row r="28" spans="2:3" ht="30" hidden="1" customHeight="1" x14ac:dyDescent="0.3">
      <c r="B28" s="35" t="s">
        <v>34</v>
      </c>
      <c r="C28" s="36">
        <v>600</v>
      </c>
    </row>
    <row r="29" spans="2:3" hidden="1" x14ac:dyDescent="0.3">
      <c r="B29" s="69"/>
      <c r="C29" s="70"/>
    </row>
    <row r="30" spans="2:3" hidden="1" x14ac:dyDescent="0.3">
      <c r="B30" s="69"/>
      <c r="C30" s="70"/>
    </row>
    <row r="31" spans="2:3" hidden="1" x14ac:dyDescent="0.3">
      <c r="B31" s="69"/>
      <c r="C31" s="70"/>
    </row>
    <row r="32" spans="2:3" hidden="1" x14ac:dyDescent="0.3">
      <c r="B32" s="69"/>
      <c r="C32" s="70"/>
    </row>
  </sheetData>
  <conditionalFormatting sqref="L6:L15">
    <cfRule type="duplicateValues" dxfId="4" priority="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8805-AF94-4E97-A1C4-91FBD881AE6C}">
  <dimension ref="A1:V27"/>
  <sheetViews>
    <sheetView showGridLines="0" showRowColHeaders="0" topLeftCell="A4" workbookViewId="0">
      <selection activeCell="N27" sqref="N27"/>
    </sheetView>
  </sheetViews>
  <sheetFormatPr defaultColWidth="0" defaultRowHeight="14.4" zeroHeight="1" x14ac:dyDescent="0.3"/>
  <cols>
    <col min="1" max="1" width="8.88671875" customWidth="1"/>
    <col min="2" max="2" width="23.109375" style="40" customWidth="1"/>
    <col min="3" max="3" width="22.77734375" style="62" bestFit="1" customWidth="1"/>
    <col min="4" max="4" width="15.6640625" style="41" bestFit="1" customWidth="1"/>
    <col min="5" max="5" width="15.6640625" style="76" hidden="1" customWidth="1"/>
    <col min="6" max="6" width="2.21875" customWidth="1"/>
    <col min="7" max="7" width="33.88671875" bestFit="1" customWidth="1"/>
    <col min="8" max="8" width="8.88671875" customWidth="1"/>
    <col min="9" max="9" width="14" bestFit="1" customWidth="1"/>
    <col min="10" max="10" width="14" hidden="1" customWidth="1"/>
    <col min="11" max="11" width="2.21875" customWidth="1"/>
    <col min="12" max="12" width="26.44140625" bestFit="1" customWidth="1"/>
    <col min="13" max="13" width="22.77734375" bestFit="1" customWidth="1"/>
    <col min="14" max="14" width="19.44140625" bestFit="1" customWidth="1"/>
    <col min="15" max="15" width="8.88671875" customWidth="1"/>
    <col min="16" max="16" width="8.88671875" style="45" hidden="1" customWidth="1"/>
    <col min="17" max="17" width="27.109375" style="45" hidden="1"/>
    <col min="18" max="18" width="12" hidden="1"/>
    <col min="19" max="20" width="8.88671875" hidden="1"/>
    <col min="21" max="21" width="11" hidden="1"/>
    <col min="22" max="16384" width="8.88671875" hidden="1"/>
  </cols>
  <sheetData>
    <row r="1" spans="1:22" ht="15" hidden="1" customHeight="1" thickTop="1" thickBot="1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60"/>
    </row>
    <row r="2" spans="1:22" ht="15" hidden="1" customHeight="1" thickTop="1" thickBot="1" x14ac:dyDescent="0.3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60"/>
    </row>
    <row r="3" spans="1:22" s="1" customFormat="1" ht="15" hidden="1" customHeight="1" thickTop="1" x14ac:dyDescent="0.3">
      <c r="A3"/>
      <c r="B3" s="40"/>
      <c r="C3" s="41"/>
      <c r="D3" s="61"/>
      <c r="E3" s="75"/>
      <c r="F3"/>
      <c r="G3"/>
      <c r="H3"/>
      <c r="I3"/>
      <c r="J3"/>
      <c r="K3"/>
      <c r="L3"/>
      <c r="M3"/>
      <c r="N3"/>
      <c r="O3"/>
      <c r="P3" s="28"/>
      <c r="Q3" s="28"/>
    </row>
    <row r="4" spans="1:22" ht="15" customHeight="1" x14ac:dyDescent="0.3"/>
    <row r="5" spans="1:22" s="60" customFormat="1" ht="30" customHeight="1" x14ac:dyDescent="0.3">
      <c r="B5" s="99" t="s">
        <v>33</v>
      </c>
      <c r="C5" s="99"/>
      <c r="D5" s="100"/>
      <c r="E5" s="73"/>
      <c r="G5" s="101" t="s">
        <v>19</v>
      </c>
      <c r="H5" s="101"/>
      <c r="I5" s="101"/>
      <c r="J5" s="30"/>
      <c r="K5" s="71"/>
      <c r="L5" s="17" t="s">
        <v>25</v>
      </c>
      <c r="M5" s="18" t="s">
        <v>11</v>
      </c>
      <c r="N5" s="19" t="s">
        <v>26</v>
      </c>
      <c r="O5" s="44"/>
      <c r="Q5" s="110"/>
      <c r="R5" s="110"/>
      <c r="S5" s="110" t="s">
        <v>59</v>
      </c>
      <c r="T5" s="110"/>
      <c r="U5" s="113" t="s">
        <v>60</v>
      </c>
      <c r="V5" s="114"/>
    </row>
    <row r="6" spans="1:22" x14ac:dyDescent="0.3">
      <c r="B6" s="50" t="s">
        <v>12</v>
      </c>
      <c r="C6" s="51"/>
      <c r="D6" s="52">
        <f>SUM('CUSTOS DIRETOS x CUSTOS FIXOS'!P6:P1048576)</f>
        <v>476500</v>
      </c>
      <c r="E6" s="76" t="str">
        <f>B6</f>
        <v>Matéria Prima</v>
      </c>
      <c r="G6" s="24" t="str">
        <f>IF('CUSTOS DIRETOS x CUSTOS FIXOS'!B19="", "", 'CUSTOS DIRETOS x CUSTOS FIXOS'!B19)</f>
        <v>Software e Licenças de Sistemas</v>
      </c>
      <c r="H6" s="24"/>
      <c r="I6" s="25">
        <f>IFERROR(VLOOKUP(G6,'CUSTOS DIRETOS x CUSTOS FIXOS'!$B$19:$C$1048576,2,0),"")</f>
        <v>12000</v>
      </c>
      <c r="J6" s="31"/>
      <c r="L6" s="22" t="str">
        <f>IF(PRODUTOS!B14="", "", PRODUTOS!B14)</f>
        <v>Ventilador de Design Moderno</v>
      </c>
      <c r="M6" s="27">
        <f>IFERROR(VLOOKUP($L6,'CUSTOS DIRETOS x CUSTOS FIXOS'!$B$14:$N$21,13,0),"")</f>
        <v>13.612812283666093</v>
      </c>
      <c r="N6" s="23">
        <f>IFERROR(VLOOKUP(L6,'CUSTOS DIRETOS x CUSTOS FIXOS'!$B$14:$M$21,12,0),"")</f>
        <v>8167.6873701996556</v>
      </c>
      <c r="O6" s="41"/>
      <c r="P6" s="71"/>
      <c r="Q6" s="111" t="str">
        <f>L6</f>
        <v>Ventilador de Design Moderno</v>
      </c>
      <c r="R6" s="112">
        <f>M6</f>
        <v>13.612812283666093</v>
      </c>
      <c r="S6" s="109">
        <f>COUNTIF(R6:R$6,R6)</f>
        <v>1</v>
      </c>
      <c r="T6" s="109"/>
      <c r="U6" s="109" t="str">
        <f>R6&amp;S6</f>
        <v>13,61281228366611</v>
      </c>
      <c r="V6" s="109"/>
    </row>
    <row r="7" spans="1:22" x14ac:dyDescent="0.3">
      <c r="B7" s="50" t="s">
        <v>7</v>
      </c>
      <c r="C7" s="51"/>
      <c r="D7" s="52">
        <f>SUM('CUSTOS DIRETOS x CUSTOS FIXOS'!$J$6:$J$1048576)</f>
        <v>411930</v>
      </c>
      <c r="E7" s="76" t="str">
        <f t="shared" ref="E7:E9" si="0">B7</f>
        <v>Impostos %</v>
      </c>
      <c r="G7" s="24" t="str">
        <f>IF('CUSTOS DIRETOS x CUSTOS FIXOS'!B20="", "", 'CUSTOS DIRETOS x CUSTOS FIXOS'!B20)</f>
        <v>Marketing e Publicidade de Longo Prazo</v>
      </c>
      <c r="H7" s="24"/>
      <c r="I7" s="25">
        <f>IFERROR(VLOOKUP(G7,'CUSTOS DIRETOS x CUSTOS FIXOS'!$B$19:$C$1048576,2,0),"")</f>
        <v>10000</v>
      </c>
      <c r="J7" s="31"/>
      <c r="L7" s="22" t="str">
        <f>IF(PRODUTOS!B12="", "", PRODUTOS!B12)</f>
        <v>TV LED 100</v>
      </c>
      <c r="M7" s="27">
        <f>IFERROR(VLOOKUP(L7,'CUSTOS DIRETOS x CUSTOS FIXOS'!B12:N19,13,0),"")</f>
        <v>13.612812283666093</v>
      </c>
      <c r="N7" s="23">
        <f>IFERROR(VLOOKUP(L7,'CUSTOS DIRETOS x CUSTOS FIXOS'!$B$12:$M$19,12,0),"")</f>
        <v>40838.436850998281</v>
      </c>
      <c r="O7" s="41"/>
      <c r="Q7" s="111" t="str">
        <f t="shared" ref="Q7:Q15" si="1">L7</f>
        <v>TV LED 100</v>
      </c>
      <c r="R7" s="112">
        <f>M7</f>
        <v>13.612812283666093</v>
      </c>
      <c r="S7" s="109">
        <f>COUNTIF(R$6:R7,R7)</f>
        <v>2</v>
      </c>
      <c r="T7" s="109"/>
      <c r="U7" s="109" t="str">
        <f t="shared" ref="U7:U15" si="2">R7&amp;S7</f>
        <v>13,61281228366612</v>
      </c>
      <c r="V7" s="109"/>
    </row>
    <row r="8" spans="1:22" x14ac:dyDescent="0.3">
      <c r="B8" s="50" t="s">
        <v>6</v>
      </c>
      <c r="C8" s="51"/>
      <c r="D8" s="52">
        <f>SUM('CUSTOS DIRETOS x CUSTOS FIXOS'!$I$6:$I$1048576)</f>
        <v>114425</v>
      </c>
      <c r="E8" s="76" t="str">
        <f t="shared" si="0"/>
        <v>Comissões %</v>
      </c>
      <c r="G8" s="24" t="str">
        <f>IF('CUSTOS DIRETOS x CUSTOS FIXOS'!B21="", "", 'CUSTOS DIRETOS x CUSTOS FIXOS'!B21)</f>
        <v>Aluguel de Móveis</v>
      </c>
      <c r="H8" s="24"/>
      <c r="I8" s="25">
        <f>IFERROR(VLOOKUP(G8,'CUSTOS DIRETOS x CUSTOS FIXOS'!$B$19:$C$1048576,2,0),"")</f>
        <v>6500</v>
      </c>
      <c r="J8" s="31"/>
      <c r="L8" s="22" t="str">
        <f>IF(PRODUTOS!B10="", "", PRODUTOS!B10)</f>
        <v>Tapete Persa (3x4m)</v>
      </c>
      <c r="M8" s="27">
        <f>IFERROR(VLOOKUP(L8,'CUSTOS DIRETOS x CUSTOS FIXOS'!B10:N17,13,0),"")</f>
        <v>9.075208189110727</v>
      </c>
      <c r="N8" s="23">
        <f>IFERROR(VLOOKUP(L8,'CUSTOS DIRETOS x CUSTOS FIXOS'!$B$10:$M$17,12,0),"")</f>
        <v>18150.416378221453</v>
      </c>
      <c r="O8" s="41"/>
      <c r="Q8" s="111" t="str">
        <f t="shared" si="1"/>
        <v>Tapete Persa (3x4m)</v>
      </c>
      <c r="R8" s="112">
        <f>M8</f>
        <v>9.075208189110727</v>
      </c>
      <c r="S8" s="109">
        <f>COUNTIF(R$6:R8,R8)</f>
        <v>1</v>
      </c>
      <c r="T8" s="109"/>
      <c r="U8" s="109" t="str">
        <f t="shared" si="2"/>
        <v>9,075208189110731</v>
      </c>
      <c r="V8" s="109"/>
    </row>
    <row r="9" spans="1:22" x14ac:dyDescent="0.3">
      <c r="B9" s="50" t="s">
        <v>5</v>
      </c>
      <c r="C9" s="51"/>
      <c r="D9" s="52">
        <f>IFERROR(SUM('CUSTOS DIRETOS x CUSTOS FIXOS'!$F$6:$F$1048576),"")</f>
        <v>5100</v>
      </c>
      <c r="E9" s="76" t="str">
        <f t="shared" si="0"/>
        <v>Outros Gastos</v>
      </c>
      <c r="G9" s="24" t="str">
        <f>IF('CUSTOS DIRETOS x CUSTOS FIXOS'!B22="", "", 'CUSTOS DIRETOS x CUSTOS FIXOS'!B22)</f>
        <v>Água e Saneamento</v>
      </c>
      <c r="H9" s="24"/>
      <c r="I9" s="25">
        <f>IFERROR(VLOOKUP(G9,'CUSTOS DIRETOS x CUSTOS FIXOS'!$B$19:$C$1048576,2,0),"")</f>
        <v>2300</v>
      </c>
      <c r="J9" s="31"/>
      <c r="L9" s="22" t="str">
        <f>IF(PRODUTOS!B6="", "", PRODUTOS!B6)</f>
        <v>Sofá de Couro Italiano</v>
      </c>
      <c r="M9" s="27">
        <f>IFERROR(VLOOKUP(L9,'CUSTOS DIRETOS x CUSTOS FIXOS'!B6:N15,13,0),"")</f>
        <v>12.705291464755019</v>
      </c>
      <c r="N9" s="23">
        <f>IFERROR(VLOOKUP(L9,'CUSTOS DIRETOS x CUSTOS FIXOS'!$B$6:$M$15,12,0),"")</f>
        <v>44468.520126642565</v>
      </c>
      <c r="O9" s="41"/>
      <c r="Q9" s="111" t="str">
        <f t="shared" si="1"/>
        <v>Sofá de Couro Italiano</v>
      </c>
      <c r="R9" s="112">
        <f>M9</f>
        <v>12.705291464755019</v>
      </c>
      <c r="S9" s="109">
        <f>COUNTIF(R$6:R9,R9)</f>
        <v>1</v>
      </c>
      <c r="T9" s="109"/>
      <c r="U9" s="109" t="str">
        <f t="shared" si="2"/>
        <v>12,7052914647551</v>
      </c>
      <c r="V9" s="109"/>
    </row>
    <row r="10" spans="1:22" ht="14.4" customHeight="1" x14ac:dyDescent="0.3">
      <c r="B10" s="53"/>
      <c r="C10" s="51"/>
      <c r="D10" s="52"/>
      <c r="G10" s="24" t="str">
        <f>IF('CUSTOS DIRETOS x CUSTOS FIXOS'!B23="", "", 'CUSTOS DIRETOS x CUSTOS FIXOS'!B23)</f>
        <v>Licenças e Taxas Governamentais</v>
      </c>
      <c r="H10" s="24"/>
      <c r="I10" s="25">
        <f>IFERROR(VLOOKUP(G10,'CUSTOS DIRETOS x CUSTOS FIXOS'!$B$19:$C$1048576,2,0),"")</f>
        <v>2000</v>
      </c>
      <c r="J10" s="31"/>
      <c r="L10" s="22" t="str">
        <f>IF(PRODUTOS!B7="", "", PRODUTOS!B7)</f>
        <v>Máquina de Café Expresso</v>
      </c>
      <c r="M10" s="27">
        <f>IFERROR(VLOOKUP(L10,'CUSTOS DIRETOS x CUSTOS FIXOS'!B7:N16,13,0),"")</f>
        <v>5.4451249134664366</v>
      </c>
      <c r="N10" s="23">
        <f>IFERROR(VLOOKUP(L10,'CUSTOS DIRETOS x CUSTOS FIXOS'!$B$7:$M$16,12,0),"")</f>
        <v>6534.1498961597235</v>
      </c>
      <c r="O10" s="41"/>
      <c r="Q10" s="111" t="str">
        <f t="shared" si="1"/>
        <v>Máquina de Café Expresso</v>
      </c>
      <c r="R10" s="112">
        <f>M10</f>
        <v>5.4451249134664366</v>
      </c>
      <c r="S10" s="109">
        <f>COUNTIF(R$6:R10,R10)</f>
        <v>1</v>
      </c>
      <c r="T10" s="109"/>
      <c r="U10" s="109" t="str">
        <f t="shared" si="2"/>
        <v>5,445124913466441</v>
      </c>
      <c r="V10" s="109"/>
    </row>
    <row r="11" spans="1:22" ht="14.4" customHeight="1" x14ac:dyDescent="0.3">
      <c r="B11" s="53"/>
      <c r="C11" s="51"/>
      <c r="D11" s="52"/>
      <c r="G11" s="24" t="str">
        <f>IF('CUSTOS DIRETOS x CUSTOS FIXOS'!B24="", "", 'CUSTOS DIRETOS x CUSTOS FIXOS'!B24)</f>
        <v>Manutenção de Equipamentos</v>
      </c>
      <c r="H11" s="26"/>
      <c r="I11" s="25">
        <f>IFERROR(VLOOKUP(G11,'CUSTOS DIRETOS x CUSTOS FIXOS'!$B$19:$C$1048576,2,0),"")</f>
        <v>1900</v>
      </c>
      <c r="J11" s="31"/>
      <c r="L11" s="22" t="str">
        <f>IF(PRODUTOS!B8="", "", PRODUTOS!B8)</f>
        <v>Luminária de Cristal (1,5m)</v>
      </c>
      <c r="M11" s="27">
        <f>IFERROR(VLOOKUP(L11,'CUSTOS DIRETOS x CUSTOS FIXOS'!B8:N16,13,0),"")</f>
        <v>1.9284817401860297</v>
      </c>
      <c r="N11" s="23">
        <f>IFERROR(VLOOKUP(L11,'CUSTOS DIRETOS x CUSTOS FIXOS'!$B$8:$M$16,12,0),"")</f>
        <v>1639.2094791581253</v>
      </c>
      <c r="O11" s="41"/>
      <c r="Q11" s="111" t="str">
        <f t="shared" si="1"/>
        <v>Luminária de Cristal (1,5m)</v>
      </c>
      <c r="R11" s="112">
        <f>M11</f>
        <v>1.9284817401860297</v>
      </c>
      <c r="S11" s="109">
        <f>COUNTIF(R$6:R11,R11)</f>
        <v>1</v>
      </c>
      <c r="T11" s="109"/>
      <c r="U11" s="109" t="str">
        <f t="shared" si="2"/>
        <v>1,928481740186031</v>
      </c>
      <c r="V11" s="109"/>
    </row>
    <row r="12" spans="1:22" s="30" customFormat="1" ht="14.4" customHeight="1" x14ac:dyDescent="0.3">
      <c r="B12" s="54"/>
      <c r="C12" s="55"/>
      <c r="D12" s="56"/>
      <c r="E12" s="76"/>
      <c r="G12" s="24" t="str">
        <f>IF('CUSTOS DIRETOS x CUSTOS FIXOS'!B25="", "", 'CUSTOS DIRETOS x CUSTOS FIXOS'!B25)</f>
        <v>Seguros</v>
      </c>
      <c r="H12" s="26"/>
      <c r="I12" s="25">
        <f>IFERROR(VLOOKUP(G12,'CUSTOS DIRETOS x CUSTOS FIXOS'!$B$19:$C$1048576,2,0),"")</f>
        <v>1350</v>
      </c>
      <c r="J12" s="31"/>
      <c r="K12" s="72"/>
      <c r="L12" s="22" t="str">
        <f>IF(PRODUTOS!B15="", "", PRODUTOS!B15)</f>
        <v>Jogo de Cama de Seda (Queen)</v>
      </c>
      <c r="M12" s="27">
        <f>IFERROR(VLOOKUP(L12,'CUSTOS DIRETOS x CUSTOS FIXOS'!B15:N22,13,0),"")</f>
        <v>18.150416378221454</v>
      </c>
      <c r="N12" s="23">
        <f>IFERROR(VLOOKUP(L12,'CUSTOS DIRETOS x CUSTOS FIXOS'!$B$15:$M$22,12,0),"")</f>
        <v>14520.333102577164</v>
      </c>
      <c r="O12" s="41"/>
      <c r="P12" s="45"/>
      <c r="Q12" s="111" t="str">
        <f t="shared" si="1"/>
        <v>Jogo de Cama de Seda (Queen)</v>
      </c>
      <c r="R12" s="112">
        <f>M12</f>
        <v>18.150416378221454</v>
      </c>
      <c r="S12" s="109">
        <f>COUNTIF(R$6:R12,R12)</f>
        <v>1</v>
      </c>
      <c r="T12" s="110"/>
      <c r="U12" s="109" t="str">
        <f t="shared" si="2"/>
        <v>18,15041637822151</v>
      </c>
      <c r="V12" s="110"/>
    </row>
    <row r="13" spans="1:22" s="30" customFormat="1" ht="14.4" customHeight="1" x14ac:dyDescent="0.3">
      <c r="B13" s="53"/>
      <c r="C13" s="51"/>
      <c r="D13" s="56"/>
      <c r="E13" s="76"/>
      <c r="G13" s="24" t="str">
        <f>IF('CUSTOS DIRETOS x CUSTOS FIXOS'!B26="", "", 'CUSTOS DIRETOS x CUSTOS FIXOS'!B26)</f>
        <v>Contas de Energia Elétrica</v>
      </c>
      <c r="H13" s="26"/>
      <c r="I13" s="25">
        <f>IFERROR(VLOOKUP(G13,'CUSTOS DIRETOS x CUSTOS FIXOS'!$B$19:$C$1048576,2,0),"")</f>
        <v>1220</v>
      </c>
      <c r="J13" s="31"/>
      <c r="K13" s="72"/>
      <c r="L13" s="22" t="str">
        <f>IF(PRODUTOS!B13="", "", PRODUTOS!B13)</f>
        <v>Frigobar de Inox</v>
      </c>
      <c r="M13" s="27">
        <f>IFERROR(VLOOKUP(L13,'CUSTOS DIRETOS x CUSTOS FIXOS'!B13:N20,13,0),"")</f>
        <v>16.33537474039931</v>
      </c>
      <c r="N13" s="23">
        <f>IFERROR(VLOOKUP(L13,'CUSTOS DIRETOS x CUSTOS FIXOS'!$B$13:$M$20,12,0),"")</f>
        <v>14701.837266359378</v>
      </c>
      <c r="O13" s="41"/>
      <c r="P13" s="45"/>
      <c r="Q13" s="111" t="str">
        <f t="shared" si="1"/>
        <v>Frigobar de Inox</v>
      </c>
      <c r="R13" s="112">
        <f>M13</f>
        <v>16.33537474039931</v>
      </c>
      <c r="S13" s="109">
        <f>COUNTIF(R$6:R13,R13)</f>
        <v>1</v>
      </c>
      <c r="T13" s="110"/>
      <c r="U13" s="109" t="str">
        <f t="shared" si="2"/>
        <v>16,33537474039931</v>
      </c>
      <c r="V13" s="110"/>
    </row>
    <row r="14" spans="1:22" s="30" customFormat="1" ht="14.4" customHeight="1" x14ac:dyDescent="0.3">
      <c r="B14" s="53"/>
      <c r="C14" s="51"/>
      <c r="D14" s="56"/>
      <c r="E14" s="76"/>
      <c r="G14" s="24" t="str">
        <f>IF('CUSTOS DIRETOS x CUSTOS FIXOS'!B27="", "", 'CUSTOS DIRETOS x CUSTOS FIXOS'!B27)</f>
        <v>Depreciação de Equipamentos</v>
      </c>
      <c r="H14" s="26"/>
      <c r="I14" s="25">
        <f>IFERROR(VLOOKUP(G14,'CUSTOS DIRETOS x CUSTOS FIXOS'!$B$19:$C$1048576,2,0),"")</f>
        <v>980</v>
      </c>
      <c r="J14" s="31"/>
      <c r="K14" s="72"/>
      <c r="L14" s="22" t="str">
        <f>IF(PRODUTOS!B9="", "", PRODUTOS!B9)</f>
        <v>Conjunto de Talheres de Prata</v>
      </c>
      <c r="M14" s="27">
        <f>IFERROR(VLOOKUP(L14,'CUSTOS DIRETOS x CUSTOS FIXOS'!B9:N16,13,0),"")</f>
        <v>1.6335374740399311</v>
      </c>
      <c r="N14" s="23">
        <f>IFERROR(VLOOKUP(L14,'CUSTOS DIRETOS x CUSTOS FIXOS'!$B$9:$M$16,12,0),"")</f>
        <v>735.091863317969</v>
      </c>
      <c r="O14" s="41"/>
      <c r="P14" s="45"/>
      <c r="Q14" s="111" t="str">
        <f t="shared" si="1"/>
        <v>Conjunto de Talheres de Prata</v>
      </c>
      <c r="R14" s="112">
        <f>M14</f>
        <v>1.6335374740399311</v>
      </c>
      <c r="S14" s="109">
        <f>COUNTIF(R$6:R14,R14)</f>
        <v>1</v>
      </c>
      <c r="T14" s="110"/>
      <c r="U14" s="109" t="str">
        <f t="shared" si="2"/>
        <v>1,633537474039931</v>
      </c>
      <c r="V14" s="110"/>
    </row>
    <row r="15" spans="1:22" s="30" customFormat="1" ht="14.4" customHeight="1" x14ac:dyDescent="0.3">
      <c r="B15" s="53"/>
      <c r="C15" s="51"/>
      <c r="D15" s="56"/>
      <c r="E15" s="76"/>
      <c r="G15" s="24" t="str">
        <f>IF('CUSTOS DIRETOS x CUSTOS FIXOS'!B28="", "", 'CUSTOS DIRETOS x CUSTOS FIXOS'!B28)</f>
        <v>Salários e Benefícios</v>
      </c>
      <c r="H15" s="26"/>
      <c r="I15" s="25">
        <f>IFERROR(VLOOKUP(G15,'CUSTOS DIRETOS x CUSTOS FIXOS'!$B$19:$C$1048576,2,0),"")</f>
        <v>600</v>
      </c>
      <c r="J15" s="31"/>
      <c r="K15" s="72"/>
      <c r="L15" s="22" t="str">
        <f>IF(PRODUTOS!B11="", "", PRODUTOS!B11)</f>
        <v>Cama King Size de Madeira</v>
      </c>
      <c r="M15" s="27">
        <f>IFERROR(VLOOKUP(L15,'CUSTOS DIRETOS x CUSTOS FIXOS'!B11:N18,13,0),"")</f>
        <v>11.34401023638841</v>
      </c>
      <c r="N15" s="23">
        <f>IFERROR(VLOOKUP(L15,'CUSTOS DIRETOS x CUSTOS FIXOS'!$B$11:$M$18,12,0),"")</f>
        <v>28360.025590971025</v>
      </c>
      <c r="O15" s="41"/>
      <c r="P15" s="45"/>
      <c r="Q15" s="111" t="str">
        <f t="shared" si="1"/>
        <v>Cama King Size de Madeira</v>
      </c>
      <c r="R15" s="112">
        <f>M15</f>
        <v>11.34401023638841</v>
      </c>
      <c r="S15" s="109">
        <f>COUNTIF(R$6:R15,R15)</f>
        <v>1</v>
      </c>
      <c r="T15" s="110"/>
      <c r="U15" s="109" t="str">
        <f t="shared" si="2"/>
        <v>11,34401023638841</v>
      </c>
      <c r="V15" s="110"/>
    </row>
    <row r="16" spans="1:22" s="30" customFormat="1" ht="14.4" customHeight="1" x14ac:dyDescent="0.3">
      <c r="B16" s="53"/>
      <c r="C16" s="51"/>
      <c r="D16" s="56"/>
      <c r="E16" s="76"/>
      <c r="G16" s="24" t="str">
        <f>IF('CUSTOS DIRETOS x CUSTOS FIXOS'!B29="", "", 'CUSTOS DIRETOS x CUSTOS FIXOS'!B29)</f>
        <v/>
      </c>
      <c r="H16" s="26"/>
      <c r="I16" s="25" t="str">
        <f>IFERROR(VLOOKUP(G16,'CUSTOS DIRETOS x CUSTOS FIXOS'!$B$19:$C$1048576,2,0),"")</f>
        <v/>
      </c>
      <c r="J16" s="31"/>
      <c r="K16" s="72"/>
      <c r="L16" s="22" t="str">
        <f>IF(PRODUTOS!B24="", "", PRODUTOS!B24)</f>
        <v/>
      </c>
      <c r="M16" s="27" t="str">
        <f>IFERROR(VLOOKUP(L16,'CUSTOS DIRETOS x CUSTOS FIXOS'!B16:N23,13,0),"")</f>
        <v/>
      </c>
      <c r="N16" s="23" t="str">
        <f>IFERROR(VLOOKUP(L16,'CUSTOS DIRETOS x CUSTOS FIXOS'!B16:M23,12,0),"")</f>
        <v/>
      </c>
      <c r="O16" s="41"/>
      <c r="P16" s="72"/>
    </row>
    <row r="17" spans="2:15" ht="14.4" customHeight="1" x14ac:dyDescent="0.3">
      <c r="B17" s="53"/>
      <c r="C17" s="51"/>
      <c r="D17" s="56"/>
      <c r="G17" s="24" t="str">
        <f>IF('CUSTOS DIRETOS x CUSTOS FIXOS'!B30="", "", 'CUSTOS DIRETOS x CUSTOS FIXOS'!B30)</f>
        <v/>
      </c>
      <c r="H17" s="26"/>
      <c r="I17" s="25" t="str">
        <f>IFERROR(VLOOKUP(G17,'CUSTOS DIRETOS x CUSTOS FIXOS'!$B$19:$C$1048576,2,0),"")</f>
        <v/>
      </c>
      <c r="J17" s="31"/>
      <c r="L17" s="22" t="str">
        <f>IF(PRODUTOS!B22="", "", PRODUTOS!B22)</f>
        <v/>
      </c>
      <c r="M17" s="27" t="str">
        <f>IFERROR(VLOOKUP(L17,'CUSTOS DIRETOS x CUSTOS FIXOS'!B17:N24,13,0),"")</f>
        <v/>
      </c>
      <c r="N17" s="23" t="str">
        <f>IFERROR(VLOOKUP(L17,'CUSTOS DIRETOS x CUSTOS FIXOS'!B17:M24,12,0),"")</f>
        <v/>
      </c>
      <c r="O17" s="41"/>
    </row>
    <row r="18" spans="2:15" ht="14.4" customHeight="1" x14ac:dyDescent="0.3">
      <c r="B18" s="53"/>
      <c r="C18" s="51"/>
      <c r="D18" s="56"/>
      <c r="G18" s="24" t="str">
        <f>IF('CUSTOS DIRETOS x CUSTOS FIXOS'!B31="", "", 'CUSTOS DIRETOS x CUSTOS FIXOS'!B31)</f>
        <v/>
      </c>
      <c r="H18" s="26"/>
      <c r="I18" s="25" t="str">
        <f>IFERROR(VLOOKUP(G18,'CUSTOS DIRETOS x CUSTOS FIXOS'!$B$19:$C$1048576,2,0),"")</f>
        <v/>
      </c>
      <c r="J18" s="31"/>
      <c r="L18" s="22" t="str">
        <f>IF(PRODUTOS!B20="", "", PRODUTOS!B20)</f>
        <v/>
      </c>
      <c r="M18" s="27" t="str">
        <f>IFERROR(VLOOKUP(L18,'CUSTOS DIRETOS x CUSTOS FIXOS'!B17:N25,13,0),"")</f>
        <v/>
      </c>
      <c r="N18" s="23" t="str">
        <f>IFERROR(VLOOKUP(L18,'CUSTOS DIRETOS x CUSTOS FIXOS'!B17:M25,12,0),"")</f>
        <v/>
      </c>
      <c r="O18" s="41"/>
    </row>
    <row r="19" spans="2:15" ht="14.4" customHeight="1" x14ac:dyDescent="0.3">
      <c r="B19" s="53"/>
      <c r="C19" s="51"/>
      <c r="D19" s="56"/>
      <c r="G19" s="24" t="str">
        <f>IF('CUSTOS DIRETOS x CUSTOS FIXOS'!B32="", "", 'CUSTOS DIRETOS x CUSTOS FIXOS'!B32)</f>
        <v/>
      </c>
      <c r="H19" s="26"/>
      <c r="I19" s="25" t="str">
        <f>IFERROR(VLOOKUP(G19,'CUSTOS DIRETOS x CUSTOS FIXOS'!$B$19:$C$1048576,2,0),"")</f>
        <v/>
      </c>
      <c r="J19" s="31"/>
      <c r="L19" s="22" t="str">
        <f>IF(PRODUTOS!B16="", "", PRODUTOS!B16)</f>
        <v/>
      </c>
      <c r="M19" s="27" t="str">
        <f>IFERROR(VLOOKUP(L19,'CUSTOS DIRETOS x CUSTOS FIXOS'!B17:N26,13,0),"")</f>
        <v/>
      </c>
      <c r="N19" s="23" t="str">
        <f>IFERROR(VLOOKUP(L19,'CUSTOS DIRETOS x CUSTOS FIXOS'!B17:M26,12,0),"")</f>
        <v/>
      </c>
      <c r="O19" s="41"/>
    </row>
    <row r="20" spans="2:15" ht="14.4" customHeight="1" x14ac:dyDescent="0.3">
      <c r="B20" s="53"/>
      <c r="C20" s="51"/>
      <c r="D20" s="56"/>
      <c r="G20" s="24" t="str">
        <f>IF('CUSTOS DIRETOS x CUSTOS FIXOS'!B33="", "", 'CUSTOS DIRETOS x CUSTOS FIXOS'!B33)</f>
        <v/>
      </c>
      <c r="H20" s="26"/>
      <c r="I20" s="25" t="str">
        <f>IFERROR(VLOOKUP(G20,'CUSTOS DIRETOS x CUSTOS FIXOS'!$B$19:$C$1048576,2,0),"")</f>
        <v/>
      </c>
      <c r="J20" s="31"/>
      <c r="L20" s="22" t="str">
        <f>IF(PRODUTOS!B17="", "", PRODUTOS!B17)</f>
        <v/>
      </c>
      <c r="M20" s="27" t="str">
        <f>IFERROR(VLOOKUP(L20,'CUSTOS DIRETOS x CUSTOS FIXOS'!B18:N27,13,0),"")</f>
        <v/>
      </c>
      <c r="N20" s="23" t="str">
        <f>IFERROR(VLOOKUP(L20,'CUSTOS DIRETOS x CUSTOS FIXOS'!B18:M27,12,0),"")</f>
        <v/>
      </c>
      <c r="O20" s="41"/>
    </row>
    <row r="21" spans="2:15" ht="13.8" customHeight="1" x14ac:dyDescent="0.3">
      <c r="B21" s="53"/>
      <c r="C21" s="51"/>
      <c r="D21" s="56"/>
      <c r="G21" s="24" t="str">
        <f>IF('CUSTOS DIRETOS x CUSTOS FIXOS'!B34="", "", 'CUSTOS DIRETOS x CUSTOS FIXOS'!B34)</f>
        <v/>
      </c>
      <c r="H21" s="26"/>
      <c r="I21" s="25" t="str">
        <f>IFERROR(VLOOKUP(G21,'CUSTOS DIRETOS x CUSTOS FIXOS'!$B$19:$C$1048576,2,0),"")</f>
        <v/>
      </c>
      <c r="J21" s="31"/>
      <c r="L21" s="22" t="str">
        <f>IF(PRODUTOS!B18="", "", PRODUTOS!B18)</f>
        <v/>
      </c>
      <c r="M21" s="27" t="str">
        <f>IFERROR(VLOOKUP(L21,'CUSTOS DIRETOS x CUSTOS FIXOS'!B19:N28,13,0),"")</f>
        <v/>
      </c>
      <c r="N21" s="23" t="str">
        <f>IFERROR(VLOOKUP(L21,'CUSTOS DIRETOS x CUSTOS FIXOS'!B19:M28,12,0),"")</f>
        <v/>
      </c>
      <c r="O21" s="41"/>
    </row>
    <row r="22" spans="2:15" x14ac:dyDescent="0.3">
      <c r="B22" s="53"/>
      <c r="C22" s="51"/>
      <c r="D22" s="56"/>
      <c r="G22" s="24" t="str">
        <f>IF('CUSTOS DIRETOS x CUSTOS FIXOS'!B35="", "", 'CUSTOS DIRETOS x CUSTOS FIXOS'!B35)</f>
        <v/>
      </c>
      <c r="H22" s="26"/>
      <c r="I22" s="25" t="str">
        <f>IFERROR(VLOOKUP(G22,'CUSTOS DIRETOS x CUSTOS FIXOS'!$B$19:$C$1048576,2,0),"")</f>
        <v/>
      </c>
      <c r="J22" s="31"/>
      <c r="L22" s="22" t="str">
        <f>IF(PRODUTOS!B25="", "", PRODUTOS!B25)</f>
        <v/>
      </c>
      <c r="M22" s="27" t="str">
        <f>IFERROR(VLOOKUP(L22,'CUSTOS DIRETOS x CUSTOS FIXOS'!B20:N29,13,0),"")</f>
        <v/>
      </c>
      <c r="N22" s="23" t="str">
        <f>IFERROR(VLOOKUP(L22,'CUSTOS DIRETOS x CUSTOS FIXOS'!B20:M29,12,0),"")</f>
        <v/>
      </c>
      <c r="O22" s="41"/>
    </row>
    <row r="23" spans="2:15" x14ac:dyDescent="0.3">
      <c r="B23" s="53"/>
      <c r="C23" s="51"/>
      <c r="D23" s="56"/>
      <c r="G23" s="24" t="str">
        <f>IF('CUSTOS DIRETOS x CUSTOS FIXOS'!B36="", "", 'CUSTOS DIRETOS x CUSTOS FIXOS'!B36)</f>
        <v/>
      </c>
      <c r="H23" s="26"/>
      <c r="I23" s="25" t="str">
        <f>IFERROR(VLOOKUP(G23,'CUSTOS DIRETOS x CUSTOS FIXOS'!$B$19:$C$1048576,2,0),"")</f>
        <v/>
      </c>
      <c r="J23" s="31"/>
      <c r="L23" s="22" t="str">
        <f>IF(PRODUTOS!B23="", "", PRODUTOS!B23)</f>
        <v/>
      </c>
      <c r="M23" s="27" t="str">
        <f>IFERROR(VLOOKUP(L23,'CUSTOS DIRETOS x CUSTOS FIXOS'!B21:N30,13,0),"")</f>
        <v/>
      </c>
      <c r="N23" s="23" t="str">
        <f>IFERROR(VLOOKUP(L23,'CUSTOS DIRETOS x CUSTOS FIXOS'!B21:M30,12,0),"")</f>
        <v/>
      </c>
      <c r="O23" s="41"/>
    </row>
    <row r="24" spans="2:15" x14ac:dyDescent="0.3">
      <c r="B24" s="53"/>
      <c r="C24" s="51"/>
      <c r="D24" s="56"/>
      <c r="G24" s="24" t="str">
        <f>IF('CUSTOS DIRETOS x CUSTOS FIXOS'!B37="", "", 'CUSTOS DIRETOS x CUSTOS FIXOS'!B37)</f>
        <v/>
      </c>
      <c r="H24" s="26"/>
      <c r="I24" s="25" t="str">
        <f>IFERROR(VLOOKUP(G24,'CUSTOS DIRETOS x CUSTOS FIXOS'!$B$19:$C$1048576,2,0),"")</f>
        <v/>
      </c>
      <c r="J24" s="31"/>
      <c r="L24" s="22" t="str">
        <f>IF(PRODUTOS!B19="", "", PRODUTOS!B19)</f>
        <v/>
      </c>
      <c r="M24" s="27" t="str">
        <f>IFERROR(VLOOKUP(L24,'CUSTOS DIRETOS x CUSTOS FIXOS'!B22:N31,13,0),"")</f>
        <v/>
      </c>
      <c r="N24" s="23" t="str">
        <f>IFERROR(VLOOKUP(L24,'CUSTOS DIRETOS x CUSTOS FIXOS'!B22:M31,12,0),"")</f>
        <v/>
      </c>
      <c r="O24" s="41"/>
    </row>
    <row r="25" spans="2:15" x14ac:dyDescent="0.3">
      <c r="B25" s="47"/>
      <c r="C25" s="48" t="s">
        <v>24</v>
      </c>
      <c r="D25" s="49">
        <f>SUM(D6:D24)</f>
        <v>1007955</v>
      </c>
      <c r="E25" s="74"/>
      <c r="G25" s="13"/>
      <c r="H25" s="14" t="s">
        <v>24</v>
      </c>
      <c r="I25" s="15">
        <f>SUM(I6:I24)</f>
        <v>38850</v>
      </c>
      <c r="J25" s="32"/>
      <c r="L25" s="22" t="str">
        <f>IF(PRODUTOS!B21="", "", PRODUTOS!B21)</f>
        <v/>
      </c>
      <c r="M25" s="27" t="str">
        <f>IFERROR(VLOOKUP(L25,'CUSTOS DIRETOS x CUSTOS FIXOS'!B23:N32,13,0),"")</f>
        <v/>
      </c>
      <c r="N25" s="23" t="str">
        <f>IFERROR(VLOOKUP(L25,'CUSTOS DIRETOS x CUSTOS FIXOS'!B23:M32,12,0),"")</f>
        <v/>
      </c>
      <c r="O25" s="41"/>
    </row>
    <row r="26" spans="2:15" x14ac:dyDescent="0.3"/>
    <row r="27" spans="2:15" x14ac:dyDescent="0.3"/>
  </sheetData>
  <autoFilter ref="L5:N5" xr:uid="{EC208805-AF94-4E97-A1C4-91FBD881AE6C}">
    <sortState xmlns:xlrd2="http://schemas.microsoft.com/office/spreadsheetml/2017/richdata2" ref="L6:N25">
      <sortCondition descending="1" ref="L5"/>
    </sortState>
  </autoFilter>
  <mergeCells count="3">
    <mergeCell ref="B5:D5"/>
    <mergeCell ref="G5:I5"/>
    <mergeCell ref="U5:V5"/>
  </mergeCells>
  <conditionalFormatting sqref="M1:M4 M26:M1048576">
    <cfRule type="duplicateValues" dxfId="3" priority="3"/>
  </conditionalFormatting>
  <conditionalFormatting sqref="R1:R1048576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F4D4-4181-469E-8A59-05849EF00D34}">
  <dimension ref="A1:J15"/>
  <sheetViews>
    <sheetView showGridLines="0" showRowColHeaders="0" topLeftCell="A4" zoomScale="83" zoomScaleNormal="83" workbookViewId="0">
      <selection activeCell="I12" sqref="I12"/>
    </sheetView>
  </sheetViews>
  <sheetFormatPr defaultColWidth="0" defaultRowHeight="14.4" zeroHeight="1" x14ac:dyDescent="0.3"/>
  <cols>
    <col min="1" max="1" width="8.88671875" customWidth="1"/>
    <col min="2" max="2" width="37.21875" style="63" bestFit="1" customWidth="1"/>
    <col min="3" max="3" width="15.5546875" style="63" bestFit="1" customWidth="1"/>
    <col min="4" max="4" width="2.21875" customWidth="1"/>
    <col min="5" max="5" width="52.77734375" bestFit="1" customWidth="1"/>
    <col min="6" max="6" width="39.44140625" customWidth="1"/>
    <col min="7" max="7" width="2.21875" customWidth="1"/>
    <col min="8" max="8" width="56.33203125" bestFit="1" customWidth="1"/>
    <col min="9" max="9" width="27.5546875" bestFit="1" customWidth="1"/>
    <col min="10" max="10" width="8.88671875" customWidth="1"/>
    <col min="11" max="16384" width="8.88671875" hidden="1"/>
  </cols>
  <sheetData>
    <row r="1" spans="1:9" ht="15" hidden="1" customHeight="1" thickTop="1" thickBot="1" x14ac:dyDescent="0.35">
      <c r="A1" s="77"/>
      <c r="B1" s="77"/>
      <c r="C1" s="77"/>
      <c r="D1" s="77"/>
      <c r="E1" s="77"/>
      <c r="F1" s="77"/>
      <c r="G1" s="77"/>
    </row>
    <row r="2" spans="1:9" ht="15" hidden="1" customHeight="1" thickTop="1" thickBot="1" x14ac:dyDescent="0.35">
      <c r="A2" s="77"/>
      <c r="B2" s="77"/>
      <c r="C2" s="77"/>
      <c r="D2" s="77"/>
      <c r="E2" s="77"/>
      <c r="F2" s="77"/>
      <c r="G2" s="77"/>
    </row>
    <row r="3" spans="1:9" s="78" customFormat="1" ht="15" hidden="1" customHeight="1" thickTop="1" x14ac:dyDescent="0.3"/>
    <row r="4" spans="1:9" ht="15" customHeight="1" thickBot="1" x14ac:dyDescent="0.35">
      <c r="A4" s="78"/>
      <c r="B4" s="78"/>
      <c r="C4" s="78"/>
      <c r="E4" s="79"/>
      <c r="F4" s="79"/>
      <c r="G4" s="79"/>
      <c r="H4" s="79"/>
    </row>
    <row r="5" spans="1:9" ht="30" customHeight="1" thickTop="1" thickBot="1" x14ac:dyDescent="0.35">
      <c r="B5" s="105" t="s">
        <v>28</v>
      </c>
      <c r="C5" s="106"/>
      <c r="D5" s="39"/>
      <c r="E5" s="107" t="s">
        <v>29</v>
      </c>
      <c r="F5" s="108"/>
      <c r="G5" s="80"/>
      <c r="H5" s="102" t="s">
        <v>70</v>
      </c>
      <c r="I5" s="103"/>
    </row>
    <row r="6" spans="1:9" ht="30" customHeight="1" thickTop="1" thickBot="1" x14ac:dyDescent="0.35">
      <c r="B6" s="20" t="s">
        <v>13</v>
      </c>
      <c r="C6" s="21" t="s">
        <v>14</v>
      </c>
      <c r="E6" s="104" t="s">
        <v>72</v>
      </c>
      <c r="F6" s="104"/>
      <c r="G6" s="79"/>
      <c r="H6" s="20" t="s">
        <v>73</v>
      </c>
      <c r="I6" s="83" t="s">
        <v>51</v>
      </c>
    </row>
    <row r="7" spans="1:9" ht="30" customHeight="1" thickTop="1" thickBot="1" x14ac:dyDescent="0.35">
      <c r="B7" s="7" t="s">
        <v>15</v>
      </c>
      <c r="C7" s="8">
        <f>IF(ISERROR(AVERAGEIF(PRODUTOS!$C$6:$C$1048576,"&gt;0")),"",AVERAGEIF(PRODUTOS!$C$6:$C$1048576,"&gt;0"))</f>
        <v>1580</v>
      </c>
      <c r="E7" s="7" t="s">
        <v>30</v>
      </c>
      <c r="F7" s="8">
        <f>SUM('CUSTOS DIRETOS x CUSTOS FIXOS'!C19:C28)</f>
        <v>38850</v>
      </c>
      <c r="G7" s="79"/>
      <c r="H7" s="7" t="str">
        <f>"Receita do(a) "&amp;I6&amp;"
no Ponto de Equilíbrio"</f>
        <v>Receita do(a) Jogo de Cama de Seda (Queen)
no Ponto de Equilíbrio</v>
      </c>
      <c r="I7" s="29">
        <f>VLOOKUP(I6,'CUSTOS DIRETOS x CUSTOS FIXOS'!$B$6:$M$15,12,0)</f>
        <v>14520.333102577164</v>
      </c>
    </row>
    <row r="8" spans="1:9" ht="30" customHeight="1" thickTop="1" thickBot="1" x14ac:dyDescent="0.35">
      <c r="B8" s="7" t="s">
        <v>16</v>
      </c>
      <c r="C8" s="8">
        <f>IF(ISERROR(
AVERAGEIF('CUSTOS DIRETOS x CUSTOS FIXOS'!$K$6:$K$15,"&gt;0")),"",AVERAGEIF('CUSTOS DIRETOS x CUSTOS FIXOS'!$K$6:$K$15,"&gt;0"))</f>
        <v>374.12222222222221</v>
      </c>
      <c r="E8" s="7" t="s">
        <v>31</v>
      </c>
      <c r="F8" s="8">
        <f>IF(ISERROR(F7/('PONTO DE EQUILÍBRIO'!C8/'PONTO DE EQUILÍBRIO'!C7)),"",'PONTO DE EQUILÍBRIO'!F7/('PONTO DE EQUILÍBRIO'!C8/'PONTO DE EQUILÍBRIO'!C7))</f>
        <v>164072.05013216121</v>
      </c>
      <c r="G8" s="79"/>
      <c r="H8" s="7" t="s">
        <v>20</v>
      </c>
      <c r="I8" s="16">
        <f>VLOOKUP(I6,'CUSTOS DIRETOS x CUSTOS FIXOS'!B6:N1048576,13,0)</f>
        <v>18.150416378221454</v>
      </c>
    </row>
    <row r="9" spans="1:9" ht="30" customHeight="1" thickTop="1" thickBot="1" x14ac:dyDescent="0.35">
      <c r="B9" s="7" t="s">
        <v>17</v>
      </c>
      <c r="C9" s="8">
        <f>SUM('CUSTOS DIRETOS x CUSTOS FIXOS'!$G$6:$G$15)</f>
        <v>12811.4</v>
      </c>
      <c r="E9" s="7" t="s">
        <v>32</v>
      </c>
      <c r="F9" s="16">
        <f>IF(ISERROR(F8/'PONTO DE EQUILÍBRIO'!C7),"",'PONTO DE EQUILÍBRIO'!F8/'PONTO DE EQUILÍBRIO'!C7)</f>
        <v>103.8430697038995</v>
      </c>
      <c r="G9" s="79"/>
      <c r="H9" s="7" t="s">
        <v>21</v>
      </c>
      <c r="I9" s="8">
        <f>VLOOKUP(I6,'CUSTOS DIRETOS x CUSTOS FIXOS'!B6:G1048576,6,0)*I8</f>
        <v>9744.9585534670987</v>
      </c>
    </row>
    <row r="10" spans="1:9" ht="30" customHeight="1" thickTop="1" thickBot="1" x14ac:dyDescent="0.35">
      <c r="B10" s="7"/>
      <c r="C10" s="8"/>
      <c r="E10" s="7"/>
      <c r="F10" s="16"/>
      <c r="G10" s="79"/>
      <c r="H10" s="7" t="s">
        <v>22</v>
      </c>
      <c r="I10" s="12">
        <f>VLOOKUP(I6,'CUSTOS DIRETOS x CUSTOS FIXOS'!B6:K15,10,0)</f>
        <v>263.10000000000002</v>
      </c>
    </row>
    <row r="11" spans="1:9" ht="30.6" customHeight="1" thickTop="1" thickBot="1" x14ac:dyDescent="0.35">
      <c r="B11" s="7"/>
      <c r="C11" s="8"/>
      <c r="E11" s="7"/>
      <c r="F11" s="16"/>
      <c r="H11" s="7" t="s">
        <v>23</v>
      </c>
      <c r="I11" s="8">
        <f>IF(ISERROR(I10*VLOOKUP(I6,PRODUTOS!B6:F15,5,0)),"",I10*VLOOKUP(I6,PRODUTOS!B6:F15,5,0))</f>
        <v>45.98645400917632</v>
      </c>
    </row>
    <row r="12" spans="1:9" ht="15.6" thickTop="1" thickBot="1" x14ac:dyDescent="0.35">
      <c r="B12"/>
      <c r="C12" s="81"/>
      <c r="D12" s="81"/>
      <c r="E12" s="81"/>
      <c r="F12" s="82"/>
    </row>
    <row r="13" spans="1:9" ht="15" thickTop="1" x14ac:dyDescent="0.3"/>
    <row r="14" spans="1:9" x14ac:dyDescent="0.3"/>
    <row r="15" spans="1:9" x14ac:dyDescent="0.3"/>
  </sheetData>
  <mergeCells count="4">
    <mergeCell ref="H5:I5"/>
    <mergeCell ref="E6:F6"/>
    <mergeCell ref="B5:C5"/>
    <mergeCell ref="E5:F5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5A2D39-4FE0-487B-BF2B-DDA3542F7311}">
          <x14:formula1>
            <xm:f>PRODUTOS!$B$6:$B$15</xm:f>
          </x14:formula1>
          <xm:sqref>I6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F68B-CB66-4A83-8393-DCB78FB8FD60}">
  <sheetPr>
    <pageSetUpPr autoPageBreaks="0"/>
  </sheetPr>
  <dimension ref="A1:AO63"/>
  <sheetViews>
    <sheetView showGridLines="0" showRowColHeaders="0" tabSelected="1" topLeftCell="A4" zoomScale="85" zoomScaleNormal="85" workbookViewId="0">
      <selection activeCell="A35" sqref="A35:XFD35"/>
    </sheetView>
  </sheetViews>
  <sheetFormatPr defaultColWidth="0" defaultRowHeight="14.4" zeroHeight="1" x14ac:dyDescent="0.3"/>
  <cols>
    <col min="1" max="1" width="2.21875" customWidth="1"/>
    <col min="2" max="2" width="2.21875" hidden="1" customWidth="1"/>
    <col min="3" max="13" width="8.88671875" customWidth="1"/>
    <col min="14" max="14" width="2.21875" customWidth="1"/>
    <col min="15" max="22" width="8.88671875" customWidth="1"/>
    <col min="23" max="23" width="2.21875" customWidth="1"/>
    <col min="24" max="32" width="8.88671875" customWidth="1"/>
    <col min="33" max="34" width="8.88671875" hidden="1"/>
    <col min="35" max="35" width="8.88671875" style="84" hidden="1"/>
    <col min="36" max="36" width="15" style="84" hidden="1"/>
    <col min="37" max="37" width="33.88671875" style="84" hidden="1"/>
    <col min="38" max="38" width="15" style="84" hidden="1"/>
    <col min="39" max="39" width="17.6640625" style="84" hidden="1"/>
    <col min="40" max="40" width="26.44140625" style="84" hidden="1"/>
    <col min="41" max="41" width="8.88671875" style="84" hidden="1"/>
    <col min="42" max="16384" width="8.88671875" hidden="1"/>
  </cols>
  <sheetData>
    <row r="1" spans="1:41" hidden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41" hidden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4" spans="1:41" x14ac:dyDescent="0.3">
      <c r="M4" s="98"/>
      <c r="AI4" s="84" t="s">
        <v>64</v>
      </c>
    </row>
    <row r="5" spans="1:41" x14ac:dyDescent="0.3">
      <c r="AI5" s="90" t="s">
        <v>55</v>
      </c>
      <c r="AJ5" s="90" t="s">
        <v>18</v>
      </c>
      <c r="AK5" s="90" t="s">
        <v>0</v>
      </c>
      <c r="AL5" s="90" t="s">
        <v>18</v>
      </c>
    </row>
    <row r="6" spans="1:41" x14ac:dyDescent="0.3">
      <c r="AI6" s="87">
        <v>1</v>
      </c>
      <c r="AJ6" s="92">
        <f>LARGE(RELATÓRIO!$N$6:$N$15,GRÁFICOS!AI6)</f>
        <v>44468.520126642565</v>
      </c>
      <c r="AK6" s="87" t="str">
        <f>INDEX(RELATÓRIO!$L$6:$L$25, MATCH(LARGE(RELATÓRIO!$N$6:$N$25, ROW(1:1)), RELATÓRIO!$N$6:$N$25, 0))</f>
        <v>Sofá de Couro Italiano</v>
      </c>
      <c r="AL6" s="92">
        <f>AJ6</f>
        <v>44468.520126642565</v>
      </c>
    </row>
    <row r="7" spans="1:41" x14ac:dyDescent="0.3">
      <c r="AI7" s="87">
        <v>2</v>
      </c>
      <c r="AJ7" s="92">
        <f>LARGE(RELATÓRIO!$N$6:$N$15,GRÁFICOS!AI7)</f>
        <v>40838.436850998281</v>
      </c>
      <c r="AK7" s="87" t="str">
        <f>INDEX(RELATÓRIO!$L$6:$L$25, MATCH(LARGE(RELATÓRIO!$N$6:$N$25, ROW(2:2)), RELATÓRIO!$N$6:$N$25, 0))</f>
        <v>TV LED 100</v>
      </c>
      <c r="AL7" s="92">
        <f t="shared" ref="AL7:AL10" si="0">AJ7</f>
        <v>40838.436850998281</v>
      </c>
    </row>
    <row r="8" spans="1:41" x14ac:dyDescent="0.3">
      <c r="AI8" s="87">
        <v>3</v>
      </c>
      <c r="AJ8" s="92">
        <f>LARGE(RELATÓRIO!$N$6:$N$15,GRÁFICOS!AI8)</f>
        <v>28360.025590971025</v>
      </c>
      <c r="AK8" s="87" t="str">
        <f>INDEX(RELATÓRIO!$L$6:$L$25, MATCH(LARGE(RELATÓRIO!$N$6:$N$25, ROW(3:3)), RELATÓRIO!$N$6:$N$25, 0))</f>
        <v>Cama King Size de Madeira</v>
      </c>
      <c r="AL8" s="92">
        <f t="shared" si="0"/>
        <v>28360.025590971025</v>
      </c>
    </row>
    <row r="9" spans="1:41" x14ac:dyDescent="0.3">
      <c r="AI9" s="87">
        <v>4</v>
      </c>
      <c r="AJ9" s="92">
        <f>LARGE(RELATÓRIO!$N$6:$N$15,GRÁFICOS!AI9)</f>
        <v>18150.416378221453</v>
      </c>
      <c r="AK9" s="87" t="str">
        <f>INDEX(RELATÓRIO!$L$6:$L$25, MATCH(LARGE(RELATÓRIO!$N$6:$N$25, ROW(4:4)), RELATÓRIO!$N$6:$N$25, 0))</f>
        <v>Tapete Persa (3x4m)</v>
      </c>
      <c r="AL9" s="92">
        <f t="shared" si="0"/>
        <v>18150.416378221453</v>
      </c>
    </row>
    <row r="10" spans="1:41" x14ac:dyDescent="0.3">
      <c r="AI10" s="87">
        <v>5</v>
      </c>
      <c r="AJ10" s="92">
        <f>LARGE(RELATÓRIO!$N$6:$N$15,GRÁFICOS!AI10)</f>
        <v>14701.837266359378</v>
      </c>
      <c r="AK10" s="87" t="str">
        <f>INDEX(RELATÓRIO!$L$6:$L$25, MATCH(LARGE(RELATÓRIO!$N$6:$N$25, ROW(5:5)), RELATÓRIO!$N$6:$N$25, 0))</f>
        <v>Frigobar de Inox</v>
      </c>
      <c r="AL10" s="92">
        <f t="shared" si="0"/>
        <v>14701.837266359378</v>
      </c>
    </row>
    <row r="11" spans="1:41" x14ac:dyDescent="0.3"/>
    <row r="12" spans="1:41" x14ac:dyDescent="0.3">
      <c r="AI12" s="84" t="s">
        <v>56</v>
      </c>
    </row>
    <row r="13" spans="1:41" x14ac:dyDescent="0.3">
      <c r="AI13" s="91" t="s">
        <v>55</v>
      </c>
      <c r="AJ13" s="91" t="s">
        <v>56</v>
      </c>
      <c r="AK13" s="91" t="s">
        <v>0</v>
      </c>
      <c r="AL13" s="91" t="s">
        <v>58</v>
      </c>
      <c r="AM13" s="91" t="s">
        <v>61</v>
      </c>
      <c r="AN13" s="87"/>
      <c r="AO13" s="87"/>
    </row>
    <row r="14" spans="1:41" x14ac:dyDescent="0.3">
      <c r="AI14" s="87">
        <v>1</v>
      </c>
      <c r="AJ14" s="93">
        <f>LARGE(RELATÓRIO!$R$6:$R$15,ROW(A1))</f>
        <v>18.150416378221454</v>
      </c>
      <c r="AK14" s="87" t="str">
        <f>INDEX(RELATÓRIO!$Q$6:$Q$15, MATCH(LARGE(RELATÓRIO!$R$6:$R$15, ROW(1:1)), RELATÓRIO!$R$6:$R$15, 0))</f>
        <v>Jogo de Cama de Seda (Queen)</v>
      </c>
      <c r="AL14" s="93">
        <f>COUNTIF(AJ14:$AJ$14,AJ14)</f>
        <v>1</v>
      </c>
      <c r="AM14" s="94" t="str">
        <f t="shared" ref="AM14:AM23" si="1">AJ14&amp;AL14</f>
        <v>18,15041637822151</v>
      </c>
      <c r="AN14" s="87" t="str">
        <f>INDEX(RELATÓRIO!$Q$6:$Q$15, MATCH(GRÁFICOS!AM14, RELATÓRIO!$U$6:$U$15, 0))</f>
        <v>Jogo de Cama de Seda (Queen)</v>
      </c>
      <c r="AO14" s="93">
        <f>AJ14</f>
        <v>18.150416378221454</v>
      </c>
    </row>
    <row r="15" spans="1:41" x14ac:dyDescent="0.3">
      <c r="AI15" s="87">
        <v>2</v>
      </c>
      <c r="AJ15" s="93">
        <f>LARGE(RELATÓRIO!$R$6:$R$15,ROW(A2))</f>
        <v>16.33537474039931</v>
      </c>
      <c r="AK15" s="87" t="str">
        <f>INDEX(RELATÓRIO!$Q$6:$Q$15, MATCH(LARGE(RELATÓRIO!$R$6:$R$15, ROW(2:2)), RELATÓRIO!$R$6:$R$15, 0))</f>
        <v>Frigobar de Inox</v>
      </c>
      <c r="AL15" s="93">
        <f>COUNTIF(AJ$14:$AJ15,AJ15)</f>
        <v>1</v>
      </c>
      <c r="AM15" s="94" t="str">
        <f t="shared" si="1"/>
        <v>16,33537474039931</v>
      </c>
      <c r="AN15" s="87" t="str">
        <f>INDEX(RELATÓRIO!$Q$6:$Q$15, MATCH(GRÁFICOS!AM15, RELATÓRIO!$U$6:$U$15, 0))</f>
        <v>Frigobar de Inox</v>
      </c>
      <c r="AO15" s="93">
        <f t="shared" ref="AO15:AO23" si="2">AJ15</f>
        <v>16.33537474039931</v>
      </c>
    </row>
    <row r="16" spans="1:41" x14ac:dyDescent="0.3">
      <c r="AI16" s="87">
        <v>3</v>
      </c>
      <c r="AJ16" s="93">
        <f>LARGE(RELATÓRIO!$R$6:$R$15,ROW(A3))</f>
        <v>13.612812283666093</v>
      </c>
      <c r="AK16" s="87" t="str">
        <f>INDEX(RELATÓRIO!$Q$6:$Q$15, MATCH(LARGE(RELATÓRIO!$R$6:$R$15, ROW(3:3)), RELATÓRIO!$R$6:$R$15, 0))</f>
        <v>Ventilador de Design Moderno</v>
      </c>
      <c r="AL16" s="93">
        <f>COUNTIF(AJ$14:$AJ16,AJ16)</f>
        <v>1</v>
      </c>
      <c r="AM16" s="94" t="str">
        <f t="shared" si="1"/>
        <v>13,61281228366611</v>
      </c>
      <c r="AN16" s="87" t="str">
        <f>INDEX(RELATÓRIO!$Q$6:$Q$15, MATCH(GRÁFICOS!AM16, RELATÓRIO!$U$6:$U$15, 0))</f>
        <v>Ventilador de Design Moderno</v>
      </c>
      <c r="AO16" s="93">
        <f t="shared" si="2"/>
        <v>13.612812283666093</v>
      </c>
    </row>
    <row r="17" spans="35:41" x14ac:dyDescent="0.3">
      <c r="AI17" s="87">
        <v>4</v>
      </c>
      <c r="AJ17" s="93">
        <f>LARGE(RELATÓRIO!$R$6:$R$15,ROW(A4))</f>
        <v>13.612812283666093</v>
      </c>
      <c r="AK17" s="87" t="str">
        <f>INDEX(RELATÓRIO!$Q$6:$Q$15, MATCH(LARGE(RELATÓRIO!$R$6:$R$15, ROW(4:4)), RELATÓRIO!$R$6:$R$15, 0))</f>
        <v>Ventilador de Design Moderno</v>
      </c>
      <c r="AL17" s="93">
        <f>COUNTIF(AJ$14:$AJ17,AJ17)</f>
        <v>2</v>
      </c>
      <c r="AM17" s="94" t="str">
        <f t="shared" si="1"/>
        <v>13,61281228366612</v>
      </c>
      <c r="AN17" s="87" t="str">
        <f>INDEX(RELATÓRIO!$Q$6:$Q$15, MATCH(GRÁFICOS!AM17, RELATÓRIO!$U$6:$U$15, 0))</f>
        <v>TV LED 100</v>
      </c>
      <c r="AO17" s="93">
        <f t="shared" si="2"/>
        <v>13.612812283666093</v>
      </c>
    </row>
    <row r="18" spans="35:41" x14ac:dyDescent="0.3">
      <c r="AI18" s="87">
        <v>5</v>
      </c>
      <c r="AJ18" s="93">
        <f>LARGE(RELATÓRIO!$R$6:$R$15,ROW(A5))</f>
        <v>12.705291464755019</v>
      </c>
      <c r="AK18" s="87" t="str">
        <f>INDEX(RELATÓRIO!$Q$6:$Q$15, MATCH(LARGE(RELATÓRIO!$R$6:$R$15, ROW(5:5)), RELATÓRIO!$R$6:$R$15, 0))</f>
        <v>Sofá de Couro Italiano</v>
      </c>
      <c r="AL18" s="93">
        <f>COUNTIF(AJ$14:$AJ18,AJ18)</f>
        <v>1</v>
      </c>
      <c r="AM18" s="94" t="str">
        <f t="shared" si="1"/>
        <v>12,7052914647551</v>
      </c>
      <c r="AN18" s="87" t="str">
        <f>INDEX(RELATÓRIO!$Q$6:$Q$15, MATCH(GRÁFICOS!AM18, RELATÓRIO!$U$6:$U$15, 0))</f>
        <v>Sofá de Couro Italiano</v>
      </c>
      <c r="AO18" s="93">
        <f t="shared" si="2"/>
        <v>12.705291464755019</v>
      </c>
    </row>
    <row r="19" spans="35:41" x14ac:dyDescent="0.3">
      <c r="AI19" s="87">
        <v>6</v>
      </c>
      <c r="AJ19" s="93">
        <f>LARGE(RELATÓRIO!$R$6:$R$15,ROW(A6))</f>
        <v>11.34401023638841</v>
      </c>
      <c r="AK19" s="87" t="str">
        <f>INDEX(RELATÓRIO!$Q$6:$Q$15, MATCH(LARGE(RELATÓRIO!$R$6:$R$15, ROW(6:6)), RELATÓRIO!$R$6:$R$15, 0))</f>
        <v>Cama King Size de Madeira</v>
      </c>
      <c r="AL19" s="93">
        <f>COUNTIF(AJ$14:$AJ19,AJ19)</f>
        <v>1</v>
      </c>
      <c r="AM19" s="94" t="str">
        <f t="shared" si="1"/>
        <v>11,34401023638841</v>
      </c>
      <c r="AN19" s="87" t="str">
        <f>INDEX(RELATÓRIO!$Q$6:$Q$15, MATCH(GRÁFICOS!AM19, RELATÓRIO!$U$6:$U$15, 0))</f>
        <v>Cama King Size de Madeira</v>
      </c>
      <c r="AO19" s="93">
        <f t="shared" si="2"/>
        <v>11.34401023638841</v>
      </c>
    </row>
    <row r="20" spans="35:41" x14ac:dyDescent="0.3">
      <c r="AI20" s="87">
        <v>7</v>
      </c>
      <c r="AJ20" s="93">
        <f>LARGE(RELATÓRIO!$R$6:$R$15,ROW(A7))</f>
        <v>9.075208189110727</v>
      </c>
      <c r="AK20" s="87" t="str">
        <f>INDEX(RELATÓRIO!$Q$6:$Q$15, MATCH(LARGE(RELATÓRIO!$R$6:$R$15, ROW(7:7)), RELATÓRIO!$R$6:$R$15, 0))</f>
        <v>Tapete Persa (3x4m)</v>
      </c>
      <c r="AL20" s="93">
        <f>COUNTIF(AJ$14:$AJ20,AJ20)</f>
        <v>1</v>
      </c>
      <c r="AM20" s="94" t="str">
        <f t="shared" si="1"/>
        <v>9,075208189110731</v>
      </c>
      <c r="AN20" s="87" t="str">
        <f>INDEX(RELATÓRIO!$Q$6:$Q$15, MATCH(GRÁFICOS!AM20, RELATÓRIO!$U$6:$U$15, 0))</f>
        <v>Tapete Persa (3x4m)</v>
      </c>
      <c r="AO20" s="93">
        <f t="shared" si="2"/>
        <v>9.075208189110727</v>
      </c>
    </row>
    <row r="21" spans="35:41" x14ac:dyDescent="0.3">
      <c r="AI21" s="87">
        <v>8</v>
      </c>
      <c r="AJ21" s="93">
        <f>LARGE(RELATÓRIO!$R$6:$R$15,ROW(A8))</f>
        <v>5.4451249134664366</v>
      </c>
      <c r="AK21" s="87" t="str">
        <f>INDEX(RELATÓRIO!$Q$6:$Q$15, MATCH(LARGE(RELATÓRIO!$R$6:$R$15, ROW(8:8)), RELATÓRIO!$R$6:$R$15, 0))</f>
        <v>Máquina de Café Expresso</v>
      </c>
      <c r="AL21" s="93">
        <f>COUNTIF(AJ$14:$AJ21,AJ21)</f>
        <v>1</v>
      </c>
      <c r="AM21" s="94" t="str">
        <f t="shared" si="1"/>
        <v>5,445124913466441</v>
      </c>
      <c r="AN21" s="87" t="str">
        <f>INDEX(RELATÓRIO!$Q$6:$Q$15, MATCH(GRÁFICOS!AM21, RELATÓRIO!$U$6:$U$15, 0))</f>
        <v>Máquina de Café Expresso</v>
      </c>
      <c r="AO21" s="93">
        <f t="shared" si="2"/>
        <v>5.4451249134664366</v>
      </c>
    </row>
    <row r="22" spans="35:41" x14ac:dyDescent="0.3">
      <c r="AI22" s="87">
        <v>9</v>
      </c>
      <c r="AJ22" s="93">
        <f>LARGE(RELATÓRIO!$R$6:$R$15,ROW(A9))</f>
        <v>1.9284817401860297</v>
      </c>
      <c r="AK22" s="87" t="str">
        <f>INDEX(RELATÓRIO!$Q$6:$Q$15, MATCH(LARGE(RELATÓRIO!$R$6:$R$15, ROW(9:9)), RELATÓRIO!$R$6:$R$15, 0))</f>
        <v>Luminária de Cristal (1,5m)</v>
      </c>
      <c r="AL22" s="93">
        <f>COUNTIF(AJ$14:$AJ22,AJ22)</f>
        <v>1</v>
      </c>
      <c r="AM22" s="94" t="str">
        <f t="shared" si="1"/>
        <v>1,928481740186031</v>
      </c>
      <c r="AN22" s="87" t="str">
        <f>INDEX(RELATÓRIO!$Q$6:$Q$15, MATCH(GRÁFICOS!AM22, RELATÓRIO!$U$6:$U$15, 0))</f>
        <v>Luminária de Cristal (1,5m)</v>
      </c>
      <c r="AO22" s="93">
        <f t="shared" si="2"/>
        <v>1.9284817401860297</v>
      </c>
    </row>
    <row r="23" spans="35:41" x14ac:dyDescent="0.3">
      <c r="AI23" s="87">
        <v>10</v>
      </c>
      <c r="AJ23" s="93">
        <f>LARGE(RELATÓRIO!$R$6:$R$15,ROW(A10))</f>
        <v>1.6335374740399311</v>
      </c>
      <c r="AK23" s="87" t="str">
        <f>INDEX(RELATÓRIO!$Q$6:$Q$15, MATCH(LARGE(RELATÓRIO!$R$6:$R$15, ROW(10:10)), RELATÓRIO!$R$6:$R$15, 0))</f>
        <v>Conjunto de Talheres de Prata</v>
      </c>
      <c r="AL23" s="93">
        <f>COUNTIF(AJ$14:$AJ23,AJ23)</f>
        <v>1</v>
      </c>
      <c r="AM23" s="94" t="str">
        <f t="shared" si="1"/>
        <v>1,633537474039931</v>
      </c>
      <c r="AN23" s="87" t="str">
        <f>INDEX(RELATÓRIO!$Q$6:$Q$15, MATCH(GRÁFICOS!AM23, RELATÓRIO!$U$6:$U$15, 0))</f>
        <v>Conjunto de Talheres de Prata</v>
      </c>
      <c r="AO23" s="93">
        <f t="shared" si="2"/>
        <v>1.6335374740399311</v>
      </c>
    </row>
    <row r="24" spans="35:41" x14ac:dyDescent="0.3">
      <c r="AJ24" s="95"/>
      <c r="AL24" s="95"/>
      <c r="AM24" s="96"/>
      <c r="AO24" s="95"/>
    </row>
    <row r="25" spans="35:41" x14ac:dyDescent="0.3">
      <c r="AI25" s="84" t="s">
        <v>57</v>
      </c>
    </row>
    <row r="26" spans="35:41" x14ac:dyDescent="0.3">
      <c r="AI26" s="87" t="s">
        <v>55</v>
      </c>
      <c r="AJ26" s="91" t="s">
        <v>65</v>
      </c>
      <c r="AK26" s="87" t="s">
        <v>0</v>
      </c>
      <c r="AL26" s="87"/>
    </row>
    <row r="27" spans="35:41" x14ac:dyDescent="0.3">
      <c r="AI27" s="87">
        <v>1</v>
      </c>
      <c r="AJ27" s="97">
        <f>LARGE('CUSTOS DIRETOS x CUSTOS FIXOS'!$T$6:$T$15,1)</f>
        <v>0.495</v>
      </c>
      <c r="AK27" s="87" t="str">
        <f>INDEX('CUSTOS DIRETOS x CUSTOS FIXOS'!$S$6:$S$15, MATCH(LARGE('CUSTOS DIRETOS x CUSTOS FIXOS'!$T$6:$T$15, ROW(1:1)),'CUSTOS DIRETOS x CUSTOS FIXOS'!$T$6:$T$15, 0))</f>
        <v>Tapete Persa (3x4m)</v>
      </c>
      <c r="AL27" s="88">
        <f>AJ27</f>
        <v>0.495</v>
      </c>
    </row>
    <row r="28" spans="35:41" x14ac:dyDescent="0.3">
      <c r="AI28" s="87">
        <v>2</v>
      </c>
      <c r="AJ28" s="97">
        <f>LARGE('CUSTOS DIRETOS x CUSTOS FIXOS'!$T$6:$T$15,2)</f>
        <v>0.32887500000000003</v>
      </c>
      <c r="AK28" s="87" t="str">
        <f>INDEX('CUSTOS DIRETOS x CUSTOS FIXOS'!$S$6:$S$15, MATCH(LARGE('CUSTOS DIRETOS x CUSTOS FIXOS'!$T$6:$T$15, ROW(2:2)),'CUSTOS DIRETOS x CUSTOS FIXOS'!$T$6:$T$15, 0))</f>
        <v>Jogo de Cama de Seda (Queen)</v>
      </c>
      <c r="AL28" s="88">
        <f t="shared" ref="AL28:AL36" si="3">AJ28</f>
        <v>0.32887500000000003</v>
      </c>
    </row>
    <row r="29" spans="35:41" x14ac:dyDescent="0.3">
      <c r="AI29" s="87">
        <v>3</v>
      </c>
      <c r="AJ29" s="97">
        <f>LARGE('CUSTOS DIRETOS x CUSTOS FIXOS'!$T$6:$T$15,3)</f>
        <v>0.30777777777777776</v>
      </c>
      <c r="AK29" s="87" t="str">
        <f>INDEX('CUSTOS DIRETOS x CUSTOS FIXOS'!$S$6:$S$15, MATCH(LARGE('CUSTOS DIRETOS x CUSTOS FIXOS'!$T$6:$T$15, ROW(3:3)),'CUSTOS DIRETOS x CUSTOS FIXOS'!$T$6:$T$15, 0))</f>
        <v>Frigobar de Inox</v>
      </c>
      <c r="AL29" s="88">
        <f t="shared" si="3"/>
        <v>0.30777777777777776</v>
      </c>
    </row>
    <row r="30" spans="35:41" x14ac:dyDescent="0.3">
      <c r="AI30" s="87">
        <v>4</v>
      </c>
      <c r="AJ30" s="97">
        <f>LARGE('CUSTOS DIRETOS x CUSTOS FIXOS'!$T$6:$T$15,4)</f>
        <v>0.27</v>
      </c>
      <c r="AK30" s="87" t="str">
        <f>INDEX('CUSTOS DIRETOS x CUSTOS FIXOS'!$S$6:$S$15, MATCH(LARGE('CUSTOS DIRETOS x CUSTOS FIXOS'!$T$6:$T$15, ROW(4:4)),'CUSTOS DIRETOS x CUSTOS FIXOS'!$T$6:$T$15, 0))</f>
        <v>TV LED 100</v>
      </c>
      <c r="AL30" s="88">
        <f t="shared" si="3"/>
        <v>0.27</v>
      </c>
    </row>
    <row r="31" spans="35:41" x14ac:dyDescent="0.3">
      <c r="AI31" s="87">
        <v>5</v>
      </c>
      <c r="AJ31" s="97">
        <f>LARGE('CUSTOS DIRETOS x CUSTOS FIXOS'!$T$6:$T$15,5)</f>
        <v>0.17</v>
      </c>
      <c r="AK31" s="87" t="str">
        <f>INDEX('CUSTOS DIRETOS x CUSTOS FIXOS'!$S$6:$S$15, MATCH(LARGE('CUSTOS DIRETOS x CUSTOS FIXOS'!$T$6:$T$15, ROW(5:5)),'CUSTOS DIRETOS x CUSTOS FIXOS'!$T$6:$T$15, 0))</f>
        <v>Cama King Size de Madeira</v>
      </c>
      <c r="AL31" s="88">
        <f t="shared" si="3"/>
        <v>0.17</v>
      </c>
    </row>
    <row r="32" spans="35:41" x14ac:dyDescent="0.3">
      <c r="AI32" s="87">
        <v>6</v>
      </c>
      <c r="AJ32" s="97">
        <f>LARGE('CUSTOS DIRETOS x CUSTOS FIXOS'!$T$6:$T$15,6)</f>
        <v>0.12714285714285714</v>
      </c>
      <c r="AK32" s="87" t="str">
        <f>INDEX('CUSTOS DIRETOS x CUSTOS FIXOS'!$S$6:$S$15, MATCH(LARGE('CUSTOS DIRETOS x CUSTOS FIXOS'!$T$6:$T$15, ROW(6:6)),'CUSTOS DIRETOS x CUSTOS FIXOS'!$T$6:$T$15, 0))</f>
        <v>Sofá de Couro Italiano</v>
      </c>
      <c r="AL32" s="88">
        <f t="shared" si="3"/>
        <v>0.12714285714285714</v>
      </c>
    </row>
    <row r="33" spans="35:38" x14ac:dyDescent="0.3">
      <c r="AI33" s="87">
        <v>7</v>
      </c>
      <c r="AJ33" s="97">
        <f>LARGE('CUSTOS DIRETOS x CUSTOS FIXOS'!$T$6:$T$15,7)</f>
        <v>0.12294117647058823</v>
      </c>
      <c r="AK33" s="87" t="str">
        <f>INDEX('CUSTOS DIRETOS x CUSTOS FIXOS'!$S$6:$S$15, MATCH(LARGE('CUSTOS DIRETOS x CUSTOS FIXOS'!$T$6:$T$15, ROW(7:7)),'CUSTOS DIRETOS x CUSTOS FIXOS'!$T$6:$T$15, 0))</f>
        <v>Luminária de Cristal (1,5m)</v>
      </c>
      <c r="AL33" s="88">
        <f t="shared" si="3"/>
        <v>0.12294117647058823</v>
      </c>
    </row>
    <row r="34" spans="35:38" x14ac:dyDescent="0.3">
      <c r="AI34" s="87">
        <v>8</v>
      </c>
      <c r="AJ34" s="97">
        <f>LARGE('CUSTOS DIRETOS x CUSTOS FIXOS'!$T$6:$T$15,8)</f>
        <v>6.4166666666666664E-2</v>
      </c>
      <c r="AK34" s="87" t="str">
        <f>INDEX('CUSTOS DIRETOS x CUSTOS FIXOS'!$S$6:$S$15, MATCH(LARGE('CUSTOS DIRETOS x CUSTOS FIXOS'!$T$6:$T$15, ROW(8:8)),'CUSTOS DIRETOS x CUSTOS FIXOS'!$T$6:$T$15, 0))</f>
        <v>Ventilador de Design Moderno</v>
      </c>
      <c r="AL34" s="88">
        <f t="shared" si="3"/>
        <v>6.4166666666666664E-2</v>
      </c>
    </row>
    <row r="35" spans="35:38" hidden="1" x14ac:dyDescent="0.3">
      <c r="AI35" s="87">
        <v>9</v>
      </c>
      <c r="AJ35" s="97">
        <f>LARGE('CUSTOS DIRETOS x CUSTOS FIXOS'!$T$6:$T$15,9)</f>
        <v>1.1666666666666667E-2</v>
      </c>
      <c r="AK35" s="87" t="str">
        <f>INDEX('CUSTOS DIRETOS x CUSTOS FIXOS'!$S$6:$S$15, MATCH(LARGE('CUSTOS DIRETOS x CUSTOS FIXOS'!$T$6:$T$15, ROW(9:9)),'CUSTOS DIRETOS x CUSTOS FIXOS'!$T$6:$T$15, 0))</f>
        <v>Máquina de Café Expresso</v>
      </c>
      <c r="AL35" s="88">
        <f t="shared" si="3"/>
        <v>1.1666666666666667E-2</v>
      </c>
    </row>
    <row r="36" spans="35:38" hidden="1" x14ac:dyDescent="0.3">
      <c r="AI36" s="87">
        <v>10</v>
      </c>
      <c r="AJ36" s="97">
        <f>LARGE('CUSTOS DIRETOS x CUSTOS FIXOS'!$T$6:$T$15,10)</f>
        <v>-0.84111111111111114</v>
      </c>
      <c r="AK36" s="87" t="str">
        <f>INDEX('CUSTOS DIRETOS x CUSTOS FIXOS'!$S$6:$S$15, MATCH(LARGE('CUSTOS DIRETOS x CUSTOS FIXOS'!$T$6:$T$15, ROW(10:10)),'CUSTOS DIRETOS x CUSTOS FIXOS'!$T$6:$T$15, 0))</f>
        <v>Conjunto de Talheres de Prata</v>
      </c>
      <c r="AL36" s="88">
        <f t="shared" si="3"/>
        <v>-0.84111111111111114</v>
      </c>
    </row>
    <row r="39" spans="35:38" hidden="1" x14ac:dyDescent="0.3">
      <c r="AI39" s="84" t="s">
        <v>19</v>
      </c>
    </row>
    <row r="40" spans="35:38" hidden="1" x14ac:dyDescent="0.3">
      <c r="AI40" s="87" t="s">
        <v>55</v>
      </c>
      <c r="AJ40" s="87" t="s">
        <v>18</v>
      </c>
      <c r="AK40" s="87" t="s">
        <v>67</v>
      </c>
      <c r="AL40" s="87"/>
    </row>
    <row r="41" spans="35:38" hidden="1" x14ac:dyDescent="0.3">
      <c r="AI41" s="87">
        <v>1</v>
      </c>
      <c r="AJ41" s="92">
        <f>LARGE('CUSTOS DIRETOS x CUSTOS FIXOS'!$C$19:$C$28,AI41)</f>
        <v>12000</v>
      </c>
      <c r="AK41" s="87" t="str">
        <f>INDEX('CUSTOS DIRETOS x CUSTOS FIXOS'!$B$19:$B$28,MATCH(LARGE('CUSTOS DIRETOS x CUSTOS FIXOS'!$C$19:$C$28,ROW(1:1)),'CUSTOS DIRETOS x CUSTOS FIXOS'!$C$19:$C$28,0))</f>
        <v>Software e Licenças de Sistemas</v>
      </c>
      <c r="AL41" s="92">
        <f>AJ41</f>
        <v>12000</v>
      </c>
    </row>
    <row r="42" spans="35:38" hidden="1" x14ac:dyDescent="0.3">
      <c r="AI42" s="87">
        <v>2</v>
      </c>
      <c r="AJ42" s="92">
        <f>LARGE('CUSTOS DIRETOS x CUSTOS FIXOS'!$C$19:$C$28,AI42)</f>
        <v>10000</v>
      </c>
      <c r="AK42" s="87" t="str">
        <f>INDEX('CUSTOS DIRETOS x CUSTOS FIXOS'!$B$19:$B$28,MATCH(LARGE('CUSTOS DIRETOS x CUSTOS FIXOS'!$C$19:$C$28,ROW(2:2)),'CUSTOS DIRETOS x CUSTOS FIXOS'!$C$19:$C$28,0))</f>
        <v>Marketing e Publicidade de Longo Prazo</v>
      </c>
      <c r="AL42" s="92">
        <f t="shared" ref="AL42:AL50" si="4">AJ42</f>
        <v>10000</v>
      </c>
    </row>
    <row r="43" spans="35:38" hidden="1" x14ac:dyDescent="0.3">
      <c r="AI43" s="87">
        <v>3</v>
      </c>
      <c r="AJ43" s="92">
        <f>LARGE('CUSTOS DIRETOS x CUSTOS FIXOS'!$C$19:$C$28,AI43)</f>
        <v>6500</v>
      </c>
      <c r="AK43" s="87" t="str">
        <f>INDEX('CUSTOS DIRETOS x CUSTOS FIXOS'!$B$19:$B$28,MATCH(LARGE('CUSTOS DIRETOS x CUSTOS FIXOS'!$C$19:$C$28,ROW(3:3)),'CUSTOS DIRETOS x CUSTOS FIXOS'!$C$19:$C$28,0))</f>
        <v>Aluguel de Móveis</v>
      </c>
      <c r="AL43" s="92">
        <f t="shared" si="4"/>
        <v>6500</v>
      </c>
    </row>
    <row r="44" spans="35:38" hidden="1" x14ac:dyDescent="0.3">
      <c r="AI44" s="87">
        <v>4</v>
      </c>
      <c r="AJ44" s="92">
        <f>LARGE('CUSTOS DIRETOS x CUSTOS FIXOS'!$C$19:$C$28,AI44)</f>
        <v>2300</v>
      </c>
      <c r="AK44" s="87" t="str">
        <f>INDEX('CUSTOS DIRETOS x CUSTOS FIXOS'!$B$19:$B$28,MATCH(LARGE('CUSTOS DIRETOS x CUSTOS FIXOS'!$C$19:$C$28,ROW(4:4)),'CUSTOS DIRETOS x CUSTOS FIXOS'!$C$19:$C$28,0))</f>
        <v>Água e Saneamento</v>
      </c>
      <c r="AL44" s="92">
        <f t="shared" si="4"/>
        <v>2300</v>
      </c>
    </row>
    <row r="45" spans="35:38" hidden="1" x14ac:dyDescent="0.3">
      <c r="AI45" s="87">
        <v>5</v>
      </c>
      <c r="AJ45" s="92">
        <f>LARGE('CUSTOS DIRETOS x CUSTOS FIXOS'!$C$19:$C$28,AI45)</f>
        <v>2000</v>
      </c>
      <c r="AK45" s="87" t="str">
        <f>INDEX('CUSTOS DIRETOS x CUSTOS FIXOS'!$B$19:$B$28,MATCH(LARGE('CUSTOS DIRETOS x CUSTOS FIXOS'!$C$19:$C$28,ROW(5:5)),'CUSTOS DIRETOS x CUSTOS FIXOS'!$C$19:$C$28,0))</f>
        <v>Licenças e Taxas Governamentais</v>
      </c>
      <c r="AL45" s="92">
        <f t="shared" si="4"/>
        <v>2000</v>
      </c>
    </row>
    <row r="46" spans="35:38" hidden="1" x14ac:dyDescent="0.3">
      <c r="AI46" s="87">
        <v>6</v>
      </c>
      <c r="AJ46" s="92">
        <f>LARGE('CUSTOS DIRETOS x CUSTOS FIXOS'!$C$19:$C$28,AI46)</f>
        <v>1900</v>
      </c>
      <c r="AK46" s="87" t="str">
        <f>INDEX('CUSTOS DIRETOS x CUSTOS FIXOS'!$B$19:$B$28,MATCH(LARGE('CUSTOS DIRETOS x CUSTOS FIXOS'!$C$19:$C$28,ROW(6:6)),'CUSTOS DIRETOS x CUSTOS FIXOS'!$C$19:$C$28,0))</f>
        <v>Manutenção de Equipamentos</v>
      </c>
      <c r="AL46" s="92">
        <f t="shared" si="4"/>
        <v>1900</v>
      </c>
    </row>
    <row r="47" spans="35:38" hidden="1" x14ac:dyDescent="0.3">
      <c r="AI47" s="87">
        <v>7</v>
      </c>
      <c r="AJ47" s="92">
        <f>LARGE('CUSTOS DIRETOS x CUSTOS FIXOS'!$C$19:$C$28,AI47)</f>
        <v>1350</v>
      </c>
      <c r="AK47" s="87" t="str">
        <f>INDEX('CUSTOS DIRETOS x CUSTOS FIXOS'!$B$19:$B$28,MATCH(LARGE('CUSTOS DIRETOS x CUSTOS FIXOS'!$C$19:$C$28,ROW(7:7)),'CUSTOS DIRETOS x CUSTOS FIXOS'!$C$19:$C$28,0))</f>
        <v>Seguros</v>
      </c>
      <c r="AL47" s="92">
        <f t="shared" si="4"/>
        <v>1350</v>
      </c>
    </row>
    <row r="48" spans="35:38" hidden="1" x14ac:dyDescent="0.3">
      <c r="AI48" s="87">
        <v>8</v>
      </c>
      <c r="AJ48" s="92">
        <f>LARGE('CUSTOS DIRETOS x CUSTOS FIXOS'!$C$19:$C$28,AI48)</f>
        <v>1220</v>
      </c>
      <c r="AK48" s="87" t="str">
        <f>INDEX('CUSTOS DIRETOS x CUSTOS FIXOS'!$B$19:$B$28,MATCH(LARGE('CUSTOS DIRETOS x CUSTOS FIXOS'!$C$19:$C$28,ROW(8:8)),'CUSTOS DIRETOS x CUSTOS FIXOS'!$C$19:$C$28,0))</f>
        <v>Contas de Energia Elétrica</v>
      </c>
      <c r="AL48" s="92">
        <f t="shared" si="4"/>
        <v>1220</v>
      </c>
    </row>
    <row r="49" spans="35:38" hidden="1" x14ac:dyDescent="0.3">
      <c r="AI49" s="87">
        <v>9</v>
      </c>
      <c r="AJ49" s="92">
        <f>LARGE('CUSTOS DIRETOS x CUSTOS FIXOS'!$C$19:$C$28,AI49)</f>
        <v>980</v>
      </c>
      <c r="AK49" s="87" t="str">
        <f>INDEX('CUSTOS DIRETOS x CUSTOS FIXOS'!$B$19:$B$28,MATCH(LARGE('CUSTOS DIRETOS x CUSTOS FIXOS'!$C$19:$C$28,ROW(9:9)),'CUSTOS DIRETOS x CUSTOS FIXOS'!$C$19:$C$28,0))</f>
        <v>Depreciação de Equipamentos</v>
      </c>
      <c r="AL49" s="92">
        <f t="shared" si="4"/>
        <v>980</v>
      </c>
    </row>
    <row r="50" spans="35:38" hidden="1" x14ac:dyDescent="0.3">
      <c r="AI50" s="87">
        <v>10</v>
      </c>
      <c r="AJ50" s="92">
        <f>LARGE('CUSTOS DIRETOS x CUSTOS FIXOS'!$C$19:$C$28,AI50)</f>
        <v>600</v>
      </c>
      <c r="AK50" s="87" t="str">
        <f>INDEX('CUSTOS DIRETOS x CUSTOS FIXOS'!$B$19:$B$28,MATCH(LARGE('CUSTOS DIRETOS x CUSTOS FIXOS'!$C$19:$C$28,ROW(10:10)),'CUSTOS DIRETOS x CUSTOS FIXOS'!$C$19:$C$28,0))</f>
        <v>Salários e Benefícios</v>
      </c>
      <c r="AL50" s="92">
        <f t="shared" si="4"/>
        <v>600</v>
      </c>
    </row>
    <row r="52" spans="35:38" hidden="1" x14ac:dyDescent="0.3">
      <c r="AI52" s="84" t="s">
        <v>33</v>
      </c>
    </row>
    <row r="53" spans="35:38" hidden="1" x14ac:dyDescent="0.3">
      <c r="AI53" s="87" t="s">
        <v>55</v>
      </c>
      <c r="AJ53" s="87" t="s">
        <v>18</v>
      </c>
      <c r="AK53" s="87" t="s">
        <v>66</v>
      </c>
      <c r="AL53" s="87"/>
    </row>
    <row r="54" spans="35:38" hidden="1" x14ac:dyDescent="0.3">
      <c r="AI54" s="87">
        <v>1</v>
      </c>
      <c r="AJ54" s="92">
        <f>IFERROR(LARGE(RELATÓRIO!$D$6:$D$24,GRÁFICOS!AI54),"")</f>
        <v>476500</v>
      </c>
      <c r="AK54" s="87" t="str">
        <f>IFERROR(VLOOKUP(AJ54,RELATÓRIO!D6:E9,2,0),"")</f>
        <v>Matéria Prima</v>
      </c>
      <c r="AL54" s="92">
        <f>AJ54</f>
        <v>476500</v>
      </c>
    </row>
    <row r="55" spans="35:38" hidden="1" x14ac:dyDescent="0.3">
      <c r="AI55" s="87">
        <v>2</v>
      </c>
      <c r="AJ55" s="92">
        <f>IFERROR(LARGE(RELATÓRIO!$D$6:$D$24,GRÁFICOS!AI55),"")</f>
        <v>411930</v>
      </c>
      <c r="AK55" s="87" t="str">
        <f>IFERROR(VLOOKUP(AJ55,RELATÓRIO!D7:E10,2,0),"")</f>
        <v>Impostos %</v>
      </c>
      <c r="AL55" s="92">
        <f t="shared" ref="AL55:AL60" si="5">AJ55</f>
        <v>411930</v>
      </c>
    </row>
    <row r="56" spans="35:38" hidden="1" x14ac:dyDescent="0.3">
      <c r="AI56" s="87">
        <v>3</v>
      </c>
      <c r="AJ56" s="92">
        <f>IFERROR(LARGE(RELATÓRIO!$D$6:$D$24,GRÁFICOS!AI56),"")</f>
        <v>114425</v>
      </c>
      <c r="AK56" s="87" t="str">
        <f>IFERROR(VLOOKUP(AJ56,RELATÓRIO!D8:E11,2,0),"")</f>
        <v>Comissões %</v>
      </c>
      <c r="AL56" s="92">
        <f t="shared" si="5"/>
        <v>114425</v>
      </c>
    </row>
    <row r="57" spans="35:38" hidden="1" x14ac:dyDescent="0.3">
      <c r="AI57" s="87">
        <v>4</v>
      </c>
      <c r="AJ57" s="92">
        <f>IFERROR(LARGE(RELATÓRIO!$D$6:$D$24,GRÁFICOS!AI57),"")</f>
        <v>5100</v>
      </c>
      <c r="AK57" s="87" t="str">
        <f>IFERROR(VLOOKUP(AJ57,RELATÓRIO!D9:E12,2,0),"")</f>
        <v>Outros Gastos</v>
      </c>
      <c r="AL57" s="92">
        <f t="shared" si="5"/>
        <v>5100</v>
      </c>
    </row>
    <row r="58" spans="35:38" hidden="1" x14ac:dyDescent="0.3">
      <c r="AI58" s="87">
        <v>5</v>
      </c>
      <c r="AJ58" s="92" t="str">
        <f>IFERROR(LARGE(RELATÓRIO!$D$6:$D$24,GRÁFICOS!AI58),"")</f>
        <v/>
      </c>
      <c r="AK58" s="87" t="str">
        <f>IFERROR(VLOOKUP(AJ58,RELATÓRIO!D10:E13,2,0),"")</f>
        <v/>
      </c>
      <c r="AL58" s="92" t="str">
        <f t="shared" si="5"/>
        <v/>
      </c>
    </row>
    <row r="59" spans="35:38" hidden="1" x14ac:dyDescent="0.3">
      <c r="AI59" s="87">
        <v>6</v>
      </c>
      <c r="AJ59" s="92" t="str">
        <f>IFERROR(LARGE(RELATÓRIO!$D$6:$D$24,GRÁFICOS!AI59),"")</f>
        <v/>
      </c>
      <c r="AK59" s="87" t="str">
        <f>IFERROR(VLOOKUP(AJ59,RELATÓRIO!D11:E14,2,0),"")</f>
        <v/>
      </c>
      <c r="AL59" s="92" t="str">
        <f t="shared" si="5"/>
        <v/>
      </c>
    </row>
    <row r="60" spans="35:38" hidden="1" x14ac:dyDescent="0.3">
      <c r="AI60" s="87">
        <v>7</v>
      </c>
      <c r="AJ60" s="92" t="str">
        <f>IFERROR(LARGE(RELATÓRIO!$D$6:$D$24,GRÁFICOS!AI60),"")</f>
        <v/>
      </c>
      <c r="AK60" s="87" t="str">
        <f>IFERROR(VLOOKUP(AJ60,RELATÓRIO!D12:E15,2,0),"")</f>
        <v/>
      </c>
      <c r="AL60" s="92" t="str">
        <f t="shared" si="5"/>
        <v/>
      </c>
    </row>
    <row r="61" spans="35:38" hidden="1" x14ac:dyDescent="0.3">
      <c r="AI61" s="87">
        <v>8</v>
      </c>
      <c r="AJ61" s="92" t="str">
        <f>IFERROR(LARGE(RELATÓRIO!$D$6:$D$24,GRÁFICOS!AI61),"")</f>
        <v/>
      </c>
      <c r="AK61" s="87" t="str">
        <f>IFERROR(VLOOKUP(AJ61,RELATÓRIO!D13:E16,2,0),"")</f>
        <v/>
      </c>
      <c r="AL61" s="87"/>
    </row>
    <row r="62" spans="35:38" hidden="1" x14ac:dyDescent="0.3">
      <c r="AI62" s="87">
        <v>9</v>
      </c>
      <c r="AJ62" s="92" t="str">
        <f>IFERROR(LARGE(RELATÓRIO!$D$6:$D$24,GRÁFICOS!AI62),"")</f>
        <v/>
      </c>
      <c r="AK62" s="87" t="str">
        <f>IFERROR(VLOOKUP(AJ62,RELATÓRIO!D14:E17,2,0),"")</f>
        <v/>
      </c>
      <c r="AL62" s="87"/>
    </row>
    <row r="63" spans="35:38" hidden="1" x14ac:dyDescent="0.3">
      <c r="AI63" s="87">
        <v>10</v>
      </c>
      <c r="AJ63" s="92" t="str">
        <f>IFERROR(LARGE(RELATÓRIO!$D$6:$D$24,GRÁFICOS!AI63),"")</f>
        <v/>
      </c>
      <c r="AK63" s="87" t="str">
        <f>IFERROR(VLOOKUP(AJ63,RELATÓRIO!D15:E18,2,0),"")</f>
        <v/>
      </c>
      <c r="AL63" s="87"/>
    </row>
  </sheetData>
  <conditionalFormatting sqref="AJ14:AJ24">
    <cfRule type="duplicateValues" dxfId="1" priority="1"/>
  </conditionalFormatting>
  <conditionalFormatting sqref="AK14:AK24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CUSTOS DIRETOS x CUSTOS FIXOS</vt:lpstr>
      <vt:lpstr>RELATÓRIO</vt:lpstr>
      <vt:lpstr>PONTO DE EQUILÍBRIO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dcterms:created xsi:type="dcterms:W3CDTF">2025-03-11T15:05:59Z</dcterms:created>
  <dcterms:modified xsi:type="dcterms:W3CDTF">2025-03-19T21:48:02Z</dcterms:modified>
</cp:coreProperties>
</file>